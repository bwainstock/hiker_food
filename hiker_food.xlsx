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 First" sheetId="1" r:id="rId5"/>
    <sheet state="visible" name="Multi-day planner" sheetId="2" r:id="rId6"/>
    <sheet state="visible" name="Shopping List" sheetId="3" r:id="rId7"/>
    <sheet state="visible" name="Hiker Food" sheetId="4" r:id="rId8"/>
    <sheet state="visible" name="Color Keys" sheetId="5" r:id="rId9"/>
    <sheet state="visible" name="Electrolytes" sheetId="6" r:id="rId10"/>
    <sheet state="visible" name="NaK Calculator" sheetId="7" r:id="rId11"/>
  </sheets>
  <definedNames>
    <definedName hidden="1" localSheetId="3" name="_xlnm._FilterDatabase">'Hiker Food'!$A$1:$X$1654</definedName>
  </definedNames>
  <calcPr/>
  <pivotCaches>
    <pivotCache cacheId="0" r:id="rId1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9">
      <text>
        <t xml:space="preserve">Bars: look at Kind and Clif (Nut butter)</t>
      </text>
    </comment>
    <comment authorId="0" ref="B253">
      <text>
        <t xml:space="preserve">Bars: look at Kind and Clif (Nut butter)</t>
      </text>
    </comment>
    <comment authorId="0" ref="B187">
      <text>
        <t xml:space="preserve">Bars: look at Kind and Clif (Nut butter)</t>
      </text>
    </comment>
    <comment authorId="0" ref="B121">
      <text>
        <t xml:space="preserve">Bars: look at Kind and Clif (Nut butter)</t>
      </text>
    </comment>
    <comment authorId="0" ref="B55">
      <text>
        <t xml:space="preserve">Bars: look at Kind and Clif (Nut butter)</t>
      </text>
    </comment>
    <comment authorId="0" ref="B278">
      <text>
        <t xml:space="preserve">Ideally ~15g protein (whey), 30g glucose (via dextrose), 25g sucrose</t>
      </text>
    </comment>
    <comment authorId="0" ref="B212">
      <text>
        <t xml:space="preserve">Ideally ~15g protein (whey), 30g glucose (via dextrose), 25g sucrose</t>
      </text>
    </comment>
    <comment authorId="0" ref="B146">
      <text>
        <t xml:space="preserve">Ideally ~15g protein (whey), 30g glucose (via dextrose), 25g sucrose</t>
      </text>
    </comment>
    <comment authorId="0" ref="B80">
      <text>
        <t xml:space="preserve">Ideally ~15g protein (whey), 30g glucose (via dextrose), 25g sucrose</t>
      </text>
    </comment>
    <comment authorId="0" ref="B303">
      <text>
        <t xml:space="preserve">Target 20-30g protein, beyond that your body can't utilize it. Typical freeze dried meals are right in this range.</t>
      </text>
    </comment>
    <comment authorId="0" ref="B14">
      <text>
        <t xml:space="preserve">Ideally ~15g protein (whey), 30g glucose (via dextrose), 25g sucrose</t>
      </text>
    </comment>
    <comment authorId="0" ref="B237">
      <text>
        <t xml:space="preserve">Target 20-30g protein, beyond that your body can't utilize it. Typical freeze dried meals are right in this range.</t>
      </text>
    </comment>
    <comment authorId="0" ref="B171">
      <text>
        <t xml:space="preserve">Target 20-30g protein, beyond that your body can't utilize it. Typical freeze dried meals are right in this range.</t>
      </text>
    </comment>
    <comment authorId="0" ref="B266">
      <text>
        <t xml:space="preserve">Breaking fast, it's helpful to jumpstart your system with slightly higher sugar ratio (lighter blue band) as long as you're also getting fats for later use.</t>
      </text>
    </comment>
    <comment authorId="0" ref="B105">
      <text>
        <t xml:space="preserve">Target 20-30g protein, beyond that your body can't utilize it. Typical freeze dried meals are right in this range.</t>
      </text>
    </comment>
    <comment authorId="0" ref="B200">
      <text>
        <t xml:space="preserve">Breaking fast, it's helpful to jumpstart your system with slightly higher sugar ratio (lighter blue band) as long as you're also getting fats for later use.</t>
      </text>
    </comment>
    <comment authorId="0" ref="B39">
      <text>
        <t xml:space="preserve">Target 20-30g protein, beyond that your body can't utilize it. Typical freeze dried meals are right in this range.</t>
      </text>
    </comment>
    <comment authorId="0" ref="B134">
      <text>
        <t xml:space="preserve">Breaking fast, it's helpful to jumpstart your system with slightly higher sugar ratio (lighter blue band) as long as you're also getting fats for later use.</t>
      </text>
    </comment>
    <comment authorId="0" ref="B68">
      <text>
        <t xml:space="preserve">Breaking fast, it's helpful to jumpstart your system with slightly higher sugar ratio (lighter blue band) as long as you're also getting fats for later use.</t>
      </text>
    </comment>
    <comment authorId="0" ref="B291">
      <text>
        <t xml:space="preserve">Preference for lower sugar percentage (darker blue band) unless you're snacking constantly.</t>
      </text>
    </comment>
    <comment authorId="0" ref="B2">
      <text>
        <t xml:space="preserve">Breaking fast, it's helpful to jumpstart your system with slightly higher sugar ratio (lighter blue band) as long as you're also getting fats for later use.</t>
      </text>
    </comment>
    <comment authorId="0" ref="B225">
      <text>
        <t xml:space="preserve">Preference for lower sugar percentage (darker blue band) unless you're snacking constantly.</t>
      </text>
    </comment>
    <comment authorId="0" ref="B159">
      <text>
        <t xml:space="preserve">Preference for lower sugar percentage (darker blue band) unless you're snacking constantly.</t>
      </text>
    </comment>
    <comment authorId="0" ref="B93">
      <text>
        <t xml:space="preserve">Preference for lower sugar percentage (darker blue band) unless you're snacking constantly.</t>
      </text>
    </comment>
    <comment authorId="0" ref="B27">
      <text>
        <t xml:space="preserve">Preference for lower sugar percentage (darker blue band) unless you're snacking constantly.</t>
      </text>
    </comment>
    <comment authorId="0" ref="B275">
      <text>
        <t xml:space="preserve">Bars: look at Kind and Clif (Nut butter)</t>
      </text>
    </comment>
    <comment authorId="0" ref="B209">
      <text>
        <t xml:space="preserve">Bars: look at Kind and Clif (Nut butter)</t>
      </text>
    </comment>
    <comment authorId="0" ref="B143">
      <text>
        <t xml:space="preserve">Bars: look at Kind and Clif (Nut butter)</t>
      </text>
    </comment>
    <comment authorId="0" ref="B77">
      <text>
        <t xml:space="preserve">Bars: look at Kind and Clif (Nut butter)</t>
      </text>
    </comment>
    <comment authorId="0" ref="B300">
      <text>
        <t xml:space="preserve">Ideally ~15g protein (whey), 30g glucose (via dextrose), 25g sucrose</t>
      </text>
    </comment>
    <comment authorId="0" ref="B11">
      <text>
        <t xml:space="preserve">Bars: look at Kind and Clif (Nut butter)</t>
      </text>
    </comment>
    <comment authorId="0" ref="B234">
      <text>
        <t xml:space="preserve">Ideally ~15g protein (whey), 30g glucose (via dextrose), 25g sucrose</t>
      </text>
    </comment>
    <comment authorId="0" ref="B168">
      <text>
        <t xml:space="preserve">Ideally ~15g protein (whey), 30g glucose (via dextrose), 25g sucrose</t>
      </text>
    </comment>
    <comment authorId="0" ref="B102">
      <text>
        <t xml:space="preserve">Ideally ~15g protein (whey), 30g glucose (via dextrose), 25g sucrose</t>
      </text>
    </comment>
    <comment authorId="0" ref="B325">
      <text>
        <t xml:space="preserve">Target 20-30g protein, beyond that your body can't utilize it. Typical freeze dried meals are right in this range.</t>
      </text>
    </comment>
    <comment authorId="0" ref="B36">
      <text>
        <t xml:space="preserve">Ideally ~15g protein (whey), 30g glucose (via dextrose), 25g sucrose</t>
      </text>
    </comment>
    <comment authorId="0" ref="B259">
      <text>
        <t xml:space="preserve">Target 20-30g protein, beyond that your body can't utilize it. Typical freeze dried meals are right in this range.</t>
      </text>
    </comment>
    <comment authorId="0" ref="B193">
      <text>
        <t xml:space="preserve">Target 20-30g protein, beyond that your body can't utilize it. Typical freeze dried meals are right in this range.</t>
      </text>
    </comment>
    <comment authorId="0" ref="B288">
      <text>
        <t xml:space="preserve">Breaking fast, it's helpful to jumpstart your system with slightly higher sugar ratio (lighter blue band) as long as you're also getting fats for later use.</t>
      </text>
    </comment>
    <comment authorId="0" ref="B127">
      <text>
        <t xml:space="preserve">Target 20-30g protein, beyond that your body can't utilize it. Typical freeze dried meals are right in this range.</t>
      </text>
    </comment>
    <comment authorId="0" ref="B222">
      <text>
        <t xml:space="preserve">Breaking fast, it's helpful to jumpstart your system with slightly higher sugar ratio (lighter blue band) as long as you're also getting fats for later use.</t>
      </text>
    </comment>
    <comment authorId="0" ref="B61">
      <text>
        <t xml:space="preserve">Target 20-30g protein, beyond that your body can't utilize it. Typical freeze dried meals are right in this range.</t>
      </text>
    </comment>
    <comment authorId="0" ref="B156">
      <text>
        <t xml:space="preserve">Breaking fast, it's helpful to jumpstart your system with slightly higher sugar ratio (lighter blue band) as long as you're also getting fats for later use.</t>
      </text>
    </comment>
    <comment authorId="0" ref="B90">
      <text>
        <t xml:space="preserve">Breaking fast, it's helpful to jumpstart your system with slightly higher sugar ratio (lighter blue band) as long as you're also getting fats for later use.</t>
      </text>
    </comment>
    <comment authorId="0" ref="B313">
      <text>
        <t xml:space="preserve">Preference for lower sugar percentage (darker blue band) unless you're snacking constantly.</t>
      </text>
    </comment>
    <comment authorId="0" ref="B24">
      <text>
        <t xml:space="preserve">Breaking fast, it's helpful to jumpstart your system with slightly higher sugar ratio (lighter blue band) as long as you're also getting fats for later use.</t>
      </text>
    </comment>
    <comment authorId="0" ref="B247">
      <text>
        <t xml:space="preserve">Preference for lower sugar percentage (darker blue band) unless you're snacking constantly.</t>
      </text>
    </comment>
    <comment authorId="0" ref="B181">
      <text>
        <t xml:space="preserve">Preference for lower sugar percentage (darker blue band) unless you're snacking constantly.</t>
      </text>
    </comment>
    <comment authorId="0" ref="B115">
      <text>
        <t xml:space="preserve">Preference for lower sugar percentage (darker blue band) unless you're snacking constantly.</t>
      </text>
    </comment>
    <comment authorId="0" ref="B49">
      <text>
        <t xml:space="preserve">Preference for lower sugar percentage (darker blue band) unless you're snacking constantly.</t>
      </text>
    </comment>
    <comment authorId="0" ref="B297">
      <text>
        <t xml:space="preserve">Bars: look at Kind and Clif (Nut butter)</t>
      </text>
    </comment>
    <comment authorId="0" ref="B231">
      <text>
        <t xml:space="preserve">Bars: look at Kind and Clif (Nut butter)</t>
      </text>
    </comment>
    <comment authorId="0" ref="B165">
      <text>
        <t xml:space="preserve">Bars: look at Kind and Clif (Nut butter)</t>
      </text>
    </comment>
    <comment authorId="0" ref="B99">
      <text>
        <t xml:space="preserve">Bars: look at Kind and Clif (Nut butter)</t>
      </text>
    </comment>
    <comment authorId="0" ref="B322">
      <text>
        <t xml:space="preserve">Ideally ~15g protein (whey), 30g glucose (via dextrose), 25g sucrose</t>
      </text>
    </comment>
    <comment authorId="0" ref="B33">
      <text>
        <t xml:space="preserve">Bars: look at Kind and Clif (Nut butter)</t>
      </text>
    </comment>
    <comment authorId="0" ref="B256">
      <text>
        <t xml:space="preserve">Ideally ~15g protein (whey), 30g glucose (via dextrose), 25g sucrose</t>
      </text>
    </comment>
    <comment authorId="0" ref="B190">
      <text>
        <t xml:space="preserve">Ideally ~15g protein (whey), 30g glucose (via dextrose), 25g sucrose</t>
      </text>
    </comment>
    <comment authorId="0" ref="B124">
      <text>
        <t xml:space="preserve">Ideally ~15g protein (whey), 30g glucose (via dextrose), 25g sucrose</t>
      </text>
    </comment>
    <comment authorId="0" ref="B58">
      <text>
        <t xml:space="preserve">Ideally ~15g protein (whey), 30g glucose (via dextrose), 25g sucrose</t>
      </text>
    </comment>
    <comment authorId="0" ref="B281">
      <text>
        <t xml:space="preserve">Target 20-30g protein, beyond that your body can't utilize it. Typical freeze dried meals are right in this range.</t>
      </text>
    </comment>
    <comment authorId="0" ref="B215">
      <text>
        <t xml:space="preserve">Target 20-30g protein, beyond that your body can't utilize it. Typical freeze dried meals are right in this range.</t>
      </text>
    </comment>
    <comment authorId="0" ref="B310">
      <text>
        <t xml:space="preserve">Breaking fast, it's helpful to jumpstart your system with slightly higher sugar ratio (lighter blue band) as long as you're also getting fats for later use.</t>
      </text>
    </comment>
    <comment authorId="0" ref="B149">
      <text>
        <t xml:space="preserve">Target 20-30g protein, beyond that your body can't utilize it. Typical freeze dried meals are right in this range.</t>
      </text>
    </comment>
    <comment authorId="0" ref="B244">
      <text>
        <t xml:space="preserve">Breaking fast, it's helpful to jumpstart your system with slightly higher sugar ratio (lighter blue band) as long as you're also getting fats for later use.</t>
      </text>
    </comment>
    <comment authorId="0" ref="B83">
      <text>
        <t xml:space="preserve">Target 20-30g protein, beyond that your body can't utilize it. Typical freeze dried meals are right in this range.</t>
      </text>
    </comment>
    <comment authorId="0" ref="B178">
      <text>
        <t xml:space="preserve">Breaking fast, it's helpful to jumpstart your system with slightly higher sugar ratio (lighter blue band) as long as you're also getting fats for later use.</t>
      </text>
    </comment>
    <comment authorId="0" ref="B17">
      <text>
        <t xml:space="preserve">Target 20-30g protein, beyond that your body can't utilize it. Typical freeze dried meals are right in this range.</t>
      </text>
    </comment>
    <comment authorId="0" ref="B112">
      <text>
        <t xml:space="preserve">Breaking fast, it's helpful to jumpstart your system with slightly higher sugar ratio (lighter blue band) as long as you're also getting fats for later use.</t>
      </text>
    </comment>
    <comment authorId="0" ref="B46">
      <text>
        <t xml:space="preserve">Breaking fast, it's helpful to jumpstart your system with slightly higher sugar ratio (lighter blue band) as long as you're also getting fats for later use.</t>
      </text>
    </comment>
    <comment authorId="0" ref="B269">
      <text>
        <t xml:space="preserve">Preference for lower sugar percentage (darker blue band) unless you're snacking constantly.</t>
      </text>
    </comment>
    <comment authorId="0" ref="B203">
      <text>
        <t xml:space="preserve">Preference for lower sugar percentage (darker blue band) unless you're snacking constantly.</t>
      </text>
    </comment>
    <comment authorId="0" ref="B137">
      <text>
        <t xml:space="preserve">Preference for lower sugar percentage (darker blue band) unless you're snacking constantly.</t>
      </text>
    </comment>
    <comment authorId="0" ref="B71">
      <text>
        <t xml:space="preserve">Preference for lower sugar percentage (darker blue band) unless you're snacking constantly.</t>
      </text>
    </comment>
    <comment authorId="0" ref="B5">
      <text>
        <t xml:space="preserve">Preference for lower sugar percentage (darker blue band) unless you're snacking constantly.</t>
      </text>
    </comment>
  </commentList>
</comments>
</file>

<file path=xl/sharedStrings.xml><?xml version="1.0" encoding="utf-8"?>
<sst xmlns="http://schemas.openxmlformats.org/spreadsheetml/2006/main" count="8589" uniqueCount="3813">
  <si>
    <t>Shopping list</t>
  </si>
  <si>
    <t>v2026.04.17</t>
  </si>
  <si>
    <r>
      <rPr>
        <rFont val="Calibri"/>
      </rPr>
      <t xml:space="preserve">This builds upon </t>
    </r>
    <r>
      <rPr>
        <rFont val="Calibri"/>
        <color rgb="FF1155CC"/>
        <u/>
      </rPr>
      <t>Gear Skeptic</t>
    </r>
    <r>
      <rPr>
        <rFont val="Calibri"/>
      </rPr>
      <t xml:space="preserve">'s extensive </t>
    </r>
    <r>
      <rPr>
        <rFont val="Calibri"/>
        <color rgb="FF1155CC"/>
        <u/>
      </rPr>
      <t>videos</t>
    </r>
    <r>
      <rPr>
        <rFont val="Calibri"/>
      </rPr>
      <t xml:space="preserve"> and associated work on </t>
    </r>
    <r>
      <rPr>
        <rFont val="Calibri"/>
        <color rgb="FF1155CC"/>
        <u/>
      </rPr>
      <t>Hiker Food 2.5</t>
    </r>
    <r>
      <rPr>
        <rFont val="Calibri"/>
      </rPr>
      <t>, for which I'm deeply grateful.</t>
    </r>
  </si>
  <si>
    <t>Brand</t>
  </si>
  <si>
    <t>Flavor</t>
  </si>
  <si>
    <t>Full name</t>
  </si>
  <si>
    <t>Class</t>
  </si>
  <si>
    <t>Prep</t>
  </si>
  <si>
    <t>Servings</t>
  </si>
  <si>
    <t>Serv(oz)</t>
  </si>
  <si>
    <t>Serv(g)</t>
  </si>
  <si>
    <t>Cal/Serv</t>
  </si>
  <si>
    <t>Fat</t>
  </si>
  <si>
    <t>Na</t>
  </si>
  <si>
    <t>K</t>
  </si>
  <si>
    <t>Carbs</t>
  </si>
  <si>
    <t>Fiber</t>
  </si>
  <si>
    <t>Sugar</t>
  </si>
  <si>
    <t>How this Google Sheet works:</t>
  </si>
  <si>
    <t>Other</t>
  </si>
  <si>
    <t>Protein</t>
  </si>
  <si>
    <t>kcal/oz</t>
  </si>
  <si>
    <t>kcal/g</t>
  </si>
  <si>
    <t>Make a copy so you can edit it: File &gt; Make a Copy</t>
  </si>
  <si>
    <t>Carb/Pro</t>
  </si>
  <si>
    <t>Fat %</t>
  </si>
  <si>
    <t>Sugar %</t>
  </si>
  <si>
    <t>Na/kcal</t>
  </si>
  <si>
    <t>Cal/Cont</t>
  </si>
  <si>
    <t>4th &amp; Heart</t>
  </si>
  <si>
    <t>Ghee Butter, Original Recipe</t>
  </si>
  <si>
    <r>
      <rPr>
        <rFont val="Calibri"/>
      </rPr>
      <t xml:space="preserve">Use the </t>
    </r>
    <r>
      <rPr>
        <rFont val="Calibri"/>
        <color rgb="FF1155CC"/>
        <u/>
      </rPr>
      <t>Multi-Day Planner</t>
    </r>
    <r>
      <rPr>
        <rFont val="Calibri"/>
      </rPr>
      <t xml:space="preserve"> to map out each day's meals:</t>
    </r>
  </si>
  <si>
    <t>4th &amp; Heart Ghee Butter, Original Recipe</t>
  </si>
  <si>
    <t>Bump</t>
  </si>
  <si>
    <t>N/A</t>
  </si>
  <si>
    <t>Start typing and any relevant items already in Hiker Food will appear</t>
  </si>
  <si>
    <r>
      <rPr>
        <rFont val="Calibri"/>
      </rPr>
      <t xml:space="preserve">Look at </t>
    </r>
    <r>
      <rPr>
        <rFont val="Calibri"/>
        <color rgb="FF1155CC"/>
        <u/>
      </rPr>
      <t>Color Keys</t>
    </r>
    <r>
      <rPr>
        <rFont val="Calibri"/>
      </rPr>
      <t xml:space="preserve"> to understand different weight, fat, carbs/protein, and salt ratios</t>
    </r>
  </si>
  <si>
    <t>Skip any meal you like</t>
  </si>
  <si>
    <t>If you need to add a 4th (5th, 6th...) item to a meal, insert a row and add it in the middle of that section, not at the bottom</t>
  </si>
  <si>
    <t>Item</t>
  </si>
  <si>
    <t>Repeat for each day of your trip before restock</t>
  </si>
  <si>
    <t>SUM of Qty</t>
  </si>
  <si>
    <r>
      <rPr>
        <rFont val="Calibri"/>
      </rPr>
      <t xml:space="preserve">Use the </t>
    </r>
    <r>
      <rPr>
        <rFont val="Calibri"/>
        <color rgb="FF1155CC"/>
        <u/>
      </rPr>
      <t>Shopping List</t>
    </r>
    <r>
      <rPr>
        <rFont val="Calibri"/>
      </rPr>
      <t xml:space="preserve"> to help with what to buy</t>
    </r>
  </si>
  <si>
    <t>Backpacker's Pantry Granola with Bananas &amp; Milk</t>
  </si>
  <si>
    <r>
      <rPr>
        <rFont val="Calibri"/>
      </rPr>
      <t xml:space="preserve">Something missing? Add a new row to </t>
    </r>
    <r>
      <rPr>
        <rFont val="Calibri"/>
        <color rgb="FF1155CC"/>
        <u/>
      </rPr>
      <t>Hiker Food</t>
    </r>
    <r>
      <rPr>
        <rFont val="Calibri"/>
      </rPr>
      <t xml:space="preserve"> but not at the very bottom</t>
    </r>
  </si>
  <si>
    <t>Honey Stinger Waffle, Short Stack with Maple</t>
  </si>
  <si>
    <t>If you add it to a blank row at the bottom, it won't be included in the dropdowns or calculators</t>
  </si>
  <si>
    <t>Instead, insert a row anywhere else</t>
  </si>
  <si>
    <t>Justin's Classic Peanut Butter</t>
  </si>
  <si>
    <t>Fill out all the relevant details if you care about the calculations</t>
  </si>
  <si>
    <t>Kind Salted Caramel Dark Chocolate Nut</t>
  </si>
  <si>
    <t>Once you're done, it'll be available in the planner</t>
  </si>
  <si>
    <t>Open Nature Uncured Hot Italian Salami</t>
  </si>
  <si>
    <t>Notes:</t>
  </si>
  <si>
    <r>
      <rPr>
        <rFont val="Calibri"/>
        <color rgb="FF1155CC"/>
        <u/>
      </rPr>
      <t>Original Reddit thread</t>
    </r>
    <r>
      <rPr>
        <rFont val="Calibri"/>
      </rPr>
      <t xml:space="preserve"> regarding a beta of this sheet</t>
    </r>
  </si>
  <si>
    <t>Pinnacle Foods Thai Peanut Curry, Roasted Vegetables, Rice Noodles</t>
  </si>
  <si>
    <t>Safeway (bulk dispenser) Mountain Mix</t>
  </si>
  <si>
    <t>I made some edits to Hiker Food 2.5:</t>
  </si>
  <si>
    <t>Tailwind Nutrition Chocolate Recovery</t>
  </si>
  <si>
    <t>To make the pre-selected drop-downs work, I merged Hiker Food and Dried Meals into a single sheet</t>
  </si>
  <si>
    <t>Tillamook Cheese packet, Medium Cheddar</t>
  </si>
  <si>
    <t>I modified some colors, largely making "ideal" stuff shades of green instead of the original shades of oranges and reds</t>
  </si>
  <si>
    <t>Some of the formulas showed errors because they divided by zero. While I'm a backpacker by heart, I'm a spreadsheet nerd by day and this bothered me. So now these show N/A rather than an error.</t>
  </si>
  <si>
    <r>
      <rPr>
        <rFont val="Calibri"/>
      </rPr>
      <t xml:space="preserve">Electrolytes and NaK Calculator are untouched from the original </t>
    </r>
    <r>
      <rPr>
        <rFont val="Calibri"/>
        <color rgb="FF1155CC"/>
        <u/>
      </rPr>
      <t>Hiker Food 2.5</t>
    </r>
  </si>
  <si>
    <t>Kirkland</t>
  </si>
  <si>
    <t>Extra Virgin Olive Oil, jug</t>
  </si>
  <si>
    <t>Kirkland Extra Virgin Olive Oil, jug</t>
  </si>
  <si>
    <t>Changelog</t>
  </si>
  <si>
    <t>Added grams to the Multi-Day Planner, it's currently only in ounces.</t>
  </si>
  <si>
    <t>Fixed a bug where the dropdown options for the planner weren't fixed to the top of the hiker food list</t>
  </si>
  <si>
    <t>Adjusted the tab layout</t>
  </si>
  <si>
    <t>Hoosier Hill Farm</t>
  </si>
  <si>
    <t>Butter Powder</t>
  </si>
  <si>
    <t>Hoosier Hill Farm Butter Powder</t>
  </si>
  <si>
    <t>Day</t>
  </si>
  <si>
    <t>Meal</t>
  </si>
  <si>
    <t>Qty</t>
  </si>
  <si>
    <t>Terrasoul</t>
  </si>
  <si>
    <t>Coconut chips (unsweetened)</t>
  </si>
  <si>
    <t>Oz</t>
  </si>
  <si>
    <t>Terrasoul Coconut chips (unsweetened)</t>
  </si>
  <si>
    <t>Fruit</t>
  </si>
  <si>
    <t>Gr</t>
  </si>
  <si>
    <t>NA</t>
  </si>
  <si>
    <t>Cal</t>
  </si>
  <si>
    <t>Sum</t>
  </si>
  <si>
    <t>Oz/kcal</t>
  </si>
  <si>
    <t>Gr/kcal</t>
  </si>
  <si>
    <t>Kraft</t>
  </si>
  <si>
    <t>Real Mayo packet</t>
  </si>
  <si>
    <t>Kraft Real Mayo packet</t>
  </si>
  <si>
    <t>Kcal</t>
  </si>
  <si>
    <t>Breakfast</t>
  </si>
  <si>
    <t>Mauna Loa</t>
  </si>
  <si>
    <t>Dry Roasted Macadamias with Sea Salt</t>
  </si>
  <si>
    <t>Mauna Loa Dry Roasted Macadamias with Sea Salt</t>
  </si>
  <si>
    <t>Nuts/Seeds</t>
  </si>
  <si>
    <t>Coconut Milk Powder</t>
  </si>
  <si>
    <t>Terrasoul Coconut Milk Powder</t>
  </si>
  <si>
    <t>Drink</t>
  </si>
  <si>
    <t>Justin's</t>
  </si>
  <si>
    <t>Classic Almond Butter</t>
  </si>
  <si>
    <t>Justin's Classic Almond Butter</t>
  </si>
  <si>
    <t>Nut Butter</t>
  </si>
  <si>
    <t>Signature (Safeway)</t>
  </si>
  <si>
    <t>Macadamia Nuts, Dry Roasted with Sea Salt</t>
  </si>
  <si>
    <t>Signature (Safeway) Macadamia Nuts, Dry Roasted with Sea Salt</t>
  </si>
  <si>
    <t>Mammoth Pecan Halves, Raw and Unsalted</t>
  </si>
  <si>
    <t>Signature (Safeway) Mammoth Pecan Halves, Raw and Unsalted</t>
  </si>
  <si>
    <t>Food to Live</t>
  </si>
  <si>
    <t>Pine Nuts</t>
  </si>
  <si>
    <t>Food to Live Pine Nuts</t>
  </si>
  <si>
    <t>Chip Coconut</t>
  </si>
  <si>
    <t>Signature (Safeway) Chip Coconut</t>
  </si>
  <si>
    <t>Heavy Cream Powder</t>
  </si>
  <si>
    <t>Hoosier Hill Farm Heavy Cream Powder</t>
  </si>
  <si>
    <t>OvaEasy</t>
  </si>
  <si>
    <t>Egg Crystals</t>
  </si>
  <si>
    <t>OvaEasy Egg Crystals</t>
  </si>
  <si>
    <t>Sides</t>
  </si>
  <si>
    <t>Classic Cashew Butter</t>
  </si>
  <si>
    <t>Justin's Classic Cashew Butter</t>
  </si>
  <si>
    <t>Maple Almond Butter</t>
  </si>
  <si>
    <t>Justin's Maple Almond Butter</t>
  </si>
  <si>
    <t>Coconut Almond Butter</t>
  </si>
  <si>
    <t>Justin's Coconut Almond Butter</t>
  </si>
  <si>
    <t>Classic Peanut Butter</t>
  </si>
  <si>
    <t>Green &amp; Blacks</t>
  </si>
  <si>
    <t>85% chocolate</t>
  </si>
  <si>
    <t>Green &amp; Blacks 85% chocolate</t>
  </si>
  <si>
    <t>Candy</t>
  </si>
  <si>
    <t>Fat Fuel</t>
  </si>
  <si>
    <t>Instant Keto Diet Coffee packaet</t>
  </si>
  <si>
    <t>Fat Fuel Instant Keto Diet Coffee packaet</t>
  </si>
  <si>
    <t>Fuel Fudge</t>
  </si>
  <si>
    <t>Cacao (coffee additive or stand alone snack)</t>
  </si>
  <si>
    <t>Fuel Fudge Cacao (coffee additive or stand alone snack)</t>
  </si>
  <si>
    <t>Toffee Toasted Cashews</t>
  </si>
  <si>
    <t>Signature (Safeway) Toffee Toasted Cashews</t>
  </si>
  <si>
    <t>Safeway (bulk dispenser)</t>
  </si>
  <si>
    <t>Filberts (Hazelnuts)</t>
  </si>
  <si>
    <t>Safeway (bulk dispenser) Filberts (Hazelnuts)</t>
  </si>
  <si>
    <t>Pumpkin Seeds (raw, shelled)</t>
  </si>
  <si>
    <t>Terrasoul Pumpkin Seeds (raw, shelled)</t>
  </si>
  <si>
    <t>Lindt</t>
  </si>
  <si>
    <t>70% chocolate</t>
  </si>
  <si>
    <t>Lindt 70% chocolate</t>
  </si>
  <si>
    <t>Chocolate Hazelnut And Almond Butter</t>
  </si>
  <si>
    <t>Justin's Chocolate Hazelnut And Almond Butter</t>
  </si>
  <si>
    <t>Maple Cashew Butter</t>
  </si>
  <si>
    <t>Justin's Maple Cashew Butter</t>
  </si>
  <si>
    <t>Vanilla Almond Butter</t>
  </si>
  <si>
    <t>Justin's Vanilla Almond Butter</t>
  </si>
  <si>
    <t>Pro Bar</t>
  </si>
  <si>
    <t>Pro Bar Coconut Almond Butter</t>
  </si>
  <si>
    <t>Mixed Berry Almond Butter</t>
  </si>
  <si>
    <t>Pro Bar Mixed Berry Almond Butter</t>
  </si>
  <si>
    <t>Superfood Almond Butter</t>
  </si>
  <si>
    <t>Pro Bar Superfood Almond Butter</t>
  </si>
  <si>
    <t>Cinnamon Almond Butter</t>
  </si>
  <si>
    <t>Justin's Cinnamon Almond Butter</t>
  </si>
  <si>
    <t>Honey Almond Butter</t>
  </si>
  <si>
    <t>Justin's Honey Almond Butter</t>
  </si>
  <si>
    <t>Wow Butter</t>
  </si>
  <si>
    <t>Peanut Free (Soy) Butter</t>
  </si>
  <si>
    <t>Wow Butter Peanut Free (Soy) Butter</t>
  </si>
  <si>
    <t>SunButter</t>
  </si>
  <si>
    <t>Sunflower Seed Butter (peanut free)</t>
  </si>
  <si>
    <t>SunButter Sunflower Seed Butter (peanut free)</t>
  </si>
  <si>
    <t>Divine</t>
  </si>
  <si>
    <t>85% Dark Chocolate</t>
  </si>
  <si>
    <t>Divine 85% Dark Chocolate</t>
  </si>
  <si>
    <t>Bare Snacks</t>
  </si>
  <si>
    <t>Chocolate Bliss Coconut Chips</t>
  </si>
  <si>
    <t>Bare Snacks Chocolate Bliss Coconut Chips</t>
  </si>
  <si>
    <t>Fancy Mixed Nuts</t>
  </si>
  <si>
    <t>Kirkland Fancy Mixed Nuts</t>
  </si>
  <si>
    <t>Deluxe Mixed Nuts</t>
  </si>
  <si>
    <t>Signature (Safeway) Deluxe Mixed Nuts</t>
  </si>
  <si>
    <t>Morning Snacks</t>
  </si>
  <si>
    <t>Orchard Nut Trio with Sea Salt</t>
  </si>
  <si>
    <t>Signature (Safeway) Orchard Nut Trio with Sea Salt</t>
  </si>
  <si>
    <t>Blue Diamond</t>
  </si>
  <si>
    <t>Smokehouse Almonds</t>
  </si>
  <si>
    <t>Blue Diamond Smokehouse Almonds</t>
  </si>
  <si>
    <t>Whole Almonds, Dry Roasted and Unsalted</t>
  </si>
  <si>
    <t>Signature (Safeway) Whole Almonds, Dry Roasted and Unsalted</t>
  </si>
  <si>
    <t>Trail Butter</t>
  </si>
  <si>
    <t>Dark Chocolate &amp; Coffee Almond Butter Blend</t>
  </si>
  <si>
    <t>Trail Butter Dark Chocolate &amp; Coffee Almond Butter Blend</t>
  </si>
  <si>
    <t>Maple Syrup &amp; Sea Salt Almond Cashew Blend</t>
  </si>
  <si>
    <t>Trail Butter Maple Syrup &amp; Sea Salt Almond Cashew Blend</t>
  </si>
  <si>
    <t>Original Trail Mix Almond Butter Blend</t>
  </si>
  <si>
    <t>Trail Butter Original Trail Mix Almond Butter Blend</t>
  </si>
  <si>
    <t>Dakota Style</t>
  </si>
  <si>
    <t>Sunflower Kernels</t>
  </si>
  <si>
    <t>Dakota Style Sunflower Kernels</t>
  </si>
  <si>
    <t>Eden</t>
  </si>
  <si>
    <t>Pumpkin Seeds (dry roasted)</t>
  </si>
  <si>
    <t>Eden Pumpkin Seeds (dry roasted)</t>
  </si>
  <si>
    <t>Skep's Mix</t>
  </si>
  <si>
    <t>Trail Mix (one serving, 1/3 batch)</t>
  </si>
  <si>
    <t>Skep's Mix Trail Mix (one serving, 1/3 batch)</t>
  </si>
  <si>
    <t>Trail Mix</t>
  </si>
  <si>
    <t>Alter Ego</t>
  </si>
  <si>
    <t>Dark Salted Brown Butter Organic Chocolate</t>
  </si>
  <si>
    <t>Alter Ego Dark Salted Brown Butter Organic Chocolate</t>
  </si>
  <si>
    <t>90% Cocoa</t>
  </si>
  <si>
    <t>Lindt 90% Cocoa</t>
  </si>
  <si>
    <t>Autumn's Gold</t>
  </si>
  <si>
    <t>Grain Free Granola - Cinnamon Almond</t>
  </si>
  <si>
    <t>Autumn's Gold Grain Free Granola - Cinnamon Almond</t>
  </si>
  <si>
    <t>Bar</t>
  </si>
  <si>
    <t>RiverTrail</t>
  </si>
  <si>
    <t>Party Mix</t>
  </si>
  <si>
    <t>RiverTrail Party Mix</t>
  </si>
  <si>
    <t>Peanuts, Roasted &amp; Salted</t>
  </si>
  <si>
    <t>Safeway (bulk dispenser) Peanuts, Roasted &amp; Salted</t>
  </si>
  <si>
    <t>Organic Pumpkin Seeds</t>
  </si>
  <si>
    <t>Signature (Safeway) Organic Pumpkin Seeds</t>
  </si>
  <si>
    <t>70% Dark Chocolate</t>
  </si>
  <si>
    <t>Divine 70% Dark Chocolate</t>
  </si>
  <si>
    <t>Dark Chocolate Crispy Peanut Butter Cups</t>
  </si>
  <si>
    <t>Justin's Dark Chocolate Crispy Peanut Butter Cups</t>
  </si>
  <si>
    <t>Wild Friends</t>
  </si>
  <si>
    <t>Vanilla Espresso Almond Butter</t>
  </si>
  <si>
    <t>Wild Friends Vanilla Espresso Almond Butter</t>
  </si>
  <si>
    <t>Organic Maple Sunflower Butter</t>
  </si>
  <si>
    <t>Wild Friends Organic Maple Sunflower Butter</t>
  </si>
  <si>
    <t>Skippy</t>
  </si>
  <si>
    <t>Creamy Peanut Butter (squeeze packs)</t>
  </si>
  <si>
    <t>Skippy Creamy Peanut Butter (squeeze packs)</t>
  </si>
  <si>
    <t>Coconut Secret</t>
  </si>
  <si>
    <t>Grain-Free Granola - Original Coconut</t>
  </si>
  <si>
    <t>Coconut Secret Grain-Free Granola - Original Coconut</t>
  </si>
  <si>
    <t>Sunflower Seeds (raw, shelled)</t>
  </si>
  <si>
    <t>Food to Live Sunflower Seeds (raw, shelled)</t>
  </si>
  <si>
    <t>Moon Cheese</t>
  </si>
  <si>
    <t>Pepper Jack (freeze dried)</t>
  </si>
  <si>
    <t>Moon Cheese Pepper Jack (freeze dried)</t>
  </si>
  <si>
    <t>Cheese</t>
  </si>
  <si>
    <t>Jif To Go</t>
  </si>
  <si>
    <t>Creamy Peanut Butter (individual cups)</t>
  </si>
  <si>
    <t>Jif To Go Creamy Peanut Butter (individual cups)</t>
  </si>
  <si>
    <t>Oberto</t>
  </si>
  <si>
    <t>Smoked Sausage Sticks</t>
  </si>
  <si>
    <t>Oberto Smoked Sausage Sticks</t>
  </si>
  <si>
    <t>Meat</t>
  </si>
  <si>
    <t>88 Acres</t>
  </si>
  <si>
    <t>Dark Chocolate Sunflower Seed</t>
  </si>
  <si>
    <t>88 Acres Dark Chocolate Sunflower Seed</t>
  </si>
  <si>
    <t>Vanilla Spiced Sunflower Seed</t>
  </si>
  <si>
    <t>88 Acres Vanilla Spiced Sunflower Seed</t>
  </si>
  <si>
    <t>Spiced Chai Almond Cashew Butter Blend</t>
  </si>
  <si>
    <t>Trail Butter Spiced Chai Almond Cashew Butter Blend</t>
  </si>
  <si>
    <t>Maple Sunflower Seed</t>
  </si>
  <si>
    <t>88 Acres Maple Sunflower Seed</t>
  </si>
  <si>
    <t>Lunch</t>
  </si>
  <si>
    <t>Roasted Watermelon Seed</t>
  </si>
  <si>
    <t>88 Acres Roasted Watermelon Seed</t>
  </si>
  <si>
    <t>Roasted Pumpkin Seed</t>
  </si>
  <si>
    <t>88 Acres Roasted Pumpkin Seed</t>
  </si>
  <si>
    <t>Dark Chocolate Cashew Butter Cups</t>
  </si>
  <si>
    <t>Justin's Dark Chocolate Cashew Butter Cups</t>
  </si>
  <si>
    <t>Dark Chocolate Almond Butter Cups</t>
  </si>
  <si>
    <t>Justin's Dark Chocolate Almond Butter Cups</t>
  </si>
  <si>
    <t>White Chocolate Peanut Butter Cups</t>
  </si>
  <si>
    <t>Justin's White Chocolate Peanut Butter Cups</t>
  </si>
  <si>
    <t>Milk Chocolate Peanut Butter Cups</t>
  </si>
  <si>
    <t>Justin's Milk Chocolate Peanut Butter Cups</t>
  </si>
  <si>
    <t>78% Cocoa</t>
  </si>
  <si>
    <t>Lindt 78% Cocoa</t>
  </si>
  <si>
    <t>85% Cacao</t>
  </si>
  <si>
    <t>Signature (Safeway) 85% Cacao</t>
  </si>
  <si>
    <t>85% Cocoa</t>
  </si>
  <si>
    <t>Lindt 85% Cocoa</t>
  </si>
  <si>
    <t>Bark Thins</t>
  </si>
  <si>
    <t>Dark Chocolate Pumpkin Seed with Sea Salt</t>
  </si>
  <si>
    <t>Bark Thins Dark Chocolate Pumpkin Seed with Sea Salt</t>
  </si>
  <si>
    <t>Lays</t>
  </si>
  <si>
    <t>Potato Chips, Classic</t>
  </si>
  <si>
    <t>Lays Potato Chips, Classic</t>
  </si>
  <si>
    <t>Cracker</t>
  </si>
  <si>
    <t>Ruffles</t>
  </si>
  <si>
    <t>Potato Chips, Original</t>
  </si>
  <si>
    <t>Ruffles Potato Chips, Original</t>
  </si>
  <si>
    <t>Whole Cashews, Unsalted</t>
  </si>
  <si>
    <t>Signature (Safeway) Whole Cashews, Unsalted</t>
  </si>
  <si>
    <t>Raw Almonds Unsalted</t>
  </si>
  <si>
    <t>Signature (Safeway) Raw Almonds Unsalted</t>
  </si>
  <si>
    <t>Power Crunch</t>
  </si>
  <si>
    <t>Pro - French Vanilla Crème</t>
  </si>
  <si>
    <t>Power Crunch Pro - French Vanilla Crème</t>
  </si>
  <si>
    <t>Baked Crunchy Toasted Coconut Chips</t>
  </si>
  <si>
    <t>Bare Snacks Baked Crunchy Toasted Coconut Chips</t>
  </si>
  <si>
    <t>Glazed Walnuts</t>
  </si>
  <si>
    <t>Safeway (bulk dispenser) Glazed Walnuts</t>
  </si>
  <si>
    <t>Cranberry Health Mix</t>
  </si>
  <si>
    <t>RiverTrail Cranberry Health Mix</t>
  </si>
  <si>
    <t>Cashews</t>
  </si>
  <si>
    <t>Kirkland Cashews</t>
  </si>
  <si>
    <t>Raw Spanish Peanuts</t>
  </si>
  <si>
    <t>Signature (Safeway) Raw Spanish Peanuts</t>
  </si>
  <si>
    <t>Safeway (bulk dispenser) Pine Nuts</t>
  </si>
  <si>
    <t>Fritos</t>
  </si>
  <si>
    <t>Corn Chips</t>
  </si>
  <si>
    <t>Fritos Corn Chips</t>
  </si>
  <si>
    <t>Chocolate Coconut Peanut Butter</t>
  </si>
  <si>
    <t>Wild Friends Chocolate Coconut Peanut Butter</t>
  </si>
  <si>
    <t>Peanut Butter &amp; Co</t>
  </si>
  <si>
    <t>Smooth Operator</t>
  </si>
  <si>
    <t>Peanut Butter &amp; Co Smooth Operator</t>
  </si>
  <si>
    <t>Chocolate Peanut Butter</t>
  </si>
  <si>
    <t>Pro Bar Chocolate Peanut Butter</t>
  </si>
  <si>
    <t>Afternoon Snacks</t>
  </si>
  <si>
    <t>Walkers</t>
  </si>
  <si>
    <t>Vanilla Shortbread</t>
  </si>
  <si>
    <t>Walkers Vanilla Shortbread</t>
  </si>
  <si>
    <t>Cookie</t>
  </si>
  <si>
    <t>Grain-Free Granola - Coconut Chocolate Chip</t>
  </si>
  <si>
    <t>Coconut Secret Grain-Free Granola - Coconut Chocolate Chip</t>
  </si>
  <si>
    <t>Edward Marc</t>
  </si>
  <si>
    <t>Coconut Almonds with Dark Chocolate</t>
  </si>
  <si>
    <t>Edward Marc Coconut Almonds with Dark Chocolate</t>
  </si>
  <si>
    <t>Nature Valley</t>
  </si>
  <si>
    <t>Wafer - Peanut Butter Chocolate</t>
  </si>
  <si>
    <t>Nature Valley Wafer - Peanut Butter Chocolate</t>
  </si>
  <si>
    <t>Wafer - Pretzel Peanut Butter</t>
  </si>
  <si>
    <t>Nature Valley Wafer - Pretzel Peanut Butter</t>
  </si>
  <si>
    <t>Wafer - Peanut Butter</t>
  </si>
  <si>
    <t>Nature Valley Wafer - Peanut Butter</t>
  </si>
  <si>
    <t>Southwest Sizzle</t>
  </si>
  <si>
    <t>RiverTrail Southwest Sizzle</t>
  </si>
  <si>
    <t>Keebler</t>
  </si>
  <si>
    <t>Sandies, Pecan Shortbread</t>
  </si>
  <si>
    <t>Keebler Sandies, Pecan Shortbread</t>
  </si>
  <si>
    <t>Nature's All Foods</t>
  </si>
  <si>
    <t>Dark Chocolate Bananas (Freeze-Dried)</t>
  </si>
  <si>
    <t>Nature's All Foods Dark Chocolate Bananas (Freeze-Dried)</t>
  </si>
  <si>
    <t>Oreo</t>
  </si>
  <si>
    <t>Chocolate Candy Bar with cookie filling</t>
  </si>
  <si>
    <t>Oreo Chocolate Candy Bar with cookie filling</t>
  </si>
  <si>
    <t>Dark Chocolate Almond with Sea Salt</t>
  </si>
  <si>
    <t>Bark Thins Dark Chocolate Almond with Sea Salt</t>
  </si>
  <si>
    <t>Toffee Milk Chocolate</t>
  </si>
  <si>
    <t>Green &amp; Blacks Toffee Milk Chocolate</t>
  </si>
  <si>
    <t>Damak</t>
  </si>
  <si>
    <t>Dark Chocolate with Pistachios we</t>
  </si>
  <si>
    <t>Damak Dark Chocolate with Pistachios we</t>
  </si>
  <si>
    <t>Dark Chocolate Peanut Butter Cups</t>
  </si>
  <si>
    <t>Justin's Dark Chocolate Peanut Butter Cups</t>
  </si>
  <si>
    <t>Yes</t>
  </si>
  <si>
    <t>Macadamia Cherry Chocolate</t>
  </si>
  <si>
    <t>Yes Macadamia Cherry Chocolate</t>
  </si>
  <si>
    <t>Strawberry Almond Coconut</t>
  </si>
  <si>
    <t>Yes Strawberry Almond Coconut</t>
  </si>
  <si>
    <t>Black Sesame Sea Salt</t>
  </si>
  <si>
    <t>Yes Black Sesame Sea Salt</t>
  </si>
  <si>
    <t>Dark Chocolate Chip</t>
  </si>
  <si>
    <t>Yes Dark Chocolate Chip</t>
  </si>
  <si>
    <t>Salted Maple Pecan</t>
  </si>
  <si>
    <t>Yes Salted Maple Pecan</t>
  </si>
  <si>
    <t>Chocolate Coconut</t>
  </si>
  <si>
    <t>Power Crunch Chocolate Coconut</t>
  </si>
  <si>
    <t>Cookies &amp; Crème</t>
  </si>
  <si>
    <t>Power Crunch Cookies &amp; Crème</t>
  </si>
  <si>
    <t>Recovery</t>
  </si>
  <si>
    <t>Peanut Butter Crème</t>
  </si>
  <si>
    <t>Power Crunch Peanut Butter Crème</t>
  </si>
  <si>
    <t>Chocolate Mint</t>
  </si>
  <si>
    <t>Power Crunch Chocolate Mint</t>
  </si>
  <si>
    <t>Lemon Meringue</t>
  </si>
  <si>
    <t>Power Crunch Lemon Meringue</t>
  </si>
  <si>
    <t>Smores</t>
  </si>
  <si>
    <t>Power Crunch Smores</t>
  </si>
  <si>
    <t>Strawberry Crème</t>
  </si>
  <si>
    <t>Power Crunch Strawberry Crème</t>
  </si>
  <si>
    <t>Triple Chocolate</t>
  </si>
  <si>
    <t>Power Crunch Triple Chocolate</t>
  </si>
  <si>
    <t>Organic Raw Sunflower Seeds</t>
  </si>
  <si>
    <t>Signature (Safeway) Organic Raw Sunflower Seeds</t>
  </si>
  <si>
    <t>French Vanilla Crème</t>
  </si>
  <si>
    <t>Power Crunch French Vanilla Crème</t>
  </si>
  <si>
    <t>Key Lime Pie</t>
  </si>
  <si>
    <t>Power Crunch Key Lime Pie</t>
  </si>
  <si>
    <t>Sandies, Cashew Shortbread</t>
  </si>
  <si>
    <t>Keebler Sandies, Cashew Shortbread</t>
  </si>
  <si>
    <t>Pure Butter Shortbread Fingers</t>
  </si>
  <si>
    <t>Walkers Pure Butter Shortbread Fingers</t>
  </si>
  <si>
    <t>Ocho</t>
  </si>
  <si>
    <t>Dark Chocolate Peanut Butter Bar</t>
  </si>
  <si>
    <t>Ocho Dark Chocolate Peanut Butter Bar</t>
  </si>
  <si>
    <t>Munch</t>
  </si>
  <si>
    <t>Peanut Candy Bar</t>
  </si>
  <si>
    <t>Munch Peanut Candy Bar</t>
  </si>
  <si>
    <t>Caveman</t>
  </si>
  <si>
    <t>Grain Free Granola - Coconut Cashew</t>
  </si>
  <si>
    <t>Caveman Grain Free Granola - Coconut Cashew</t>
  </si>
  <si>
    <t>Almond Crunch Roasted Nut Crunch</t>
  </si>
  <si>
    <t>Nature Valley Almond Crunch Roasted Nut Crunch</t>
  </si>
  <si>
    <t>Health Warrior</t>
  </si>
  <si>
    <t>Pumpkin Seed Dark Chocolate Coconut</t>
  </si>
  <si>
    <t>Health Warrior Pumpkin Seed Dark Chocolate Coconut</t>
  </si>
  <si>
    <t>Pumpkin Seed Dark Chocolate Peanut</t>
  </si>
  <si>
    <t>Health Warrior Pumpkin Seed Dark Chocolate Peanut</t>
  </si>
  <si>
    <t>Pumpkin Seed Dark Chocolate</t>
  </si>
  <si>
    <t>Health Warrior Pumpkin Seed Dark Chocolate</t>
  </si>
  <si>
    <t>Sahale Snacks</t>
  </si>
  <si>
    <t>Maple Pecans Glazed Mix</t>
  </si>
  <si>
    <t>Sahale Snacks Maple Pecans Glazed Mix</t>
  </si>
  <si>
    <t>Pomegranate Pistachios Glazed Mix</t>
  </si>
  <si>
    <t>Sahale Snacks Pomegranate Pistachios Glazed Mix</t>
  </si>
  <si>
    <t>Nutella</t>
  </si>
  <si>
    <t>Spreads, Chocolate Hazelnut</t>
  </si>
  <si>
    <t>Nutella Spreads, Chocolate Hazelnut</t>
  </si>
  <si>
    <t>Heath</t>
  </si>
  <si>
    <t>Milk Chocolate and English Toffee Bar</t>
  </si>
  <si>
    <t>Heath Milk Chocolate and English Toffee Bar</t>
  </si>
  <si>
    <t>Butter Toffee Pecans</t>
  </si>
  <si>
    <t>Signature (Safeway) Butter Toffee Pecans</t>
  </si>
  <si>
    <t>Red Velvet</t>
  </si>
  <si>
    <t>Power Crunch Red Velvet</t>
  </si>
  <si>
    <t>Peanut Butter Fudge</t>
  </si>
  <si>
    <t>Power Crunch Peanut Butter Fudge</t>
  </si>
  <si>
    <t>Dinner</t>
  </si>
  <si>
    <t>Salted Caramel</t>
  </si>
  <si>
    <t>Power Crunch Salted Caramel</t>
  </si>
  <si>
    <t>365 Everyday Value</t>
  </si>
  <si>
    <t>Sweetened Banana Chips</t>
  </si>
  <si>
    <t>365 Everyday Value Sweetened Banana Chips</t>
  </si>
  <si>
    <t>Kettle Potato Chips Sea Salt &amp; Cracked Pepper</t>
  </si>
  <si>
    <t>Lays Kettle Potato Chips Sea Salt &amp; Cracked Pepper</t>
  </si>
  <si>
    <t>Cheetos</t>
  </si>
  <si>
    <t>Cheese Puffs</t>
  </si>
  <si>
    <t>Cheetos Cheese Puffs</t>
  </si>
  <si>
    <t>M&amp;Ms</t>
  </si>
  <si>
    <t>Peanut Butter</t>
  </si>
  <si>
    <t>M&amp;Ms Peanut Butter</t>
  </si>
  <si>
    <t>True North</t>
  </si>
  <si>
    <t>Nut Clusters, Chocolate Nut Crunch</t>
  </si>
  <si>
    <t>True North Nut Clusters, Chocolate Nut Crunch</t>
  </si>
  <si>
    <t>Nut Clusters, Almond Pecan Crunch</t>
  </si>
  <si>
    <t>True North Nut Clusters, Almond Pecan Crunch</t>
  </si>
  <si>
    <t>Extreme Trail Mix</t>
  </si>
  <si>
    <t>Safeway (bulk dispenser) Extreme Trail Mix</t>
  </si>
  <si>
    <t>Organic Brown Flax</t>
  </si>
  <si>
    <t>Signature (Safeway) Organic Brown Flax</t>
  </si>
  <si>
    <t>Cello</t>
  </si>
  <si>
    <t>Parmesan Cheese Crisps</t>
  </si>
  <si>
    <t>Cello Parmesan Cheese Crisps</t>
  </si>
  <si>
    <t>Trader Joe's</t>
  </si>
  <si>
    <t>Banana Chips</t>
  </si>
  <si>
    <t>Trader Joe's Banana Chips</t>
  </si>
  <si>
    <t>Honey Stinger</t>
  </si>
  <si>
    <t>Waffle, Chocolate</t>
  </si>
  <si>
    <t>Honey Stinger Waffle, Chocolate</t>
  </si>
  <si>
    <t>Pastry</t>
  </si>
  <si>
    <t>Cherry Delight Snack Mix</t>
  </si>
  <si>
    <t>RiverTrail Cherry Delight Snack Mix</t>
  </si>
  <si>
    <t>Survival Tabs</t>
  </si>
  <si>
    <t>Butterscotch</t>
  </si>
  <si>
    <t>Survival Tabs Butterscotch</t>
  </si>
  <si>
    <t>Honey Roasted Sesame Sticks</t>
  </si>
  <si>
    <t>Safeway (bulk dispenser) Honey Roasted Sesame Sticks</t>
  </si>
  <si>
    <t>Joyva</t>
  </si>
  <si>
    <t>Sesame Crunch</t>
  </si>
  <si>
    <t>Joyva Sesame Crunch</t>
  </si>
  <si>
    <t>Survival Mix</t>
  </si>
  <si>
    <t>RiverTrail Survival Mix</t>
  </si>
  <si>
    <t>Cranberry A-Go-Go</t>
  </si>
  <si>
    <t>Signature (Safeway) Cranberry A-Go-Go</t>
  </si>
  <si>
    <t>P.B. Bites, Double Peanut Butter</t>
  </si>
  <si>
    <t>Skippy P.B. Bites, Double Peanut Butter</t>
  </si>
  <si>
    <t>Planters</t>
  </si>
  <si>
    <t>Peanut Bar</t>
  </si>
  <si>
    <t>Planters Peanut Bar</t>
  </si>
  <si>
    <t>Trail Mix (single serve packet)</t>
  </si>
  <si>
    <t>Kirkland Trail Mix (single serve packet)</t>
  </si>
  <si>
    <t>Dessert</t>
  </si>
  <si>
    <t>Zen Party Mix</t>
  </si>
  <si>
    <t>Safeway (bulk dispenser) Zen Party Mix</t>
  </si>
  <si>
    <t>Honey Almonds</t>
  </si>
  <si>
    <t>Sahale Snacks Honey Almonds</t>
  </si>
  <si>
    <t>Nestle</t>
  </si>
  <si>
    <t>Nido Dry Milk</t>
  </si>
  <si>
    <t>Nestle Nido Dry Milk</t>
  </si>
  <si>
    <t>Wonderful</t>
  </si>
  <si>
    <t>Pistachios (shelled, roasted, salted)</t>
  </si>
  <si>
    <t>Wonderful Pistachios (shelled, roasted, salted)</t>
  </si>
  <si>
    <t>Wasabi Tamari Almonds</t>
  </si>
  <si>
    <t>Safeway (bulk dispenser) Wasabi Tamari Almonds</t>
  </si>
  <si>
    <t>Organics</t>
  </si>
  <si>
    <t>Cranberry Harvest Trail Mix</t>
  </si>
  <si>
    <t>Organics Cranberry Harvest Trail Mix</t>
  </si>
  <si>
    <t>Halvah Marble</t>
  </si>
  <si>
    <t>Joyva Halvah Marble</t>
  </si>
  <si>
    <t>Sincerely Nuts</t>
  </si>
  <si>
    <t>Banana Chips Sweetened</t>
  </si>
  <si>
    <t>Sincerely Nuts Banana Chips Sweetened</t>
  </si>
  <si>
    <t>Grain-Free Granola - Chocolate Chocolate Chip</t>
  </si>
  <si>
    <t>Coconut Secret Grain-Free Granola - Chocolate Chocolate Chip</t>
  </si>
  <si>
    <t>Hershey's</t>
  </si>
  <si>
    <t>Milk Chocolate with Almond</t>
  </si>
  <si>
    <t>Hershey's Milk Chocolate with Almond</t>
  </si>
  <si>
    <t>Grizzly Gear</t>
  </si>
  <si>
    <t>(none listed)</t>
  </si>
  <si>
    <t>Grizzly Gear (none listed)</t>
  </si>
  <si>
    <t>Bar 911</t>
  </si>
  <si>
    <t>Mainstay</t>
  </si>
  <si>
    <t>Mainstay (none listed)</t>
  </si>
  <si>
    <t>Nabisco</t>
  </si>
  <si>
    <t>Ritz Cracker Sandwiches, Cheese</t>
  </si>
  <si>
    <t>Nabisco Ritz Cracker Sandwiches, Cheese</t>
  </si>
  <si>
    <t>Ghirardelli</t>
  </si>
  <si>
    <t>72% Cacao</t>
  </si>
  <si>
    <t>Ghirardelli 72% Cacao</t>
  </si>
  <si>
    <t>Symphony Milk Chocolate Almonds Toffee</t>
  </si>
  <si>
    <t>Hershey's Symphony Milk Chocolate Almonds Toffee</t>
  </si>
  <si>
    <t>Buff Bake</t>
  </si>
  <si>
    <t>Protein Almond Spread, Unicorn</t>
  </si>
  <si>
    <t>Buff Bake Protein Almond Spread, Unicorn</t>
  </si>
  <si>
    <t>Protein Peanut Spread (Chocolate Chip)</t>
  </si>
  <si>
    <t>Buff Bake Protein Peanut Spread (Chocolate Chip)</t>
  </si>
  <si>
    <t>Protein Peanut Spread, Cookie Dough</t>
  </si>
  <si>
    <t>Buff Bake Protein Peanut Spread, Cookie Dough</t>
  </si>
  <si>
    <t>Protein Peanut Spread, White Chocolate</t>
  </si>
  <si>
    <t>Buff Bake Protein Peanut Spread, White Chocolate</t>
  </si>
  <si>
    <t>Protein Peanut Spread, Snickerdoodle</t>
  </si>
  <si>
    <t>Buff Bake Protein Peanut Spread, Snickerdoodle</t>
  </si>
  <si>
    <t>Twix</t>
  </si>
  <si>
    <t>Peanut Butter Chocolate</t>
  </si>
  <si>
    <t>Twix Peanut Butter Chocolate</t>
  </si>
  <si>
    <t>Total</t>
  </si>
  <si>
    <t>White Chocolate</t>
  </si>
  <si>
    <t>M&amp;Ms White Chocolate</t>
  </si>
  <si>
    <t>Dark Chocolate Coconut with Almonds</t>
  </si>
  <si>
    <t>Bark Thins Dark Chocolate Coconut with Almonds</t>
  </si>
  <si>
    <t>Coffee 'N' Chocolate</t>
  </si>
  <si>
    <t>Yes Coffee 'N' Chocolate</t>
  </si>
  <si>
    <t>Loucks</t>
  </si>
  <si>
    <t>Sesame Snaps</t>
  </si>
  <si>
    <t>Loucks Sesame Snaps</t>
  </si>
  <si>
    <t>Almond</t>
  </si>
  <si>
    <t>M&amp;Ms Almond</t>
  </si>
  <si>
    <t>Kettle</t>
  </si>
  <si>
    <t>Potato Chips, Sea Salt</t>
  </si>
  <si>
    <t>Kettle Potato Chips, Sea Salt</t>
  </si>
  <si>
    <t>Peanut</t>
  </si>
  <si>
    <t>M&amp;Ms Peanut</t>
  </si>
  <si>
    <t>Coffee Nut</t>
  </si>
  <si>
    <t>M&amp;Ms Coffee Nut</t>
  </si>
  <si>
    <t>Dark Chocolate Peanut</t>
  </si>
  <si>
    <t>M&amp;Ms Dark Chocolate Peanut</t>
  </si>
  <si>
    <t>Reese's</t>
  </si>
  <si>
    <t>Sticks</t>
  </si>
  <si>
    <t>Reese's Sticks</t>
  </si>
  <si>
    <t>Caramelized Mixed Nuts</t>
  </si>
  <si>
    <t>Safeway (bulk dispenser) Caramelized Mixed Nuts</t>
  </si>
  <si>
    <t>Duke's</t>
  </si>
  <si>
    <t>Smoked Shorty Sausages, Original Recipe</t>
  </si>
  <si>
    <t>Duke's Smoked Shorty Sausages, Original Recipe</t>
  </si>
  <si>
    <t>Maple Pecan Granola</t>
  </si>
  <si>
    <t>Signature (Safeway) Maple Pecan Granola</t>
  </si>
  <si>
    <t>Cereal</t>
  </si>
  <si>
    <t>Weight Characterization</t>
  </si>
  <si>
    <t>Calories per Oz</t>
  </si>
  <si>
    <t>Cal/Gram</t>
  </si>
  <si>
    <t>Fat % Rating</t>
  </si>
  <si>
    <t>Anna and Sarah</t>
  </si>
  <si>
    <t>Anna and Sarah Sweetened Banana Chips</t>
  </si>
  <si>
    <t>% Calories from Fat</t>
  </si>
  <si>
    <t>Heavy</t>
  </si>
  <si>
    <t>Below 110</t>
  </si>
  <si>
    <t>Below 3.88</t>
  </si>
  <si>
    <t>Low</t>
  </si>
  <si>
    <t>0% - 40%</t>
  </si>
  <si>
    <t>Moderate</t>
  </si>
  <si>
    <t>110 to 125</t>
  </si>
  <si>
    <t>3.88 to 4.41</t>
  </si>
  <si>
    <t>Golden Double Stuf</t>
  </si>
  <si>
    <t>Oreo Golden Double Stuf</t>
  </si>
  <si>
    <t>40% - 50%</t>
  </si>
  <si>
    <t>Lightweight</t>
  </si>
  <si>
    <t>125 to 140</t>
  </si>
  <si>
    <t>4.41 to 4.94</t>
  </si>
  <si>
    <t>Good</t>
  </si>
  <si>
    <t>Pro - Peanut Butter Fudge</t>
  </si>
  <si>
    <t>Power Crunch Pro - Peanut Butter Fudge</t>
  </si>
  <si>
    <t>50% - 60%</t>
  </si>
  <si>
    <t>Very Light</t>
  </si>
  <si>
    <t>140 to 155</t>
  </si>
  <si>
    <t>4.94 to 5.47</t>
  </si>
  <si>
    <t>Very Good</t>
  </si>
  <si>
    <t>60% - 70%</t>
  </si>
  <si>
    <t>Ultralight</t>
  </si>
  <si>
    <t>Sandies, Classic Shortbread</t>
  </si>
  <si>
    <t>Keebler Sandies, Classic Shortbread</t>
  </si>
  <si>
    <t>155 to 170</t>
  </si>
  <si>
    <t>5.47 to 6.00</t>
  </si>
  <si>
    <t>High</t>
  </si>
  <si>
    <t>70% or more</t>
  </si>
  <si>
    <t>Fluid Oz</t>
  </si>
  <si>
    <t>Serv (g)</t>
  </si>
  <si>
    <t>Hyperlight</t>
  </si>
  <si>
    <t>Above 170</t>
  </si>
  <si>
    <t>Above 6.00</t>
  </si>
  <si>
    <t>Na+</t>
  </si>
  <si>
    <t>Perfect Bar</t>
  </si>
  <si>
    <t>Chocolate Hazelnut Crisp</t>
  </si>
  <si>
    <t>Perfect Bar Chocolate Hazelnut Crisp</t>
  </si>
  <si>
    <t>K+</t>
  </si>
  <si>
    <t>Ca</t>
  </si>
  <si>
    <t>Mg</t>
  </si>
  <si>
    <t>Cl-</t>
  </si>
  <si>
    <t>Na:K</t>
  </si>
  <si>
    <t>Caffeine</t>
  </si>
  <si>
    <t>Micros</t>
  </si>
  <si>
    <t>Skratch Labs</t>
  </si>
  <si>
    <t>Carb/Pro Rating</t>
  </si>
  <si>
    <t>Clear Hydration Drink Mix</t>
  </si>
  <si>
    <t>Ratio</t>
  </si>
  <si>
    <t>Sugar % Rating</t>
  </si>
  <si>
    <t>% Calories from Sugar</t>
  </si>
  <si>
    <t>Grain Free Granola - Blueberry Almond</t>
  </si>
  <si>
    <t>Caveman Grain Free Granola - Blueberry Almond</t>
  </si>
  <si>
    <t>Imbalanced</t>
  </si>
  <si>
    <t>below 2.5</t>
  </si>
  <si>
    <t>0% - 5%</t>
  </si>
  <si>
    <t>C (12mg)</t>
  </si>
  <si>
    <t>Kate Naturals</t>
  </si>
  <si>
    <t>Electrolyte Powder</t>
  </si>
  <si>
    <t>2.9 to 2.5</t>
  </si>
  <si>
    <t>Optimum for Trail</t>
  </si>
  <si>
    <t>C (50mg), B3 (20mg), B6 (6mg), B12 (10mcg)</t>
  </si>
  <si>
    <t>MiO</t>
  </si>
  <si>
    <t>Energy (2.5ml)</t>
  </si>
  <si>
    <t>5% - 15%</t>
  </si>
  <si>
    <t>Niacin (1.6mg), B6 (0.13mg), B12 (0.6mcg)</t>
  </si>
  <si>
    <t>RSP</t>
  </si>
  <si>
    <t>AminoLean Hydrating Electrolytes</t>
  </si>
  <si>
    <t>Grain Free Granola - Cinnamon Raisin</t>
  </si>
  <si>
    <t>Caveman Grain Free Granola - Cinnamon Raisin</t>
  </si>
  <si>
    <r>
      <rPr>
        <rFont val="Calibri"/>
        <color rgb="FF00B050"/>
        <sz val="11.0"/>
      </rPr>
      <t>Leucine (2g), Isoleucine (1g), Valine (1g)</t>
    </r>
    <r>
      <rPr>
        <rFont val="Calibri"/>
        <color theme="1"/>
        <sz val="11.0"/>
      </rPr>
      <t>, C (500mg), D3 (20mcg), Zinc (11mg), +</t>
    </r>
  </si>
  <si>
    <t>Osmo Nutrition</t>
  </si>
  <si>
    <t>PreLoad Hyper Hydration</t>
  </si>
  <si>
    <t>Optimum</t>
  </si>
  <si>
    <t>3.0 to 4.0</t>
  </si>
  <si>
    <t>Hyper Hydration Drink Mix</t>
  </si>
  <si>
    <t>Smaller portions more often</t>
  </si>
  <si>
    <t>Sport Hydration Drink Mix</t>
  </si>
  <si>
    <t>15% - 25%</t>
  </si>
  <si>
    <t>C (18mg)</t>
  </si>
  <si>
    <t>Science in Sport</t>
  </si>
  <si>
    <t>GO Electrolyte</t>
  </si>
  <si>
    <t>4.1 to 4.5</t>
  </si>
  <si>
    <t>Precision Hydration</t>
  </si>
  <si>
    <t>Pumpkin Seed Honey Sea Salt</t>
  </si>
  <si>
    <t>Health Warrior Pumpkin Seed Honey Sea Salt</t>
  </si>
  <si>
    <t>25% or more</t>
  </si>
  <si>
    <t>Bala</t>
  </si>
  <si>
    <t>Triple Enzyme Hydration</t>
  </si>
  <si>
    <t>Proprietary Enzyme Blend (4300mg)</t>
  </si>
  <si>
    <t>LMNT</t>
  </si>
  <si>
    <t>Electrolyte Drink Mix</t>
  </si>
  <si>
    <t>above 4.5</t>
  </si>
  <si>
    <t>BPN</t>
  </si>
  <si>
    <t>G.1.M. Sport</t>
  </si>
  <si>
    <t>B6 (1.2mg)</t>
  </si>
  <si>
    <t>MuscleTech</t>
  </si>
  <si>
    <t>Amino Build + Electrolytes</t>
  </si>
  <si>
    <t>Sodium Content Rating</t>
  </si>
  <si>
    <t>Pringles</t>
  </si>
  <si>
    <t>Potato Crisps, Original</t>
  </si>
  <si>
    <t>Pringles Potato Crisps, Original</t>
  </si>
  <si>
    <t>mg Na/Cal</t>
  </si>
  <si>
    <r>
      <rPr>
        <rFont val="Calibri"/>
        <color theme="1"/>
      </rPr>
      <t>Zinc (15mg),</t>
    </r>
    <r>
      <rPr>
        <rFont val="Calibri"/>
        <color rgb="FF00B050"/>
        <sz val="11.0"/>
      </rPr>
      <t xml:space="preserve"> L-Leucine (4g), L-Isoleucine (1.5g), L-Valine (1.5g)</t>
    </r>
    <r>
      <rPr>
        <rFont val="Calibri"/>
        <color theme="1"/>
        <sz val="11.0"/>
      </rPr>
      <t>, Taurine (1g), +</t>
    </r>
  </si>
  <si>
    <t>Clif</t>
  </si>
  <si>
    <t>Hydration</t>
  </si>
  <si>
    <t>Macro-Ingredient</t>
  </si>
  <si>
    <t>Inspired Amino</t>
  </si>
  <si>
    <t>EAA + Hydration</t>
  </si>
  <si>
    <t>Below Daily Allowance</t>
  </si>
  <si>
    <t>Below 0.64</t>
  </si>
  <si>
    <r>
      <rPr>
        <rFont val="Calibri"/>
        <color theme="1"/>
      </rPr>
      <t>Vegan BCAA (</t>
    </r>
    <r>
      <rPr>
        <rFont val="Calibri"/>
        <color rgb="FF00B050"/>
        <sz val="11.0"/>
      </rPr>
      <t>5g of Leucine, IsoLeucine, Valine</t>
    </r>
    <r>
      <rPr>
        <rFont val="Calibri"/>
        <color theme="1"/>
        <sz val="11.0"/>
      </rPr>
      <t>)</t>
    </r>
  </si>
  <si>
    <t>Celtic Sea Salt</t>
  </si>
  <si>
    <t>Carbohydrates</t>
  </si>
  <si>
    <t>Sulfates (121mg), Phosphates (45mg), Trace Mineral Blend (5mg)</t>
  </si>
  <si>
    <t>BioSteel</t>
  </si>
  <si>
    <t>Hydration Mix</t>
  </si>
  <si>
    <t>Spreads, Peanut Butter Chocolate</t>
  </si>
  <si>
    <t>Reese's Spreads, Peanut Butter Chocolate</t>
  </si>
  <si>
    <t>Light</t>
  </si>
  <si>
    <r>
      <rPr>
        <rFont val="Calibri"/>
        <color theme="1"/>
      </rPr>
      <t xml:space="preserve">Zinc (0.16mg), </t>
    </r>
    <r>
      <rPr>
        <rFont val="Calibri"/>
        <color rgb="FF00B050"/>
        <sz val="11.0"/>
      </rPr>
      <t>L-Leucine (1184mg), L-Isoleucine (536mg), L-Valine (536mg)</t>
    </r>
    <r>
      <rPr>
        <rFont val="Calibri"/>
        <color theme="1"/>
        <sz val="11.0"/>
      </rPr>
      <t>, +</t>
    </r>
  </si>
  <si>
    <t>0.64 to 1.00</t>
  </si>
  <si>
    <t>NOW Sports</t>
  </si>
  <si>
    <t>Effer-Hydrate Recovery</t>
  </si>
  <si>
    <t>SaltStick</t>
  </si>
  <si>
    <t>Caps, Race Ready (1 capsule)</t>
  </si>
  <si>
    <t>Medium</t>
  </si>
  <si>
    <t>D3 (100 IU)</t>
  </si>
  <si>
    <t>Caps, Race Ready Plus (1 capsule)</t>
  </si>
  <si>
    <t>1.00 to 1.25</t>
  </si>
  <si>
    <t>Cadbury</t>
  </si>
  <si>
    <t>Dairy Milk Chocolate</t>
  </si>
  <si>
    <t>Cadbury Dairy Milk Chocolate</t>
  </si>
  <si>
    <t>DrinkMix</t>
  </si>
  <si>
    <t>Elixalyte (5ml)</t>
  </si>
  <si>
    <t>Above 1.25</t>
  </si>
  <si>
    <t>Tailwind</t>
  </si>
  <si>
    <t>Endurance Fuel</t>
  </si>
  <si>
    <t>Endurance Fuel caffeinated</t>
  </si>
  <si>
    <t>Caps, original (1 capsule)</t>
  </si>
  <si>
    <t>Ritz Cracker Sandwiches, Peanut Butter</t>
  </si>
  <si>
    <t>Nabisco Ritz Cracker Sandwiches, Peanut Butter</t>
  </si>
  <si>
    <t>Electrolytes</t>
  </si>
  <si>
    <t>B6 (2mg)</t>
  </si>
  <si>
    <t>FastChews (2 chews)</t>
  </si>
  <si>
    <t>Gatorade</t>
  </si>
  <si>
    <t>Thirst Quencher</t>
  </si>
  <si>
    <t>Zero</t>
  </si>
  <si>
    <t>Big Cup</t>
  </si>
  <si>
    <t>Reese's Big Cup</t>
  </si>
  <si>
    <t>Propel</t>
  </si>
  <si>
    <t>Electrolyte Water Beverage Mix</t>
  </si>
  <si>
    <t>C (24mg), E (5.4mg), Niacin (10mg), B6 (1mg), B12 (0.5mcg), Pantothenic Acid (5mg)</t>
  </si>
  <si>
    <t>UCAN</t>
  </si>
  <si>
    <t>Hydrate</t>
  </si>
  <si>
    <t>Amino Vital</t>
  </si>
  <si>
    <t>Action Aminos + Electrolytes</t>
  </si>
  <si>
    <t>Protein - Peanut Butter Crunch</t>
  </si>
  <si>
    <t>Nature Valley Protein - Peanut Butter Crunch</t>
  </si>
  <si>
    <r>
      <rPr>
        <rFont val="Calibri"/>
        <color theme="1"/>
      </rPr>
      <t xml:space="preserve">C (180mg), Amino Blend (2.4g including </t>
    </r>
    <r>
      <rPr>
        <rFont val="Calibri"/>
        <color rgb="FF00B050"/>
        <sz val="11.0"/>
      </rPr>
      <t>Leucine, Isoleucine, Valine, Glutamine</t>
    </r>
    <r>
      <rPr>
        <rFont val="Calibri"/>
        <color theme="1"/>
        <sz val="11.0"/>
      </rPr>
      <t>, +)</t>
    </r>
  </si>
  <si>
    <t>Cellucor</t>
  </si>
  <si>
    <t>BCAA Sport All Day Hydration</t>
  </si>
  <si>
    <r>
      <rPr>
        <rFont val="Calibri"/>
        <color rgb="FF00B050"/>
        <sz val="11.0"/>
      </rPr>
      <t>BCAA 2:1:1 Blend (4g)</t>
    </r>
    <r>
      <rPr>
        <rFont val="Calibri"/>
        <color theme="1"/>
        <sz val="11.0"/>
      </rPr>
      <t xml:space="preserve">, Amino Blend (2250mg including </t>
    </r>
    <r>
      <rPr>
        <rFont val="Calibri"/>
        <color rgb="FF00B050"/>
        <sz val="11.0"/>
      </rPr>
      <t>Tyrosine</t>
    </r>
    <r>
      <rPr>
        <rFont val="Calibri"/>
        <color theme="1"/>
        <sz val="11.0"/>
      </rPr>
      <t xml:space="preserve">), </t>
    </r>
    <r>
      <rPr>
        <rFont val="Calibri"/>
        <color rgb="FF00B050"/>
        <sz val="11.0"/>
      </rPr>
      <t>Glutamine (2g)</t>
    </r>
    <r>
      <rPr>
        <rFont val="Calibri"/>
        <color theme="1"/>
        <sz val="11.0"/>
      </rPr>
      <t>, +</t>
    </r>
  </si>
  <si>
    <t>Tactical Hydration</t>
  </si>
  <si>
    <t>ZYM</t>
  </si>
  <si>
    <t>Electrolyte Vitamin tablet</t>
  </si>
  <si>
    <t>C (150mg), B6 (4mg), B12 (40mcg), B5 (10mg)</t>
  </si>
  <si>
    <t>Zero with Protein</t>
  </si>
  <si>
    <t>Active Hydration</t>
  </si>
  <si>
    <t>Protein - Chocolate Peanut Butter Crunch</t>
  </si>
  <si>
    <t>Nature Valley Protein - Chocolate Peanut Butter Crunch</t>
  </si>
  <si>
    <t>C (20mg), B1 (0.1mg), Riboflavin (0.2mg), B3 (5mg), B6 (0.8mg), Folate (17mcg), +</t>
  </si>
  <si>
    <t>Voost</t>
  </si>
  <si>
    <t>Hydrate (1 tablet)</t>
  </si>
  <si>
    <t>B1 (1.2mg), B2 (1.3mg), B3 (16mg), B6 (1.7mg), B12 (2.4mcg), Biotin (30mcg), +</t>
  </si>
  <si>
    <t>Wellness ORS</t>
  </si>
  <si>
    <t>Zinc (2.75mg)</t>
  </si>
  <si>
    <t>HRDWRK</t>
  </si>
  <si>
    <t>Sugar-Free Electrolyte Powder</t>
  </si>
  <si>
    <t>PB &amp; J</t>
  </si>
  <si>
    <t>Ocho PB &amp; J</t>
  </si>
  <si>
    <r>
      <rPr>
        <rFont val="Calibri"/>
        <color theme="1"/>
      </rPr>
      <t xml:space="preserve">Amino Blend (900mg including </t>
    </r>
    <r>
      <rPr>
        <rFont val="Calibri"/>
        <color rgb="FF00B050"/>
        <sz val="11.0"/>
      </rPr>
      <t>Leucine, Isoleucine, Valine, Glutamine</t>
    </r>
    <r>
      <rPr>
        <rFont val="Calibri"/>
        <color theme="1"/>
        <sz val="11.0"/>
      </rPr>
      <t>)</t>
    </r>
  </si>
  <si>
    <t>Optimum Nutrition</t>
  </si>
  <si>
    <t>Amino Energy + Electrolytes</t>
  </si>
  <si>
    <r>
      <rPr>
        <rFont val="Calibri"/>
        <color theme="1"/>
      </rPr>
      <t xml:space="preserve">Amino Blend (5g including </t>
    </r>
    <r>
      <rPr>
        <rFont val="Calibri"/>
        <color rgb="FF00B050"/>
        <sz val="11.0"/>
      </rPr>
      <t>Leucine, Isoleucine, Valine, Glutamine, Tyrosine</t>
    </r>
    <r>
      <rPr>
        <rFont val="Calibri"/>
        <color theme="1"/>
        <sz val="11.0"/>
      </rPr>
      <t>)</t>
    </r>
  </si>
  <si>
    <t>Optimized for Women</t>
  </si>
  <si>
    <t>C (19mg), B1 (0.1mg), Riboflavin (0.1mg), B3 (3mg), B6 (0.7mg), Folate (16mcg), +</t>
  </si>
  <si>
    <t>Endurance Thirst Quencher</t>
  </si>
  <si>
    <t>Umchu Primitive Nutrition</t>
  </si>
  <si>
    <t>Coconut Cocoa Nibs</t>
  </si>
  <si>
    <t>Umchu Primitive Nutrition Coconut Cocoa Nibs</t>
  </si>
  <si>
    <t>Electrolytes (2.5ml)</t>
  </si>
  <si>
    <t>Niacin (1.6mg), B6 (0.13mg), B12 (0.24mcg)</t>
  </si>
  <si>
    <t>Sport (2.5ml)</t>
  </si>
  <si>
    <t>Vega Sport</t>
  </si>
  <si>
    <t>Hydrator</t>
  </si>
  <si>
    <t>Almond Coconut</t>
  </si>
  <si>
    <t>Umchu Primitive Nutrition Almond Coconut</t>
  </si>
  <si>
    <t>C (90mg)</t>
  </si>
  <si>
    <t>Re-Lyte</t>
  </si>
  <si>
    <t>Electrolyte Mix</t>
  </si>
  <si>
    <t>Coconut Water Powder (80mg)</t>
  </si>
  <si>
    <t>Nuun</t>
  </si>
  <si>
    <t>Sport (1 tablet)</t>
  </si>
  <si>
    <t>SweatSalts (1 capsule)</t>
  </si>
  <si>
    <t>Endurance Gatorlytes</t>
  </si>
  <si>
    <t>Lance Sandwich Crackers</t>
  </si>
  <si>
    <t>Cheese Cracker with peanut butter</t>
  </si>
  <si>
    <t>Endurance</t>
  </si>
  <si>
    <t>Lance Sandwich Crackers Cheese Cracker with peanut butter</t>
  </si>
  <si>
    <t>Jigsaw Health</t>
  </si>
  <si>
    <t>Electrolyte Supreme</t>
  </si>
  <si>
    <t>C (260mg), B6 (1mg), B12 (6mcg), Iodine (50mcg), Selenium (18mcg), Zinc (3.75mg), +</t>
  </si>
  <si>
    <t>Hydralyte</t>
  </si>
  <si>
    <t>Hydration + Energy Boost</t>
  </si>
  <si>
    <t>B6 (22.5mg), B12 (225mcg), C (225mg), Zinc (9mg), Citrate (1190mg)</t>
  </si>
  <si>
    <t>DripDrop ORS</t>
  </si>
  <si>
    <t>Oral Rehydration Solution</t>
  </si>
  <si>
    <t>Honey Coconut &amp; Nut</t>
  </si>
  <si>
    <t>Umchu Primitive Nutrition Honey Coconut &amp; Nut</t>
  </si>
  <si>
    <t>C (70mg), Zinc (1.5mg)</t>
  </si>
  <si>
    <t>Stur Hydration</t>
  </si>
  <si>
    <t>Electorlytes &amp; Antioxidants</t>
  </si>
  <si>
    <t>C (135mg), B1 (1.2mg), B3 (16mg), B6 (1.7mg), Pantothenic Acid (5mg)</t>
  </si>
  <si>
    <t>Pedialyte</t>
  </si>
  <si>
    <t>AdvancedCare Plus</t>
  </si>
  <si>
    <t>PreActiv Prebiotics</t>
  </si>
  <si>
    <t>Primitive PB&amp;J</t>
  </si>
  <si>
    <t>Umchu Primitive Nutrition Primitive PB&amp;J</t>
  </si>
  <si>
    <t>Orgain</t>
  </si>
  <si>
    <t>Hydro Boost</t>
  </si>
  <si>
    <t>C (45mg), Iron (0.1mg)</t>
  </si>
  <si>
    <t>Invictus</t>
  </si>
  <si>
    <t>Intraworkout BCAA/EAA</t>
  </si>
  <si>
    <r>
      <rPr>
        <rFont val="Calibri"/>
        <color rgb="FF00B050"/>
        <sz val="11.0"/>
      </rPr>
      <t>L-Leucine (2500mg), L-Isoleucine (1250mg), L-Valine (1250mg), Glutamine (5000mg)</t>
    </r>
    <r>
      <rPr>
        <rFont val="Calibri"/>
        <color theme="1"/>
        <sz val="11.0"/>
      </rPr>
      <t xml:space="preserve"> +</t>
    </r>
  </si>
  <si>
    <t>Daily Hydration (1 tablet)</t>
  </si>
  <si>
    <t>Whatchamacallit Bar</t>
  </si>
  <si>
    <t>Hershey's Whatchamacallit Bar</t>
  </si>
  <si>
    <t>MRM Nutrition</t>
  </si>
  <si>
    <t>Sparkling Antioxidants &amp; Electrolytes</t>
  </si>
  <si>
    <t>C (1000mg), D3 (20mcg), B1 (0.4mg), B2 (0.4mg), B3 (4mg), b6 (10mg), B12 (25mcg), +</t>
  </si>
  <si>
    <t>C (47mg), collagen</t>
  </si>
  <si>
    <t>GoHydrate</t>
  </si>
  <si>
    <t>D (8mcg), Phosphorus (22mg)</t>
  </si>
  <si>
    <t>Liquid I.V.</t>
  </si>
  <si>
    <t>Hemp Yeah!</t>
  </si>
  <si>
    <t>Energy Multiplier</t>
  </si>
  <si>
    <t>Coconut Cashew Dark Chocolate</t>
  </si>
  <si>
    <t>Hemp Yeah! Coconut Cashew Dark Chocolate</t>
  </si>
  <si>
    <t>B6 (2.28mg), B12 (6.82mcg), C (73mg), Niacin (8mg), Pantothenic Acid (11.4mg)</t>
  </si>
  <si>
    <t>Hydration Multiplier</t>
  </si>
  <si>
    <t>Instant</t>
  </si>
  <si>
    <t>C (90mg), B12 (2.4mcg)</t>
  </si>
  <si>
    <t>Amazon</t>
  </si>
  <si>
    <t>Basic Care Electrolyte Powder</t>
  </si>
  <si>
    <t>Kinderlyte</t>
  </si>
  <si>
    <t>Natural Electrolyte Powder</t>
  </si>
  <si>
    <t>Zinc (4.2mg)</t>
  </si>
  <si>
    <t>Classic Powder Packs</t>
  </si>
  <si>
    <t>Dark Chocolate Almond Sea Salt</t>
  </si>
  <si>
    <t>Hemp Yeah! Dark Chocolate Almond Sea Salt</t>
  </si>
  <si>
    <t>IQ MIX</t>
  </si>
  <si>
    <t>Electrolytes Brain Nutrients</t>
  </si>
  <si>
    <t>Iron (0.4mg)</t>
  </si>
  <si>
    <t>Hydrant</t>
  </si>
  <si>
    <t>Energy</t>
  </si>
  <si>
    <t>Zinc (2mg), L-Theanine (200mg)</t>
  </si>
  <si>
    <t>Rapid Hydration Drink Mix</t>
  </si>
  <si>
    <t>Zinc (2mg)</t>
  </si>
  <si>
    <t>XTEND</t>
  </si>
  <si>
    <t>Sport Muscle Recovery + Electrolytes</t>
  </si>
  <si>
    <t>L-Leucine (3500mg), L-Isoleucine (1750mg), L-Valine (1750mg)</t>
  </si>
  <si>
    <t>Kind (Sweet and Spicy)</t>
  </si>
  <si>
    <t>Hickory Smoked</t>
  </si>
  <si>
    <t>Kind (Sweet and Spicy) Hickory Smoked</t>
  </si>
  <si>
    <t>Bar Savory</t>
  </si>
  <si>
    <t>Sqwincher</t>
  </si>
  <si>
    <t>QwikServ Electrolyte Powder Mix</t>
  </si>
  <si>
    <t>HydroMATE</t>
  </si>
  <si>
    <t>Hydration Accelerator</t>
  </si>
  <si>
    <t>C (1000mg), B6 (1.87mg), B12 (2.65mcg), Zinc (2mg)</t>
  </si>
  <si>
    <t>Qwik Stik Zero</t>
  </si>
  <si>
    <t>C (140mg)</t>
  </si>
  <si>
    <t>Original Muscle + Electrolytes</t>
  </si>
  <si>
    <t>Honey Mustard</t>
  </si>
  <si>
    <t>L-Leucine (3500mg), L-Glutamine (2500mg), L-Isoleucine (1750mg), L-Valine (1750mg)</t>
  </si>
  <si>
    <t>Kind (Sweet and Spicy) Honey Mustard</t>
  </si>
  <si>
    <t>Evlution Nutrition</t>
  </si>
  <si>
    <t>Hydramino Hydration + Aminos</t>
  </si>
  <si>
    <t>C (62mg), B6 (2mg), B12 (6mcg), L-Taurine (1000mg), L-Alanine (500mg)</t>
  </si>
  <si>
    <t>Bodyhealth</t>
  </si>
  <si>
    <t>Perfect Amino Electrolytes</t>
  </si>
  <si>
    <r>
      <rPr>
        <rFont val="Calibri"/>
        <color theme="1"/>
      </rPr>
      <t>Zinc (2mg), Amino Acid Blend (2g including</t>
    </r>
    <r>
      <rPr>
        <rFont val="Calibri"/>
        <color rgb="FF00B050"/>
        <sz val="11.0"/>
      </rPr>
      <t xml:space="preserve"> Leucine, Isoleucine, Valine</t>
    </r>
    <r>
      <rPr>
        <rFont val="Calibri"/>
        <color theme="1"/>
        <sz val="11.0"/>
      </rPr>
      <t>)</t>
    </r>
  </si>
  <si>
    <t>Pure Encapsulations</t>
  </si>
  <si>
    <t>Electrolyte Energy Formula</t>
  </si>
  <si>
    <r>
      <rPr>
        <rFont val="Calibri"/>
        <color theme="1"/>
      </rPr>
      <t xml:space="preserve">C (100mg), Alpha Ketoglutarate (100mg), Malic Acid (100mg), </t>
    </r>
    <r>
      <rPr>
        <rFont val="Calibri"/>
        <color rgb="FF00B050"/>
        <sz val="11.0"/>
      </rPr>
      <t>L-Tyrosine (250mg)</t>
    </r>
  </si>
  <si>
    <t>Nakedade</t>
  </si>
  <si>
    <t>Performance Electrolyte Powder</t>
  </si>
  <si>
    <t>Honey Badger</t>
  </si>
  <si>
    <t>BCAA Performance Hydration</t>
  </si>
  <si>
    <t>Honey Smoked BBQ</t>
  </si>
  <si>
    <t>Kind (Sweet and Spicy) Honey Smoked BBQ</t>
  </si>
  <si>
    <r>
      <rPr>
        <rFont val="Calibri"/>
        <color rgb="FF00B050"/>
        <sz val="11.0"/>
      </rPr>
      <t>L-Leucine (800mg), L-Isoleucine (400mg), L-Valine (400mg)</t>
    </r>
    <r>
      <rPr>
        <rFont val="Calibri"/>
        <color theme="1"/>
        <sz val="11.0"/>
      </rPr>
      <t>, L-Tryptophan (2.5mg)</t>
    </r>
  </si>
  <si>
    <t>Sport</t>
  </si>
  <si>
    <t>Phosphorus (190mg)</t>
  </si>
  <si>
    <t>Kaged</t>
  </si>
  <si>
    <t>Hydra-Charge</t>
  </si>
  <si>
    <t>Phosphorus (37mg), Taurine (1g), Coconut Water Powder (500mg), Spectra (100mg)</t>
  </si>
  <si>
    <t>Sprouts</t>
  </si>
  <si>
    <t>Hydration Wellness</t>
  </si>
  <si>
    <t>C (720mg), D (10mcg), B3 (23mg), B6 (2mg_, B12 (8mcg), Zinc (11mg), Blend (810mg)</t>
  </si>
  <si>
    <t>Recovery Mix</t>
  </si>
  <si>
    <t>Iron (1mg)</t>
  </si>
  <si>
    <t>Sacred Eats</t>
  </si>
  <si>
    <t>Keto Essential Electrolytes</t>
  </si>
  <si>
    <t>Roasted Jalapeno</t>
  </si>
  <si>
    <t>Kind (Sweet and Spicy) Roasted Jalapeno</t>
  </si>
  <si>
    <t>Simply Primal</t>
  </si>
  <si>
    <t>Waterfast Electrolytes</t>
  </si>
  <si>
    <t>KetoLogic</t>
  </si>
  <si>
    <t>Keto Electrolytes</t>
  </si>
  <si>
    <t>Copper (900mcg), Selenium (50mcg), Zinc (10mg)</t>
  </si>
  <si>
    <t>Onnit</t>
  </si>
  <si>
    <t>Hydratech Instant</t>
  </si>
  <si>
    <t>Electrolyte Drink Mix, low sodium</t>
  </si>
  <si>
    <t>Thai Sweet Chili</t>
  </si>
  <si>
    <t>Kind (Sweet and Spicy) Thai Sweet Chili</t>
  </si>
  <si>
    <t>LyteShow</t>
  </si>
  <si>
    <t>Electrolyte Concentrate (3ml)</t>
  </si>
  <si>
    <t>Zinc (2mg), Sulfate (20mg)</t>
  </si>
  <si>
    <t>TB 12</t>
  </si>
  <si>
    <t>Electrolyte Supplement</t>
  </si>
  <si>
    <t>Nutricost</t>
  </si>
  <si>
    <t>Electrolyte Complex</t>
  </si>
  <si>
    <t>Nutrageous</t>
  </si>
  <si>
    <t>C (180mg), B6 (4mg), B12 (12mcg), Niacin (25mg), Biotin (300mcg), Zinc (5mg), +</t>
  </si>
  <si>
    <t>Reese's Nutrageous</t>
  </si>
  <si>
    <t>LytePow</t>
  </si>
  <si>
    <t>Electrolyte Powder w/Sea Minerals</t>
  </si>
  <si>
    <t>LYTEmin Proprietary Sea Mineral Blend (1000mg)</t>
  </si>
  <si>
    <t>Zeal Naturals</t>
  </si>
  <si>
    <t>Enhanced Electrolytes</t>
  </si>
  <si>
    <r>
      <rPr>
        <rFont val="Calibri"/>
        <color theme="1"/>
      </rPr>
      <t xml:space="preserve">B6 (5mg), B12 (100mcg), Zinc (5mg), </t>
    </r>
    <r>
      <rPr>
        <rFont val="Calibri"/>
        <color rgb="FF00B050"/>
        <sz val="11.0"/>
      </rPr>
      <t>BCAA Complex (500mg)</t>
    </r>
  </si>
  <si>
    <t>Healthy Human</t>
  </si>
  <si>
    <t>Sports PLUS Hydro Go Sticks</t>
  </si>
  <si>
    <t>Dark Chocolate Brownie Protein</t>
  </si>
  <si>
    <t>88 Acres Dark Chocolate Brownie Protein</t>
  </si>
  <si>
    <r>
      <rPr>
        <rFont val="Calibri"/>
        <color theme="1"/>
      </rPr>
      <t xml:space="preserve">C (200mg), B6 (125mcg), B12 (125mcg), Iron (20mg), Zinc (2mg), </t>
    </r>
    <r>
      <rPr>
        <rFont val="Calibri"/>
        <color rgb="FF00B050"/>
        <sz val="11.0"/>
      </rPr>
      <t>BCAA 2:1:1 (1g)</t>
    </r>
    <r>
      <rPr>
        <rFont val="Calibri"/>
        <color theme="1"/>
        <sz val="11.0"/>
      </rPr>
      <t>, +</t>
    </r>
  </si>
  <si>
    <t>Hi-Lyte</t>
  </si>
  <si>
    <t>Electrolyte Concentrate (2.5ml)</t>
  </si>
  <si>
    <t>Zinc (3mg), Sulfate (20mg)</t>
  </si>
  <si>
    <t>Cure</t>
  </si>
  <si>
    <t>Hydrating Electrolyte Mix</t>
  </si>
  <si>
    <t>Cookie Layer Crunch, Dark Chocolate Mint</t>
  </si>
  <si>
    <t>Hershey's Cookie Layer Crunch, Dark Chocolate Mint</t>
  </si>
  <si>
    <t>Wilderness Athlete</t>
  </si>
  <si>
    <t>Hydrate &amp; Recover</t>
  </si>
  <si>
    <r>
      <rPr>
        <rFont val="Calibri"/>
        <color rgb="FF00B050"/>
        <sz val="11.0"/>
      </rPr>
      <t>BCAAs (400mg), Glutamine (400mg)</t>
    </r>
    <r>
      <rPr>
        <rFont val="Calibri"/>
        <color theme="1"/>
        <sz val="11.0"/>
      </rPr>
      <t>, C (1000mg), Zinc (1.5mg), Thiamine (0.5mg), +</t>
    </r>
  </si>
  <si>
    <t>Powerful Nutrition</t>
  </si>
  <si>
    <t>Hydration+Recovery</t>
  </si>
  <si>
    <t>C (500mg), D (125mcg), B1 (1.2mcg), B3 (16mg), B6 (1.7mg), B12 (2.4mcg), +</t>
  </si>
  <si>
    <t>Dark Chocolate Chip Peanut Butter</t>
  </si>
  <si>
    <t>Trace Minerals</t>
  </si>
  <si>
    <t>Perfect Bar Dark Chocolate Chip Peanut Butter</t>
  </si>
  <si>
    <t>Max-Hydrate Effervescent Tablets</t>
  </si>
  <si>
    <t>NutriBiotic</t>
  </si>
  <si>
    <t>Essential Electrolytes (1 capsule)</t>
  </si>
  <si>
    <t>C (100mg), Zinc (3mg), Chromium (25mcg)</t>
  </si>
  <si>
    <t>Vitalyte</t>
  </si>
  <si>
    <t>Safeway (bulk dispenser) Banana Chips</t>
  </si>
  <si>
    <t>Electrolytes Replacement</t>
  </si>
  <si>
    <t>C (105mg), Phosphorus (46mg)</t>
  </si>
  <si>
    <t>Muscle Feast</t>
  </si>
  <si>
    <t>L-Taurine (1900mg), B3 (900mcg), B6 (900mcg), B12 (1.5mcg), Zinc (1900mcg), +</t>
  </si>
  <si>
    <t>Dr. Price</t>
  </si>
  <si>
    <t>Super Hydration Formula</t>
  </si>
  <si>
    <t>Golden</t>
  </si>
  <si>
    <t>Oreo Golden</t>
  </si>
  <si>
    <t>Trace Mineral Complex (10.5mcg)</t>
  </si>
  <si>
    <t>Rapid Recovery Amino + Carbs</t>
  </si>
  <si>
    <r>
      <rPr>
        <rFont val="Calibri"/>
        <color theme="1"/>
      </rPr>
      <t xml:space="preserve">C (150mg), Phosphorus (60mg), Amino Blend (3.6 including </t>
    </r>
    <r>
      <rPr>
        <rFont val="Calibri"/>
        <color rgb="FF00B050"/>
        <sz val="11.0"/>
      </rPr>
      <t>BCAA, Glutamine</t>
    </r>
    <r>
      <rPr>
        <rFont val="Calibri"/>
        <color theme="1"/>
        <sz val="11.0"/>
      </rPr>
      <t>, +)</t>
    </r>
  </si>
  <si>
    <t>Ultimate Daily Hydration</t>
  </si>
  <si>
    <t>Mega Stuf</t>
  </si>
  <si>
    <t>Oreo Mega Stuf</t>
  </si>
  <si>
    <t>C (113mg), B3 (20mg), B6 (2.1mg), B12 (3mcg), Manganese (0.6mg), Zinc (1.3mg), +</t>
  </si>
  <si>
    <t>Recover</t>
  </si>
  <si>
    <r>
      <rPr>
        <rFont val="Calibri"/>
        <color theme="1"/>
      </rPr>
      <t xml:space="preserve">BCAA (5g), </t>
    </r>
    <r>
      <rPr>
        <rFont val="Calibri"/>
        <color rgb="FF00B050"/>
        <sz val="11.0"/>
      </rPr>
      <t>L-Glutamine (1g)</t>
    </r>
  </si>
  <si>
    <t>Energy (1 tablet)</t>
  </si>
  <si>
    <t>Waffle, Honey</t>
  </si>
  <si>
    <t>Honey Stinger Waffle, Honey</t>
  </si>
  <si>
    <t>B6 (2.55mg), B12 (10mcg), Pantothenic Acide (7.5mg), Ginseng (20mg)</t>
  </si>
  <si>
    <t>JUNP</t>
  </si>
  <si>
    <t>Electrolytes Powder Mix</t>
  </si>
  <si>
    <t>C (250mg), B3 (10mg), B6 (5mg), B12 (100mcg), Pantothenic Acid (5mg), Zinc (1mg), +</t>
  </si>
  <si>
    <t>BioPure</t>
  </si>
  <si>
    <t>Matrix Electrolyte Powder</t>
  </si>
  <si>
    <t>Waffle, Strawberry</t>
  </si>
  <si>
    <t>Honey Stinger Waffle, Strawberry</t>
  </si>
  <si>
    <t>Phosphorus (102mg)</t>
  </si>
  <si>
    <t>Electrolyte Stamina (6 capsules)</t>
  </si>
  <si>
    <t>B6 (2mg), Iron (5mg), trace minerals (1530mg), Taurine (100mg), Sulfate (110mg), +</t>
  </si>
  <si>
    <t>Kiss My Keto</t>
  </si>
  <si>
    <t>Waffle, Vanilla</t>
  </si>
  <si>
    <t>Honey Stinger Waffle, Vanilla</t>
  </si>
  <si>
    <t>KTS Products</t>
  </si>
  <si>
    <t>Synerplex Revive Electrolytes</t>
  </si>
  <si>
    <t>Waffle, Short Stack with Maple</t>
  </si>
  <si>
    <t>Phosphorus (106mg)</t>
  </si>
  <si>
    <t>Key Nutrients</t>
  </si>
  <si>
    <t>Electrolyte Recovery Plus</t>
  </si>
  <si>
    <t>C (169mg), Thiamin (3mg), Riboflavin (5mg), Niacin (20mg), Zinc (2.9mg), +</t>
  </si>
  <si>
    <t>Perfect Keto</t>
  </si>
  <si>
    <t>Daily Electrolytes</t>
  </si>
  <si>
    <t>Plantain Chips</t>
  </si>
  <si>
    <t>Signature (Safeway) Plantain Chips</t>
  </si>
  <si>
    <t>D (25mcg)</t>
  </si>
  <si>
    <t>Keto Vitals</t>
  </si>
  <si>
    <t>Antioxidant Blend (22mg)</t>
  </si>
  <si>
    <t>Emergen-C</t>
  </si>
  <si>
    <t>Hydration+</t>
  </si>
  <si>
    <t>Fudge Covered Mint</t>
  </si>
  <si>
    <t>Oreo Fudge Covered Mint</t>
  </si>
  <si>
    <t>C (250mg), Phosphorus (384mg), Manganese (1.8mg)</t>
  </si>
  <si>
    <t>Nectar</t>
  </si>
  <si>
    <t>Essential Daily Hydration</t>
  </si>
  <si>
    <t>Halo Hydration</t>
  </si>
  <si>
    <t>Advanced hydration electrolyte</t>
  </si>
  <si>
    <t>Mint Dark Chocolate</t>
  </si>
  <si>
    <t>M&amp;Ms Mint Dark Chocolate</t>
  </si>
  <si>
    <t>C (1200mg), B1 (0.45mg), B3 (5mg), B6 (10mg), B12 (25mcg), Zinc (3mg), +</t>
  </si>
  <si>
    <t>Electrolyte Stamina PowerPak</t>
  </si>
  <si>
    <t>Original Immune Support</t>
  </si>
  <si>
    <t>Crunch Bar</t>
  </si>
  <si>
    <t>C (1000mg), B1 (0.36mg), B3 (4mg), B6 (10mg), B12 (25mcg), Zinc (2mg), +</t>
  </si>
  <si>
    <t>Nestle Crunch Bar</t>
  </si>
  <si>
    <t>Seeking Health</t>
  </si>
  <si>
    <t>Optimal Electrolyte</t>
  </si>
  <si>
    <t>Niacin (25mg), D-Ribose (2g), Taurine (250mg), Creatine (225mg)</t>
  </si>
  <si>
    <t>Genius</t>
  </si>
  <si>
    <t>Performance Optimizing Electrolytes</t>
  </si>
  <si>
    <t>Dark Chocolate</t>
  </si>
  <si>
    <t>M&amp;Ms Dark Chocolate</t>
  </si>
  <si>
    <t>C (60mg), Phosphorus (30mg), Zinc (1mg), Selenium (10mcg), Sustamine (300mg)</t>
  </si>
  <si>
    <t>Performance IQ</t>
  </si>
  <si>
    <t>Electrolyte IQ</t>
  </si>
  <si>
    <t>A (450mcg), C (45mg), D (10mcg), E (7.5mg), B6 (1.5mg), B12 (4.5mcg), Zinc (2mg), +</t>
  </si>
  <si>
    <t>Vitamin Hydrate</t>
  </si>
  <si>
    <t>Immunity Electrolyte Drink Mix</t>
  </si>
  <si>
    <t>Caramel &amp; Peanut Bar</t>
  </si>
  <si>
    <t>Ocho Caramel &amp; Peanut Bar</t>
  </si>
  <si>
    <t>C (1000mg), D (125mcg), B1 (1.2mg), B6 (3.4mg), B12 (6mcg), Zinc (30mg), +</t>
  </si>
  <si>
    <t>Ultima Replenisher</t>
  </si>
  <si>
    <t>Broad Spectrum Electrolyte Mix</t>
  </si>
  <si>
    <t>Zinc (1mg), C (100mg), Phosphorus (70mg), Manganese (0.2mg)</t>
  </si>
  <si>
    <t>Vita Coco</t>
  </si>
  <si>
    <t>Hydration Drink Mix</t>
  </si>
  <si>
    <t>Biscuit Sandwich - Coconut Butter</t>
  </si>
  <si>
    <t>Nature Valley Biscuit Sandwich - Coconut Butter</t>
  </si>
  <si>
    <t>C (45mg), B1 (0.6mg), B3 (8mg), B6 (0.9mg), Pantothenic Acid (2.5mg)</t>
  </si>
  <si>
    <t>Vital Proteins</t>
  </si>
  <si>
    <t>Hydration+Collagen</t>
  </si>
  <si>
    <t>C (90mg), B3 (23mg), B6 (2.3mg), B12 (7mcg), Pantothenic Acid (11.4mg)</t>
  </si>
  <si>
    <t>Dr. Berg</t>
  </si>
  <si>
    <t>Electrolyte Powder Travel Packets</t>
  </si>
  <si>
    <t>Caramel with a touch of sea salt</t>
  </si>
  <si>
    <t>Lindt Caramel with a touch of sea salt</t>
  </si>
  <si>
    <t>Trace mineral complex (100mg)</t>
  </si>
  <si>
    <t>Hydromins</t>
  </si>
  <si>
    <t>Keto Electrolyte Powder</t>
  </si>
  <si>
    <t>Flyby</t>
  </si>
  <si>
    <t>Fuel - Replenishing Electrolytes</t>
  </si>
  <si>
    <t>Trace Mineral Blend (100mg)</t>
  </si>
  <si>
    <t>KEPPI</t>
  </si>
  <si>
    <t>Electrolyte</t>
  </si>
  <si>
    <t>Hazelnut Heaven, Dark Chocolate Hazelnuts</t>
  </si>
  <si>
    <t>Ghirardelli Hazelnut Heaven, Dark Chocolate Hazelnuts</t>
  </si>
  <si>
    <t>Keto K1000</t>
  </si>
  <si>
    <t>Nutriana</t>
  </si>
  <si>
    <t>Electrolyte Powder w/Hydroplus</t>
  </si>
  <si>
    <t>ConcenTrace AC Trace Mineral Complex (50mg)</t>
  </si>
  <si>
    <t>ElectroMIX</t>
  </si>
  <si>
    <t>Nature's Path (Love Crunch)</t>
  </si>
  <si>
    <t>Granola Aloha Blend</t>
  </si>
  <si>
    <t>Nature's Path (Love Crunch) Granola Aloha Blend</t>
  </si>
  <si>
    <t>Manganese (2mg)</t>
  </si>
  <si>
    <t>Ritz Crackers</t>
  </si>
  <si>
    <t>Nabisco Ritz Crackers</t>
  </si>
  <si>
    <t>Pepperidge Farm</t>
  </si>
  <si>
    <t>Farmhouse cookie, Triple Chocolate Chip</t>
  </si>
  <si>
    <t>Pepperidge Farm Farmhouse cookie, Triple Chocolate Chip</t>
  </si>
  <si>
    <t>Funyuns</t>
  </si>
  <si>
    <t>Onion Flavored Rings</t>
  </si>
  <si>
    <t>Funyuns Onion Flavored Rings</t>
  </si>
  <si>
    <t>Tostitos</t>
  </si>
  <si>
    <t>Tortilla Chips, Original Restaurant Style</t>
  </si>
  <si>
    <t>Tostitos Tortilla Chips, Original Restaurant Style</t>
  </si>
  <si>
    <t>Kit Kat Bar</t>
  </si>
  <si>
    <t>Hershey's Kit Kat Bar</t>
  </si>
  <si>
    <t>Club</t>
  </si>
  <si>
    <t>Original Crackers</t>
  </si>
  <si>
    <t>Club Original Crackers</t>
  </si>
  <si>
    <t>Datrex</t>
  </si>
  <si>
    <t>Datrex (none listed)</t>
  </si>
  <si>
    <t>Dark Chocolate Pretzel with Sea Salt</t>
  </si>
  <si>
    <t>Bark Thins Dark Chocolate Pretzel with Sea Salt</t>
  </si>
  <si>
    <t>Biscuit Sandwich - Cinnamon Almond Butter</t>
  </si>
  <si>
    <t>Nature Valley Biscuit Sandwich - Cinnamon Almond Butter</t>
  </si>
  <si>
    <t>Doritos</t>
  </si>
  <si>
    <t>Tortilla Chips, Nacho Cheese</t>
  </si>
  <si>
    <t>Doritos Tortilla Chips, Nacho Cheese</t>
  </si>
  <si>
    <t>Maui cookie, Milk Chocolate Coconut Almond</t>
  </si>
  <si>
    <t>Pepperidge Farm Maui cookie, Milk Chocolate Coconut Almond</t>
  </si>
  <si>
    <t>Sea Salt Soiree Dark Chocolate Roasted Almond</t>
  </si>
  <si>
    <t>Ghirardelli Sea Salt Soiree Dark Chocolate Roasted Almond</t>
  </si>
  <si>
    <t>Newman's Own</t>
  </si>
  <si>
    <t>70% Premium Organic Dark Chocolate</t>
  </si>
  <si>
    <t>Newman's Own 70% Premium Organic Dark Chocolate</t>
  </si>
  <si>
    <t>Pieces</t>
  </si>
  <si>
    <t>Reese's Pieces</t>
  </si>
  <si>
    <t>Snickers</t>
  </si>
  <si>
    <t>Peanut Butter Squared</t>
  </si>
  <si>
    <t>Snickers Peanut Butter Squared</t>
  </si>
  <si>
    <t>Biscuit Sandwich - Cocoa Almond Butter</t>
  </si>
  <si>
    <t>Nature Valley Biscuit Sandwich - Cocoa Almond Butter</t>
  </si>
  <si>
    <t>Cheez-It</t>
  </si>
  <si>
    <t>Original</t>
  </si>
  <si>
    <t>Cheez-It Original</t>
  </si>
  <si>
    <t>Chocolate Nut Crunch Mix</t>
  </si>
  <si>
    <t>Safeway (bulk dispenser) Chocolate Nut Crunch Mix</t>
  </si>
  <si>
    <t>Biscuit Sandwich - Chocolate Peanut Butter</t>
  </si>
  <si>
    <t>Nature Valley Biscuit Sandwich - Chocolate Peanut Butter</t>
  </si>
  <si>
    <t>Cranberry Crunch</t>
  </si>
  <si>
    <t>RiverTrail Cranberry Crunch</t>
  </si>
  <si>
    <t>Peanut Butter Cups</t>
  </si>
  <si>
    <t>Reese's Peanut Butter Cups</t>
  </si>
  <si>
    <t>Ginger Zinger</t>
  </si>
  <si>
    <t>Signature (Safeway) Ginger Zinger</t>
  </si>
  <si>
    <t>Granola Dark Chocolate Peanut Butter</t>
  </si>
  <si>
    <t>Nature's Path (Love Crunch) Granola Dark Chocolate Peanut Butter</t>
  </si>
  <si>
    <t>Theo</t>
  </si>
  <si>
    <t>Theo 85% Dark Chocolate</t>
  </si>
  <si>
    <t>Biscuit Sandwich - Peanut Butter</t>
  </si>
  <si>
    <t>Nature Valley Biscuit Sandwich - Peanut Butter</t>
  </si>
  <si>
    <t>Antioxidant Mix</t>
  </si>
  <si>
    <t>Safeway (bulk dispenser) Antioxidant Mix</t>
  </si>
  <si>
    <t>Kind</t>
  </si>
  <si>
    <t>Dark Chocolate Cinnamon Pecan</t>
  </si>
  <si>
    <t>Kind Dark Chocolate Cinnamon Pecan</t>
  </si>
  <si>
    <t>Almond Cranberry Cashew Mix</t>
  </si>
  <si>
    <t>RiverTrail Almond Cranberry Cashew Mix</t>
  </si>
  <si>
    <t>Maple Glazed Pecan &amp; Sea Salt</t>
  </si>
  <si>
    <t>Kind Maple Glazed Pecan &amp; Sea Salt</t>
  </si>
  <si>
    <t>Peanut Butter Filled Pretzel Nuggets</t>
  </si>
  <si>
    <t>Kirkland Peanut Butter Filled Pretzel Nuggets</t>
  </si>
  <si>
    <t>Peanut Butter Dark Chocolate</t>
  </si>
  <si>
    <t>Kind Peanut Butter Dark Chocolate</t>
  </si>
  <si>
    <t>Organic Black Chia Seed</t>
  </si>
  <si>
    <t>Signature (Safeway) Organic Black Chia Seed</t>
  </si>
  <si>
    <t>Choco-Nut Trail Mix</t>
  </si>
  <si>
    <t>RiverTrail Choco-Nut Trail Mix</t>
  </si>
  <si>
    <t>Bear Naked</t>
  </si>
  <si>
    <t>Honey Almond, soft baked granola</t>
  </si>
  <si>
    <t>Bear Naked Honey Almond, soft baked granola</t>
  </si>
  <si>
    <t>Pine Nuts Grade A</t>
  </si>
  <si>
    <t>Signature (Safeway) Pine Nuts Grade A</t>
  </si>
  <si>
    <t>Dark Chocolate Almond</t>
  </si>
  <si>
    <t>Perfect Bar Dark Chocolate Almond</t>
  </si>
  <si>
    <t>Perfect Bar Salted Caramel</t>
  </si>
  <si>
    <t>Wasabi Mix</t>
  </si>
  <si>
    <t>RiverTrail Wasabi Mix</t>
  </si>
  <si>
    <t>Perfect Bar Chocolate Mint</t>
  </si>
  <si>
    <t>Double Dark Chocolate</t>
  </si>
  <si>
    <t>Perfect Bar Double Dark Chocolate</t>
  </si>
  <si>
    <t>Protein - XL Peanut Butter Dark Chocolate</t>
  </si>
  <si>
    <t>Nature Valley Protein - XL Peanut Butter Dark Chocolate</t>
  </si>
  <si>
    <t>Protein - Coconut Almond Chewy</t>
  </si>
  <si>
    <t>Nature Valley Protein - Coconut Almond Chewy</t>
  </si>
  <si>
    <t>Protein - Peanut Almond Dark Chocolate Chewy</t>
  </si>
  <si>
    <t>Nature Valley Protein - Peanut Almond Dark Chocolate Chewy</t>
  </si>
  <si>
    <t>Kind (Protein)</t>
  </si>
  <si>
    <t>Crunchy Peanut Butter</t>
  </si>
  <si>
    <t>Kind (Protein) Crunchy Peanut Butter</t>
  </si>
  <si>
    <t>Protein - Salted Caramel Nut Chewy</t>
  </si>
  <si>
    <t>Nature Valley Protein - Salted Caramel Nut Chewy</t>
  </si>
  <si>
    <t>Protein - XL Mixed Nut</t>
  </si>
  <si>
    <t>Nature Valley Protein - XL Mixed Nut</t>
  </si>
  <si>
    <t>Epic (Jerky Mix)</t>
  </si>
  <si>
    <t>Bacon Lust</t>
  </si>
  <si>
    <t>Epic (Jerky Mix) Bacon Lust</t>
  </si>
  <si>
    <t>Whole Milk Powder</t>
  </si>
  <si>
    <t>Hoosier Hill Farm Whole Milk Powder</t>
  </si>
  <si>
    <t>Hormel</t>
  </si>
  <si>
    <t>Pepperoni Snack Stix</t>
  </si>
  <si>
    <t>Hormel Pepperoni Snack Stix</t>
  </si>
  <si>
    <t>Smithfield</t>
  </si>
  <si>
    <t>Fully Cooked Bacon</t>
  </si>
  <si>
    <t>Smithfield Fully Cooked Bacon</t>
  </si>
  <si>
    <t>Sun Chips</t>
  </si>
  <si>
    <t>Sun Chips Original</t>
  </si>
  <si>
    <t>Butter Cracker with peanut butter</t>
  </si>
  <si>
    <t>Lance Sandwich Crackers Butter Cracker with peanut butter</t>
  </si>
  <si>
    <t>Cookie Bars</t>
  </si>
  <si>
    <t>Twix Cookie Bars</t>
  </si>
  <si>
    <t>Coconut Peanut Butter</t>
  </si>
  <si>
    <t>Perfect Bar Coconut Peanut Butter</t>
  </si>
  <si>
    <t>Almond Butter</t>
  </si>
  <si>
    <t>Perfect Bar Almond Butter</t>
  </si>
  <si>
    <t>Dark Chocolate Macaroon</t>
  </si>
  <si>
    <t>Nature's Path (Love Crunch) Dark Chocolate Macaroon</t>
  </si>
  <si>
    <t>Larabar</t>
  </si>
  <si>
    <t>Pecan Pie</t>
  </si>
  <si>
    <t>Larabar Pecan Pie</t>
  </si>
  <si>
    <t>Dark Chocolate Cacao</t>
  </si>
  <si>
    <t>Hemp Yeah! Dark Chocolate Cacao</t>
  </si>
  <si>
    <t>Original Milk Chocolate Bar</t>
  </si>
  <si>
    <t>Hershey's Original Milk Chocolate Bar</t>
  </si>
  <si>
    <t>Peanut Sea Salt</t>
  </si>
  <si>
    <t>Umchu Primitive Nutrition Peanut Sea Salt</t>
  </si>
  <si>
    <t>S.O.S. Food Lab</t>
  </si>
  <si>
    <t>S.O.S. Food Lab (none listed)</t>
  </si>
  <si>
    <t>Firecracker Mix</t>
  </si>
  <si>
    <t>RiverTrail Firecracker Mix</t>
  </si>
  <si>
    <t>Water Cracker with cream cheese and chives</t>
  </si>
  <si>
    <t>Lance Sandwich Crackers Water Cracker with cream cheese and chives</t>
  </si>
  <si>
    <t>Almond Butter Layered Granola, Chocolate</t>
  </si>
  <si>
    <t>Nature Valley Almond Butter Layered Granola, Chocolate</t>
  </si>
  <si>
    <t>Fudge Covered</t>
  </si>
  <si>
    <t>Oreo Fudge Covered</t>
  </si>
  <si>
    <t>Good Apple Morning</t>
  </si>
  <si>
    <t>Signature (Safeway) Good Apple Morning</t>
  </si>
  <si>
    <t>Safeway (bulk dispenser) Plantain Chips</t>
  </si>
  <si>
    <t>Sweet &amp; Salty Nut Granola Bar, Peanut</t>
  </si>
  <si>
    <t>Nature Valley Sweet &amp; Salty Nut Granola Bar, Peanut</t>
  </si>
  <si>
    <t>Autumn Harvest</t>
  </si>
  <si>
    <t>Signature (Safeway) Autumn Harvest</t>
  </si>
  <si>
    <t>Almond Orchard Delight</t>
  </si>
  <si>
    <t>Signature (Safeway) Almond Orchard Delight</t>
  </si>
  <si>
    <t>Protein - XL Salted Caramel Dark Chocolate</t>
  </si>
  <si>
    <t>Nature Valley Protein - XL Salted Caramel Dark Chocolate</t>
  </si>
  <si>
    <t>Double Stuf</t>
  </si>
  <si>
    <t>Oreo Double Stuf</t>
  </si>
  <si>
    <t>Original Cinnamon, soft baked granola</t>
  </si>
  <si>
    <t>Bear Naked Original Cinnamon, soft baked granola</t>
  </si>
  <si>
    <t>Vita-Life</t>
  </si>
  <si>
    <t>Vita-Life (none listed)</t>
  </si>
  <si>
    <t>Pro Bar (Meal)</t>
  </si>
  <si>
    <t>Oatmeal Chocolate Chip</t>
  </si>
  <si>
    <t>Pro Bar (Meal) Oatmeal Chocolate Chip</t>
  </si>
  <si>
    <t>Hazelnut</t>
  </si>
  <si>
    <t>Snickers Hazelnut</t>
  </si>
  <si>
    <t>Butter Toffee Peanuts</t>
  </si>
  <si>
    <t>Safeway (bulk dispenser) Butter Toffee Peanuts</t>
  </si>
  <si>
    <t>Caramel Nut</t>
  </si>
  <si>
    <t>Kind (Protein) Caramel Nut</t>
  </si>
  <si>
    <t>Dark Chocolate Nut</t>
  </si>
  <si>
    <t>Kind (Protein) Dark Chocolate Nut</t>
  </si>
  <si>
    <t>Perfect Bar Peanut Butter</t>
  </si>
  <si>
    <t>Blueberry Cashew</t>
  </si>
  <si>
    <t>Perfect Bar Blueberry Cashew</t>
  </si>
  <si>
    <t>Crispy</t>
  </si>
  <si>
    <t>M&amp;Ms Crispy</t>
  </si>
  <si>
    <t>Crisper</t>
  </si>
  <si>
    <t>Snickers Crisper</t>
  </si>
  <si>
    <t>Millenium Energy Bar</t>
  </si>
  <si>
    <t>several flavors (stats identical)</t>
  </si>
  <si>
    <t>Millenium Energy Bar several flavors (stats identical)</t>
  </si>
  <si>
    <t>Dark Chocolate Mint</t>
  </si>
  <si>
    <t>Bark Thins Dark Chocolate Mint</t>
  </si>
  <si>
    <t>Blueberry Quinoa with Agave</t>
  </si>
  <si>
    <t>Bark Thins Blueberry Quinoa with Agave</t>
  </si>
  <si>
    <t>Soft-Baked Filled Squares, Honey Peanut Butter</t>
  </si>
  <si>
    <t>Nature Valley Soft-Baked Filled Squares, Honey Peanut Butter</t>
  </si>
  <si>
    <t>Apple Cinnamon Pecan</t>
  </si>
  <si>
    <t>Kind Apple Cinnamon Pecan</t>
  </si>
  <si>
    <t>Mountain Mix</t>
  </si>
  <si>
    <t>Salted Caramel Dark Chocolate Nut</t>
  </si>
  <si>
    <t>Protein - Blueberry Nut</t>
  </si>
  <si>
    <t>Nature Valley Protein - Blueberry Nut</t>
  </si>
  <si>
    <t>Protein - Peanut Butter Dark Chocolate Chewy</t>
  </si>
  <si>
    <t>Nature Valley Protein - Peanut Butter Dark Chocolate Chewy</t>
  </si>
  <si>
    <t>Protein - Honey Peanut Almond Chewy</t>
  </si>
  <si>
    <t>Nature Valley Protein - Honey Peanut Almond Chewy</t>
  </si>
  <si>
    <t>Snickers Original</t>
  </si>
  <si>
    <t>Oreo Cookies</t>
  </si>
  <si>
    <t>Oreo Cookies Original</t>
  </si>
  <si>
    <t>Cabernet Matinee, Dark Chocolate Blackberries</t>
  </si>
  <si>
    <t>Ghirardelli Cabernet Matinee, Dark Chocolate Blackberries</t>
  </si>
  <si>
    <t>Nature's Path</t>
  </si>
  <si>
    <t>Granola Pumpkin Seed + Flax</t>
  </si>
  <si>
    <t>Nature's Path Granola Pumpkin Seed + Flax</t>
  </si>
  <si>
    <t>Banana Bread Protein</t>
  </si>
  <si>
    <t>88 Acres Banana Bread Protein</t>
  </si>
  <si>
    <t>Slim Jim</t>
  </si>
  <si>
    <t>Monster Original beef stick</t>
  </si>
  <si>
    <t>Slim Jim Monster Original beef stick</t>
  </si>
  <si>
    <t>Original Smoked Snack Stick</t>
  </si>
  <si>
    <t>Slim Jim Original Smoked Snack Stick</t>
  </si>
  <si>
    <t>Special Dark Chocolate Bar</t>
  </si>
  <si>
    <t>Hershey's Special Dark Chocolate Bar</t>
  </si>
  <si>
    <t>Hostess</t>
  </si>
  <si>
    <t>Donettes Mini Donuts, Double Chocolate</t>
  </si>
  <si>
    <t>Hostess Donettes Mini Donuts, Double Chocolate</t>
  </si>
  <si>
    <t>Almond Joy</t>
  </si>
  <si>
    <t>Chocolate covered coconut and almonds</t>
  </si>
  <si>
    <t>Almond Joy Chocolate covered coconut and almonds</t>
  </si>
  <si>
    <t>May Day</t>
  </si>
  <si>
    <t>Apple Cinnamon</t>
  </si>
  <si>
    <t>May Day Apple Cinnamon</t>
  </si>
  <si>
    <t>UST</t>
  </si>
  <si>
    <t>UST Apple Cinnamon</t>
  </si>
  <si>
    <t>Banana Nut Bread</t>
  </si>
  <si>
    <t>Pro Bar (Meal) Banana Nut Bread</t>
  </si>
  <si>
    <t>Blueberry Muffin</t>
  </si>
  <si>
    <t>Pro Bar (Meal) Blueberry Muffin</t>
  </si>
  <si>
    <t>S'mores</t>
  </si>
  <si>
    <t>Pro Bar (Meal) S'mores</t>
  </si>
  <si>
    <t>Peanut Butter Chocolate Chip</t>
  </si>
  <si>
    <t>Pro Bar (Meal) Peanut Butter Chocolate Chip</t>
  </si>
  <si>
    <t>Raw Revolution</t>
  </si>
  <si>
    <t>Coconut Delight</t>
  </si>
  <si>
    <t>Raw Revolution Coconut Delight</t>
  </si>
  <si>
    <t>Jack Links</t>
  </si>
  <si>
    <t>Breakfast Sausage made with Apple Sauce</t>
  </si>
  <si>
    <t>Jack Links Breakfast Sausage made with Apple Sauce</t>
  </si>
  <si>
    <t>Daily Sodium Need</t>
  </si>
  <si>
    <t>Nissin</t>
  </si>
  <si>
    <t>Cup Noodles, Chicken</t>
  </si>
  <si>
    <t>Nissin Cup Noodles, Chicken</t>
  </si>
  <si>
    <t>RDA</t>
  </si>
  <si>
    <t>Sweat</t>
  </si>
  <si>
    <t>Temp (C)</t>
  </si>
  <si>
    <t>Temp (F)</t>
  </si>
  <si>
    <t>Na (mg)</t>
  </si>
  <si>
    <t>Waffle, Cinnamon</t>
  </si>
  <si>
    <t>Honey Stinger Waffle, Cinnamon</t>
  </si>
  <si>
    <t>K (mg)</t>
  </si>
  <si>
    <t>Waffle, Salted Caramel</t>
  </si>
  <si>
    <t>Honey Stinger Waffle, Salted Caramel</t>
  </si>
  <si>
    <t>Daily Totals</t>
  </si>
  <si>
    <t>From Diet</t>
  </si>
  <si>
    <t>M&amp;Ms Original</t>
  </si>
  <si>
    <t>Your value:</t>
  </si>
  <si>
    <t>Chia Re-Charged Stix Mix</t>
  </si>
  <si>
    <t>Sweat Sodium:</t>
  </si>
  <si>
    <t>Safeway (bulk dispenser) Chia Re-Charged Stix Mix</t>
  </si>
  <si>
    <t>Supplement</t>
  </si>
  <si>
    <t>Chocolate Chip Cookie Dough</t>
  </si>
  <si>
    <t>Larabar Chocolate Chip Cookie Dough</t>
  </si>
  <si>
    <t>Supp.</t>
  </si>
  <si>
    <t>Sweat Potassium:</t>
  </si>
  <si>
    <t>Tac-Bar</t>
  </si>
  <si>
    <t>Tac-Bar (none listed)</t>
  </si>
  <si>
    <t>Served Sodium:</t>
  </si>
  <si>
    <t>Serving Size</t>
  </si>
  <si>
    <t>No. of</t>
  </si>
  <si>
    <t>Granola Honey Almond</t>
  </si>
  <si>
    <t>Nature's Path Granola Honey Almond</t>
  </si>
  <si>
    <t>Served Potassium:</t>
  </si>
  <si>
    <t>Supplemented</t>
  </si>
  <si>
    <t>Goldfish Crackers (cheddar)</t>
  </si>
  <si>
    <t>Pepperidge Farm Goldfish Crackers (cheddar)</t>
  </si>
  <si>
    <t>K-Diff</t>
  </si>
  <si>
    <t>Potassium Need:</t>
  </si>
  <si>
    <t>Yogurt Fruit Power Mix</t>
  </si>
  <si>
    <t>Safeway (bulk dispenser) Yogurt Fruit Power Mix</t>
  </si>
  <si>
    <t>Cocoa Coconut Chew</t>
  </si>
  <si>
    <t>Larabar Cocoa Coconut Chew</t>
  </si>
  <si>
    <t>Men's Energy Mix</t>
  </si>
  <si>
    <t>Safeway (bulk dispenser) Men's Energy Mix</t>
  </si>
  <si>
    <t>Larabar Peanut Butter Chocolate Chip</t>
  </si>
  <si>
    <t>Happy Hour Mix</t>
  </si>
  <si>
    <t>Safeway (bulk dispenser) Happy Hour Mix</t>
  </si>
  <si>
    <t>Cranberry Jubilee Mix</t>
  </si>
  <si>
    <t>Safeway (bulk dispenser) Cranberry Jubilee Mix</t>
  </si>
  <si>
    <t>Hormel Black Label</t>
  </si>
  <si>
    <t>Hormel Black Label Fully Cooked Bacon</t>
  </si>
  <si>
    <t>Seeds &amp; Seeds</t>
  </si>
  <si>
    <t>Umchu Primitive Nutrition Seeds &amp; Seeds</t>
  </si>
  <si>
    <t>Corn Nuts</t>
  </si>
  <si>
    <t>Corn Nuts Original</t>
  </si>
  <si>
    <t>5th Avenue</t>
  </si>
  <si>
    <t>Hershey's 5th Avenue</t>
  </si>
  <si>
    <t>Nutter Butter</t>
  </si>
  <si>
    <t>Peanut Butter Sandwich Cookies</t>
  </si>
  <si>
    <t>Nutter Butter Peanut Butter Sandwich Cookies</t>
  </si>
  <si>
    <t>Cashew Crunch</t>
  </si>
  <si>
    <t>True North Cashew Crunch</t>
  </si>
  <si>
    <t>Trail Mix with Spicy Sweet Beef Jerky</t>
  </si>
  <si>
    <t>Oberto Trail Mix with Spicy Sweet Beef Jerky</t>
  </si>
  <si>
    <t>Trail Mix with Original Beef Jerky</t>
  </si>
  <si>
    <t>Oberto Trail Mix with Original Beef Jerky</t>
  </si>
  <si>
    <t>Coconut Carnivore</t>
  </si>
  <si>
    <t>Epic (Jerky Mix) Coconut Carnivore</t>
  </si>
  <si>
    <t>Roasted and Salted Soybeans</t>
  </si>
  <si>
    <t>Signature (Safeway) Roasted and Salted Soybeans</t>
  </si>
  <si>
    <t>Mountain Medley</t>
  </si>
  <si>
    <t>Epic (Jerky Mix) Mountain Medley</t>
  </si>
  <si>
    <t>Honey Harvest</t>
  </si>
  <si>
    <t>Epic (Jerky Mix) Honey Harvest</t>
  </si>
  <si>
    <t>Fra'Mani</t>
  </si>
  <si>
    <t>Gentile Salami</t>
  </si>
  <si>
    <t>Fra'Mani Gentile Salami</t>
  </si>
  <si>
    <t>Milky Way</t>
  </si>
  <si>
    <t>Simply Caramel Milk Chocolate</t>
  </si>
  <si>
    <t>Milky Way Simply Caramel Milk Chocolate</t>
  </si>
  <si>
    <t>Payday</t>
  </si>
  <si>
    <t>Payday Original</t>
  </si>
  <si>
    <t>Midnight Dark Chocolate</t>
  </si>
  <si>
    <t>Milky Way Midnight Dark Chocolate</t>
  </si>
  <si>
    <t>Snickers Almond</t>
  </si>
  <si>
    <t>Clif (Nut Butter Filled)</t>
  </si>
  <si>
    <t>Tart Cherry &amp; Cashew Butter</t>
  </si>
  <si>
    <t>Clif (Nut Butter Filled) Tart Cherry &amp; Cashew Butter</t>
  </si>
  <si>
    <t>Kind (Breakfast)</t>
  </si>
  <si>
    <t>Peanut Butter Dark Chocolate Probiotic</t>
  </si>
  <si>
    <t>Kind (Breakfast) Peanut Butter Dark Chocolate Probiotic</t>
  </si>
  <si>
    <t>Maple &amp; Almond Butter</t>
  </si>
  <si>
    <t>Clif (Nut Butter Filled) Maple &amp; Almond Butter</t>
  </si>
  <si>
    <t>Caramel Chocolate Peanut Butter</t>
  </si>
  <si>
    <t>Clif (Nut Butter Filled) Caramel Chocolate Peanut Butter</t>
  </si>
  <si>
    <t>Chocolate &amp; Hazelnut Butter</t>
  </si>
  <si>
    <t>Clif (Nut Butter Filled) Chocolate &amp; Hazelnut Butter</t>
  </si>
  <si>
    <t>Coconut &amp; Almond Butter</t>
  </si>
  <si>
    <t>Clif (Nut Butter Filled) Coconut &amp; Almond Butter</t>
  </si>
  <si>
    <t>Clif (Nut Butter Filled) Peanut Butter</t>
  </si>
  <si>
    <t>Chocolate &amp; Peanut Butter</t>
  </si>
  <si>
    <t>Clif (Nut Butter Filled) Chocolate &amp; Peanut Butter</t>
  </si>
  <si>
    <t>Almond Butter Dark Chocolate</t>
  </si>
  <si>
    <t>Kind (Protein) Almond Butter Dark Chocolate</t>
  </si>
  <si>
    <t>Milky Way Original</t>
  </si>
  <si>
    <t>Backpacker's Pantry</t>
  </si>
  <si>
    <t>Granola with Bananas, Almonds &amp; Milk</t>
  </si>
  <si>
    <t>Pro Bar (Meal) Chocolate Coconut</t>
  </si>
  <si>
    <t>Almond Cashew Crunch</t>
  </si>
  <si>
    <t>Pro Bar (Meal) Almond Cashew Crunch</t>
  </si>
  <si>
    <t>Pro Bar (Meal) Peanut Butter</t>
  </si>
  <si>
    <t>Ding Dongs</t>
  </si>
  <si>
    <t>Hostess Ding Dongs</t>
  </si>
  <si>
    <t>Cashew Cookie</t>
  </si>
  <si>
    <t>Larabar Cashew Cookie</t>
  </si>
  <si>
    <t>Peanut Butter Cookie</t>
  </si>
  <si>
    <t>Larabar Peanut Butter Cookie</t>
  </si>
  <si>
    <t>Maruchan</t>
  </si>
  <si>
    <t>Instant Lunch, chicken</t>
  </si>
  <si>
    <t>Maruchan Instant Lunch, chicken</t>
  </si>
  <si>
    <t>Granola Bar, Oats &amp; Honey</t>
  </si>
  <si>
    <t>Nature Valley Granola Bar, Oats &amp; Honey</t>
  </si>
  <si>
    <t>Top Ramen (various flavors)</t>
  </si>
  <si>
    <t>Nissin Top Ramen (various flavors)</t>
  </si>
  <si>
    <t>Dark Chocolate Coconut Almond Pro</t>
  </si>
  <si>
    <t>Honey Stinger Dark Chocolate Coconut Almond Pro</t>
  </si>
  <si>
    <t>Wheat Thins</t>
  </si>
  <si>
    <t>Nabisco Wheat Thins</t>
  </si>
  <si>
    <t>Oh Henry</t>
  </si>
  <si>
    <t>Nestle Oh Henry</t>
  </si>
  <si>
    <t>Fast Break Bar</t>
  </si>
  <si>
    <t>Reese's Fast Break Bar</t>
  </si>
  <si>
    <t>Butterfinger</t>
  </si>
  <si>
    <t>Butterfinger Original</t>
  </si>
  <si>
    <t>Honey Oat Granola</t>
  </si>
  <si>
    <t>Signature (Safeway) Honey Oat Granola</t>
  </si>
  <si>
    <t>Tropical Trail Mix</t>
  </si>
  <si>
    <t>RiverTrail Tropical Trail Mix</t>
  </si>
  <si>
    <t>Almond &amp; Coconut</t>
  </si>
  <si>
    <t>Kind Almond &amp; Coconut</t>
  </si>
  <si>
    <t>Dark Chocolate Almond Coconut</t>
  </si>
  <si>
    <t>Kind Dark Chocolate Almond Coconut</t>
  </si>
  <si>
    <t>Peanut Butter &amp; Strawberry</t>
  </si>
  <si>
    <t>Kind Peanut Butter &amp; Strawberry</t>
  </si>
  <si>
    <t>Dark Chocolate Chili Almond</t>
  </si>
  <si>
    <t>Kind Dark Chocolate Chili Almond</t>
  </si>
  <si>
    <t>Fruit &amp; Nut</t>
  </si>
  <si>
    <t>Kind Fruit &amp; Nut</t>
  </si>
  <si>
    <t>Dark Chocolate Nuts &amp; Sea Salt</t>
  </si>
  <si>
    <t>Kind Dark Chocolate Nuts &amp; Sea Salt</t>
  </si>
  <si>
    <t>Extra Dark Chocolate Nuts &amp; Sea Salt</t>
  </si>
  <si>
    <t>Kind Extra Dark Chocolate Nuts &amp; Sea Salt</t>
  </si>
  <si>
    <t>Honey Roasted Nuts &amp; Sea Salt</t>
  </si>
  <si>
    <t>Kind Honey Roasted Nuts &amp; Sea Salt</t>
  </si>
  <si>
    <t>Madagascar Vanilla Almond</t>
  </si>
  <si>
    <t>Kind Madagascar Vanilla Almond</t>
  </si>
  <si>
    <t>Savory Harvest</t>
  </si>
  <si>
    <t>Pizza</t>
  </si>
  <si>
    <t>Savory Harvest Pizza</t>
  </si>
  <si>
    <t>BBQ</t>
  </si>
  <si>
    <t>Savory Harvest BBQ</t>
  </si>
  <si>
    <t>Sriracha</t>
  </si>
  <si>
    <t>Savory Harvest Sriracha</t>
  </si>
  <si>
    <t>Zagnut</t>
  </si>
  <si>
    <t>Zagnut Bar</t>
  </si>
  <si>
    <t>Zagnut Zagnut Bar</t>
  </si>
  <si>
    <t>Greenbelly</t>
  </si>
  <si>
    <t>Meal 2GO, Caramel Apple</t>
  </si>
  <si>
    <t>Greenbelly Meal 2GO, Caramel Apple</t>
  </si>
  <si>
    <t>Oats &amp; Honey Clusters with Toasted Coconut</t>
  </si>
  <si>
    <t>Kind Oats &amp; Honey Clusters with Toasted Coconut</t>
  </si>
  <si>
    <t>Mars</t>
  </si>
  <si>
    <t>Original Bar</t>
  </si>
  <si>
    <t>Mars Original Bar</t>
  </si>
  <si>
    <t>Peanut Butter &amp; Honey</t>
  </si>
  <si>
    <t>Bear Naked Peanut Butter &amp; Honey</t>
  </si>
  <si>
    <t>Superfood Slam</t>
  </si>
  <si>
    <t>Pro Bar (Meal) Superfood Slam</t>
  </si>
  <si>
    <t>Clif (Whey Protein Bar)</t>
  </si>
  <si>
    <t>Salted Caramel Cashew</t>
  </si>
  <si>
    <t>Clif (Whey Protein Bar) Salted Caramel Cashew</t>
  </si>
  <si>
    <t>Apple Pie</t>
  </si>
  <si>
    <t>Larabar Apple Pie</t>
  </si>
  <si>
    <t>Larabar Key Lime Pie</t>
  </si>
  <si>
    <t>Lemon Bar</t>
  </si>
  <si>
    <t>Larabar Lemon Bar</t>
  </si>
  <si>
    <t>Walking on Sunshine</t>
  </si>
  <si>
    <t>Signature (Safeway) Walking on Sunshine</t>
  </si>
  <si>
    <t>Picky Bars</t>
  </si>
  <si>
    <t>Chai and Catch Me</t>
  </si>
  <si>
    <t>Picky Bars Chai and Catch Me</t>
  </si>
  <si>
    <t>Cookie Doughness (Cinnamon Blazin' Raisin)</t>
  </si>
  <si>
    <t>Picky Bars Cookie Doughness (Cinnamon Blazin' Raisin)</t>
  </si>
  <si>
    <t>Moroccan Your World</t>
  </si>
  <si>
    <t>Picky Bars Moroccan Your World</t>
  </si>
  <si>
    <t>Smooth Caffeinator</t>
  </si>
  <si>
    <t>Picky Bars Smooth Caffeinator</t>
  </si>
  <si>
    <t>Dark Chocolate Sea Salt</t>
  </si>
  <si>
    <t>88 Acres Dark Chocolate Sea Salt</t>
  </si>
  <si>
    <t>Double Chocolate Mocha</t>
  </si>
  <si>
    <t>88 Acres Double Chocolate Mocha</t>
  </si>
  <si>
    <t>Spiced Ginger Apple</t>
  </si>
  <si>
    <t>88 Acres Spiced Ginger Apple</t>
  </si>
  <si>
    <t>Cinnamon and Oats</t>
  </si>
  <si>
    <t>88 Acres Cinnamon and Oats</t>
  </si>
  <si>
    <t>Kashi</t>
  </si>
  <si>
    <t>Dark Chocolate Cashew Chia</t>
  </si>
  <si>
    <t>Kashi Dark Chocolate Cashew Chia</t>
  </si>
  <si>
    <t>Zone Perfect</t>
  </si>
  <si>
    <t>Salted Caramel Brownie</t>
  </si>
  <si>
    <t>Zone Perfect Salted Caramel Brownie</t>
  </si>
  <si>
    <t>Ramen Noodles, chicken</t>
  </si>
  <si>
    <t>Maruchan Ramen Noodles, chicken</t>
  </si>
  <si>
    <t>Strawberry Patch</t>
  </si>
  <si>
    <t>Signature (Safeway) Strawberry Patch</t>
  </si>
  <si>
    <t>3 Musketeers</t>
  </si>
  <si>
    <t>3 Musketeers Original</t>
  </si>
  <si>
    <t>Clif Builder's</t>
  </si>
  <si>
    <t>Clif Builder's Crunchy Peanut Butter</t>
  </si>
  <si>
    <t>Blueberry Almond</t>
  </si>
  <si>
    <t>Kind (Breakfast) Blueberry Almond</t>
  </si>
  <si>
    <t>Honey Oat</t>
  </si>
  <si>
    <t>Kind (Breakfast) Honey Oat</t>
  </si>
  <si>
    <t>Almond Butter Protein</t>
  </si>
  <si>
    <t>Kind (Breakfast) Almond Butter Protein</t>
  </si>
  <si>
    <t>Dark Chocolate Cocoa Protein</t>
  </si>
  <si>
    <t>Kind (Breakfast) Dark Chocolate Cocoa Protein</t>
  </si>
  <si>
    <t>Peanut Butter Banana Dark Chocolate Protein</t>
  </si>
  <si>
    <t>Kind (Breakfast) Peanut Butter Banana Dark Chocolate Protein</t>
  </si>
  <si>
    <t>Mountain House</t>
  </si>
  <si>
    <t>Granola with Milk and Blueberries</t>
  </si>
  <si>
    <t>Mountain House Granola with Milk and Blueberries</t>
  </si>
  <si>
    <t>Werther's</t>
  </si>
  <si>
    <t>Original Hard Candy, Caramel</t>
  </si>
  <si>
    <t>Werther's Original Hard Candy, Caramel</t>
  </si>
  <si>
    <t>Saltine</t>
  </si>
  <si>
    <t>Premium Original Crackers</t>
  </si>
  <si>
    <t>Saltine Premium Original Crackers</t>
  </si>
  <si>
    <t>Coconut Cream Pie</t>
  </si>
  <si>
    <t>Larabar Coconut Cream Pie</t>
  </si>
  <si>
    <t>Starbucks Via</t>
  </si>
  <si>
    <t>Instant Coffee Caramel Latte</t>
  </si>
  <si>
    <t>Starbucks Via Instant Coffee Caramel Latte</t>
  </si>
  <si>
    <t>Instant Coffee Pumpkin Spice Latte</t>
  </si>
  <si>
    <t>Starbucks Via Instant Coffee Pumpkin Spice Latte</t>
  </si>
  <si>
    <t>Cheddar Cheese Powder</t>
  </si>
  <si>
    <t>Hoosier Hill Farm Cheddar Cheese Powder</t>
  </si>
  <si>
    <t>Gatorade Recover</t>
  </si>
  <si>
    <t>Mint Chocolate Crunch</t>
  </si>
  <si>
    <t>Gatorade Recover Mint Chocolate Crunch</t>
  </si>
  <si>
    <t>Gatorade Recover Peanut Butter Chocolate</t>
  </si>
  <si>
    <t>Atkins</t>
  </si>
  <si>
    <t>Peanut Butter Granola Bar</t>
  </si>
  <si>
    <t>Atkins Peanut Butter Granola Bar</t>
  </si>
  <si>
    <t>Chocolate Chip Granola</t>
  </si>
  <si>
    <t>Atkins Chocolate Chip Granola</t>
  </si>
  <si>
    <t>Off The Farm</t>
  </si>
  <si>
    <t>Cocoa Coconut Macaroon</t>
  </si>
  <si>
    <t>Off The Farm Cocoa Coconut Macaroon</t>
  </si>
  <si>
    <t>Milk Duds</t>
  </si>
  <si>
    <t>Hershey's Milk Duds</t>
  </si>
  <si>
    <t>Royal Dark Chocolate</t>
  </si>
  <si>
    <t>Cadbury Royal Dark Chocolate</t>
  </si>
  <si>
    <t>Bonk Breaker</t>
  </si>
  <si>
    <t>Bonk Breaker Peanut Butter Chocolate Chip</t>
  </si>
  <si>
    <t>HoHos</t>
  </si>
  <si>
    <t>Hostess HoHos</t>
  </si>
  <si>
    <t>Superfruit Slam</t>
  </si>
  <si>
    <t>Pro Bar (Meal) Superfruit Slam</t>
  </si>
  <si>
    <t>Wholeberry Blast</t>
  </si>
  <si>
    <t>Pro Bar (Meal) Wholeberry Blast</t>
  </si>
  <si>
    <t>Superberry and Greens</t>
  </si>
  <si>
    <t>Pro Bar (Meal) Superberry and Greens</t>
  </si>
  <si>
    <t>Original Trail Mix</t>
  </si>
  <si>
    <t>Pro Bar (Meal) Original Trail Mix</t>
  </si>
  <si>
    <t>Mocha Almond Fudge</t>
  </si>
  <si>
    <t>Pro Bar (Meal) Mocha Almond Fudge</t>
  </si>
  <si>
    <t>Taos Bakes</t>
  </si>
  <si>
    <t>Pecan Praline + Maple Syrup</t>
  </si>
  <si>
    <t>Taos Bakes Pecan Praline + Maple Syrup</t>
  </si>
  <si>
    <t>Muscle Milk</t>
  </si>
  <si>
    <t>Muscle Milk Chocolate Peanut Butter</t>
  </si>
  <si>
    <t>Necco</t>
  </si>
  <si>
    <t>Clark Bar</t>
  </si>
  <si>
    <t>Necco Clark Bar</t>
  </si>
  <si>
    <t>Triscuit</t>
  </si>
  <si>
    <t>Brown Rice, Sweet Potato, Roasted Onion</t>
  </si>
  <si>
    <t>Triscuit Brown Rice, Sweet Potato, Roasted Onion</t>
  </si>
  <si>
    <t>Yupik</t>
  </si>
  <si>
    <t>Dry Navy Beans</t>
  </si>
  <si>
    <t>Yupik Dry Navy Beans</t>
  </si>
  <si>
    <t>GoMacro</t>
  </si>
  <si>
    <t>Protein Paradise (Cashew Caramel)</t>
  </si>
  <si>
    <t>GoMacro Protein Paradise (Cashew Caramel)</t>
  </si>
  <si>
    <t>Pro Bar (Bite)</t>
  </si>
  <si>
    <t>Coconut Almond</t>
  </si>
  <si>
    <t>Pro Bar (Bite) Coconut Almond</t>
  </si>
  <si>
    <t>Robert Irvine Fortifx</t>
  </si>
  <si>
    <t>Robert Irvine Fortifx Chocolate Chip Cookie Dough</t>
  </si>
  <si>
    <t>Cookies and Cream</t>
  </si>
  <si>
    <t>Robert Irvine Fortifx Cookies and Cream</t>
  </si>
  <si>
    <t>Robert Irvine Fortifx Peanut Butter</t>
  </si>
  <si>
    <t>Protein Sandwich Cookie, Peanut Butter Cup</t>
  </si>
  <si>
    <t>Buff Bake Protein Sandwich Cookie, Peanut Butter Cup</t>
  </si>
  <si>
    <t>Protein Sandwich Cookie, Snickerdoodle</t>
  </si>
  <si>
    <t>Buff Bake Protein Sandwich Cookie, Snickerdoodle</t>
  </si>
  <si>
    <t>Protein Sandwich Cookie, Double Chocolate</t>
  </si>
  <si>
    <t>Buff Bake Protein Sandwich Cookie, Double Chocolate</t>
  </si>
  <si>
    <t>The Paleo Diet Bar</t>
  </si>
  <si>
    <t>Cinnamon Raisin</t>
  </si>
  <si>
    <t>The Paleo Diet Bar Cinnamon Raisin</t>
  </si>
  <si>
    <t>Meal 2GO, Mango Cashew Coconut</t>
  </si>
  <si>
    <t>Greenbelly Meal 2GO, Mango Cashew Coconut</t>
  </si>
  <si>
    <t>Meal 2GO, Peanut/Apricot</t>
  </si>
  <si>
    <t>Greenbelly Meal 2GO, Peanut/Apricot</t>
  </si>
  <si>
    <t>Pitted Dates</t>
  </si>
  <si>
    <t>Signature (Safeway) Pitted Dates</t>
  </si>
  <si>
    <t>Swiss Miss</t>
  </si>
  <si>
    <t>Classic Milk Chocolate Hot Cocoa</t>
  </si>
  <si>
    <t>Swiss Miss Classic Milk Chocolate Hot Cocoa</t>
  </si>
  <si>
    <t>Starbucks</t>
  </si>
  <si>
    <t>Classic Hot Cocoa Mix</t>
  </si>
  <si>
    <t>Starbucks Classic Hot Cocoa Mix</t>
  </si>
  <si>
    <t>Hot Cocoa Mix, Double Chocolate</t>
  </si>
  <si>
    <t>Starbucks Hot Cocoa Mix, Double Chocolate</t>
  </si>
  <si>
    <t>Crunchy Granola Bars, Almond Butter</t>
  </si>
  <si>
    <t>Nature Valley Crunchy Granola Bars, Almond Butter</t>
  </si>
  <si>
    <t>Kind (Healthy Grains)</t>
  </si>
  <si>
    <t>Kind (Healthy Grains) Double Dark Chocolate</t>
  </si>
  <si>
    <t>Oats &amp; Honey with Toasted Coconut</t>
  </si>
  <si>
    <t>Kind (Healthy Grains) Oats &amp; Honey with Toasted Coconut</t>
  </si>
  <si>
    <t>Kind (Healthy Grains) Peanut Butter Dark Chocolate</t>
  </si>
  <si>
    <t>Maple Pumpkin Seeds with Sea Salt</t>
  </si>
  <si>
    <t>Kind (Healthy Grains) Maple Pumpkin Seeds with Sea Salt</t>
  </si>
  <si>
    <t>Triscuit Original</t>
  </si>
  <si>
    <t>Dark Chocolate Mint Almond Pro</t>
  </si>
  <si>
    <t>Honey Stinger Dark Chocolate Mint Almond Pro</t>
  </si>
  <si>
    <t>Dark Chocolate Mocha Cherry Pro</t>
  </si>
  <si>
    <t>Honey Stinger Dark Chocolate Mocha Cherry Pro</t>
  </si>
  <si>
    <t>Peanut Butter Fudge Crisp</t>
  </si>
  <si>
    <t>Atkins Peanut Butter Fudge Crisp</t>
  </si>
  <si>
    <t>Wild Zora (Meat Bar)</t>
  </si>
  <si>
    <t>Lamb with Spinach, Rosemary &amp; Turmeric</t>
  </si>
  <si>
    <t>Wild Zora (Meat Bar) Lamb with Spinach, Rosemary &amp; Turmeric</t>
  </si>
  <si>
    <t>Trail Mix with Dried Teriyaki Chicken</t>
  </si>
  <si>
    <t>Oberto Trail Mix with Dried Teriyaki Chicken</t>
  </si>
  <si>
    <t>Berry Blossom</t>
  </si>
  <si>
    <t>Epic (Jerky Mix) Berry Blossom</t>
  </si>
  <si>
    <t>Great Value (Walmart)</t>
  </si>
  <si>
    <t>Sweet Maple Glazed Bacon</t>
  </si>
  <si>
    <t>Great Value (Walmart) Sweet Maple Glazed Bacon</t>
  </si>
  <si>
    <t>Jerky</t>
  </si>
  <si>
    <t>Old Trapper</t>
  </si>
  <si>
    <t>Original Deli Style Beef Stick</t>
  </si>
  <si>
    <t>Old Trapper Original Deli Style Beef Stick</t>
  </si>
  <si>
    <t>Tillamook</t>
  </si>
  <si>
    <t>Colby Jack (block)</t>
  </si>
  <si>
    <t>Tillamook Colby Jack (block)</t>
  </si>
  <si>
    <t>Cheese packet, Medium Cheddar</t>
  </si>
  <si>
    <t>Cheese packet, Sharp White Cheddar</t>
  </si>
  <si>
    <t>Tillamook Cheese packet, Sharp White Cheddar</t>
  </si>
  <si>
    <t>Breakfast Bacon Jerky, Brown Sugar &amp; Maple</t>
  </si>
  <si>
    <t>Jack Links Breakfast Bacon Jerky, Brown Sugar &amp; Maple</t>
  </si>
  <si>
    <t>Beecher's</t>
  </si>
  <si>
    <t>Smoked Flagship</t>
  </si>
  <si>
    <t>Beecher's Smoked Flagship</t>
  </si>
  <si>
    <t>Quijote</t>
  </si>
  <si>
    <t>Chorizos Caseros</t>
  </si>
  <si>
    <t>Quijote Chorizos Caseros</t>
  </si>
  <si>
    <t>Beef Pepperoni Sticks</t>
  </si>
  <si>
    <t>Oberto Beef Pepperoni Sticks</t>
  </si>
  <si>
    <t>Primo Taglio</t>
  </si>
  <si>
    <t>Danish Havarti (block)</t>
  </si>
  <si>
    <t>Primo Taglio Danish Havarti (block)</t>
  </si>
  <si>
    <t>Bacon Crumbles</t>
  </si>
  <si>
    <t>Kirkland Bacon Crumbles</t>
  </si>
  <si>
    <t>Oscar Meyer</t>
  </si>
  <si>
    <t>Real Bacon Bits</t>
  </si>
  <si>
    <t>Oscar Meyer Real Bacon Bits</t>
  </si>
  <si>
    <t>Clif Builder's Chocolate Peanut Butter</t>
  </si>
  <si>
    <t>Meal 2GO, Dark Chocolate Banana</t>
  </si>
  <si>
    <t>Greenbelly Meal 2GO, Dark Chocolate Banana</t>
  </si>
  <si>
    <t>Almond &amp; Apricot</t>
  </si>
  <si>
    <t>Kind Almond &amp; Apricot</t>
  </si>
  <si>
    <t>Blueberry Almond Pecan</t>
  </si>
  <si>
    <t>Kind Blueberry Almond Pecan</t>
  </si>
  <si>
    <t>Raspberry Cashew Chia</t>
  </si>
  <si>
    <t>Kind Raspberry Cashew Chia</t>
  </si>
  <si>
    <t>Chocolate Coconut Bar</t>
  </si>
  <si>
    <t>Atkins Chocolate Coconut Bar</t>
  </si>
  <si>
    <t>Dark Chocolate Almond Mint</t>
  </si>
  <si>
    <t>Kind Dark Chocolate Almond Mint</t>
  </si>
  <si>
    <t>Dark Chocolate Mocha Almond</t>
  </si>
  <si>
    <t>Kind Dark Chocolate Mocha Almond</t>
  </si>
  <si>
    <t>Caramel Almond &amp; Sea Salt</t>
  </si>
  <si>
    <t>Kind Caramel Almond &amp; Sea Salt</t>
  </si>
  <si>
    <t>Chocolate Pretzel</t>
  </si>
  <si>
    <t>Gatorade Recover Chocolate Pretzel</t>
  </si>
  <si>
    <t>White Chocolate Macadamia Nut</t>
  </si>
  <si>
    <t>Atkins White Chocolate Macadamia Nut</t>
  </si>
  <si>
    <t>Carnivore Candy</t>
  </si>
  <si>
    <t>Bacon Jerky Applewood Smoke Style</t>
  </si>
  <si>
    <t>Carnivore Candy Bacon Jerky Applewood Smoke Style</t>
  </si>
  <si>
    <t>Tram Bar</t>
  </si>
  <si>
    <t>Peanut Butter Milk Chocolate Trail Mix</t>
  </si>
  <si>
    <t>Tram Bar Peanut Butter Milk Chocolate Trail Mix</t>
  </si>
  <si>
    <t>Go Bacon</t>
  </si>
  <si>
    <t>Uncured Maple Bacon Jerky</t>
  </si>
  <si>
    <t>Go Bacon Uncured Maple Bacon Jerky</t>
  </si>
  <si>
    <t>Creamy Ceasar Salad Dressing packet</t>
  </si>
  <si>
    <t>Kraft Creamy Ceasar Salad Dressing packet</t>
  </si>
  <si>
    <t>RXBAR</t>
  </si>
  <si>
    <t>Whole Food Protein Bar, Maple Sea Salt</t>
  </si>
  <si>
    <t>RXBAR Whole Food Protein Bar, Maple Sea Salt</t>
  </si>
  <si>
    <t>Off The Farm Apple Cinnamon Pecan</t>
  </si>
  <si>
    <t>Carrot Cake</t>
  </si>
  <si>
    <t>Larabar Carrot Cake</t>
  </si>
  <si>
    <t>Banana Chocolate Chip</t>
  </si>
  <si>
    <t>Larabar Banana Chocolate Chip</t>
  </si>
  <si>
    <t>Triple Berry Blend</t>
  </si>
  <si>
    <t>88 Acres Triple Berry Blend</t>
  </si>
  <si>
    <t>Spiced Cranberry Orange</t>
  </si>
  <si>
    <t>88 Acres Spiced Cranberry Orange</t>
  </si>
  <si>
    <t>Zone Perfect Double Dark Chocolate</t>
  </si>
  <si>
    <t>Svenhard's</t>
  </si>
  <si>
    <t>Breakfast Claws</t>
  </si>
  <si>
    <t>Svenhard's Breakfast Claws</t>
  </si>
  <si>
    <t>Cinnamon Horns</t>
  </si>
  <si>
    <t>Svenhard's Cinnamon Horns</t>
  </si>
  <si>
    <t>GoMacro (MacroBar)</t>
  </si>
  <si>
    <t>Protein Pleasure (Peanut Butter Choc. Chip)</t>
  </si>
  <si>
    <t>GoMacro (MacroBar) Protein Pleasure (Peanut Butter Choc. Chip)</t>
  </si>
  <si>
    <t>Pop Tarts</t>
  </si>
  <si>
    <t>Brown Sugar Cinnamon</t>
  </si>
  <si>
    <t>Pop Tarts Brown Sugar Cinnamon</t>
  </si>
  <si>
    <t>Cinnamon Roll</t>
  </si>
  <si>
    <t>Pop Tarts Cinnamon Roll</t>
  </si>
  <si>
    <t>Apple Cinnamon Probiotic</t>
  </si>
  <si>
    <t>Kind (Breakfast) Apple Cinnamon Probiotic</t>
  </si>
  <si>
    <t>Swissli</t>
  </si>
  <si>
    <t>Muesli</t>
  </si>
  <si>
    <t>Swissli Muesli</t>
  </si>
  <si>
    <t>Fudge Graham</t>
  </si>
  <si>
    <t>Zone Perfect Fudge Graham</t>
  </si>
  <si>
    <t>MET-Rx Big100</t>
  </si>
  <si>
    <t>Super Cookie Crunch</t>
  </si>
  <si>
    <t>MET-Rx Big100 Super Cookie Crunch</t>
  </si>
  <si>
    <t>General Mills</t>
  </si>
  <si>
    <t>Cinnamon Toast Crunch</t>
  </si>
  <si>
    <t>General Mills Cinnamon Toast Crunch</t>
  </si>
  <si>
    <t>Cascadian Farm</t>
  </si>
  <si>
    <t>Organic Granola Oats &amp; Honey</t>
  </si>
  <si>
    <t>Cascadian Farm Organic Granola Oats &amp; Honey</t>
  </si>
  <si>
    <t>Meal 2GO, Cranberry/Almond</t>
  </si>
  <si>
    <t>Greenbelly Meal 2GO, Cranberry/Almond</t>
  </si>
  <si>
    <t>Instant Coffee Vanilla Latte</t>
  </si>
  <si>
    <t>Starbucks Via Instant Coffee Vanilla Latte</t>
  </si>
  <si>
    <t>Taco Port with Cilantro, Lime &amp; Jalapeno</t>
  </si>
  <si>
    <t>Wild Zora (Meat Bar) Taco Port with Cilantro, Lime &amp; Jalapeno</t>
  </si>
  <si>
    <t>Apple Pork with Kale, Parsley, Sage, etc.</t>
  </si>
  <si>
    <t>Wild Zora (Meat Bar) Apple Pork with Kale, Parsley, Sage, etc.</t>
  </si>
  <si>
    <t>Cinnamon Pecan</t>
  </si>
  <si>
    <t>Umchu Primitive Nutrition Cinnamon Pecan</t>
  </si>
  <si>
    <t>Sargento</t>
  </si>
  <si>
    <t>Cheese, nuts, fruit pack</t>
  </si>
  <si>
    <t>Sargento Cheese, nuts, fruit pack</t>
  </si>
  <si>
    <t>Soft &amp; Chewy Granola, Chocolate Chip</t>
  </si>
  <si>
    <t>Kirkland Soft &amp; Chewy Granola, Chocolate Chip</t>
  </si>
  <si>
    <t>Bear Creek</t>
  </si>
  <si>
    <t>Soup Mix, Cheddar Broccoli</t>
  </si>
  <si>
    <t>Bear Creek Soup Mix, Cheddar Broccoli</t>
  </si>
  <si>
    <t>Soup</t>
  </si>
  <si>
    <t>Cherry Pie</t>
  </si>
  <si>
    <t>Larabar Cherry Pie</t>
  </si>
  <si>
    <t>Quaker</t>
  </si>
  <si>
    <t>Simply Granola Oats, Honey &amp; Almonds</t>
  </si>
  <si>
    <t>Quaker Simply Granola Oats, Honey &amp; Almonds</t>
  </si>
  <si>
    <t>Sheffa</t>
  </si>
  <si>
    <t>Everything (onion, garlic, spices)</t>
  </si>
  <si>
    <t>Sheffa Everything (onion, garlic, spices)</t>
  </si>
  <si>
    <t>Sesame</t>
  </si>
  <si>
    <t>Sheffa Sesame</t>
  </si>
  <si>
    <t>Wasabi Peas</t>
  </si>
  <si>
    <t>Signature (Safeway) Wasabi Peas</t>
  </si>
  <si>
    <t>Luna</t>
  </si>
  <si>
    <t>Chocolate Dipped Coconut</t>
  </si>
  <si>
    <t>Luna Chocolate Dipped Coconut</t>
  </si>
  <si>
    <t>Atkins Chocolate Peanut Butter</t>
  </si>
  <si>
    <t>Soldier Fuel Energy Bar</t>
  </si>
  <si>
    <t>Real Peanut Butter</t>
  </si>
  <si>
    <t>Soldier Fuel Energy Bar Real Peanut Butter</t>
  </si>
  <si>
    <t>Jumbo Honey Buns</t>
  </si>
  <si>
    <t>Hostess Jumbo Honey Buns</t>
  </si>
  <si>
    <t>Pro Bar (Protein)</t>
  </si>
  <si>
    <t>Pro Bar (Protein) Peanut Butter Chocolate</t>
  </si>
  <si>
    <t>Frosted Peanut Butter</t>
  </si>
  <si>
    <t>Pro Bar (Protein) Frosted Peanut Butter</t>
  </si>
  <si>
    <t>Reese's Puffs</t>
  </si>
  <si>
    <t>General Mills Reese's Puffs</t>
  </si>
  <si>
    <t>Bear Valley</t>
  </si>
  <si>
    <t>Pemmican, Carob-Cocoa</t>
  </si>
  <si>
    <t>Bear Valley Pemmican, Carob-Cocoa</t>
  </si>
  <si>
    <t>Chocolate Caramel</t>
  </si>
  <si>
    <t>Gatorade Recover Chocolate Caramel</t>
  </si>
  <si>
    <t>Lipton</t>
  </si>
  <si>
    <t>Hot Spiced Cider</t>
  </si>
  <si>
    <t>Lipton Hot Spiced Cider</t>
  </si>
  <si>
    <t>Taos Mountain Energy Bar</t>
  </si>
  <si>
    <t>Toasted Coconut + Vanilla Bean</t>
  </si>
  <si>
    <t>Taos Mountain Energy Bar Toasted Coconut + Vanilla Bean</t>
  </si>
  <si>
    <t>Pinon Coffee + Dk Chocolate</t>
  </si>
  <si>
    <t>Taos Mountain Energy Bar Pinon Coffee + Dk Chocolate</t>
  </si>
  <si>
    <t>Peanut Caramel Cluster</t>
  </si>
  <si>
    <t>Atkins Peanut Caramel Cluster</t>
  </si>
  <si>
    <t>Clif Builder's Chocolate Mint</t>
  </si>
  <si>
    <t>Cookies 'N Cream</t>
  </si>
  <si>
    <t>Clif Builder's Cookies 'N Cream</t>
  </si>
  <si>
    <t>Almond Cherry Chunk</t>
  </si>
  <si>
    <t>Bonk Breaker Almond Cherry Chunk</t>
  </si>
  <si>
    <t>Peanut Butter Pretzel</t>
  </si>
  <si>
    <t>MET-Rx Big100 Peanut Butter Pretzel</t>
  </si>
  <si>
    <t>Rice Krispies</t>
  </si>
  <si>
    <t>Treat Bars</t>
  </si>
  <si>
    <t>Rice Krispies Treat Bars</t>
  </si>
  <si>
    <t>Danish, Berries &amp; Cream Cheese</t>
  </si>
  <si>
    <t>Hostess Danish, Berries &amp; Cream Cheese</t>
  </si>
  <si>
    <t>Grown-Up Mac &amp; Cheese, Creamy Chipotle</t>
  </si>
  <si>
    <t>Bear Creek Grown-Up Mac &amp; Cheese, Creamy Chipotle</t>
  </si>
  <si>
    <t>Captain Crunch</t>
  </si>
  <si>
    <t>Quaker Captain Crunch</t>
  </si>
  <si>
    <t>Lucky Charms</t>
  </si>
  <si>
    <t>General Mills Lucky Charms</t>
  </si>
  <si>
    <t>Pasta Mix, Creamy Chicken</t>
  </si>
  <si>
    <t>Bear Creek Pasta Mix, Creamy Chicken</t>
  </si>
  <si>
    <t>Lenny &amp; Larry's</t>
  </si>
  <si>
    <t>Snickerdoodle</t>
  </si>
  <si>
    <t>Lenny &amp; Larry's Snickerdoodle</t>
  </si>
  <si>
    <t>Pretzel Cinnamon Sugar</t>
  </si>
  <si>
    <t>Pop Tarts Pretzel Cinnamon Sugar</t>
  </si>
  <si>
    <t>Supreme Protein</t>
  </si>
  <si>
    <t>Caramel Nut Chocolate</t>
  </si>
  <si>
    <t>Supreme Protein Caramel Nut Chocolate</t>
  </si>
  <si>
    <t>Quest</t>
  </si>
  <si>
    <t>Protein Chips, Cheddar &amp; Sour Cream</t>
  </si>
  <si>
    <t>Quest Protein Chips, Cheddar &amp; Sour Cream</t>
  </si>
  <si>
    <t>Pro Bar (Bite) Peanut Butter Chocolate</t>
  </si>
  <si>
    <t>Instant Caffe Mocha Latte</t>
  </si>
  <si>
    <t>Starbucks Via Instant Caffe Mocha Latte</t>
  </si>
  <si>
    <t>Bounce (Protein Energy Ball)</t>
  </si>
  <si>
    <t>Cacao Mint Protein Bomb</t>
  </si>
  <si>
    <t>Bounce (Protein Energy Ball) Cacao Mint Protein Bomb</t>
  </si>
  <si>
    <t>Chocolate Chip</t>
  </si>
  <si>
    <t>Pop Tarts Chocolate Chip</t>
  </si>
  <si>
    <t>Toaster Pastry Wild Berry Acai</t>
  </si>
  <si>
    <t>Nature's Path Toaster Pastry Wild Berry Acai</t>
  </si>
  <si>
    <t>Blueberry</t>
  </si>
  <si>
    <t>RXBAR Blueberry</t>
  </si>
  <si>
    <t>Chocolate Sea Salt</t>
  </si>
  <si>
    <t>RXBAR Chocolate Sea Salt</t>
  </si>
  <si>
    <t>RXBAR Peanut Butter Chocolate</t>
  </si>
  <si>
    <t>Raisin Snail</t>
  </si>
  <si>
    <t>Svenhard's Raisin Snail</t>
  </si>
  <si>
    <t>Granola + Coconut</t>
  </si>
  <si>
    <t>GoMacro Granola + Coconut</t>
  </si>
  <si>
    <t>Premier Protein</t>
  </si>
  <si>
    <t>Premier Protein Chocolate Peanut Butter</t>
  </si>
  <si>
    <t>Lifesavers</t>
  </si>
  <si>
    <t>Hard Candy, assorted flavors</t>
  </si>
  <si>
    <t>Lifesavers Hard Candy, assorted flavors</t>
  </si>
  <si>
    <t>Skittles</t>
  </si>
  <si>
    <t>Wild Berry</t>
  </si>
  <si>
    <t>Skittles Wild Berry</t>
  </si>
  <si>
    <t>Starburst</t>
  </si>
  <si>
    <t>Fruit Chews, assorted flavors</t>
  </si>
  <si>
    <t>Starburst Fruit Chews, assorted flavors</t>
  </si>
  <si>
    <t>Crispy Green</t>
  </si>
  <si>
    <t>Apple (freeze dried)</t>
  </si>
  <si>
    <t>Crispy Green Apple (freeze dried)</t>
  </si>
  <si>
    <t>Asian Pear (freeze dried)</t>
  </si>
  <si>
    <t>Crispy Green Asian Pear (freeze dried)</t>
  </si>
  <si>
    <t>Tangerine (freeze dried)</t>
  </si>
  <si>
    <t>Crispy Green Tangerine (freeze dried)</t>
  </si>
  <si>
    <t>Baked Crunchy Simply Banana Chips</t>
  </si>
  <si>
    <t>Bare Snacks Baked Crunchy Simply Banana Chips</t>
  </si>
  <si>
    <t>Donettes Mini Donuts, Glazed</t>
  </si>
  <si>
    <t>Hostess Donettes Mini Donuts, Glazed</t>
  </si>
  <si>
    <t>Strawberry Milkshake</t>
  </si>
  <si>
    <t>Pop Tarts Strawberry Milkshake</t>
  </si>
  <si>
    <t>Hot Cocoa Mix, Rich Chocolate</t>
  </si>
  <si>
    <t>Nestle Hot Cocoa Mix, Rich Chocolate</t>
  </si>
  <si>
    <t>Donettes Mini Donuts, Frosted</t>
  </si>
  <si>
    <t>Hostess Donettes Mini Donuts, Frosted</t>
  </si>
  <si>
    <t>Vanilla Blueberry</t>
  </si>
  <si>
    <t>Kind (Healthy Grains) Vanilla Blueberry</t>
  </si>
  <si>
    <t>Skout</t>
  </si>
  <si>
    <t>Coconut Chocolate</t>
  </si>
  <si>
    <t>Skout Coconut Chocolate</t>
  </si>
  <si>
    <t>Land O' Lakes</t>
  </si>
  <si>
    <t>Cocoa Classics, Chocolate Supreme</t>
  </si>
  <si>
    <t>Land O' Lakes Cocoa Classics, Chocolate Supreme</t>
  </si>
  <si>
    <t>Cinnamon Oat</t>
  </si>
  <si>
    <t>Kind (Healthy Grains) Cinnamon Oat</t>
  </si>
  <si>
    <t>Dark Chocolate Mocha</t>
  </si>
  <si>
    <t>Kind (Healthy Grains) Dark Chocolate Mocha</t>
  </si>
  <si>
    <t>Popped Dark Chocolate with Sea Salt</t>
  </si>
  <si>
    <t>Kind (Healthy Grains) Popped Dark Chocolate with Sea Salt</t>
  </si>
  <si>
    <t>Popped Salted Caramel</t>
  </si>
  <si>
    <t>Kind (Healthy Grains) Popped Salted Caramel</t>
  </si>
  <si>
    <t>Peak Sherpa</t>
  </si>
  <si>
    <t>Toasted Coconut Tsampa Barley Cereal</t>
  </si>
  <si>
    <t>Peak Sherpa Toasted Coconut Tsampa Barley Cereal</t>
  </si>
  <si>
    <t>Instant Coffee White Chocolate Mocha Latte</t>
  </si>
  <si>
    <t>Starbucks Via Instant Coffee White Chocolate Mocha Latte</t>
  </si>
  <si>
    <t>Dark Chocolate Cherry Cashew</t>
  </si>
  <si>
    <t>Kind Dark Chocolate Cherry Cashew</t>
  </si>
  <si>
    <t>Knorr (Pasta Sides)</t>
  </si>
  <si>
    <t>Parmesan</t>
  </si>
  <si>
    <t>Knorr (Pasta Sides) Parmesan</t>
  </si>
  <si>
    <t>Instant Coffee Peppermint Mocha Latte</t>
  </si>
  <si>
    <t>Starbucks Via Instant Coffee Peppermint Mocha Latte</t>
  </si>
  <si>
    <t>Pomegranate Blueberry Pistachio</t>
  </si>
  <si>
    <t>Kind Pomegranate Blueberry Pistachio</t>
  </si>
  <si>
    <t>Blueberry Vanilla &amp; Cashew</t>
  </si>
  <si>
    <t>Kind Blueberry Vanilla &amp; Cashew</t>
  </si>
  <si>
    <t>Cranberry Almond</t>
  </si>
  <si>
    <t>Kind Cranberry Almond</t>
  </si>
  <si>
    <t>Chocolate Almond &amp; Sea Salt</t>
  </si>
  <si>
    <t>Kashi Chocolate Almond &amp; Sea Salt</t>
  </si>
  <si>
    <t>Mediterra</t>
  </si>
  <si>
    <t>Bell Peppers &amp; Green Olives</t>
  </si>
  <si>
    <t>Mediterra Bell Peppers &amp; Green Olives</t>
  </si>
  <si>
    <t>Black Olives &amp; Walnuts</t>
  </si>
  <si>
    <t>Mediterra Black Olives &amp; Walnuts</t>
  </si>
  <si>
    <t>Sundried Tomato &amp; Basil</t>
  </si>
  <si>
    <t>Mediterra Sundried Tomato &amp; Basil</t>
  </si>
  <si>
    <t>NuGo (Dark)</t>
  </si>
  <si>
    <t>NuGo (Dark) Dark Chocolate Pretzel with Sea Salt</t>
  </si>
  <si>
    <t>Tiger's Milk</t>
  </si>
  <si>
    <t>Tiger's Milk Original</t>
  </si>
  <si>
    <t>Coconut Macadamia</t>
  </si>
  <si>
    <t>Bounce (Protein Energy Ball) Coconut Macadamia</t>
  </si>
  <si>
    <t>Zone Perfect Chocolate Chip Cookie Dough</t>
  </si>
  <si>
    <t>Kale &amp; Pumpkin Seeds</t>
  </si>
  <si>
    <t>Mediterra Kale &amp; Pumpkin Seeds</t>
  </si>
  <si>
    <t>Protein Cookie, Peanut Butter Cup</t>
  </si>
  <si>
    <t>Buff Bake Protein Cookie, Peanut Butter Cup</t>
  </si>
  <si>
    <t>Protein Cookie, White Chocolate Peanut Butter</t>
  </si>
  <si>
    <t>Buff Bake Protein Cookie, White Chocolate Peanut Butter</t>
  </si>
  <si>
    <t>Power Bar (Triple Threat)</t>
  </si>
  <si>
    <t>Peanut Butter Caramel</t>
  </si>
  <si>
    <t>Power Bar (Triple Threat) Peanut Butter Caramel</t>
  </si>
  <si>
    <t>Special K</t>
  </si>
  <si>
    <t>Protein Bar, Chocolate Peanut Butter</t>
  </si>
  <si>
    <t>Special K Protein Bar, Chocolate Peanut Butter</t>
  </si>
  <si>
    <t>Protein Meal Bars, Chocolate Peanut Butter</t>
  </si>
  <si>
    <t>Special K Protein Meal Bars, Chocolate Peanut Butter</t>
  </si>
  <si>
    <t>Natural High The Trail Mix</t>
  </si>
  <si>
    <t>Safeway (bulk dispenser) Natural High The Trail Mix</t>
  </si>
  <si>
    <t>Strawberry Yogurt</t>
  </si>
  <si>
    <t>Zone Perfect Strawberry Yogurt</t>
  </si>
  <si>
    <t>Coffee Crunch</t>
  </si>
  <si>
    <t>Pro Bar (Protein) Coffee Crunch</t>
  </si>
  <si>
    <t>Mint Chocolate</t>
  </si>
  <si>
    <t>Pro Bar (Protein) Mint Chocolate</t>
  </si>
  <si>
    <t>Balance Bar</t>
  </si>
  <si>
    <t>Chocolate Mint Cookie Crunch</t>
  </si>
  <si>
    <t>Balance Bar Chocolate Mint Cookie Crunch</t>
  </si>
  <si>
    <t>Chocolate Caramel Coconut</t>
  </si>
  <si>
    <t>MET-Rx Big100 Chocolate Caramel Coconut</t>
  </si>
  <si>
    <t>Think Thin</t>
  </si>
  <si>
    <t>Caramel Fudge</t>
  </si>
  <si>
    <t>Think Thin Caramel Fudge</t>
  </si>
  <si>
    <t>Pure Protein Bar</t>
  </si>
  <si>
    <t>Chocolate Salted Caramel</t>
  </si>
  <si>
    <t>Pure Protein Bar Chocolate Salted Caramel</t>
  </si>
  <si>
    <t>Parmesan, grated 6g packets</t>
  </si>
  <si>
    <t>Kraft Parmesan, grated 6g packets</t>
  </si>
  <si>
    <t>Chocolate Butterscotch</t>
  </si>
  <si>
    <t>Taos Mountain Energy Bar Chocolate Butterscotch</t>
  </si>
  <si>
    <t>Clif Bar</t>
  </si>
  <si>
    <t>Nuts &amp; Seeds</t>
  </si>
  <si>
    <t>Clif Bar Nuts &amp; Seeds</t>
  </si>
  <si>
    <t>Six Star</t>
  </si>
  <si>
    <t>Six Star Peanut Butter Chocolate</t>
  </si>
  <si>
    <t>Earthly Choice</t>
  </si>
  <si>
    <t>Easy Quinoa, Garlic &amp; Herb</t>
  </si>
  <si>
    <t>Earthly Choice Easy Quinoa, Garlic &amp; Herb</t>
  </si>
  <si>
    <t>Epic (Meat Bar)</t>
  </si>
  <si>
    <t>Smoked Maple Bacon</t>
  </si>
  <si>
    <t>Epic (Meat Bar) Smoked Maple Bacon</t>
  </si>
  <si>
    <t>Bacon and Egg Yolk</t>
  </si>
  <si>
    <t>Epic (Meat Bar) Bacon and Egg Yolk</t>
  </si>
  <si>
    <t>Beef Apple Bacon</t>
  </si>
  <si>
    <t>Epic (Meat Bar) Beef Apple Bacon</t>
  </si>
  <si>
    <t>Knorr (Selects)</t>
  </si>
  <si>
    <t>Four Cheese Risotto</t>
  </si>
  <si>
    <t>Knorr (Selects) Four Cheese Risotto</t>
  </si>
  <si>
    <t>Grown-Up Mac &amp; Cheese, Truffle &amp; Mushroom</t>
  </si>
  <si>
    <t>Bear Creek Grown-Up Mac &amp; Cheese, Truffle &amp; Mushroom</t>
  </si>
  <si>
    <t>Nature's Bakery</t>
  </si>
  <si>
    <t>Fig Bar: Strawberry</t>
  </si>
  <si>
    <t>Nature's Bakery Fig Bar: Strawberry</t>
  </si>
  <si>
    <t>Rold Gold</t>
  </si>
  <si>
    <t>Tiny Twist Pretzels, Original</t>
  </si>
  <si>
    <t>Rold Gold Tiny Twist Pretzels, Original</t>
  </si>
  <si>
    <t>Marshmallow Hot Cocoa Mix</t>
  </si>
  <si>
    <t>Starbucks Marshmallow Hot Cocoa Mix</t>
  </si>
  <si>
    <t>Snack Factory</t>
  </si>
  <si>
    <t>Pretzel Crisps Sea Salt &amp; Cracked Pepper</t>
  </si>
  <si>
    <t>Snack Factory Pretzel Crisps Sea Salt &amp; Cracked Pepper</t>
  </si>
  <si>
    <t>Idahoan</t>
  </si>
  <si>
    <t>Mashed Potatoes, Bacon &amp; Cheddar Chipotle</t>
  </si>
  <si>
    <t>Idahoan Mashed Potatoes, Bacon &amp; Cheddar Chipotle</t>
  </si>
  <si>
    <t>Mashed Potatoes, Butter &amp; Herb</t>
  </si>
  <si>
    <t>Idahoan Mashed Potatoes, Butter &amp; Herb</t>
  </si>
  <si>
    <t>Mashed Potatoes, Four Cheese</t>
  </si>
  <si>
    <t>Idahoan Mashed Potatoes, Four Cheese</t>
  </si>
  <si>
    <t>Mashed Potatoes, Loaded Baked</t>
  </si>
  <si>
    <t>Idahoan Mashed Potatoes, Loaded Baked</t>
  </si>
  <si>
    <t>Mashed Potatoes, Sour Cream &amp; Chives</t>
  </si>
  <si>
    <t>Idahoan Mashed Potatoes, Sour Cream &amp; Chives</t>
  </si>
  <si>
    <t>Reduced Fat</t>
  </si>
  <si>
    <t>Triscuit Reduced Fat</t>
  </si>
  <si>
    <t>Stove Top</t>
  </si>
  <si>
    <t>Stuffing Mix, Chicken</t>
  </si>
  <si>
    <t>Stove Top Stuffing Mix, Chicken</t>
  </si>
  <si>
    <t>Parmesan Beef with Kale, Tomato &amp; Basil</t>
  </si>
  <si>
    <t>Wild Zora (Meat Bar) Parmesan Beef with Kale, Tomato &amp; Basil</t>
  </si>
  <si>
    <t>Pepper Jack (block)</t>
  </si>
  <si>
    <t>Tillamook Pepper Jack (block)</t>
  </si>
  <si>
    <t>Margherita</t>
  </si>
  <si>
    <t>Hard Salami, sliced</t>
  </si>
  <si>
    <t>Margherita Hard Salami, sliced</t>
  </si>
  <si>
    <t>Open Nature</t>
  </si>
  <si>
    <t>Uncured Hot Italian Salami</t>
  </si>
  <si>
    <t>Muenster (block)</t>
  </si>
  <si>
    <t>Primo Taglio Muenster (block)</t>
  </si>
  <si>
    <t>Ford Farm</t>
  </si>
  <si>
    <t>Dorset Smoked (block)</t>
  </si>
  <si>
    <t>Ford Farm Dorset Smoked (block)</t>
  </si>
  <si>
    <t>Extra Sharp Cheddar (block)</t>
  </si>
  <si>
    <t>Tillamook Extra Sharp Cheddar (block)</t>
  </si>
  <si>
    <t>Sharp Cheddar (block)</t>
  </si>
  <si>
    <t>Tillamook Sharp Cheddar (block)</t>
  </si>
  <si>
    <t>Columbus</t>
  </si>
  <si>
    <t>Cacciatore Salami</t>
  </si>
  <si>
    <t>Columbus Cacciatore Salami</t>
  </si>
  <si>
    <t>Fiber One Bar</t>
  </si>
  <si>
    <t>Fiber One Bar Chocolate Peanut Butter</t>
  </si>
  <si>
    <t>Epic (Snack Strip)</t>
  </si>
  <si>
    <t>Wagyu Beef Steak</t>
  </si>
  <si>
    <t>Epic (Snack Strip) Wagyu Beef Steak</t>
  </si>
  <si>
    <t>Alfredo</t>
  </si>
  <si>
    <t>Knorr (Pasta Sides) Alfredo</t>
  </si>
  <si>
    <t>Super Chocolate Fudge ("brownie")</t>
  </si>
  <si>
    <t>MET-Rx Big100 Super Chocolate Fudge ("brownie")</t>
  </si>
  <si>
    <t>Lenny &amp; Larry's Apple Pie</t>
  </si>
  <si>
    <t>Lemon Poppy Seed</t>
  </si>
  <si>
    <t>Lenny &amp; Larry's Lemon Poppy Seed</t>
  </si>
  <si>
    <t>Choc-O-Mint</t>
  </si>
  <si>
    <t>Lenny &amp; Larry's Choc-O-Mint</t>
  </si>
  <si>
    <t>Lenny &amp; Larry's Peanut Butter Chocolate Chip</t>
  </si>
  <si>
    <t>Jolly Rancher</t>
  </si>
  <si>
    <t>Jolly Rancher Hard Candy, assorted flavors</t>
  </si>
  <si>
    <t>Red, White &amp; Blueberries</t>
  </si>
  <si>
    <t>Signature (Safeway) Red, White &amp; Blueberries</t>
  </si>
  <si>
    <t>Soup Mix, Creamy Potato</t>
  </si>
  <si>
    <t>Bear Creek Soup Mix, Creamy Potato</t>
  </si>
  <si>
    <t>Wildlicious Wild Berry</t>
  </si>
  <si>
    <t>Pop Tarts Wildlicious Wild Berry</t>
  </si>
  <si>
    <t>Rosemary</t>
  </si>
  <si>
    <t>Sheffa Rosemary</t>
  </si>
  <si>
    <t>Spicy Chili</t>
  </si>
  <si>
    <t>Sheffa Spicy Chili</t>
  </si>
  <si>
    <t>Premier Protein Dark Chocolate Mint</t>
  </si>
  <si>
    <t>Bacon Jerky Honey Pepper Style</t>
  </si>
  <si>
    <t>Carnivore Candy Bacon Jerky Honey Pepper Style</t>
  </si>
  <si>
    <t>Bacon Jerky Old Fashioned Maple</t>
  </si>
  <si>
    <t>Carnivore Candy Bacon Jerky Old Fashioned Maple</t>
  </si>
  <si>
    <t>Bacon Jerky Jalapeno Flavor</t>
  </si>
  <si>
    <t>Carnivore Candy Bacon Jerky Jalapeno Flavor</t>
  </si>
  <si>
    <t>Berry Horns</t>
  </si>
  <si>
    <t>Svenhard's Berry Horns</t>
  </si>
  <si>
    <t>Cheese Horns</t>
  </si>
  <si>
    <t>Svenhard's Cheese Horns</t>
  </si>
  <si>
    <t>Cookie Dough</t>
  </si>
  <si>
    <t>Pro Bar (Protein) Cookie Dough</t>
  </si>
  <si>
    <t>Power Bar (Protein Plus)</t>
  </si>
  <si>
    <t>Power Bar (Protein Plus) Chocolate Peanut Butter</t>
  </si>
  <si>
    <t>Blue Raspberry</t>
  </si>
  <si>
    <t>Pop Tarts Blue Raspberry</t>
  </si>
  <si>
    <t>Instant Iced Coffee Sweetened</t>
  </si>
  <si>
    <t>Starbucks Via Instant Iced Coffee Sweetened</t>
  </si>
  <si>
    <t>Cookie Crisp</t>
  </si>
  <si>
    <t>General Mills Cookie Crisp</t>
  </si>
  <si>
    <t>Cherry</t>
  </si>
  <si>
    <t>Pop Tarts Cherry</t>
  </si>
  <si>
    <t>Raspberry</t>
  </si>
  <si>
    <t>Pop Tarts Raspberry</t>
  </si>
  <si>
    <t>Chocolate Fudge</t>
  </si>
  <si>
    <t>Pop Tarts Chocolate Fudge</t>
  </si>
  <si>
    <t>Toaster Pastry Cherry Pomegranate</t>
  </si>
  <si>
    <t>Nature's Path Toaster Pastry Cherry Pomegranate</t>
  </si>
  <si>
    <t>S'Mores</t>
  </si>
  <si>
    <t>Pop Tarts S'Mores</t>
  </si>
  <si>
    <t>Cup-A-Soup Instant Soup Mix, Chicken Noodle</t>
  </si>
  <si>
    <t>Lipton Cup-A-Soup Instant Soup Mix, Chicken Noodle</t>
  </si>
  <si>
    <t>Cookies and Crème</t>
  </si>
  <si>
    <t>Think Thin Cookies and Crème</t>
  </si>
  <si>
    <t>Blueberries (freeze dried)</t>
  </si>
  <si>
    <t>Trader Joe's Blueberries (freeze dried)</t>
  </si>
  <si>
    <t>Raspberries (freeze dried)</t>
  </si>
  <si>
    <t>Trader Joe's Raspberries (freeze dried)</t>
  </si>
  <si>
    <t>Strawberries (freeze dried)</t>
  </si>
  <si>
    <t>Trader Joe's Strawberries (freeze dried)</t>
  </si>
  <si>
    <t>Clif Bar Dark Chocolate Almond with Sea Salt</t>
  </si>
  <si>
    <t>White Chocolate Macademia Nut</t>
  </si>
  <si>
    <t>Clif Bar White Chocolate Macademia Nut</t>
  </si>
  <si>
    <t>Peanut Butter &amp; Honey with Sea Salt</t>
  </si>
  <si>
    <t>Clif Bar Peanut Butter &amp; Honey with Sea Salt</t>
  </si>
  <si>
    <t>Peanut Butter Banana</t>
  </si>
  <si>
    <t>Clif Bar Peanut Butter Banana</t>
  </si>
  <si>
    <t>Sierra Trail Mix</t>
  </si>
  <si>
    <t>Clif Bar Sierra Trail Mix</t>
  </si>
  <si>
    <t>Chocolate Peanut Butter with Sea Salt</t>
  </si>
  <si>
    <t>Clif Bar Chocolate Peanut Butter with Sea Salt</t>
  </si>
  <si>
    <t>Clif Bar Crunchy Peanut Butter</t>
  </si>
  <si>
    <t>Alpen</t>
  </si>
  <si>
    <t>Alpen Muesli</t>
  </si>
  <si>
    <t>Alpine</t>
  </si>
  <si>
    <t>Spiced Apple Cider</t>
  </si>
  <si>
    <t>Alpine Spiced Apple Cider</t>
  </si>
  <si>
    <t>Alfredo Broccoli</t>
  </si>
  <si>
    <t>Knorr (Pasta Sides) Alfredo Broccoli</t>
  </si>
  <si>
    <t>Whey Protein Powder, Vanilla</t>
  </si>
  <si>
    <t>Gatorade Recover Whey Protein Powder, Vanilla</t>
  </si>
  <si>
    <t>Orange</t>
  </si>
  <si>
    <t>Gatorade Orange</t>
  </si>
  <si>
    <t>Pop Tarts Chocolate Chip Cookie Dough</t>
  </si>
  <si>
    <t>Pop Tarts Cookies &amp; Crème</t>
  </si>
  <si>
    <t>Roland</t>
  </si>
  <si>
    <t>Israeli Couscous, Traditional</t>
  </si>
  <si>
    <t>Roland Israeli Couscous, Traditional</t>
  </si>
  <si>
    <t>Chocolate + Peanut Butter</t>
  </si>
  <si>
    <t>Skout Chocolate + Peanut Butter</t>
  </si>
  <si>
    <t>Oatmega</t>
  </si>
  <si>
    <t>Chocolate Mint Crips</t>
  </si>
  <si>
    <t>Oatmega Chocolate Mint Crips</t>
  </si>
  <si>
    <t>Dark Chocolate Coconut</t>
  </si>
  <si>
    <t>Pure Protein Bar Dark Chocolate Coconut</t>
  </si>
  <si>
    <t>Kellog's</t>
  </si>
  <si>
    <t>Frosted Flakes</t>
  </si>
  <si>
    <t>Kellog's Frosted Flakes</t>
  </si>
  <si>
    <t>Mashed Potatoes, Baby Reds</t>
  </si>
  <si>
    <t>Idahoan Mashed Potatoes, Baby Reds</t>
  </si>
  <si>
    <t>Mashed Potatoes, Roasted Garlic &amp; Parmesan</t>
  </si>
  <si>
    <t>Idahoan Mashed Potatoes, Roasted Garlic &amp; Parmesan</t>
  </si>
  <si>
    <t>Mixed Berry</t>
  </si>
  <si>
    <t>Pro Bar (Bite) Mixed Berry</t>
  </si>
  <si>
    <t>Cinnamon Rolls</t>
  </si>
  <si>
    <t>Hostess Cinnamon Rolls</t>
  </si>
  <si>
    <t>Coffee Cakes, Cinnamon Streusel</t>
  </si>
  <si>
    <t>Hostess Coffee Cakes, Cinnamon Streusel</t>
  </si>
  <si>
    <t>Melissa's Mix</t>
  </si>
  <si>
    <t>Chocolate Brownie</t>
  </si>
  <si>
    <t>Melissa's Mix Chocolate Brownie</t>
  </si>
  <si>
    <t>Protein Bar, Double Chocolate</t>
  </si>
  <si>
    <t>Special K Protein Bar, Double Chocolate</t>
  </si>
  <si>
    <t>Quaker Instant Oatmeal</t>
  </si>
  <si>
    <t>Protein - Banana Nut</t>
  </si>
  <si>
    <t>Quaker Instant Oatmeal Protein - Banana Nut</t>
  </si>
  <si>
    <t>Mike's Mix</t>
  </si>
  <si>
    <t>Chocolate</t>
  </si>
  <si>
    <t>Mike's Mix Chocolate</t>
  </si>
  <si>
    <t>Bear Valley Coconut Almond</t>
  </si>
  <si>
    <t>Sour Patch Kids</t>
  </si>
  <si>
    <t>Original Sweet and Sour Gummy Candy</t>
  </si>
  <si>
    <t>Sour Patch Kids Original Sweet and Sour Gummy Candy</t>
  </si>
  <si>
    <t>Kool Aid</t>
  </si>
  <si>
    <t>Singles Packets, Cherry</t>
  </si>
  <si>
    <t>Kool Aid Singles Packets, Cherry</t>
  </si>
  <si>
    <t>Hot Fudge Sundae</t>
  </si>
  <si>
    <t>Pop Tarts Hot Fudge Sundae</t>
  </si>
  <si>
    <t>Fruit Pie, Cherry</t>
  </si>
  <si>
    <t>Hostess Fruit Pie, Cherry</t>
  </si>
  <si>
    <t>Rice Cracker Mix</t>
  </si>
  <si>
    <t>Safeway (bulk dispenser) Rice Cracker Mix</t>
  </si>
  <si>
    <t>Organic White Quinoa</t>
  </si>
  <si>
    <t>Signature (Safeway) Organic White Quinoa</t>
  </si>
  <si>
    <t>Protein Cookie, Chocolate Chocolate Chip</t>
  </si>
  <si>
    <t>Buff Bake Protein Cookie, Chocolate Chocolate Chip</t>
  </si>
  <si>
    <t>Protein Cookie, Chocolate Donut</t>
  </si>
  <si>
    <t>Buff Bake Protein Cookie, Chocolate Donut</t>
  </si>
  <si>
    <t>Think Thin Salted Caramel</t>
  </si>
  <si>
    <t>PB2</t>
  </si>
  <si>
    <t>Powdered Peanut Butter</t>
  </si>
  <si>
    <t>PB2 Powdered Peanut Butter</t>
  </si>
  <si>
    <t>Frigo</t>
  </si>
  <si>
    <t>Cheese Heads Sticks, Colby Jack</t>
  </si>
  <si>
    <t>Frigo Cheese Heads Sticks, Colby Jack</t>
  </si>
  <si>
    <t>Knorr (Rice Sides)</t>
  </si>
  <si>
    <t>Garlic Parmesan</t>
  </si>
  <si>
    <t>Knorr (Rice Sides) Garlic Parmesan</t>
  </si>
  <si>
    <t>Instant Oatmeal Cinnamon &amp; Spice</t>
  </si>
  <si>
    <t>Quaker Instant Oatmeal Cinnamon &amp; Spice</t>
  </si>
  <si>
    <t>Instant Oatmeal Maple &amp; Brown Sugar</t>
  </si>
  <si>
    <t>Quaker Instant Oatmeal Maple &amp; Brown Sugar</t>
  </si>
  <si>
    <t>Birthday Cake</t>
  </si>
  <si>
    <t>Lenny &amp; Larry's Birthday Cake</t>
  </si>
  <si>
    <t>Lenny &amp; Larry's Chocolate Chip</t>
  </si>
  <si>
    <t>Oatmeal Raisin</t>
  </si>
  <si>
    <t>Lenny &amp; Larry's Oatmeal Raisin</t>
  </si>
  <si>
    <t>Double Chocolate</t>
  </si>
  <si>
    <t>Lenny &amp; Larry's Double Chocolate</t>
  </si>
  <si>
    <t>Lenny &amp; Larry's Peanut Butter</t>
  </si>
  <si>
    <t>Lenny &amp; Larry's Salted Caramel</t>
  </si>
  <si>
    <t>Chocolate Donut</t>
  </si>
  <si>
    <t>Lenny &amp; Larry's Chocolate Donut</t>
  </si>
  <si>
    <t>Thirst Quencher Powder Packs, Lemon-Lime</t>
  </si>
  <si>
    <t>Gatorade Thirst Quencher Powder Packs, Lemon-Lime</t>
  </si>
  <si>
    <t>Kind (Pressed)</t>
  </si>
  <si>
    <t>Mango Apple Chia</t>
  </si>
  <si>
    <t>Kind (Pressed) Mango Apple Chia</t>
  </si>
  <si>
    <t>Cherry Apple Chia</t>
  </si>
  <si>
    <t>Kind (Pressed) Cherry Apple Chia</t>
  </si>
  <si>
    <t>Pineapple Coconut Chia</t>
  </si>
  <si>
    <t>Kind (Pressed) Pineapple Coconut Chia</t>
  </si>
  <si>
    <t>Instant Oatmeal Apples &amp; Cinnamon</t>
  </si>
  <si>
    <t>Quaker Instant Oatmeal Apples &amp; Cinnamon</t>
  </si>
  <si>
    <t>Knorr (Asian Sides)</t>
  </si>
  <si>
    <t>Teriyaki Rice</t>
  </si>
  <si>
    <t>Knorr (Asian Sides) Teriyaki Rice</t>
  </si>
  <si>
    <t>Western Family</t>
  </si>
  <si>
    <t>Macaroni &amp; Cheese</t>
  </si>
  <si>
    <t>Western Family Macaroni &amp; Cheese</t>
  </si>
  <si>
    <t>Macaroni &amp; Cheese, Three Cheese with Shells</t>
  </si>
  <si>
    <t>Kraft Macaroni &amp; Cheese, Three Cheese with Shells</t>
  </si>
  <si>
    <t>Rice Pilaf</t>
  </si>
  <si>
    <t>Knorr (Rice Sides) Rice Pilaf</t>
  </si>
  <si>
    <t>Protein - Cranberry Almond</t>
  </si>
  <si>
    <t>Quaker Instant Oatmeal Protein - Cranberry Almond</t>
  </si>
  <si>
    <t>Tailwind Nutrition</t>
  </si>
  <si>
    <t>Green Tea Buzz (caffeinated)</t>
  </si>
  <si>
    <t>Tailwind Nutrition Green Tea Buzz (caffeinated)</t>
  </si>
  <si>
    <t>Mandarin Orange</t>
  </si>
  <si>
    <t>Tailwind Nutrition Mandarin Orange Recovery</t>
  </si>
  <si>
    <t>Chocolate Recovery</t>
  </si>
  <si>
    <t>Wheaties</t>
  </si>
  <si>
    <t>General Mills Wheaties</t>
  </si>
  <si>
    <t>Ritz Handi-Snacks crackers &amp; cheese dip packs</t>
  </si>
  <si>
    <t>Nabisco Ritz Handi-Snacks crackers &amp; cheese dip packs</t>
  </si>
  <si>
    <t>Knorr (Italian Sides)</t>
  </si>
  <si>
    <t>Four Cheese Pasta</t>
  </si>
  <si>
    <t>Knorr (Italian Sides) Four Cheese Pasta</t>
  </si>
  <si>
    <t>Minute</t>
  </si>
  <si>
    <t>Instant White Rice</t>
  </si>
  <si>
    <t>Minute Instant White Rice</t>
  </si>
  <si>
    <t>Chicken flavor Fried Rice</t>
  </si>
  <si>
    <t>Knorr (Asian Sides) Chicken flavor Fried Rice</t>
  </si>
  <si>
    <t>Dove</t>
  </si>
  <si>
    <t>Hot Chocolate Drink</t>
  </si>
  <si>
    <t>Dove Hot Chocolate Drink</t>
  </si>
  <si>
    <t>Caramel Macchiato (65mg caffeine)</t>
  </si>
  <si>
    <t>Clif Bar Caramel Macchiato (65mg caffeine)</t>
  </si>
  <si>
    <t>Clif Bar Chocolate Brownie</t>
  </si>
  <si>
    <t>Clif Bar Chocolate Chip</t>
  </si>
  <si>
    <t>Chocolate Chunk with Sea Salt</t>
  </si>
  <si>
    <t>Clif Bar Chocolate Chunk with Sea Salt</t>
  </si>
  <si>
    <t>Dark Chocolate Mocha (65mg caffeine)</t>
  </si>
  <si>
    <t>Clif Bar Dark Chocolate Mocha (65mg caffeine)</t>
  </si>
  <si>
    <t>Vanilla Almond Latte (65mg caffeine)</t>
  </si>
  <si>
    <t>Clif Bar Vanilla Almond Latte (65mg caffeine)</t>
  </si>
  <si>
    <t>Cool Mint Chocolate</t>
  </si>
  <si>
    <t>Clif Bar Cool Mint Chocolate</t>
  </si>
  <si>
    <t>Blueberry Crisp</t>
  </si>
  <si>
    <t>Clif Bar Blueberry Crisp</t>
  </si>
  <si>
    <t>Oatmeal Raisin Walnut</t>
  </si>
  <si>
    <t>Clif Bar Oatmeal Raisin Walnut</t>
  </si>
  <si>
    <t>Coconut Chocolate Chip</t>
  </si>
  <si>
    <t>Clif Bar Coconut Chocolate Chip</t>
  </si>
  <si>
    <t>Peanut Toffee Buzz</t>
  </si>
  <si>
    <t>Clif Bar Peanut Toffee Buzz</t>
  </si>
  <si>
    <t>Hammer Nutrition</t>
  </si>
  <si>
    <t>Recoverite (Vegan) - Strawberry</t>
  </si>
  <si>
    <t>Hammer Nutrition Recoverite (Vegan) - Strawberry</t>
  </si>
  <si>
    <t>Cupcakes, Chocolate</t>
  </si>
  <si>
    <t>Hostess Cupcakes, Chocolate</t>
  </si>
  <si>
    <t>Stroganoff</t>
  </si>
  <si>
    <t>Knorr (Pasta Sides) Stroganoff</t>
  </si>
  <si>
    <t>Protein - Apples &amp; Cinnamon</t>
  </si>
  <si>
    <t>Quaker Instant Oatmeal Protein - Apples &amp; Cinnamon</t>
  </si>
  <si>
    <t>Protein - Maple Brown Sugar</t>
  </si>
  <si>
    <t>Quaker Instant Oatmeal Protein - Maple Brown Sugar</t>
  </si>
  <si>
    <t>Quest Bar</t>
  </si>
  <si>
    <t>Protein Bar, Pumpkin Pie (Limited)</t>
  </si>
  <si>
    <t>Quest Bar Protein Bar, Pumpkin Pie (Limited)</t>
  </si>
  <si>
    <t>Annie's</t>
  </si>
  <si>
    <t>Shells &amp; White Cheddar</t>
  </si>
  <si>
    <t>Annie's Shells &amp; White Cheddar</t>
  </si>
  <si>
    <t>Crystalized Ginger</t>
  </si>
  <si>
    <t>Signature (Safeway) Crystalized Ginger</t>
  </si>
  <si>
    <t>York</t>
  </si>
  <si>
    <t>Peppermint Patty</t>
  </si>
  <si>
    <t>York Peppermint Patty</t>
  </si>
  <si>
    <t>Cheesy Cheddar</t>
  </si>
  <si>
    <t>Knorr (Pasta Sides) Cheesy Cheddar</t>
  </si>
  <si>
    <t>Endurox R4</t>
  </si>
  <si>
    <t>Tangy Orange, Fruit Punch, Chocolate, Vanilla</t>
  </si>
  <si>
    <t>Endurox R4 Tangy Orange, Fruit Punch, Chocolate, Vanilla</t>
  </si>
  <si>
    <t>Cheddar Broccoli</t>
  </si>
  <si>
    <t>Knorr (Rice Sides) Cheddar Broccoli</t>
  </si>
  <si>
    <t>Creamy Chicken</t>
  </si>
  <si>
    <t>Knorr (Rice Sides) Creamy Chicken</t>
  </si>
  <si>
    <t>Creamy Garlic Shells</t>
  </si>
  <si>
    <t>Knorr (Italian Sides) Creamy Garlic Shells</t>
  </si>
  <si>
    <t>Caramel Double Chocolate Crunch</t>
  </si>
  <si>
    <t>Atkins Caramel Double Chocolate Crunch</t>
  </si>
  <si>
    <t>Post</t>
  </si>
  <si>
    <t>Grape-Nuts</t>
  </si>
  <si>
    <t>Post Grape-Nuts</t>
  </si>
  <si>
    <t>Soup Mix, Classic Chicken Noodle</t>
  </si>
  <si>
    <t>Bear Creek Soup Mix, Classic Chicken Noodle</t>
  </si>
  <si>
    <t>Carnation</t>
  </si>
  <si>
    <t>Instant Breakfast</t>
  </si>
  <si>
    <t>Carnation Instant Breakfast</t>
  </si>
  <si>
    <t>Jello</t>
  </si>
  <si>
    <t>Instant Pudding Mix, Vanilla</t>
  </si>
  <si>
    <t>Jello Instant Pudding Mix, Vanilla</t>
  </si>
  <si>
    <t>Apple + Cinnamon</t>
  </si>
  <si>
    <t>Skout Apple + Cinnamon</t>
  </si>
  <si>
    <t>Palouse Brand</t>
  </si>
  <si>
    <t>Dry Garbanzo Beans (Chickpeas)</t>
  </si>
  <si>
    <t>Palouse Brand Dry Garbanzo Beans (Chickpeas)</t>
  </si>
  <si>
    <t>MET-Rx Big100 Chocolate Chip Cookie Dough</t>
  </si>
  <si>
    <t>Chocolate Deluxe</t>
  </si>
  <si>
    <t>Pure Protein Bar Chocolate Deluxe</t>
  </si>
  <si>
    <t>Knorr (Fiesta Sides)</t>
  </si>
  <si>
    <t>Mexican Rice</t>
  </si>
  <si>
    <t>Knorr (Fiesta Sides) Mexican Rice</t>
  </si>
  <si>
    <t>Knorr (Cajun Sides)</t>
  </si>
  <si>
    <t>Red Beans &amp; Rice</t>
  </si>
  <si>
    <t>Knorr (Cajun Sides) Red Beans &amp; Rice</t>
  </si>
  <si>
    <t>Pineapple Tidbits</t>
  </si>
  <si>
    <t>Signature (Safeway) Pineapple Tidbits</t>
  </si>
  <si>
    <t>thinkThin</t>
  </si>
  <si>
    <t>Plant Protein and Probiotics Powder packet</t>
  </si>
  <si>
    <t>thinkThin Plant Protein and Probiotics Powder packet</t>
  </si>
  <si>
    <t>Jelly Belly</t>
  </si>
  <si>
    <t>Extreme Sport Beans, Watermelon</t>
  </si>
  <si>
    <t>Jelly Belly Extreme Sport Beans, Watermelon</t>
  </si>
  <si>
    <t>Instant Iced Coffee Caramel</t>
  </si>
  <si>
    <t>Starbucks Via Instant Iced Coffee Caramel</t>
  </si>
  <si>
    <t>Stretch Island</t>
  </si>
  <si>
    <t>Original Fruit Leather: Raspberry</t>
  </si>
  <si>
    <t>Stretch Island Original Fruit Leather: Raspberry</t>
  </si>
  <si>
    <t>Instant Pudding Mix, Chocolate Fudge</t>
  </si>
  <si>
    <t>Jello Instant Pudding Mix, Chocolate Fudge</t>
  </si>
  <si>
    <t>Corn Flakes</t>
  </si>
  <si>
    <t>Kellog's Corn Flakes</t>
  </si>
  <si>
    <t>Nesquik, Chocolate</t>
  </si>
  <si>
    <t>Nestle Nesquik, Chocolate</t>
  </si>
  <si>
    <t>Gummy Bears</t>
  </si>
  <si>
    <t>Signature (Safeway) Gummy Bears</t>
  </si>
  <si>
    <t>Mashed Potatoes, Applewood Smoked Bacon</t>
  </si>
  <si>
    <t>Idahoan Mashed Potatoes, Applewood Smoked Bacon</t>
  </si>
  <si>
    <t>Near East</t>
  </si>
  <si>
    <t>Rice Pilaf Mix, Toasted Almond</t>
  </si>
  <si>
    <t>Near East Rice Pilaf Mix, Toasted Almond</t>
  </si>
  <si>
    <t>Cheerios</t>
  </si>
  <si>
    <t>General Mills Cheerios</t>
  </si>
  <si>
    <t>Stuffing Mix, Cornbread</t>
  </si>
  <si>
    <t>Stove Top Stuffing Mix, Cornbread</t>
  </si>
  <si>
    <t>Quinoa &amp; Brown Rice, Rosemary &amp; Olive Oil</t>
  </si>
  <si>
    <t>Near East Quinoa &amp; Brown Rice, Rosemary &amp; Olive Oil</t>
  </si>
  <si>
    <t>Barilla</t>
  </si>
  <si>
    <t>Rotini</t>
  </si>
  <si>
    <t>Barilla Rotini</t>
  </si>
  <si>
    <t>Stuffing Mix, Pork</t>
  </si>
  <si>
    <t>Stove Top Stuffing Mix, Pork</t>
  </si>
  <si>
    <t>Couscous Mix, Parmesan</t>
  </si>
  <si>
    <t>Near East Couscous Mix, Parmesan</t>
  </si>
  <si>
    <t>Couscous Mix, Toasted Pine Nut</t>
  </si>
  <si>
    <t>Near East Couscous Mix, Toasted Pine Nut</t>
  </si>
  <si>
    <t>Keen One</t>
  </si>
  <si>
    <t>Instant Quinoa Mix, Chipotle</t>
  </si>
  <si>
    <t>Keen One Instant Quinoa Mix, Chipotle</t>
  </si>
  <si>
    <t>Instant Oatmeal Original</t>
  </si>
  <si>
    <t>Quaker Instant Oatmeal Original</t>
  </si>
  <si>
    <t>Curry Turkey with Spinach, Dates &amp; Cardamom</t>
  </si>
  <si>
    <t>Wild Zora (Meat Bar) Curry Turkey with Spinach, Dates &amp; Cardamom</t>
  </si>
  <si>
    <t>Krave</t>
  </si>
  <si>
    <t>Beef Jerky</t>
  </si>
  <si>
    <t>Krave Beef Jerky</t>
  </si>
  <si>
    <t>Reduced Sodium Italian Dry Salame</t>
  </si>
  <si>
    <t>Columbus Reduced Sodium Italian Dry Salame</t>
  </si>
  <si>
    <t>Chef's Cut</t>
  </si>
  <si>
    <t>Beef &amp; Pork Stick</t>
  </si>
  <si>
    <t>Chef's Cut Beef &amp; Pork Stick</t>
  </si>
  <si>
    <t>Skep's Recovery</t>
  </si>
  <si>
    <t>Chocolate Whey, Dextrose, Starbucks Via</t>
  </si>
  <si>
    <t>Skep's Recovery Chocolate Whey, Dextrose, Starbucks Via</t>
  </si>
  <si>
    <t>Couscous Mix, Original Plain</t>
  </si>
  <si>
    <t>Near East Couscous Mix, Original Plain</t>
  </si>
  <si>
    <t>Chili Beef with Kale, Apricot &amp; Cayenne</t>
  </si>
  <si>
    <t>Wild Zora (Meat Bar) Chili Beef with Kale, Apricot &amp; Cayenne</t>
  </si>
  <si>
    <t>Power Bar (Protein Plus) Chocolate Brownie</t>
  </si>
  <si>
    <t>Protein Powder, Chocolate Milkshake packet</t>
  </si>
  <si>
    <t>Quest Protein Powder, Chocolate Milkshake packet</t>
  </si>
  <si>
    <t>Herb &amp; Butter</t>
  </si>
  <si>
    <t>Knorr (Rice Sides) Herb &amp; Butter</t>
  </si>
  <si>
    <t>Power Bar</t>
  </si>
  <si>
    <t>Power Bar Chocolate Peanut Butter</t>
  </si>
  <si>
    <t>Sno Balls</t>
  </si>
  <si>
    <t>Hostess Sno Balls</t>
  </si>
  <si>
    <t>Cup-A-Soup Instant Mix, Cream of Chicken</t>
  </si>
  <si>
    <t>Lipton Cup-A-Soup Instant Mix, Cream of Chicken</t>
  </si>
  <si>
    <t>Camellia</t>
  </si>
  <si>
    <t>Dry Pinto Beans</t>
  </si>
  <si>
    <t>Camellia Dry Pinto Beans</t>
  </si>
  <si>
    <t>MET-Rx</t>
  </si>
  <si>
    <t>Peanut Butter Cup</t>
  </si>
  <si>
    <t>MET-Rx Peanut Butter Cup</t>
  </si>
  <si>
    <t>Frosted Mini Wheats</t>
  </si>
  <si>
    <t>Kellog's Frosted Mini Wheats</t>
  </si>
  <si>
    <t>Fruit Pie, Apple</t>
  </si>
  <si>
    <t>Hostess Fruit Pie, Apple</t>
  </si>
  <si>
    <t>Beef Sea Salt and Pepper</t>
  </si>
  <si>
    <t>Epic (Meat Bar) Beef Sea Salt and Pepper</t>
  </si>
  <si>
    <t>Twinkies</t>
  </si>
  <si>
    <t>Hostess Twinkies</t>
  </si>
  <si>
    <t>Jelly Beans, assorted flavors</t>
  </si>
  <si>
    <t>Jelly Belly Jelly Beans, assorted flavors</t>
  </si>
  <si>
    <t>Chili Mango</t>
  </si>
  <si>
    <t>Signature (Safeway) Chili Mango</t>
  </si>
  <si>
    <t>Mariani</t>
  </si>
  <si>
    <t>Dried Cherries</t>
  </si>
  <si>
    <t>Mariani Dried Cherries</t>
  </si>
  <si>
    <t>Wild Boar Bacon Cranberry</t>
  </si>
  <si>
    <t>Epic (Meat Bar) Wild Boar Bacon Cranberry</t>
  </si>
  <si>
    <t>Beef Habanero Cherry Walnut</t>
  </si>
  <si>
    <t>Epic (Meat Bar) Beef Habanero Cherry Walnut</t>
  </si>
  <si>
    <t>Venison Sea Salt Pepper</t>
  </si>
  <si>
    <t>Epic (Meat Bar) Venison Sea Salt Pepper</t>
  </si>
  <si>
    <t>Mashed Potatoes, Loaded</t>
  </si>
  <si>
    <t>Stove Top Mashed Potatoes, Loaded</t>
  </si>
  <si>
    <t>Clif Shot</t>
  </si>
  <si>
    <t>Protein Recovery Drink Mix, Chocolate</t>
  </si>
  <si>
    <t>Clif Shot Protein Recovery Drink Mix, Chocolate</t>
  </si>
  <si>
    <t>Instant Nonfat Dry Milk (9.6oz pouch)</t>
  </si>
  <si>
    <t>Carnation Instant Nonfat Dry Milk (9.6oz pouch)</t>
  </si>
  <si>
    <t>Smoked Salmon Maple</t>
  </si>
  <si>
    <t>Epic (Snack Strip) Smoked Salmon Maple</t>
  </si>
  <si>
    <t>Turkey Cranberry Sage</t>
  </si>
  <si>
    <t>Epic (Snack Strip) Turkey Cranberry Sage</t>
  </si>
  <si>
    <t>Recoverite - Chocolate</t>
  </si>
  <si>
    <t>Hammer Nutrition Recoverite - Chocolate</t>
  </si>
  <si>
    <t>Dry Green Lentils</t>
  </si>
  <si>
    <t>Food to Live Dry Green Lentils</t>
  </si>
  <si>
    <t>Fig Newtons</t>
  </si>
  <si>
    <t>Fig Fruit Chewy Cookies</t>
  </si>
  <si>
    <t>Fig Newtons Fig Fruit Chewy Cookies</t>
  </si>
  <si>
    <t>Wedderspoon</t>
  </si>
  <si>
    <t>Manuka Honey</t>
  </si>
  <si>
    <t>Wedderspoon Manuka Honey</t>
  </si>
  <si>
    <t>Rice Pilaf Mix, Spanish Rice</t>
  </si>
  <si>
    <t>Near East Rice Pilaf Mix, Spanish Rice</t>
  </si>
  <si>
    <t>Krave (Meat Bar)</t>
  </si>
  <si>
    <t>Pork, Mango Jalapeno</t>
  </si>
  <si>
    <t>Krave (Meat Bar) Pork, Mango Jalapeno</t>
  </si>
  <si>
    <t>Dark Chocolate Banana</t>
  </si>
  <si>
    <t>Kind (Pressed) Dark Chocolate Banana</t>
  </si>
  <si>
    <t>Dark Chocolate Strawberry</t>
  </si>
  <si>
    <t>Kind (Pressed) Dark Chocolate Strawberry</t>
  </si>
  <si>
    <t>Iberio</t>
  </si>
  <si>
    <t>Iberio Dry Pinto Beans</t>
  </si>
  <si>
    <t>Traverse Bay Fruit Co.</t>
  </si>
  <si>
    <t>Traverse Bay Fruit Co. Dried Cherries</t>
  </si>
  <si>
    <t>Clear Creek</t>
  </si>
  <si>
    <t>Dry Black Beans</t>
  </si>
  <si>
    <t>Clear Creek Dry Black Beans</t>
  </si>
  <si>
    <t>Long Grain &amp; Wild Rice Mix, Original</t>
  </si>
  <si>
    <t>Near East Long Grain &amp; Wild Rice Mix, Original</t>
  </si>
  <si>
    <t>Rice Pilaf Mix, Original</t>
  </si>
  <si>
    <t>Near East Rice Pilaf Mix, Original</t>
  </si>
  <si>
    <t>Couscous Mix, Roasted Garlic &amp; Olive Oil</t>
  </si>
  <si>
    <t>Near East Couscous Mix, Roasted Garlic &amp; Olive Oil</t>
  </si>
  <si>
    <t>Power Bar Chocolate</t>
  </si>
  <si>
    <t>Dry Cannellini Beans</t>
  </si>
  <si>
    <t>Food to Live Dry Cannellini Beans</t>
  </si>
  <si>
    <t>Clif Bloks</t>
  </si>
  <si>
    <t>Energy Chews, Black Cherry with Caffeine</t>
  </si>
  <si>
    <t>Clif Bloks Energy Chews, Black Cherry with Caffeine</t>
  </si>
  <si>
    <t>Gel</t>
  </si>
  <si>
    <t>Dried Tart Cherries</t>
  </si>
  <si>
    <t>Signature (Safeway) Dried Tart Cherries</t>
  </si>
  <si>
    <t>Twizzlers</t>
  </si>
  <si>
    <t>Red Vines</t>
  </si>
  <si>
    <t>Twizzlers Red Vines</t>
  </si>
  <si>
    <t>Red Vines Red Vines</t>
  </si>
  <si>
    <t>Premium Hot Cocoa, Double Chocolate</t>
  </si>
  <si>
    <t>Ghirardelli Premium Hot Cocoa, Double Chocolate</t>
  </si>
  <si>
    <t>Knorr</t>
  </si>
  <si>
    <t>Classic Brown Gravy Mix</t>
  </si>
  <si>
    <t>Knorr Classic Brown Gravy Mix</t>
  </si>
  <si>
    <t>Goya</t>
  </si>
  <si>
    <t>Dry Black-Eyed Peas</t>
  </si>
  <si>
    <t>Goya Dry Black-Eyed Peas</t>
  </si>
  <si>
    <t>Dry Split Peas</t>
  </si>
  <si>
    <t>Palouse Brand Dry Split Peas</t>
  </si>
  <si>
    <t>MusclePharm</t>
  </si>
  <si>
    <t>White Chocolate Raspberry</t>
  </si>
  <si>
    <t>MusclePharm White Chocolate Raspberry</t>
  </si>
  <si>
    <t>Salted Caramel Crunch</t>
  </si>
  <si>
    <t>Atkins Salted Caramel Crunch</t>
  </si>
  <si>
    <t>Sea Salt Original Beef Jerky</t>
  </si>
  <si>
    <t>Krave Sea Salt Original Beef Jerky</t>
  </si>
  <si>
    <t>Protein Powder, Vanilla Cream</t>
  </si>
  <si>
    <t>Six Star Protein Powder, Vanilla Cream</t>
  </si>
  <si>
    <t>Lono Life</t>
  </si>
  <si>
    <t>Savory Chicken Bone Broth</t>
  </si>
  <si>
    <t>Lono Life Savory Chicken Bone Broth</t>
  </si>
  <si>
    <t>Babybel</t>
  </si>
  <si>
    <t>Waxed mini cheese, Original</t>
  </si>
  <si>
    <t>Babybel Waxed mini cheese, Original</t>
  </si>
  <si>
    <t>Pride of India</t>
  </si>
  <si>
    <t>Pride of India Dry Black-Eyed Peas</t>
  </si>
  <si>
    <t>King's Hawaiian</t>
  </si>
  <si>
    <t>Hawaiian Sweet Hamburger Buns</t>
  </si>
  <si>
    <t>King's Hawaiian Hawaiian Sweet Hamburger Buns</t>
  </si>
  <si>
    <t>Bread</t>
  </si>
  <si>
    <t>Turkey Almond Cranberry</t>
  </si>
  <si>
    <t>Epic (Meat Bar) Turkey Almond Cranberry</t>
  </si>
  <si>
    <t>Chicken Egg Yolk and Apple</t>
  </si>
  <si>
    <t>Epic (Meat Bar) Chicken Egg Yolk and Apple</t>
  </si>
  <si>
    <t>Dried Cranberries</t>
  </si>
  <si>
    <t>Signature (Safeway) Dried Cranberries</t>
  </si>
  <si>
    <t>Blueberries, whole dried</t>
  </si>
  <si>
    <t>Kirkland Blueberries, whole dried</t>
  </si>
  <si>
    <t>Dark Seedless Raisins</t>
  </si>
  <si>
    <t>Signature (Safeway) Dark Seedless Raisins</t>
  </si>
  <si>
    <t>Sun Maid</t>
  </si>
  <si>
    <t>Raisins (natural California)</t>
  </si>
  <si>
    <t>Sun Maid Raisins (natural California)</t>
  </si>
  <si>
    <t>Nutri-Grain</t>
  </si>
  <si>
    <t>Strawberry</t>
  </si>
  <si>
    <t>Nutri-Grain Strawberry</t>
  </si>
  <si>
    <t>Beef Jalapeno</t>
  </si>
  <si>
    <t>Epic (Meat Bar) Beef Jalapeno</t>
  </si>
  <si>
    <t>Spicy BBQ Beef with Tomato, Pepper &amp; Kale</t>
  </si>
  <si>
    <t>Wild Zora (Meat Bar) Spicy BBQ Beef with Tomato, Pepper &amp; Kale</t>
  </si>
  <si>
    <t>Raisin Bran</t>
  </si>
  <si>
    <t>Kellog's Raisin Bran</t>
  </si>
  <si>
    <t>Original Fruit Leather: Apricot</t>
  </si>
  <si>
    <t>Stretch Island Original Fruit Leather: Apricot</t>
  </si>
  <si>
    <t>Pork Jerky, Korean BBQ</t>
  </si>
  <si>
    <t>Jack Links Pork Jerky, Korean BBQ</t>
  </si>
  <si>
    <t>Italian Dry Salami</t>
  </si>
  <si>
    <t>Columbus Italian Dry Salami</t>
  </si>
  <si>
    <t>Hickory Farms</t>
  </si>
  <si>
    <t>Beef Summer Sausage</t>
  </si>
  <si>
    <t>Hickory Farms Beef Summer Sausage</t>
  </si>
  <si>
    <t>Bacon Jerky Spicy Sriracha Style</t>
  </si>
  <si>
    <t>Carnivore Candy Bacon Jerky Spicy Sriracha Style</t>
  </si>
  <si>
    <t>Uncured Sriracha Bacon Jerky</t>
  </si>
  <si>
    <t>Go Bacon Uncured Sriracha Bacon Jerky</t>
  </si>
  <si>
    <t>Power Bar (Whey Protein)</t>
  </si>
  <si>
    <t>Power Bar (Whey Protein) Chocolate Chip Cookie Dough</t>
  </si>
  <si>
    <t>Mission 1</t>
  </si>
  <si>
    <t>Mission 1 Chocolate Brownie</t>
  </si>
  <si>
    <t>Protein Bar, Cookies &amp; Cream</t>
  </si>
  <si>
    <t>Quest Bar Protein Bar, Cookies &amp; Cream</t>
  </si>
  <si>
    <t>Cracker Barrel</t>
  </si>
  <si>
    <t>Sharp Cheddar and Bacon, macaroni</t>
  </si>
  <si>
    <t>Cracker Barrel Sharp Cheddar and Bacon, macaroni</t>
  </si>
  <si>
    <t>Jerky.com</t>
  </si>
  <si>
    <t>Original Venison Jerky</t>
  </si>
  <si>
    <t>Jerky.com Original Venison Jerky</t>
  </si>
  <si>
    <t>Pineapple Banana Kale Spinach</t>
  </si>
  <si>
    <t>Kind (Pressed) Pineapple Banana Kale Spinach</t>
  </si>
  <si>
    <t>Apricot Pear Carrot Beet</t>
  </si>
  <si>
    <t>Kind (Pressed) Apricot Pear Carrot Beet</t>
  </si>
  <si>
    <t>Strawberry Apple Chia</t>
  </si>
  <si>
    <t>Kind (Pressed) Strawberry Apple Chia</t>
  </si>
  <si>
    <t>Beef, Wild Blueberry</t>
  </si>
  <si>
    <t>Krave (Meat Bar) Beef, Wild Blueberry</t>
  </si>
  <si>
    <t>Beef, Chipotle Cherry</t>
  </si>
  <si>
    <t>Krave (Meat Bar) Beef, Chipotle Cherry</t>
  </si>
  <si>
    <t>Turkey, Cranberry Thyme</t>
  </si>
  <si>
    <t>Krave (Meat Bar) Turkey, Cranberry Thyme</t>
  </si>
  <si>
    <t>GU Energy Gel</t>
  </si>
  <si>
    <t>GU Energy Gel Salted Caramel</t>
  </si>
  <si>
    <t>Tri-Berry</t>
  </si>
  <si>
    <t>GU Energy Gel Tri-Berry</t>
  </si>
  <si>
    <t>Bare Bones</t>
  </si>
  <si>
    <t>Bone Broth (Chicken) Instant Protein Mix</t>
  </si>
  <si>
    <t>Bare Bones Bone Broth (Chicken) Instant Protein Mix</t>
  </si>
  <si>
    <t>Mission</t>
  </si>
  <si>
    <t>Organic Flour Tortillas</t>
  </si>
  <si>
    <t>Mission Organic Flour Tortillas</t>
  </si>
  <si>
    <t>Old El Paso</t>
  </si>
  <si>
    <t>Flour Tortillas (restaurant style)</t>
  </si>
  <si>
    <t>Old El Paso Flour Tortillas (restaurant style)</t>
  </si>
  <si>
    <t>Presto</t>
  </si>
  <si>
    <t>Apple Rings (dehydrated)</t>
  </si>
  <si>
    <t>Presto Apple Rings (dehydrated)</t>
  </si>
  <si>
    <t>Pro Bar (Bolt Energy Chew)</t>
  </si>
  <si>
    <t>Cran-Pomegranate</t>
  </si>
  <si>
    <t>Pro Bar (Bolt Energy Chew) Cran-Pomegranate</t>
  </si>
  <si>
    <t>Flour Tortilla Wraps, Rosemary &amp; Olive Oil</t>
  </si>
  <si>
    <t>Mission Flour Tortilla Wraps, Rosemary &amp; Olive Oil</t>
  </si>
  <si>
    <t>Wraps, Sun-Dried Tomato Basil</t>
  </si>
  <si>
    <t>Mission Wraps, Sun-Dried Tomato Basil</t>
  </si>
  <si>
    <t>Beef Barbacoa-Inspired</t>
  </si>
  <si>
    <t>Epic (Meat Bar) Beef Barbacoa-Inspired</t>
  </si>
  <si>
    <t>Spam</t>
  </si>
  <si>
    <t>Single Classic (packet)</t>
  </si>
  <si>
    <t>Spam Single Classic (packet)</t>
  </si>
  <si>
    <t>Velveeta</t>
  </si>
  <si>
    <t>Shells &amp; Cheese</t>
  </si>
  <si>
    <t>Velveeta Shells &amp; Cheese</t>
  </si>
  <si>
    <t>Double Espresso + Caffeine</t>
  </si>
  <si>
    <t>Clif Shot Double Espresso + Caffeine</t>
  </si>
  <si>
    <t>Strawberry with Caffeine</t>
  </si>
  <si>
    <t>Clif Shot Strawberry with Caffeine</t>
  </si>
  <si>
    <t>Ginsting</t>
  </si>
  <si>
    <t>Honey Stinger Ginsting</t>
  </si>
  <si>
    <t>Gold</t>
  </si>
  <si>
    <t>Honey Stinger Gold</t>
  </si>
  <si>
    <t>Street Tacos flour tortillas</t>
  </si>
  <si>
    <t>Mission Street Tacos flour tortillas</t>
  </si>
  <si>
    <t>Flour Tortillas</t>
  </si>
  <si>
    <t>Signature (Safeway) Flour Tortillas</t>
  </si>
  <si>
    <t>Turkey Jerky, Original</t>
  </si>
  <si>
    <t>Jack Links Turkey Jerky, Original</t>
  </si>
  <si>
    <t>Gunter's</t>
  </si>
  <si>
    <t>Pure Clover Honey Bear</t>
  </si>
  <si>
    <t>Gunter's Pure Clover Honey Bear</t>
  </si>
  <si>
    <t>Pure Clover Honey</t>
  </si>
  <si>
    <t>Kirkland Pure Clover Honey</t>
  </si>
  <si>
    <t>Tanka (Meat Bar)</t>
  </si>
  <si>
    <t>Buffalo Cranberry Jalapeno</t>
  </si>
  <si>
    <t>Tanka (Meat Bar) Buffalo Cranberry Jalapeno</t>
  </si>
  <si>
    <t>Pork Jerky, Black Cherry Barbecue</t>
  </si>
  <si>
    <t>Krave Pork Jerky, Black Cherry Barbecue</t>
  </si>
  <si>
    <t>Teriyaki Beef Jerky</t>
  </si>
  <si>
    <t>Jack Links Teriyaki Beef Jerky</t>
  </si>
  <si>
    <t>NatureBox</t>
  </si>
  <si>
    <t>Turkey Jerky, Hickory Smoked</t>
  </si>
  <si>
    <t>NatureBox Turkey Jerky, Hickory Smoked</t>
  </si>
  <si>
    <t>Original Beef Jerky</t>
  </si>
  <si>
    <t>Jack Links Original Beef Jerky</t>
  </si>
  <si>
    <t>Primo</t>
  </si>
  <si>
    <t>Italian Dry Salame</t>
  </si>
  <si>
    <t>Primo Italian Dry Salame</t>
  </si>
  <si>
    <t>Cheese String Original</t>
  </si>
  <si>
    <t>Frigo Cheese String Original</t>
  </si>
  <si>
    <t>Protein Bar, Cinnamon Roll</t>
  </si>
  <si>
    <t>Quest Bar Protein Bar, Cinnamon Roll</t>
  </si>
  <si>
    <t>Old Wisconsin</t>
  </si>
  <si>
    <t>Turkey Snack Sticks</t>
  </si>
  <si>
    <t>Old Wisconsin Turkey Snack Sticks</t>
  </si>
  <si>
    <t>Chicken Sesame BBQ</t>
  </si>
  <si>
    <t>Epic (Meat Bar) Chicken Sesame BBQ</t>
  </si>
  <si>
    <t>Chicken Sriracha</t>
  </si>
  <si>
    <t>Epic (Meat Bar) Chicken Sriracha</t>
  </si>
  <si>
    <t>Mini Original Pizza Crusts</t>
  </si>
  <si>
    <t>Signature (Safeway) Mini Original Pizza Crusts</t>
  </si>
  <si>
    <t>Mediterranean Apricots</t>
  </si>
  <si>
    <t>Mariani Mediterranean Apricots</t>
  </si>
  <si>
    <t>Thomas</t>
  </si>
  <si>
    <t>Bagels, Plain</t>
  </si>
  <si>
    <t>Thomas Bagels, Plain</t>
  </si>
  <si>
    <t>Flatout</t>
  </si>
  <si>
    <t>Artisan Thin Pizza Crust</t>
  </si>
  <si>
    <t>Flatout Artisan Thin Pizza Crust</t>
  </si>
  <si>
    <t>Boboli</t>
  </si>
  <si>
    <t>Boboli Mini Original Pizza Crusts</t>
  </si>
  <si>
    <t>Oroweat</t>
  </si>
  <si>
    <t>Crustini Sandwich Rolls</t>
  </si>
  <si>
    <t>Oroweat Crustini Sandwich Rolls</t>
  </si>
  <si>
    <t>French Hoagie Rolls</t>
  </si>
  <si>
    <t>Signature (Safeway) French Hoagie Rolls</t>
  </si>
  <si>
    <t>Welch's</t>
  </si>
  <si>
    <t>Jelly: Concord Grape</t>
  </si>
  <si>
    <t>Welch's Jelly: Concord Grape</t>
  </si>
  <si>
    <t>Pitted Prunes</t>
  </si>
  <si>
    <t>Mariani Pitted Prunes</t>
  </si>
  <si>
    <t>Signature (Safeway) Pitted Prunes</t>
  </si>
  <si>
    <t>Buffalo Cranberry</t>
  </si>
  <si>
    <t>Tanka (Meat Bar) Buffalo Cranberry</t>
  </si>
  <si>
    <t>Buffalo Cranberry Spicy Pepper Blend</t>
  </si>
  <si>
    <t>Tanka (Meat Bar) Buffalo Cranberry Spicy Pepper Blend</t>
  </si>
  <si>
    <t>Buffalo Cranberry Apple Orange Peel</t>
  </si>
  <si>
    <t>Tanka (Meat Bar) Buffalo Cranberry Apple Orange Peel</t>
  </si>
  <si>
    <t>Oberto Beef Jerky</t>
  </si>
  <si>
    <t>Prosciutto dry cured ham</t>
  </si>
  <si>
    <t>Primo Taglio Prosciutto dry cured ham</t>
  </si>
  <si>
    <t>StarKist</t>
  </si>
  <si>
    <t>E.V.O.O. Yellowfin Tuna (extra virgin olive oil)</t>
  </si>
  <si>
    <t>StarKist E.V.O.O. Yellowfin Tuna (extra virgin olive oil)</t>
  </si>
  <si>
    <t>Laughing Cow</t>
  </si>
  <si>
    <t>Cheese Wedges, Creamy Original Swiss</t>
  </si>
  <si>
    <t>Laughing Cow Cheese Wedges, Creamy Original Swiss</t>
  </si>
  <si>
    <t>Whole Multi-Grain sliced sandwich bread</t>
  </si>
  <si>
    <t>Oroweat Whole Multi-Grain sliced sandwich bread</t>
  </si>
  <si>
    <t>Sandwich Thins, 100% Whole Wheat</t>
  </si>
  <si>
    <t>Oroweat Sandwich Thins, 100% Whole Wheat</t>
  </si>
  <si>
    <t>ProteinUP Flatbread, Red Pepper Hummus</t>
  </si>
  <si>
    <t>Flatout ProteinUP Flatbread, Red Pepper Hummus</t>
  </si>
  <si>
    <t>Dried Apricots</t>
  </si>
  <si>
    <t>Signature (Safeway) Dried Apricots</t>
  </si>
  <si>
    <t>Chunk Light Tuna (packet in sunflower oil)</t>
  </si>
  <si>
    <t>StarKist Chunk Light Tuna (packet in sunflower oil)</t>
  </si>
  <si>
    <t>Steak Strips, extra thick cut jerky</t>
  </si>
  <si>
    <t>Kirkland Steak Strips, extra thick cut jerky</t>
  </si>
  <si>
    <t>Smuckers</t>
  </si>
  <si>
    <t>Simply Fruit Spread: Strawberry</t>
  </si>
  <si>
    <t>Smuckers Simply Fruit Spread: Strawberry</t>
  </si>
  <si>
    <t>E.V.O.O. Yellowfin Tuna (Sun-Dried Tomato)</t>
  </si>
  <si>
    <t>StarKist E.V.O.O. Yellowfin Tuna (Sun-Dried Tomato)</t>
  </si>
  <si>
    <t>Dry Large Lima Beans</t>
  </si>
  <si>
    <t>Goya Dry Large Lima Beans</t>
  </si>
  <si>
    <t>Sun Dried Tomatoes</t>
  </si>
  <si>
    <t>Signature (Safeway) Sun Dried Tomatoes</t>
  </si>
  <si>
    <t>PF Bakeries</t>
  </si>
  <si>
    <t>Fresh Pita Bread</t>
  </si>
  <si>
    <t>PF Bakeries Fresh Pita Bread</t>
  </si>
  <si>
    <t>P-Tabun</t>
  </si>
  <si>
    <t>Fresh White Pita Bread</t>
  </si>
  <si>
    <t>P-Tabun Fresh White Pita Bread</t>
  </si>
  <si>
    <t>Ready Pasta (fully cooked) Elbows</t>
  </si>
  <si>
    <t>Barilla Ready Pasta (fully cooked) Elbows</t>
  </si>
  <si>
    <t>Ready Pasta (fully cooked) Rotini</t>
  </si>
  <si>
    <t>Barilla Ready Pasta (fully cooked) Rotini</t>
  </si>
  <si>
    <t>Veggicopia Dips</t>
  </si>
  <si>
    <t>Single Serving, Roasted Red Pepper Hummus</t>
  </si>
  <si>
    <t>Veggicopia Dips Single Serving, Roasted Red Pepper Hummus</t>
  </si>
  <si>
    <t>Single Serving, Original Hummus</t>
  </si>
  <si>
    <t>Veggicopia Dips Single Serving, Original Hummus</t>
  </si>
  <si>
    <t>Unbranded</t>
  </si>
  <si>
    <t>Avocados, raw California</t>
  </si>
  <si>
    <t>Unbranded Avocados, raw California</t>
  </si>
  <si>
    <t>Iberia</t>
  </si>
  <si>
    <t>Dry Small Red Beans</t>
  </si>
  <si>
    <t>Iberia Dry Small Red Beans</t>
  </si>
  <si>
    <t>Cheese Wedges, Creamy White Cheddar</t>
  </si>
  <si>
    <t>Laughing Cow Cheese Wedges, Creamy White Cheddar</t>
  </si>
  <si>
    <t>Joseph's</t>
  </si>
  <si>
    <t>Flax, Oat Bran &amp; Whole Wheat Pita Bread</t>
  </si>
  <si>
    <t>Joseph's Flax, Oat Bran &amp; Whole Wheat Pita Bread</t>
  </si>
  <si>
    <t>Frog Fuel</t>
  </si>
  <si>
    <t>Liquid Protein Shot</t>
  </si>
  <si>
    <t>Frog Fuel Liquid Protein Shot</t>
  </si>
  <si>
    <t>Corned Beef Hash</t>
  </si>
  <si>
    <t>Hormel Corned Beef Hash</t>
  </si>
  <si>
    <t>Can</t>
  </si>
  <si>
    <t>Suzie's</t>
  </si>
  <si>
    <t>Quinoa with Olive Oil</t>
  </si>
  <si>
    <t>Suzie's Quinoa with Olive Oil</t>
  </si>
  <si>
    <t>Lavash Bread, Flax Oat Bran &amp; Wheat</t>
  </si>
  <si>
    <t>Joseph's Lavash Bread, Flax Oat Bran &amp; Wheat</t>
  </si>
  <si>
    <t>Tuna Creations Hickory Smoked</t>
  </si>
  <si>
    <t>StarKist Tuna Creations Hickory Smoked</t>
  </si>
  <si>
    <t>Uncle Ben's Ready Rice</t>
  </si>
  <si>
    <t>Spanish Style</t>
  </si>
  <si>
    <t>Uncle Ben's Ready Rice Spanish Style</t>
  </si>
  <si>
    <t>Campbells (Ready Meals)</t>
  </si>
  <si>
    <t>Prego Marinara &amp; Italian Sausage Rotini</t>
  </si>
  <si>
    <t>Campbells (Ready Meals) Prego Marinara &amp; Italian Sausage Rotini</t>
  </si>
  <si>
    <t>Dennison's</t>
  </si>
  <si>
    <t>Hot Chili Con Carne with Beans</t>
  </si>
  <si>
    <t>Dennison's Hot Chili Con Carne with Beans</t>
  </si>
  <si>
    <t>Wild Garden</t>
  </si>
  <si>
    <t>Hummus to Go, Roasted Garlic</t>
  </si>
  <si>
    <t>Wild Garden Hummus to Go, Roasted Garlic</t>
  </si>
  <si>
    <t>Homestyle Noodles &amp; Beef in mushroom sauce</t>
  </si>
  <si>
    <t>Campbells (Ready Meals) Homestyle Noodles &amp; Beef in mushroom sauce</t>
  </si>
  <si>
    <t>Stagg</t>
  </si>
  <si>
    <t>Dynamite Hot Chili with Beans</t>
  </si>
  <si>
    <t>Stagg Dynamite Hot Chili with Beans</t>
  </si>
  <si>
    <t>SmashPack</t>
  </si>
  <si>
    <t>Orange Peach Protein (squeeze pack)</t>
  </si>
  <si>
    <t>SmashPack Orange Peach Protein (squeeze pack)</t>
  </si>
  <si>
    <t>Single Serving Cup, Edemame Dip</t>
  </si>
  <si>
    <t>Veggicopia Dips Single Serving Cup, Edemame Dip</t>
  </si>
  <si>
    <t>Cheese Dip, Jalapeno Cheddar</t>
  </si>
  <si>
    <t>Fritos Cheese Dip, Jalapeno Cheddar</t>
  </si>
  <si>
    <t>Valley Fresh</t>
  </si>
  <si>
    <t>White Chicken Chunks (packet)</t>
  </si>
  <si>
    <t>Valley Fresh White Chicken Chunks (packet)</t>
  </si>
  <si>
    <t>New Whey</t>
  </si>
  <si>
    <t>Liquid Protein, Fruit Punch</t>
  </si>
  <si>
    <t>New Whey Liquid Protein, Fruit Punch</t>
  </si>
  <si>
    <t>Tuna Salad Pouch, Original Deli Style</t>
  </si>
  <si>
    <t>StarKist Tuna Salad Pouch, Original Deli Style</t>
  </si>
  <si>
    <t>Lemon Pepper (Outdoors Pouch)</t>
  </si>
  <si>
    <t>StarKist Lemon Pepper (Outdoors Pouch)</t>
  </si>
  <si>
    <t>Bean Dip, Original</t>
  </si>
  <si>
    <t>Fritos Bean Dip, Original</t>
  </si>
  <si>
    <t>Chunk Light Tuna (in water)</t>
  </si>
  <si>
    <t>StarKist Chunk Light Tuna (in water)</t>
  </si>
  <si>
    <t>Pace Santa Fe Style Steak with beans &amp; rice</t>
  </si>
  <si>
    <t>Campbells (Ready Meals) Pace Santa Fe Style Steak with beans &amp; rice</t>
  </si>
  <si>
    <t>Chef Boyardee</t>
  </si>
  <si>
    <t>Mini Beef Ravioli in Tomato &amp; Meat Sauce</t>
  </si>
  <si>
    <t>Chef Boyardee Mini Beef Ravioli in Tomato &amp; Meat Sauce</t>
  </si>
  <si>
    <t>Bananas (raw)</t>
  </si>
  <si>
    <t>Unbranded Bananas (raw)</t>
  </si>
  <si>
    <t>Pumpkin Tree</t>
  </si>
  <si>
    <t>Apple and Grape (squeeze pack)</t>
  </si>
  <si>
    <t>Pumpkin Tree Apple and Grape (squeeze pack)</t>
  </si>
  <si>
    <t>Dinty Moore</t>
  </si>
  <si>
    <t>Beef Stew</t>
  </si>
  <si>
    <t>Dinty Moore Beef Stew</t>
  </si>
  <si>
    <t>Apple Slices (fresh) with Sweet Yogurt Dip</t>
  </si>
  <si>
    <t>Signature (Safeway) Apple Slices (fresh) with Sweet Yogurt Dip</t>
  </si>
  <si>
    <t>Mamma Chia</t>
  </si>
  <si>
    <t>Blackberry Bliss (squeeze pack)</t>
  </si>
  <si>
    <t>Mamma Chia Blackberry Bliss (squeeze pack)</t>
  </si>
  <si>
    <t>GoGo SqueeZ</t>
  </si>
  <si>
    <t>Applesauce</t>
  </si>
  <si>
    <t>GoGo SqueeZ Applesauce</t>
  </si>
  <si>
    <t>Oranges (raw with peel)</t>
  </si>
  <si>
    <t>Unbranded Oranges (raw with peel)</t>
  </si>
  <si>
    <t>Apple and Peach (squeeze pack)</t>
  </si>
  <si>
    <t>Pumpkin Tree Apple and Peach (squeeze pack)</t>
  </si>
  <si>
    <t>Organic Sweet Apple Slices (fresh)</t>
  </si>
  <si>
    <t>Organics Organic Sweet Apple Slices (fresh)</t>
  </si>
  <si>
    <t>Progresso</t>
  </si>
  <si>
    <t>Soup, Chicken &amp; Wild Rice</t>
  </si>
  <si>
    <t>Progresso Soup, Chicken &amp; Wild Rice</t>
  </si>
  <si>
    <t>Progresso Light</t>
  </si>
  <si>
    <t>Soup, Chicken &amp; Vegetables with Rosemary</t>
  </si>
  <si>
    <t>Progresso Light Soup, Chicken &amp; Vegetables with Rosemary</t>
  </si>
  <si>
    <t>Gatorade Endurance Gatorlytes</t>
  </si>
  <si>
    <t>PackIt Gourmet</t>
  </si>
  <si>
    <t>hot</t>
  </si>
  <si>
    <t>Pork Sausage - Crumbles (Freeze-Dried)</t>
  </si>
  <si>
    <t>Trailtopia</t>
  </si>
  <si>
    <t>Egg Scramble</t>
  </si>
  <si>
    <t>cook</t>
  </si>
  <si>
    <t>Cheese, Mozzarella - Shredded (Freeze-Dried)</t>
  </si>
  <si>
    <t>cold</t>
  </si>
  <si>
    <t>Next Mile Meals</t>
  </si>
  <si>
    <t>Sausage Scramble</t>
  </si>
  <si>
    <t>Cheese, Cheddar - Shredded (Freeze-Dried)</t>
  </si>
  <si>
    <t>TexMex Breakfast Tacos (BYOB)</t>
  </si>
  <si>
    <t>Peak Refuel</t>
  </si>
  <si>
    <t>Chicken Alfredo Pasta</t>
  </si>
  <si>
    <t>Entrée</t>
  </si>
  <si>
    <t>Ground Beef (Freeze-Dried)</t>
  </si>
  <si>
    <t>Sour Cream Powder</t>
  </si>
  <si>
    <t>Cheese, Monterey Jack - Shredded (Freeze-Dried)</t>
  </si>
  <si>
    <t>Pizza Margherita Wrap (BYOB)</t>
  </si>
  <si>
    <t>Ground Beef</t>
  </si>
  <si>
    <t>Beef Pasta Marinara</t>
  </si>
  <si>
    <t>Beef Tacos</t>
  </si>
  <si>
    <t>Italian Beef Marinara</t>
  </si>
  <si>
    <t>Chicken Pesto Pasta</t>
  </si>
  <si>
    <t>Steak Omelette</t>
  </si>
  <si>
    <t>Beef Stroganoff</t>
  </si>
  <si>
    <t>Scrambled Eggs with Bacon</t>
  </si>
  <si>
    <t>Diner Deluxe Eggs with Sausage</t>
  </si>
  <si>
    <t>Scrambled Eggs with Bacon (PRO-PAK)</t>
  </si>
  <si>
    <t>Scrambled Eggs with Bacon (LRP)</t>
  </si>
  <si>
    <t>Western Style Eggs (LRP)</t>
  </si>
  <si>
    <t>Paleo Meals To Go</t>
  </si>
  <si>
    <t>Cliffside Coconut Berry Porridge</t>
  </si>
  <si>
    <t>Palisade Pineapple Mango Porridge</t>
  </si>
  <si>
    <t>Scrambled Eggs with Ham, Peppers</t>
  </si>
  <si>
    <t>Roast Beef Dices (Freeze-Dried)</t>
  </si>
  <si>
    <t>Fettuccine Alfredo with Cheese</t>
  </si>
  <si>
    <t>Buffalo Ranch Chicken</t>
  </si>
  <si>
    <t>All-American Works Burger (BYOB)</t>
  </si>
  <si>
    <t>Diner Deluxe Scrambled Eggs</t>
  </si>
  <si>
    <t>Deli Roast Beef</t>
  </si>
  <si>
    <t>Coconut Chicken Curry</t>
  </si>
  <si>
    <t>Turkey Tetrazzini (LRP)</t>
  </si>
  <si>
    <t>Cheese, Parmesan - Powder</t>
  </si>
  <si>
    <t>Homestyle Chicken &amp; Rice</t>
  </si>
  <si>
    <t>Breakfast Skillet (LRP)</t>
  </si>
  <si>
    <t>Diced Chicken</t>
  </si>
  <si>
    <t>Cheddar-Jack Cheese Spread (BYOB)</t>
  </si>
  <si>
    <t>Side</t>
  </si>
  <si>
    <t>Bedrock Beef Chili</t>
  </si>
  <si>
    <t>Beef Chili Mac</t>
  </si>
  <si>
    <t>Chicken &amp; Broccoli Casserole</t>
  </si>
  <si>
    <t>Breakfast Skillet</t>
  </si>
  <si>
    <t>Spaghetti with Meat Sauce (PRO-PAK)</t>
  </si>
  <si>
    <t>Texas Mesquite Chicken Salad (BYOB)</t>
  </si>
  <si>
    <t>Crème Brulee</t>
  </si>
  <si>
    <t>Creamy Macaroni and Cheese</t>
  </si>
  <si>
    <t>Breakfast Skillet (PRO-PAK)</t>
  </si>
  <si>
    <t>Mountain Beef Stew</t>
  </si>
  <si>
    <t>Alpine Aire</t>
  </si>
  <si>
    <t>Bandito Scramble</t>
  </si>
  <si>
    <t>Turkey Tetrazzini</t>
  </si>
  <si>
    <t>Herb-Roasted Turkey Wrap (BYOB)</t>
  </si>
  <si>
    <t>Beef Stroganoff (LRP)</t>
  </si>
  <si>
    <t>Firepot</t>
  </si>
  <si>
    <t>Beef Stew with Pearl Barley</t>
  </si>
  <si>
    <t>Spicy Pork Noodles</t>
  </si>
  <si>
    <t>ReadyWise</t>
  </si>
  <si>
    <t>Trail Treats Cookie Dough Snacks</t>
  </si>
  <si>
    <t>Deli-Smoked Roast Beef Wrap (BYOB)</t>
  </si>
  <si>
    <t>Chicken and Rice (PRO-PAK)</t>
  </si>
  <si>
    <t>Caldera Chicken Curry</t>
  </si>
  <si>
    <t>Orzo Pasta Bolognese</t>
  </si>
  <si>
    <t>Dark Chocolate Cheesecake Mix</t>
  </si>
  <si>
    <t>Chicken and Dumplings</t>
  </si>
  <si>
    <t>Butte Cacao Banana Porridge</t>
  </si>
  <si>
    <t>Curry Mango Chicken Salad (BYOB)</t>
  </si>
  <si>
    <t>Chicken Fajita Bowl</t>
  </si>
  <si>
    <t>Cajun Ranch Chicken Salad (BYOB)</t>
  </si>
  <si>
    <t>Granola with Blueberries, Almonds &amp; Milk</t>
  </si>
  <si>
    <t>Kickin' Chicken Hot Wings Wrap (BYOB)</t>
  </si>
  <si>
    <t>Astronaut Neopolitan Ice Cream Sandwich</t>
  </si>
  <si>
    <t>Astronaut Vanilla Ice Cream Sandwich</t>
  </si>
  <si>
    <t>Chicken and Rice (LRP)</t>
  </si>
  <si>
    <t>Cajun Jambalaya</t>
  </si>
  <si>
    <t>Seafood Chowder (LRP)</t>
  </si>
  <si>
    <t>Beef Stroganoff (PRO-PAK)</t>
  </si>
  <si>
    <t>Many Beans Salad</t>
  </si>
  <si>
    <t>Spicy Southwest Style Skillet</t>
  </si>
  <si>
    <t>Chicken Fried Rice</t>
  </si>
  <si>
    <t>Yellow Curry with Chicken</t>
  </si>
  <si>
    <t>Early Dawn Breakfast Skillet</t>
  </si>
  <si>
    <t>Biscuits and Gravy</t>
  </si>
  <si>
    <t>Chili Con Carne and Rice</t>
  </si>
  <si>
    <t>Creamy Beef &amp; Noodles with Mushrooms</t>
  </si>
  <si>
    <t>Cheese Enchilada Ranchero</t>
  </si>
  <si>
    <t>Three Bean Chili Mac</t>
  </si>
  <si>
    <t>Happy Hour Queso Rico Dip</t>
  </si>
  <si>
    <t>Sweet Pork &amp; Rice</t>
  </si>
  <si>
    <t>Good To-Go</t>
  </si>
  <si>
    <t>Cuban Rice Bowl</t>
  </si>
  <si>
    <t>Texas State Fair Chili</t>
  </si>
  <si>
    <t>Edamame (Freeze-Dried)</t>
  </si>
  <si>
    <t>Ice Cream Sandwich</t>
  </si>
  <si>
    <t>Trailhead Noodles &amp; Beef</t>
  </si>
  <si>
    <t>Strawberry Cheesecake</t>
  </si>
  <si>
    <t>Spicy Sausage Pasta (Pork)</t>
  </si>
  <si>
    <t>Cheesecake Bites</t>
  </si>
  <si>
    <t>Pad Thai with Chicken</t>
  </si>
  <si>
    <t>Meyer Lemon Cheesecake</t>
  </si>
  <si>
    <t>Chili Mac with Beef (PRO-PAK)</t>
  </si>
  <si>
    <t>Chicken and Mashed Potatoes</t>
  </si>
  <si>
    <t>Porcini Mushroom Risotto</t>
  </si>
  <si>
    <t>Old Country Pasta Alfredo with Chicken</t>
  </si>
  <si>
    <t>Rocky Mountain Scramble</t>
  </si>
  <si>
    <t>Still Lake Lasagna with Sausage</t>
  </si>
  <si>
    <t>Trail Treats Mango Sticky Rice</t>
  </si>
  <si>
    <t>Herbed Mushroom Risotto</t>
  </si>
  <si>
    <t>Trailside Bean &amp; Cheese Burrito (BYOB)</t>
  </si>
  <si>
    <t>Lasagna with Meat Sauce</t>
  </si>
  <si>
    <t>Chicken a la King</t>
  </si>
  <si>
    <t>Homestyle Chicken Noodle Casserole</t>
  </si>
  <si>
    <t>Mexican Adobo Rice &amp; Chicken</t>
  </si>
  <si>
    <t>Polenta with Pork Sausage</t>
  </si>
  <si>
    <t>Classic Marinara with Pasta</t>
  </si>
  <si>
    <t>Pumpkin Cheesecake</t>
  </si>
  <si>
    <t>Mom's Banana Puddin'</t>
  </si>
  <si>
    <t>Granola</t>
  </si>
  <si>
    <t>Spaghetti w/Meat Sauce (LRP)</t>
  </si>
  <si>
    <t>Chili Mac with Beef</t>
  </si>
  <si>
    <t>Three Cheese Mac &amp; Cheese</t>
  </si>
  <si>
    <t>Good Day Sunshine Bowl</t>
  </si>
  <si>
    <t>Cheesecake Chocolate Raspberry</t>
  </si>
  <si>
    <t>Peanut Butter &amp; Raisin Oatmeal</t>
  </si>
  <si>
    <t>Sweet and Sour Pork</t>
  </si>
  <si>
    <t>Chicken Teriyaki Rice</t>
  </si>
  <si>
    <t>Pesto Pasta with Hemp Seed Protein</t>
  </si>
  <si>
    <t>Chili Macaroni with Beef (LRP)</t>
  </si>
  <si>
    <t>Mango Sticky Rice</t>
  </si>
  <si>
    <t>Mexican Style Rice &amp; Chicken (LRP)</t>
  </si>
  <si>
    <t>Santa Fe Breakfast Corn Pudding</t>
  </si>
  <si>
    <t>Rice and Chicken</t>
  </si>
  <si>
    <t>Spaghetti with Meat Sauce</t>
  </si>
  <si>
    <t>Cheesecake Chocolate Strawberry</t>
  </si>
  <si>
    <t>Beef Stew (LRP)</t>
  </si>
  <si>
    <t>Chicken Stew with Noodles</t>
  </si>
  <si>
    <t>Chiang Mai Coconut Curry with Beef</t>
  </si>
  <si>
    <t>Summit Savory Chicken</t>
  </si>
  <si>
    <t>Peach Blueberry Crisp</t>
  </si>
  <si>
    <t>Chicken Pho</t>
  </si>
  <si>
    <t>Indian Vegetable Korma</t>
  </si>
  <si>
    <t>Leonardo Da Fettuccine</t>
  </si>
  <si>
    <t>Blueberry Walnut Oats &amp; Quinoa</t>
  </si>
  <si>
    <t>Organic Hot Blueberry, Walnut, Oats &amp; Quinoa Cereal</t>
  </si>
  <si>
    <t>Three Cheese Chicken Pasta</t>
  </si>
  <si>
    <t>Noodles and Chicken</t>
  </si>
  <si>
    <t>Pasta Primavera</t>
  </si>
  <si>
    <t>Chicken Teriyaki</t>
  </si>
  <si>
    <t>Stroganoff Sauce, Egg Noodles, Beef &amp; Mushrooms</t>
  </si>
  <si>
    <t>Three Amigos Veggie Stew</t>
  </si>
  <si>
    <t>Beef &amp; Black Bean Burrito (BYOB)</t>
  </si>
  <si>
    <t>Chicken Cashew Curry</t>
  </si>
  <si>
    <t>Forever Young Mac &amp; Cheese</t>
  </si>
  <si>
    <t>Brown Sugar &amp; Raisin Oatmeal</t>
  </si>
  <si>
    <t>Mocha Mousse Pie</t>
  </si>
  <si>
    <t>Open Range Cheesy Potato Soup</t>
  </si>
  <si>
    <t>Chicken - White Meat (Freeze-Dried)</t>
  </si>
  <si>
    <t>Baked Apple Porridge</t>
  </si>
  <si>
    <t>Pasta Primavera with Grilled Chicken</t>
  </si>
  <si>
    <t>Oatmeal</t>
  </si>
  <si>
    <t>Boston Crème Parfait</t>
  </si>
  <si>
    <t>West Memphis Grits Souffle</t>
  </si>
  <si>
    <t>Sunrise Strawberry Granola Crunch</t>
  </si>
  <si>
    <t>Molten Chocolate Lava Cakes</t>
  </si>
  <si>
    <t>Peach Passion Jump Start Smoothie</t>
  </si>
  <si>
    <t>Creamy Potato Cheddar Soup</t>
  </si>
  <si>
    <t>Pasta Roma</t>
  </si>
  <si>
    <t>Southwestern Style Masa with Beef</t>
  </si>
  <si>
    <t>Tuscan Grilled Chicken Alfredo</t>
  </si>
  <si>
    <t>Pad Thai</t>
  </si>
  <si>
    <t>Thai Curry</t>
  </si>
  <si>
    <t>Summit Sweet Potato Curry</t>
  </si>
  <si>
    <t>Happy Hour Black Bean Dip</t>
  </si>
  <si>
    <t>Triple Berry Crisp</t>
  </si>
  <si>
    <t>Golden Fields Mac &amp; Cheese</t>
  </si>
  <si>
    <t>Appalachian Apple Cinnamon Cereal</t>
  </si>
  <si>
    <t>Daybreak Coconut Blueberry Multi-Grain</t>
  </si>
  <si>
    <t>Apple Crisp</t>
  </si>
  <si>
    <t>Chocolate Mudslide</t>
  </si>
  <si>
    <t>Desert High Chili Mac with Beef</t>
  </si>
  <si>
    <t>Spicy Sausage Bolognese</t>
  </si>
  <si>
    <t>Freeze-Dried Cooked Chicken Breast</t>
  </si>
  <si>
    <t>Pineapple Dices (Freeze-Dried)</t>
  </si>
  <si>
    <t>Pork Pad Thai</t>
  </si>
  <si>
    <t>Strawberry Granola with Milk</t>
  </si>
  <si>
    <t>Sweet Potato Chili Mac with Hemp Seed Protein</t>
  </si>
  <si>
    <t>Ginger Chicken Stir Fry</t>
  </si>
  <si>
    <t>Vegan Orzo Bolognese</t>
  </si>
  <si>
    <t>Bibimbap</t>
  </si>
  <si>
    <t>Raspberry Chocolate Oatmeal</t>
  </si>
  <si>
    <t>Mountain Berry Granola</t>
  </si>
  <si>
    <t>Black Bart Chili with Beef &amp; Beans</t>
  </si>
  <si>
    <t>Kung Pao Beef</t>
  </si>
  <si>
    <t>Kung Pao Grilled Chicken</t>
  </si>
  <si>
    <t>Strawberry Granola</t>
  </si>
  <si>
    <t>Crest Peak Creamy Pasta &amp; Chicken</t>
  </si>
  <si>
    <t>Kale and White Bean Stew</t>
  </si>
  <si>
    <t>Oriental Style Spicy Chicken (LRP)</t>
  </si>
  <si>
    <t>Pasta Beef Bolognese</t>
  </si>
  <si>
    <t>Lasagna</t>
  </si>
  <si>
    <t>Santa Fe Style Rice &amp; Beans with Chicken</t>
  </si>
  <si>
    <t>Tuscan Beef Stew &amp; Italian Polenta</t>
  </si>
  <si>
    <t>Rustic Skillet Bread</t>
  </si>
  <si>
    <t>Jambalaya</t>
  </si>
  <si>
    <t>Pesto Chicken Pasta</t>
  </si>
  <si>
    <t>Chana Masala</t>
  </si>
  <si>
    <t>Szechuan Chicken with Rice</t>
  </si>
  <si>
    <t>Three Cheese Lasagna</t>
  </si>
  <si>
    <t>Summit Breakfast Scramble</t>
  </si>
  <si>
    <t>Shepherd's Potato Stew with Beef</t>
  </si>
  <si>
    <t>Mashed Potatoes &amp; Gravy with Beef</t>
  </si>
  <si>
    <t>Sweet &amp; Sour Rice and Chicken</t>
  </si>
  <si>
    <t>Poblano Corn Chowder</t>
  </si>
  <si>
    <t>Grilled Chicken Pad Thai</t>
  </si>
  <si>
    <t>Sweet Potato Chicken and Rice</t>
  </si>
  <si>
    <t>Berry Berry Jump Start Smoothie</t>
  </si>
  <si>
    <t>Garden Vegetable Pasta</t>
  </si>
  <si>
    <t>Three Sisters Stew</t>
  </si>
  <si>
    <t>Al Pastor with Cilantro Lime Rice</t>
  </si>
  <si>
    <t>Fettuccini Alfredo with Chicken</t>
  </si>
  <si>
    <t>Hearty Beef Stew</t>
  </si>
  <si>
    <t>Cuban Coconut Rice &amp; Black Beans</t>
  </si>
  <si>
    <t>Three Berry Crumble</t>
  </si>
  <si>
    <t>Peach Oatmeal</t>
  </si>
  <si>
    <t>Himalayan Lentils &amp; Rice</t>
  </si>
  <si>
    <t>Pepper Beef with Rice</t>
  </si>
  <si>
    <t>Market Pasta Puttanesca</t>
  </si>
  <si>
    <t>Cajun Smack Chicken &amp; Rice</t>
  </si>
  <si>
    <t>Austintacious Tortilla Soup</t>
  </si>
  <si>
    <t>Sweet &amp; Sour Grilled Chicken</t>
  </si>
  <si>
    <t>Big'un Burrito with Fajita Chicken (BYOB)</t>
  </si>
  <si>
    <t>Mexican Style Beef Bowl</t>
  </si>
  <si>
    <t>Mango Oatmeal</t>
  </si>
  <si>
    <t>Southwest Corn &amp; Black Bean Salad</t>
  </si>
  <si>
    <t>Blueberry Oatmeal</t>
  </si>
  <si>
    <t>Strawberry Oatmeal</t>
  </si>
  <si>
    <t>Italian Style Pepper Steak with Rice</t>
  </si>
  <si>
    <t>Apple Cinnamon Oatmeal</t>
  </si>
  <si>
    <t>Green English Peas (Freeze-Dried)</t>
  </si>
  <si>
    <t>Potato Dices (Freeze-Dried)</t>
  </si>
  <si>
    <t>Cinnamon Apple Crisp</t>
  </si>
  <si>
    <t>Mexican Quinoa Bowl</t>
  </si>
  <si>
    <t>Treeline Teriyaki Chicken &amp; Rice</t>
  </si>
  <si>
    <t>Risotto with Chicken</t>
  </si>
  <si>
    <t>Black Beans (Pre-Cooked)</t>
  </si>
  <si>
    <t>Lentils (Pre-Cooked)</t>
  </si>
  <si>
    <t>Pork Jambalaya</t>
  </si>
  <si>
    <t>Spicy Grilled Chicken Curry</t>
  </si>
  <si>
    <t>Banana Oatmeal</t>
  </si>
  <si>
    <t>Rice, Brown (Instant)</t>
  </si>
  <si>
    <t>Rice, White (Instant)</t>
  </si>
  <si>
    <t>Mexican-Style Grilled Chicken Bowl</t>
  </si>
  <si>
    <t>Cinnamon Apple Oats &amp; Quinoa</t>
  </si>
  <si>
    <t>Teriyaki Chicken &amp; Rice</t>
  </si>
  <si>
    <t>Grilled Chicken Gumbo</t>
  </si>
  <si>
    <t>Apple Dices (Freeze-Dried)</t>
  </si>
  <si>
    <t>Blueberries (Freeze-Dried)</t>
  </si>
  <si>
    <t>Green Beans (Freeze-Dried)</t>
  </si>
  <si>
    <t>Mango Dices (Freeze-Dried)</t>
  </si>
  <si>
    <t>Okra Slices (Freeze-Dried)</t>
  </si>
  <si>
    <t>Onions, White Dices (Freeze-Dried)</t>
  </si>
  <si>
    <t>Patagonia Provisions</t>
  </si>
  <si>
    <t>Organic Breakfast Grains</t>
  </si>
  <si>
    <t>New England Corn Chowdah</t>
  </si>
  <si>
    <t>Grilled Chicken Jambalaya</t>
  </si>
  <si>
    <t>Beer Braised Chicken Stew</t>
  </si>
  <si>
    <t>Kathmandu Curry</t>
  </si>
  <si>
    <t>Corn, Yellow - Whole Kernel (Freeze-Dried)</t>
  </si>
  <si>
    <t>Onions, Sweet White - Chopped (Freeze-Dried)</t>
  </si>
  <si>
    <t>Rocky Road Chocolate Pudding</t>
  </si>
  <si>
    <t>Mexican Style Veggie Bowl</t>
  </si>
  <si>
    <t>Jamaican Style Jerk Rice &amp; Beans with Chicken</t>
  </si>
  <si>
    <t>Santa Fe Black Beans &amp; Rice</t>
  </si>
  <si>
    <t>Chicken Gumbo</t>
  </si>
  <si>
    <t>Diced Beef</t>
  </si>
  <si>
    <t>Switchback Spicy Asian Style Noodles</t>
  </si>
  <si>
    <t>Smoked Three Bean Chili</t>
  </si>
  <si>
    <t>The 'Big Easy' Cajun Gumbo</t>
  </si>
  <si>
    <t>Organic Black Bean Soup</t>
  </si>
  <si>
    <t>Mountain Chili</t>
  </si>
  <si>
    <t>Lousiana Red Beans &amp; Rice</t>
  </si>
  <si>
    <t>Basecamp Four Bean &amp; Vegetable Soup</t>
  </si>
  <si>
    <t>Organic Red Bean Chili</t>
  </si>
  <si>
    <t>Spicy Red Bean Chili</t>
  </si>
  <si>
    <t>Organic Savory Grains, Green Kale, Wheat</t>
  </si>
  <si>
    <t>Ramen Noodles - Beef flavored Stroganoff</t>
  </si>
  <si>
    <t>Carrot Dices (Freeze-Dried)</t>
  </si>
  <si>
    <t>Corn, Sweet - Roasted (Freeze-Dried)</t>
  </si>
  <si>
    <t>High Plateau Veggie Chili Soup</t>
  </si>
  <si>
    <t>Dottie's Chicken &amp; Dumplings</t>
  </si>
  <si>
    <t>Savory Grains, Mushroom, Wheat</t>
  </si>
  <si>
    <t>Organic Tsampa Soup</t>
  </si>
  <si>
    <t>Organic Green Lentil Soup</t>
  </si>
  <si>
    <t>Bell Pepper Dices (Freeze-Dried)</t>
  </si>
  <si>
    <t>Celery - Chopped (Freeze-Dried)</t>
  </si>
  <si>
    <t>Jalapeno Pepper Dices (Freeze-Dried)</t>
  </si>
  <si>
    <t>Happy Hour Pico de Gallo Salsa</t>
  </si>
  <si>
    <t>Tomato Dices (Freeze-Dried)</t>
  </si>
  <si>
    <t>Vegetable Blend - Chopped (Freeze-Dried)</t>
  </si>
  <si>
    <t>Ramen Rescue with Chicken (BYO-Ramen)</t>
  </si>
  <si>
    <t>Vegetable Ramen Rescue (BYO-Ramen)</t>
  </si>
  <si>
    <t>Organic Hot Cinnamon, Apple, Oats &amp; Quinoa Cereal</t>
  </si>
  <si>
    <t>Ramen Noodles - Curry</t>
  </si>
  <si>
    <t>Ramen Noodles - Chicken flavored with Broccoli</t>
  </si>
  <si>
    <t>Ramen Noodles - Beef with Vegetables &amp; Mushrooms</t>
  </si>
  <si>
    <t>Broccoli - Chopped (Freeze-Dried)</t>
  </si>
  <si>
    <t>Mushroom, White Dices (Freeze-Dried)</t>
  </si>
  <si>
    <t>Tomato, Red Ripe - Large Dices (Freeze-Dried)</t>
  </si>
  <si>
    <t>Zucchini Slices (Freeze-Dried)</t>
  </si>
  <si>
    <t>Backcountry Wild Rice Risotto</t>
  </si>
  <si>
    <t>Spinach - Chopped (Freeze-Dried)</t>
  </si>
  <si>
    <t>Keto Brick</t>
  </si>
  <si>
    <t>Chocolate Peanut Butter Cup</t>
  </si>
  <si>
    <t>Keto Brick Chocolate Peanut Butter Cup</t>
  </si>
  <si>
    <t>Coconut Cream</t>
  </si>
  <si>
    <t>Keto Brick Coconut Cream</t>
  </si>
  <si>
    <t>Cookies And Cream</t>
  </si>
  <si>
    <t>Keto Brick Cookies And Cream</t>
  </si>
  <si>
    <t>Mocha</t>
  </si>
  <si>
    <t>Keto Brick Mocha</t>
  </si>
  <si>
    <t>Keto Brick Peanut Butter</t>
  </si>
  <si>
    <t>Toasted Almond Coconut</t>
  </si>
  <si>
    <t>Keto Brick Toasted Almond Coconut</t>
  </si>
  <si>
    <t>Heather's Choice</t>
  </si>
  <si>
    <t>Packaroons - Lemon Lavender</t>
  </si>
  <si>
    <t>Heather's Choice Packaroons - Lemon Lavender</t>
  </si>
  <si>
    <t>Packaroons - Orange Vanilla</t>
  </si>
  <si>
    <t>Heather's Choice Packaroons - Orange Vanilla</t>
  </si>
  <si>
    <t>Packaroons - Spiced Cocoa</t>
  </si>
  <si>
    <t>Heather's Choice Packaroons - Spiced Cocoa</t>
  </si>
  <si>
    <t>Universal Bakery</t>
  </si>
  <si>
    <t>Paleo Grain Free</t>
  </si>
  <si>
    <t>Universal Bakery Paleo Grain Free</t>
  </si>
  <si>
    <t>FBOMB</t>
  </si>
  <si>
    <t>Chocolate Hazelnut</t>
  </si>
  <si>
    <t>FBOMB Chocolate Hazelnut</t>
  </si>
  <si>
    <t>Packaroons - Black Espresso</t>
  </si>
  <si>
    <t>Heather's Choice Packaroons - Black Espresso</t>
  </si>
  <si>
    <t>Packaroons - Blueberry Almond</t>
  </si>
  <si>
    <t>Heather's Choice Packaroons - Blueberry Almond</t>
  </si>
  <si>
    <t>Packaroons - Sweet Coconut</t>
  </si>
  <si>
    <t>Heather's Choice Packaroons - Sweet Coconut</t>
  </si>
  <si>
    <t>Packaroons - Mint Chocolate</t>
  </si>
  <si>
    <t>Heather's Choice Packaroons - Mint Chocolate</t>
  </si>
  <si>
    <t>18 Rabbits</t>
  </si>
  <si>
    <t>Date, Pecan &amp; Coconut</t>
  </si>
  <si>
    <t>18 Rabbits Date, Pecan &amp; Coconut</t>
  </si>
  <si>
    <t>Munk Pack</t>
  </si>
  <si>
    <t>Keto Granola - Almond Butter Cocoa Chip</t>
  </si>
  <si>
    <t>Munk Pack Keto Granola - Almond Butter Cocoa Chip</t>
  </si>
  <si>
    <t>Keto Granola - Blueberry Almond Vanilla</t>
  </si>
  <si>
    <t>Munk Pack Keto Granola - Blueberry Almond Vanilla</t>
  </si>
  <si>
    <t>Keto Granola - Coconut Cocoa Chip</t>
  </si>
  <si>
    <t>Munk Pack Keto Granola - Coconut Cocoa Chip</t>
  </si>
  <si>
    <t>Keto Nut &amp; Seed - Caramel Sea Salt</t>
  </si>
  <si>
    <t>Munk Pack Keto Nut &amp; Seed - Caramel Sea Salt</t>
  </si>
  <si>
    <t>Keto Nut &amp; Seed - Macadamia White Choc.</t>
  </si>
  <si>
    <t>Munk Pack Keto Nut &amp; Seed - Macadamia White Choc.</t>
  </si>
  <si>
    <t>Keto Nut &amp; Seed - Coconut Almond Dark Choc.</t>
  </si>
  <si>
    <t>Munk Pack Keto Nut &amp; Seed - Coconut Almond Dark Choc.</t>
  </si>
  <si>
    <t>Sports Research</t>
  </si>
  <si>
    <t>Extra Virgin Organic Coconut Oil Capsules</t>
  </si>
  <si>
    <t>Sports Research Extra Virgin Organic Coconut Oil Capsules</t>
  </si>
  <si>
    <t>Julian Bakery</t>
  </si>
  <si>
    <t>Keto Thin® C8 Oil</t>
  </si>
  <si>
    <t>Julian Bakery Keto Thin® C8 Oil</t>
  </si>
  <si>
    <t>Keto Science</t>
  </si>
  <si>
    <t>Ketogenic MCT Oil from Pure Coconuts</t>
  </si>
  <si>
    <t>Keto Science Ketogenic MCT Oil from Pure Coconuts</t>
  </si>
  <si>
    <t>South Chicago Packing</t>
  </si>
  <si>
    <t>Lard All-Purpose Shortening</t>
  </si>
  <si>
    <t>South Chicago Packing Lard All-Purpose Shortening</t>
  </si>
  <si>
    <t>Gold Seal</t>
  </si>
  <si>
    <t>Vegetable Ghee</t>
  </si>
  <si>
    <t>Gold Seal Vegetable Ghee</t>
  </si>
  <si>
    <t>Radha Beauty</t>
  </si>
  <si>
    <t>Premium MCT Oil</t>
  </si>
  <si>
    <t>Radha Beauty Premium MCT Oil</t>
  </si>
  <si>
    <t>Sevenhills Wholefoods</t>
  </si>
  <si>
    <t>Bio Cacao/Cacaoboter, Wafels</t>
  </si>
  <si>
    <t>Sevenhills Wholefoods Bio Cacao/Cacaoboter, Wafels</t>
  </si>
  <si>
    <t>310 Nutrition</t>
  </si>
  <si>
    <t>MCT Oil, Keto, and Paleo Friendly</t>
  </si>
  <si>
    <t>310 Nutrition MCT Oil, Keto, and Paleo Friendly</t>
  </si>
  <si>
    <t>Brain Octane</t>
  </si>
  <si>
    <t>Premium C8 MCT Coconuts Oil Single</t>
  </si>
  <si>
    <t>Brain Octane Premium C8 MCT Coconuts Oil Single</t>
  </si>
  <si>
    <t>Keppi Store</t>
  </si>
  <si>
    <t>MCT Oil</t>
  </si>
  <si>
    <t>Keppi Store MCT Oil</t>
  </si>
  <si>
    <t>Level Up</t>
  </si>
  <si>
    <t>Clean MCT Oil</t>
  </si>
  <si>
    <t>Level Up Clean MCT Oil</t>
  </si>
  <si>
    <t>MCT Oil: All-Natural On-The-Go</t>
  </si>
  <si>
    <t>FBOMB MCT Oil: All-Natural On-The-Go</t>
  </si>
  <si>
    <t>Vegan Pure</t>
  </si>
  <si>
    <t>Keto Protein Powder</t>
  </si>
  <si>
    <t>Vegan Pure Keto Protein Powder</t>
  </si>
  <si>
    <t>Foothills Naturals</t>
  </si>
  <si>
    <t>Coconut Milk Powder Organic</t>
  </si>
  <si>
    <t>Foothills Naturals Coconut Milk Powder Organic</t>
  </si>
  <si>
    <t>Z Natural Foods</t>
  </si>
  <si>
    <t>Organic Coconut Milk Powder</t>
  </si>
  <si>
    <t>Z Natural Foods Organic Coconut Milk Powder</t>
  </si>
  <si>
    <t>Earth Circle Organics</t>
  </si>
  <si>
    <t>Organic Coconut Cream Powder</t>
  </si>
  <si>
    <t>Earth Circle Organics Organic Coconut Cream Powder</t>
  </si>
  <si>
    <t>Nutristore</t>
  </si>
  <si>
    <t>Sausage Crumbles (freeze-dried)</t>
  </si>
  <si>
    <t>Nutristore Sausage Crumbles (freeze-dried)</t>
  </si>
  <si>
    <t>Rob's Red Mill</t>
  </si>
  <si>
    <t>White Hulled Sesame Seeds</t>
  </si>
  <si>
    <t>Rob's Red Mill White Hulled Sesame Seeds</t>
  </si>
  <si>
    <t>Manitoba Harvest</t>
  </si>
  <si>
    <t>Hemp Hearts</t>
  </si>
  <si>
    <t>Manitoba Harvest Hemp Hearts</t>
  </si>
  <si>
    <t>Hulled Hemp Seed Hearts</t>
  </si>
  <si>
    <t>Rob's Red Mill Hulled Hemp Seed Hearts</t>
  </si>
  <si>
    <t>Nature Restore</t>
  </si>
  <si>
    <t>Acai Berry Powder</t>
  </si>
  <si>
    <t>Nature Restore Acai Berry Powder</t>
  </si>
  <si>
    <t>Bragg</t>
  </si>
  <si>
    <t>Nutritional Yeast</t>
  </si>
  <si>
    <t>Bragg Nutritional Yeast</t>
  </si>
  <si>
    <t>Sukrin</t>
  </si>
  <si>
    <t>Sesame Flour</t>
  </si>
  <si>
    <t>Sukrin Sesame Flour</t>
  </si>
  <si>
    <t>Anthony's</t>
  </si>
  <si>
    <t>Textured Vegetable Protein (soy flour)</t>
  </si>
  <si>
    <t>Anthony's Textured Vegetable Protein (soy flour)</t>
  </si>
  <si>
    <t>Chicken of the Sea</t>
  </si>
  <si>
    <t>Sardines in EVOO</t>
  </si>
  <si>
    <t>Chicken of the Sea Sardines in EVOO</t>
  </si>
  <si>
    <t>Missy J's Carob Truffle Treat</t>
  </si>
  <si>
    <t>Mint Truffles, Vegan Carob with Lime</t>
  </si>
  <si>
    <t>Missy J's Carob Truffle Treat Mint Truffles, Vegan Carob with Lime</t>
  </si>
  <si>
    <t>Peanut Butter Truffles, Vegan Carob Crisp</t>
  </si>
  <si>
    <t>Missy J's Carob Truffle Treat Peanut Butter Truffles, Vegan Carob Crisp</t>
  </si>
  <si>
    <t>Missy J's</t>
  </si>
  <si>
    <t>Mint Mini Bites</t>
  </si>
  <si>
    <t>Missy J's Mint Mini Bites</t>
  </si>
  <si>
    <t>Peanut Butter Mini Bites</t>
  </si>
  <si>
    <t>Missy J's Peanut Butter Mini Bites</t>
  </si>
  <si>
    <t>Unsweeted Carob Mini Delights Mint</t>
  </si>
  <si>
    <t>Missy J's Unsweeted Carob Mini Delights Mint</t>
  </si>
  <si>
    <t>Peanut Butter and Jelly</t>
  </si>
  <si>
    <t>Missy J's Peanut Butter and Jelly</t>
  </si>
  <si>
    <t>Peanut Butter Carob Cups</t>
  </si>
  <si>
    <t>Missy J's Peanut Butter Carob Cups</t>
  </si>
  <si>
    <t>Gluten Free Peanut Quinoa Crunch Carob</t>
  </si>
  <si>
    <t>Missy J's Gluten Free Peanut Quinoa Crunch Carob</t>
  </si>
  <si>
    <t>Coconut Almond Carob Candy</t>
  </si>
  <si>
    <t>Missy J's Coconut Almond Carob Candy</t>
  </si>
  <si>
    <t>Mint Lime Carob Candy</t>
  </si>
  <si>
    <t>Missy J's Mint Lime Carob Candy</t>
  </si>
  <si>
    <t>Mint Carob Cups</t>
  </si>
  <si>
    <t>Missy J's Mint Carob Cups</t>
  </si>
  <si>
    <t>Coconut Almond and Sea Salt</t>
  </si>
  <si>
    <t>Missy J's Carob Truffle Treat Coconut Almond and Sea Salt</t>
  </si>
  <si>
    <t>Theo Dark Chocolate Peanut Butter Cups</t>
  </si>
  <si>
    <t>MAKRi</t>
  </si>
  <si>
    <t>Dattel Schokolade Natur</t>
  </si>
  <si>
    <t>MAKRi Dattel Schokolade Natur</t>
  </si>
  <si>
    <t>Funky Fat Foods</t>
  </si>
  <si>
    <t>High Fat Vegan Hazelnut, MCTs Low Carb</t>
  </si>
  <si>
    <t>Funky Fat Foods High Fat Vegan Hazelnut, MCTs Low Carb</t>
  </si>
  <si>
    <t>Dark Chocolate with Pistachios</t>
  </si>
  <si>
    <t>Damak Dark Chocolate with Pistachios</t>
  </si>
  <si>
    <t>Fudge Brownie</t>
  </si>
  <si>
    <t>M&amp;Ms Fudge Brownie</t>
  </si>
  <si>
    <t>Mounds</t>
  </si>
  <si>
    <t>Coconut Cholocate</t>
  </si>
  <si>
    <t>Mounds Coconut Cholocate</t>
  </si>
  <si>
    <t>Haribo</t>
  </si>
  <si>
    <t>Goldbears gummies</t>
  </si>
  <si>
    <t>Haribo Goldbears gummies</t>
  </si>
  <si>
    <t>Julie's Real</t>
  </si>
  <si>
    <t>Paleo Granola - Cacao Coconut</t>
  </si>
  <si>
    <t>Julie's Real Paleo Granola - Cacao Coconut</t>
  </si>
  <si>
    <t>Paleo Granola - Cinnamon Vanilla Bean</t>
  </si>
  <si>
    <t>Julie's Real Paleo Granola - Cinnamon Vanilla Bean</t>
  </si>
  <si>
    <t>Paleonola</t>
  </si>
  <si>
    <t>Paleonola Apple Pie</t>
  </si>
  <si>
    <t>Chocolate Fix</t>
  </si>
  <si>
    <t>Paleonola Chocolate Fix</t>
  </si>
  <si>
    <t>Pumpkin Pie</t>
  </si>
  <si>
    <t>Paleonola Pumpkin Pie</t>
  </si>
  <si>
    <t>The Original</t>
  </si>
  <si>
    <t>Paleonola The Original</t>
  </si>
  <si>
    <t>Farm Girl</t>
  </si>
  <si>
    <t>Caramle Apple Spice: Low Carb Granola</t>
  </si>
  <si>
    <t>Farm Girl Caramle Apple Spice: Low Carb Granola</t>
  </si>
  <si>
    <t>Low Carb Granola</t>
  </si>
  <si>
    <t>Farm Girl Low Carb Granola</t>
  </si>
  <si>
    <t>Bob's Red Mill</t>
  </si>
  <si>
    <t>Paleo Style Muesli</t>
  </si>
  <si>
    <t>Bob's Red Mill Paleo Style Muesli</t>
  </si>
  <si>
    <t>Caramel Pecan Grain Free Granola</t>
  </si>
  <si>
    <t>Nature's Path Caramel Pecan Grain Free Granola</t>
  </si>
  <si>
    <t>Maple Almond Grain Free Granola</t>
  </si>
  <si>
    <t>Nature's Path Maple Almond Grain Free Granola</t>
  </si>
  <si>
    <t>Vanilla Poppy Seed Grain Free Granola</t>
  </si>
  <si>
    <t>Nature's Path Vanilla Poppy Seed Grain Free Granola</t>
  </si>
  <si>
    <t>Fourmi Bionique Nutbrown</t>
  </si>
  <si>
    <t>Fourmi Bionique Nutbrown Divine</t>
  </si>
  <si>
    <t>La Fourme Bionique</t>
  </si>
  <si>
    <t>Nutbrown Grain Free Granola, Tonic</t>
  </si>
  <si>
    <t>La Fourme Bionique Nutbrown Grain Free Granola, Tonic</t>
  </si>
  <si>
    <t>Cinnamon Blueberry</t>
  </si>
  <si>
    <t>Paleonola Cinnamon Blueberry</t>
  </si>
  <si>
    <t>Maple Pancake</t>
  </si>
  <si>
    <t>Paleonola Maple Pancake</t>
  </si>
  <si>
    <t>Pina Colada</t>
  </si>
  <si>
    <t>Paleonola Pina Colada</t>
  </si>
  <si>
    <t>Granola Dark Chocolate Almond Grain Free</t>
  </si>
  <si>
    <t>Bear Naked Granola Dark Chocolate Almond Grain Free</t>
  </si>
  <si>
    <t>Granola Maple Cinnamon Grain Free</t>
  </si>
  <si>
    <t>Bear Naked Granola Maple Cinnamon Grain Free</t>
  </si>
  <si>
    <t>Brown Butter</t>
  </si>
  <si>
    <t>Farm Girl Brown Butter</t>
  </si>
  <si>
    <t>Farm Girl Chocolate</t>
  </si>
  <si>
    <t>Ketocrunch: Salted Caramel Nut Based Cereal</t>
  </si>
  <si>
    <t>Farm Girl Ketocrunch: Salted Caramel Nut Based Cereal</t>
  </si>
  <si>
    <t>Ketomix Cinnamon Maple</t>
  </si>
  <si>
    <t>Farm Girl Ketomix Cinnamon Maple</t>
  </si>
  <si>
    <t>Low Carb Granola, Chocolat Hazelnut</t>
  </si>
  <si>
    <t>Farm Girl Low Carb Granola, Chocolat Hazelnut</t>
  </si>
  <si>
    <t>Pumpkin Spice Nut Cereal</t>
  </si>
  <si>
    <t>Farm Girl Pumpkin Spice Nut Cereal</t>
  </si>
  <si>
    <t>Natural</t>
  </si>
  <si>
    <t>Fourmi Bionique Nutbrown Natural</t>
  </si>
  <si>
    <t>Natural Golden Honey</t>
  </si>
  <si>
    <t>Fourmi Bionique Nutbrown Natural Golden Honey</t>
  </si>
  <si>
    <t>Zen</t>
  </si>
  <si>
    <t>Fourmi Bionique Nutbrown Zen</t>
  </si>
  <si>
    <t>YoFiit</t>
  </si>
  <si>
    <t>Grain Free Keto Granola</t>
  </si>
  <si>
    <t>YoFiit Grain Free Keto Granola</t>
  </si>
  <si>
    <t>Aphrodisiac</t>
  </si>
  <si>
    <t>Fourmi Bionique Nutbrown Aphrodisiac</t>
  </si>
  <si>
    <t>Vitality</t>
  </si>
  <si>
    <t>Fourmi Bionique Nutbrown Vitality</t>
  </si>
  <si>
    <t>Pecan, Almond &amp; Coconut granola</t>
  </si>
  <si>
    <t>18 Rabbits Pecan, Almond &amp; Coconut granola</t>
  </si>
  <si>
    <t>Granola Almond Coconut Grain Free</t>
  </si>
  <si>
    <t>Bear Naked Granola Almond Coconut Grain Free</t>
  </si>
  <si>
    <t>Instant Hot Strawberries and Cream</t>
  </si>
  <si>
    <t>Farm Girl Instant Hot Strawberries and Cream</t>
  </si>
  <si>
    <t>Instant Hot Vanilla Porridge</t>
  </si>
  <si>
    <t>Farm Girl Instant Hot Vanilla Porridge</t>
  </si>
  <si>
    <t>Hippie Snacks</t>
  </si>
  <si>
    <t>Grain Free Granola Seeds and Fruits</t>
  </si>
  <si>
    <t>Hippie Snacks Grain Free Granola Seeds and Fruits</t>
  </si>
  <si>
    <t>Grain Free Granola Vanilla Almond</t>
  </si>
  <si>
    <t>Hippie Snacks Grain Free Granola Vanilla Almond</t>
  </si>
  <si>
    <t>Cacao Superfood Granola</t>
  </si>
  <si>
    <t>Nature's Path Cacao Superfood Granola</t>
  </si>
  <si>
    <t>Coconut &amp; Cashew Butter Granola</t>
  </si>
  <si>
    <t>Nature's Path Coconut &amp; Cashew Butter Granola</t>
  </si>
  <si>
    <t>Gracious Granola Pecan, Almond &amp; Coconut</t>
  </si>
  <si>
    <t>18 Rabbits Gracious Granola Pecan, Almond &amp; Coconut</t>
  </si>
  <si>
    <t>Rawcology</t>
  </si>
  <si>
    <t>Blueberry with Acai Raw Crunch Granola</t>
  </si>
  <si>
    <t>Rawcology Blueberry with Acai Raw Crunch Granola</t>
  </si>
  <si>
    <t>Chocolate w/Raw Cacao Raw Crunch Granola</t>
  </si>
  <si>
    <t>Rawcology Chocolate w/Raw Cacao Raw Crunch Granola</t>
  </si>
  <si>
    <t>Maple Sea Salt Homestyle Granola</t>
  </si>
  <si>
    <t>Rob's Red Mill Maple Sea Salt Homestyle Granola</t>
  </si>
  <si>
    <t>Backpacker's Pantry Granola with Bananas, Almonds &amp; Milk</t>
  </si>
  <si>
    <t>Kashi GO</t>
  </si>
  <si>
    <t>Peanut Butter Crunch</t>
  </si>
  <si>
    <t>Kashi GO Peanut Butter Crunch</t>
  </si>
  <si>
    <t>Coconut Almond Crunch</t>
  </si>
  <si>
    <t>Kashi GO Coconut Almond Crunch</t>
  </si>
  <si>
    <t>Honey Almond Flax Crunch</t>
  </si>
  <si>
    <t>Kashi GO Honey Almond Flax Crunch</t>
  </si>
  <si>
    <t>Instant Oatmeal - Original</t>
  </si>
  <si>
    <t>Nature's Path Instant Oatmeal - Original</t>
  </si>
  <si>
    <t>Pure Butter Vanilla Shortbread</t>
  </si>
  <si>
    <t>Walkers Pure Butter Vanilla Shortbread</t>
  </si>
  <si>
    <t>Little Debbie</t>
  </si>
  <si>
    <t>Nutty Buddy</t>
  </si>
  <si>
    <t>Little Debbie Nutty Buddy</t>
  </si>
  <si>
    <t>Protein - Coconut White Chip Macadamia</t>
  </si>
  <si>
    <t>Munk Pack Protein - Coconut White Chip Macadamia</t>
  </si>
  <si>
    <t>Protein - Double Dark Chocolate</t>
  </si>
  <si>
    <t>Munk Pack Protein - Double Dark Chocolate</t>
  </si>
  <si>
    <t>Protein - Oatmeal Raisin Spice</t>
  </si>
  <si>
    <t>Munk Pack Protein - Oatmeal Raisin Spice</t>
  </si>
  <si>
    <t>Whisps</t>
  </si>
  <si>
    <t>Cheese Crisps - Tangy Ranch</t>
  </si>
  <si>
    <t>Whisps Cheese Crisps - Tangy Ranch</t>
  </si>
  <si>
    <t>Almond Crisps Rosemary</t>
  </si>
  <si>
    <t>Hippie Snacks Almond Crisps Rosemary</t>
  </si>
  <si>
    <t>UTZ</t>
  </si>
  <si>
    <t>Pork Rinds</t>
  </si>
  <si>
    <t>UTZ Pork Rinds</t>
  </si>
  <si>
    <t>Almond Crisps Sea Salt</t>
  </si>
  <si>
    <t>Hippie Snacks Almond Crisps Sea Salt</t>
  </si>
  <si>
    <t>Avocado Crisps, Sea Salt</t>
  </si>
  <si>
    <t>Hippie Snacks Avocado Crisps, Sea Salt</t>
  </si>
  <si>
    <t>Potato Chips - Original</t>
  </si>
  <si>
    <t>UTZ Potato Chips - Original</t>
  </si>
  <si>
    <t>Cheese Balls - Baked Cheddar</t>
  </si>
  <si>
    <t>UTZ Cheese Balls - Baked Cheddar</t>
  </si>
  <si>
    <t>Avocado Crisps, Guacomole</t>
  </si>
  <si>
    <t>Hippie Snacks Avocado Crisps, Guacomole</t>
  </si>
  <si>
    <t>Laird Superfood</t>
  </si>
  <si>
    <t>Unsweetened Instafuel</t>
  </si>
  <si>
    <t>Laird Superfood Unsweetened Instafuel</t>
  </si>
  <si>
    <t>Instafuel orignal</t>
  </si>
  <si>
    <t>Laird Superfood Instafuel orignal</t>
  </si>
  <si>
    <t>Mud Meal Powder - Vanilla</t>
  </si>
  <si>
    <t>Greenbelly Mud Meal Powder - Vanilla</t>
  </si>
  <si>
    <t>Rebuild recovery</t>
  </si>
  <si>
    <t>Tailwind Nutrition Rebuild recovery</t>
  </si>
  <si>
    <t>Huel Powder</t>
  </si>
  <si>
    <t>Vanilla</t>
  </si>
  <si>
    <t>Huel Powder Vanilla</t>
  </si>
  <si>
    <t>Recovery Mix - Chocolate</t>
  </si>
  <si>
    <t>Skratch Labs Recovery Mix - Chocolate</t>
  </si>
  <si>
    <t>Unived</t>
  </si>
  <si>
    <t>Elite Recoery Mix, Creamy Vanilla</t>
  </si>
  <si>
    <t>Unived Elite Recoery Mix, Creamy Vanilla</t>
  </si>
  <si>
    <t>Vegan Recovery Mix - Chocolate</t>
  </si>
  <si>
    <t>Skratch Labs Vegan Recovery Mix - Chocolate</t>
  </si>
  <si>
    <t>Tailwind Nutrition Mandarin Orange</t>
  </si>
  <si>
    <t>Think Thin Plant Protein and Probiotics Powder packet</t>
  </si>
  <si>
    <t>Instant Breakfast - High Protein</t>
  </si>
  <si>
    <t>Carnation Instant Breakfast - High Protein</t>
  </si>
  <si>
    <t>ELAN</t>
  </si>
  <si>
    <t>Organic Coconut Smiles</t>
  </si>
  <si>
    <t>ELAN Organic Coconut Smiles</t>
  </si>
  <si>
    <t>Fiesta Tropicale</t>
  </si>
  <si>
    <t>Organic Coconut Flakes (Coconut Chips)</t>
  </si>
  <si>
    <t>Fiesta Tropicale Organic Coconut Flakes (Coconut Chips)</t>
  </si>
  <si>
    <t>Coconut Flakes</t>
  </si>
  <si>
    <t>Rob's Red Mill Coconut Flakes</t>
  </si>
  <si>
    <t>Shredded Coconut</t>
  </si>
  <si>
    <t>Rob's Red Mill Shredded Coconut</t>
  </si>
  <si>
    <t>Organic Unsweetened Coconut Chips</t>
  </si>
  <si>
    <t>Trader Joe's Organic Unsweetened Coconut Chips</t>
  </si>
  <si>
    <t>Prana</t>
  </si>
  <si>
    <t>Shredded Organic Coconut</t>
  </si>
  <si>
    <t>Prana Shredded Organic Coconut</t>
  </si>
  <si>
    <t>Organic Coconut Cluster Snacks</t>
  </si>
  <si>
    <t>Hippie Snacks Organic Coconut Cluster Snacks</t>
  </si>
  <si>
    <t>Golden Banana</t>
  </si>
  <si>
    <t>Plantain chips</t>
  </si>
  <si>
    <t>Golden Banana Plantain chips</t>
  </si>
  <si>
    <t>Compliments</t>
  </si>
  <si>
    <t>Sweet Flaked Coconut</t>
  </si>
  <si>
    <t>Compliments Sweet Flaked Coconut</t>
  </si>
  <si>
    <t>Classic Recipe Smoked Sausages</t>
  </si>
  <si>
    <t>Oberto Classic Recipe Smoked Sausages</t>
  </si>
  <si>
    <t>MossyOak.com</t>
  </si>
  <si>
    <t>Pemmican</t>
  </si>
  <si>
    <t>MossyOak.com Pemmican</t>
  </si>
  <si>
    <t>US Wellness Meats</t>
  </si>
  <si>
    <t>US Wellness Meats Pemmican</t>
  </si>
  <si>
    <t>Macadamia Nut Butters Single-Flavor</t>
  </si>
  <si>
    <t>FBOMB Macadamia Nut Butters Single-Flavor</t>
  </si>
  <si>
    <t>Macadamia with Sea Salt</t>
  </si>
  <si>
    <t>FBOMB Macadamia with Sea Salt</t>
  </si>
  <si>
    <t>Salted Chocolate Macadamia</t>
  </si>
  <si>
    <t>FBOMB Salted Chocolate Macadamia</t>
  </si>
  <si>
    <t>Macadamia with Coconut</t>
  </si>
  <si>
    <t>FBOMB Macadamia with Coconut</t>
  </si>
  <si>
    <t>Macadamia Pecan with Seasalt</t>
  </si>
  <si>
    <t>FBOMB Macadamia Pecan with Seasalt</t>
  </si>
  <si>
    <t>Soom</t>
  </si>
  <si>
    <t>Tahini Paste</t>
  </si>
  <si>
    <t>Soom Tahini Paste</t>
  </si>
  <si>
    <t>ELAN Organic Pumpkin Seeds</t>
  </si>
  <si>
    <t>Nature's Eats</t>
  </si>
  <si>
    <t>Pecan, Halves</t>
  </si>
  <si>
    <t>Nature's Eats Pecan, Halves</t>
  </si>
  <si>
    <t>Organic Raw Pecans</t>
  </si>
  <si>
    <t>ELAN Organic Raw Pecans</t>
  </si>
  <si>
    <t>Signature Organic Pine Nuts</t>
  </si>
  <si>
    <t>Kirkland Signature Organic Pine Nuts</t>
  </si>
  <si>
    <t>Organic Raw Brazil</t>
  </si>
  <si>
    <t>ELAN Organic Raw Brazil</t>
  </si>
  <si>
    <t>Basse</t>
  </si>
  <si>
    <t>Dry Roasted Hazelnuts - Salted</t>
  </si>
  <si>
    <t>Basse Dry Roasted Hazelnuts - Salted</t>
  </si>
  <si>
    <t>Smoked Flavored Almonds</t>
  </si>
  <si>
    <t>Basse Smoked Flavored Almonds</t>
  </si>
  <si>
    <t>Dry Roasted Almonds - Salted</t>
  </si>
  <si>
    <t>Basse Dry Roasted Almonds - Salted</t>
  </si>
  <si>
    <t>Eaton</t>
  </si>
  <si>
    <t>Hemp Hearts Shelled Hemp Seeds</t>
  </si>
  <si>
    <t>Eaton Hemp Hearts Shelled Hemp Seeds</t>
  </si>
  <si>
    <t>Organic Tamari Almonds</t>
  </si>
  <si>
    <t>ELAN Organic Tamari Almonds</t>
  </si>
  <si>
    <t>Baru Deluxe Nut Mix</t>
  </si>
  <si>
    <t>Basse Baru Deluxe Nut Mix</t>
  </si>
  <si>
    <t>Jumbo Roasted BBQ Peanuts</t>
  </si>
  <si>
    <t>Basse Jumbo Roasted BBQ Peanuts</t>
  </si>
  <si>
    <t>Organic Seed &amp; Nut Clusters, Crispy Onion</t>
  </si>
  <si>
    <t>Hippie Snacks Organic Seed &amp; Nut Clusters, Crispy Onion</t>
  </si>
  <si>
    <t>Lemon Roasted Almonds</t>
  </si>
  <si>
    <t>Basse Lemon Roasted Almonds</t>
  </si>
  <si>
    <t xml:space="preserve">Organic Pumpkin Seeds </t>
  </si>
  <si>
    <t xml:space="preserve">Basse Organic Pumpkin Seeds </t>
  </si>
  <si>
    <t>Raw Pumpkin Seeds</t>
  </si>
  <si>
    <t>Basse Raw Pumpkin Seeds</t>
  </si>
  <si>
    <t>Brookside</t>
  </si>
  <si>
    <t>Almonds Dark Chocolate Raspberry</t>
  </si>
  <si>
    <t>Brookside Almonds Dark Chocolate Raspberry</t>
  </si>
  <si>
    <t>Dark Chocolate Almond Dippers</t>
  </si>
  <si>
    <t>Basse Dark Chocolate Almond Dippers</t>
  </si>
  <si>
    <t>Dark Chocolate Almond Dippers Coffee</t>
  </si>
  <si>
    <t>Basse Dark Chocolate Almond Dippers Coffee</t>
  </si>
  <si>
    <t>Dark Chocolate Almond Dippers Raspberry</t>
  </si>
  <si>
    <t>Basse Dark Chocolate Almond Dippers Raspberry</t>
  </si>
  <si>
    <t>Cosmic Brownies</t>
  </si>
  <si>
    <t>Little Debbie Cosmic Brownies</t>
  </si>
  <si>
    <t>Iberia Dry Pinto Beans</t>
  </si>
  <si>
    <t>Great Value (Walmart) Deluxe Mixed Nuts</t>
  </si>
  <si>
    <t>Nature's Garden</t>
  </si>
  <si>
    <t>Keto Snack Mix</t>
  </si>
  <si>
    <t>Nature's Garden Keto Snack Mix</t>
  </si>
  <si>
    <t>Cranberry Mix</t>
  </si>
  <si>
    <t>Basse Cranberry Mix</t>
  </si>
  <si>
    <t>Royal Nut mix</t>
  </si>
  <si>
    <t>Basse Royal Nut mix</t>
  </si>
  <si>
    <t>Foodie Mix, Inspiring</t>
  </si>
  <si>
    <t>La Fourme Bionique Foodie Mix, Inspiring</t>
  </si>
  <si>
    <t>Samadhi Wheat-Free Tamari Almonds</t>
  </si>
  <si>
    <t>Prana Samadhi Wheat-Free Tamari Almonds</t>
  </si>
  <si>
    <t>Probiotic Choconut Keto Mix Snack Packs</t>
  </si>
  <si>
    <t>Nature's Garden Probiotic Choconut Keto Mix Snack Packs</t>
  </si>
  <si>
    <t>Chocolate Cinnamon Superfood Coconut Chips</t>
  </si>
  <si>
    <t>Rawcology Chocolate Cinnamon Superfood Coconut Chips</t>
  </si>
  <si>
    <t>Matcha Latte Superfood Coconut Chips</t>
  </si>
  <si>
    <t>Rawcology Matcha Latte Superfood Coconut Chips</t>
  </si>
  <si>
    <t>Kilimanjaro Deluxe Chocolate Mix</t>
  </si>
  <si>
    <t>Prana Kilimanjaro Deluxe Chocolate Mix</t>
  </si>
  <si>
    <t>Organic Fuji Premium Salty Trail Mix</t>
  </si>
  <si>
    <t>Prana Organic Fuji Premium Salty Trail Mix</t>
  </si>
  <si>
    <t>Sesame Sticks</t>
  </si>
  <si>
    <t>Basse Sesame Sticks</t>
  </si>
  <si>
    <t>Hickory BBQ Almonds</t>
  </si>
  <si>
    <t>Prana Hickory BBQ Almonds</t>
  </si>
  <si>
    <t>Lo!</t>
  </si>
  <si>
    <t>Low Carb Delights - South Indian Mixture</t>
  </si>
  <si>
    <t>Lo! Low Carb Delights - South Indian Mixture</t>
  </si>
  <si>
    <t>Wild Roots</t>
  </si>
  <si>
    <t>Wildroots Omega Powerhouse Trail Mix</t>
  </si>
  <si>
    <t>Wild Roots Wildroots Omega Powerhouse Trail Mix</t>
  </si>
  <si>
    <t>Celebration Indulgent Trail Mix</t>
  </si>
  <si>
    <t>Basse Celebration Indulgent Trail Mix</t>
  </si>
  <si>
    <t>Supreme Snack mix</t>
  </si>
  <si>
    <t>Basse Supreme Snack mix</t>
  </si>
  <si>
    <t>Savory Banana &amp; Nuts Trek Mix</t>
  </si>
  <si>
    <t>Trader Joe's Savory Banana &amp; Nuts Trek Mix</t>
  </si>
  <si>
    <t>Stowaway Gourmet</t>
  </si>
  <si>
    <t>Spiced Creamy Oatmeal with Pear</t>
  </si>
  <si>
    <t>Stowaway Gourmet Spiced Creamy Oatmeal with Pear</t>
  </si>
  <si>
    <t>Creamy Peaches and Oats</t>
  </si>
  <si>
    <t>Peak Refuel Creamy Peaches and Oats</t>
  </si>
  <si>
    <t>Fernweh Food Co.</t>
  </si>
  <si>
    <t>Sweet Potato Breakfast Bowl</t>
  </si>
  <si>
    <t>Fernweh Food Co. Sweet Potato Breakfast Bowl</t>
  </si>
  <si>
    <t>Bushka's Kitchen</t>
  </si>
  <si>
    <t>Citris Chia Morning Bowl</t>
  </si>
  <si>
    <t>Bushka's Kitchen Citris Chia Morning Bowl</t>
  </si>
  <si>
    <t>Morning Glory Bowl</t>
  </si>
  <si>
    <t>Fernweh Food Co. Morning Glory Bowl</t>
  </si>
  <si>
    <t>Strawberry Vanilla</t>
  </si>
  <si>
    <t>Heather's Choice Strawberry Vanilla</t>
  </si>
  <si>
    <t>Heather's Choice Apple Pie</t>
  </si>
  <si>
    <t>Banana Nutmeg</t>
  </si>
  <si>
    <t>Heather's Choice Banana Nutmeg</t>
  </si>
  <si>
    <t>Blueberry Cinnamon</t>
  </si>
  <si>
    <t>Heather's Choice Blueberry Cinnamon</t>
  </si>
  <si>
    <t>Cherry Cocoa Nib</t>
  </si>
  <si>
    <t>Heather's Choice Cherry Cocoa Nib</t>
  </si>
  <si>
    <t>Berry Yogurt Parfait</t>
  </si>
  <si>
    <t>Stowaway Gourmet Berry Yogurt Parfait</t>
  </si>
  <si>
    <t>Turkish Delight</t>
  </si>
  <si>
    <t>Stowaway Gourmet Turkish Delight</t>
  </si>
  <si>
    <t>Happy Yak</t>
  </si>
  <si>
    <t>Granola Raspberry and Vanilla</t>
  </si>
  <si>
    <t>Happy Yak Granola Raspberry and Vanilla</t>
  </si>
  <si>
    <t>Pinnacle Foods</t>
  </si>
  <si>
    <t>Breakfast Sausage, Egg Scramble, Peppers, Potatoes</t>
  </si>
  <si>
    <t>Pinnacle Foods Breakfast Sausage, Egg Scramble, Peppers, Potatoes</t>
  </si>
  <si>
    <t>Sasquatch Fuel</t>
  </si>
  <si>
    <t>Strawberry Banana Granola</t>
  </si>
  <si>
    <t>Sasquatch Fuel Strawberry Banana Granola</t>
  </si>
  <si>
    <t>Granola Apple Cinnamon</t>
  </si>
  <si>
    <t>Happy Yak Granola Apple Cinnamon</t>
  </si>
  <si>
    <t>Nomad Nutrition</t>
  </si>
  <si>
    <t>Cali Breakfast Bowl</t>
  </si>
  <si>
    <t>Nomad Nutrition Cali Breakfast Bowl</t>
  </si>
  <si>
    <t>Blueberry Granola</t>
  </si>
  <si>
    <t>Sasquatch Fuel Blueberry Granola</t>
  </si>
  <si>
    <t>Cocoa Chia Granola with Banana</t>
  </si>
  <si>
    <t>Sasquatch Fuel Cocoa Chia Granola with Banana</t>
  </si>
  <si>
    <t>Farm to Summit</t>
  </si>
  <si>
    <t>Golden Oats</t>
  </si>
  <si>
    <t>Farm to Summit Golden Oats</t>
  </si>
  <si>
    <t>Merry Berry Couscous</t>
  </si>
  <si>
    <t>Happy Yak Merry Berry Couscous</t>
  </si>
  <si>
    <t>Sweet Potato Mash</t>
  </si>
  <si>
    <t>Bushka's Kitchen Sweet Potato Mash</t>
  </si>
  <si>
    <t>Chia Delight</t>
  </si>
  <si>
    <t>Happy Yak Chia Delight</t>
  </si>
  <si>
    <t>Cranberry Rice Pudding</t>
  </si>
  <si>
    <t>Bushka's Kitchen Cranberry Rice Pudding</t>
  </si>
  <si>
    <t>Chipotle Beef Burrito Bowl, Corn, Cilantro Lime Rice</t>
  </si>
  <si>
    <t>Pinnacle Foods Chipotle Beef Burrito Bowl, Corn, Cilantro Lime Rice</t>
  </si>
  <si>
    <t>Off Grid</t>
  </si>
  <si>
    <t>Bison Penne Pomodoro</t>
  </si>
  <si>
    <t>Off Grid Bison Penne Pomodoro</t>
  </si>
  <si>
    <t>Creamy Tuscan Chicken with Penne Pasta</t>
  </si>
  <si>
    <t>Pinnacle Foods Creamy Tuscan Chicken with Penne Pasta</t>
  </si>
  <si>
    <t>Jalapeno Cheddar Biscuits and Herbed Sausage Gravy</t>
  </si>
  <si>
    <t>Pinnacle Foods Jalapeno Cheddar Biscuits and Herbed Sausage Gravy</t>
  </si>
  <si>
    <t>Quail Tinga Tacos</t>
  </si>
  <si>
    <t>Off Grid Quail Tinga Tacos</t>
  </si>
  <si>
    <t>Bison Fajita Bowl</t>
  </si>
  <si>
    <t>Off Grid Bison Fajita Bowl</t>
  </si>
  <si>
    <t>OG Bison Chili</t>
  </si>
  <si>
    <t>Off Grid OG Bison Chili</t>
  </si>
  <si>
    <t>Food for the Sole</t>
  </si>
  <si>
    <t>Triple Peanut Slaw</t>
  </si>
  <si>
    <t>Food for the Sole Triple Peanut Slaw</t>
  </si>
  <si>
    <t>Biscuits &amp; Sausage Gravy</t>
  </si>
  <si>
    <t>Peak Refuel Biscuits &amp; Sausage Gravy</t>
  </si>
  <si>
    <t>Zesty Miso Broccoli Slaw</t>
  </si>
  <si>
    <t>Food for the Sole Zesty Miso Broccoli Slaw</t>
  </si>
  <si>
    <t>Thai Peanut Curry, Roasted Vegetables, Rice Noodles</t>
  </si>
  <si>
    <t>Herb Roasted Chicken and White Cheddar Dumplings</t>
  </si>
  <si>
    <t>Pinnacle Foods Herb Roasted Chicken and White Cheddar Dumplings</t>
  </si>
  <si>
    <t>Cheesy Chicken &amp; Broccoli</t>
  </si>
  <si>
    <t>Peak Refuel Cheesy Chicken &amp; Broccoli</t>
  </si>
  <si>
    <t>Hunter's Pie with Ground Venison</t>
  </si>
  <si>
    <t>Bushka's Kitchen Hunter's Pie with Ground Venison</t>
  </si>
  <si>
    <t>Sticky-Teriyaki Chicken, Garlic Asparagus Coconut Rice</t>
  </si>
  <si>
    <t>Pinnacle Foods Sticky-Teriyaki Chicken, Garlic Asparagus Coconut Rice</t>
  </si>
  <si>
    <t>Italian Sausage and Zesty Tomato Farfalle Pasta</t>
  </si>
  <si>
    <t>Pinnacle Foods Italian Sausage and Zesty Tomato Farfalle Pasta</t>
  </si>
  <si>
    <t>Chicken Coconut Curry</t>
  </si>
  <si>
    <t>Peak Refuel Chicken Coconut Curry</t>
  </si>
  <si>
    <t>Lamb Bourguinon</t>
  </si>
  <si>
    <t>Stowaway Gourmet Lamb Bourguinon</t>
  </si>
  <si>
    <t>Thai Curry with Shrimp</t>
  </si>
  <si>
    <t>Stowaway Gourmet Thai Curry with Shrimp</t>
  </si>
  <si>
    <t>Jambalaya with Shrimp</t>
  </si>
  <si>
    <t>Stowaway Gourmet Jambalaya with Shrimp</t>
  </si>
  <si>
    <t>Irish Shepherd's Pie</t>
  </si>
  <si>
    <t>Nomad Nutrition Irish Shepherd's Pie</t>
  </si>
  <si>
    <t>Nomad Nutrition Kathmandu Curry</t>
  </si>
  <si>
    <t>Bison Beer Black Bean Chili</t>
  </si>
  <si>
    <t>Stowaway Gourmet Bison Beer Black Bean Chili</t>
  </si>
  <si>
    <t>Bison Ranch Mashers</t>
  </si>
  <si>
    <t>Peak Refuel Bison Ranch Mashers</t>
  </si>
  <si>
    <t>Elk Ragu Pasta</t>
  </si>
  <si>
    <t>Peak Refuel Elk Ragu Pasta</t>
  </si>
  <si>
    <t>Green Chili Mac and Cheese</t>
  </si>
  <si>
    <t>Farm to Summit Green Chili Mac and Cheese</t>
  </si>
  <si>
    <t>Venison Country Casserole</t>
  </si>
  <si>
    <t>Peak Refuel Venison Country Casserole</t>
  </si>
  <si>
    <t>Butternut Dal Bhat</t>
  </si>
  <si>
    <t>Peak Refuel Butternut Dal Bhat</t>
  </si>
  <si>
    <t>White Bean Potato Stew</t>
  </si>
  <si>
    <t>Farm to Summit White Bean Potato Stew</t>
  </si>
  <si>
    <t>Zesty Zoodles in Avocado Sauce</t>
  </si>
  <si>
    <t>Bushka's Kitchen Zesty Zoodles in Avocado Sauce</t>
  </si>
  <si>
    <t>Garden Mac and Cheese</t>
  </si>
  <si>
    <t>Farm to Summit Garden Mac and Cheese</t>
  </si>
  <si>
    <t>Indian Red Lentil Stew</t>
  </si>
  <si>
    <t>Nomad Nutrition Indian Red Lentil Stew</t>
  </si>
  <si>
    <t>Green Tamale Pie</t>
  </si>
  <si>
    <t>Fernweh Food Co. Green Tamale Pie</t>
  </si>
  <si>
    <t>Unstuffed Pepper with Ground Bison</t>
  </si>
  <si>
    <t>Bushka's Kitchen Unstuffed Pepper with Ground Bison</t>
  </si>
  <si>
    <t>Grass-Fed Bison Chili</t>
  </si>
  <si>
    <t>Heather's Choice Grass-Fed Bison Chili</t>
  </si>
  <si>
    <t>Hearty Harvest Bowl with Wild Boar</t>
  </si>
  <si>
    <t>Bushka's Kitchen Hearty Harvest Bowl with Wild Boar</t>
  </si>
  <si>
    <t>La Pasta Nostra</t>
  </si>
  <si>
    <t>Stowaway Gourmet La Pasta Nostra</t>
  </si>
  <si>
    <t>Stowaway Gourmet Chana Masala</t>
  </si>
  <si>
    <t>Chicken Mole with Rice</t>
  </si>
  <si>
    <t>Heather's Choice Chicken Mole with Rice</t>
  </si>
  <si>
    <t>Lentil Lunch</t>
  </si>
  <si>
    <t>Bushka's Kitchen Lentil Lunch</t>
  </si>
  <si>
    <t>Coconut Rice and Cuban Black Beans</t>
  </si>
  <si>
    <t>Food for the Sole Coconut Rice and Cuban Black Beans</t>
  </si>
  <si>
    <t>Ratatouille with Nutty Quinoa Pilaf</t>
  </si>
  <si>
    <t>Food for the Sole Ratatouille with Nutty Quinoa Pilaf</t>
  </si>
  <si>
    <t>Spanish Paella</t>
  </si>
  <si>
    <t>Nomad Nutrition Spanish Paella</t>
  </si>
  <si>
    <t>Mushroom Pot Pie</t>
  </si>
  <si>
    <t>Fernweh Food Co. Mushroom Pot Pie</t>
  </si>
  <si>
    <t>Comrade Doeganoff</t>
  </si>
  <si>
    <t>Stowaway Gourmet Comrade Doeganoff</t>
  </si>
  <si>
    <t>Carribean Curry</t>
  </si>
  <si>
    <t>Nomad Nutrition Carribean Curry</t>
  </si>
  <si>
    <t>Hungarian Goulash</t>
  </si>
  <si>
    <t>Nomad Nutrition Hungarian Goulash</t>
  </si>
  <si>
    <t>Miso Salmon Okayu</t>
  </si>
  <si>
    <t>Stowaway Gourmet Miso Salmon Okayu</t>
  </si>
  <si>
    <t>Mom's Spaghetti with Beef and Marinara</t>
  </si>
  <si>
    <t>Heather's Choice Mom's Spaghetti with Beef and Marinara</t>
  </si>
  <si>
    <t>Smoked Sockeye Salmon Chowder</t>
  </si>
  <si>
    <t>Heather's Choice Smoked Sockeye Salmon Chowder</t>
  </si>
  <si>
    <t>Puebloan Beans and Rice</t>
  </si>
  <si>
    <t>Farm to Summit Puebloan Beans and Rice</t>
  </si>
  <si>
    <t>Wild Boar Bacon Bean Stew</t>
  </si>
  <si>
    <t>Stowaway Gourmet Wild Boar Bacon Bean Stew</t>
  </si>
  <si>
    <t>Roasted Sweet Potatoes with Kale and Quinoa</t>
  </si>
  <si>
    <t>Food for the Sole Roasted Sweet Potatoes with Kale and Quinoa</t>
  </si>
  <si>
    <t>Shepherd's Cottage Pie</t>
  </si>
  <si>
    <t>PackIt Gourmet Shepherd's Cottage Pie</t>
  </si>
  <si>
    <t>Coconut Thai Soup</t>
  </si>
  <si>
    <t>Happy Yak Coconut Thai Soup</t>
  </si>
  <si>
    <t>Ukrainian Borscht</t>
  </si>
  <si>
    <t>Nomad Nutrition Ukrainian Borscht</t>
  </si>
  <si>
    <t>Southwest Stew</t>
  </si>
  <si>
    <t>Fernweh Food Co. Southwest Stew</t>
  </si>
  <si>
    <t>Red Beans, Greens and Coconut Rice</t>
  </si>
  <si>
    <t>Fernweh Food Co. Red Beans, Greens and Coconut Rice</t>
  </si>
  <si>
    <t>Cheese and Mushroom Risotto</t>
  </si>
  <si>
    <t>Happy Yak Cheese and Mushroom Risotto</t>
  </si>
  <si>
    <t>Sunny Rice Salad</t>
  </si>
  <si>
    <t>Happy Yak Sunny Rice Salad</t>
  </si>
  <si>
    <t>Beef &amp; Bean Chili</t>
  </si>
  <si>
    <t>Sasquatch Fuel Beef &amp; Bean Chili</t>
  </si>
  <si>
    <t>White Cheddar Mac N Cheese</t>
  </si>
  <si>
    <t>Sasquatch Fuel White Cheddar Mac N Cheese</t>
  </si>
  <si>
    <t>African Peanut Stew</t>
  </si>
  <si>
    <t>Heather's Choice African Peanut Stew</t>
  </si>
  <si>
    <t>Moroccan Feast</t>
  </si>
  <si>
    <t>Happy Yak Moroccan Feast</t>
  </si>
  <si>
    <t>Vegan Chili</t>
  </si>
  <si>
    <t>Happy Yak Vegan Chili</t>
  </si>
  <si>
    <t>Happy Yak Teriyaki Rice</t>
  </si>
  <si>
    <t>Southwest Man N Cheese</t>
  </si>
  <si>
    <t>Sasquatch Fuel Southwest Man N Cheese</t>
  </si>
  <si>
    <t>Cuban Rice &amp; Beans</t>
  </si>
  <si>
    <t>Sasquatch Fuel Cuban Rice &amp; Beans</t>
  </si>
  <si>
    <t>Bengali Rice</t>
  </si>
  <si>
    <t>Happy Yak Bengali Rice</t>
  </si>
  <si>
    <t>Vegetarian Taco Mix (BYOB)</t>
  </si>
  <si>
    <t>Happy Yak Vegetarian Taco Mix (BYOB)</t>
  </si>
  <si>
    <t>Mom's Dried Tomato and Cheese Macaroni</t>
  </si>
  <si>
    <t>Happy Yak Mom's Dried Tomato and Cheese Macaroni</t>
  </si>
  <si>
    <t>Las Pollos Hermanas</t>
  </si>
  <si>
    <t>Stowaway Gourmet Las Pollos Hermanas</t>
  </si>
  <si>
    <t>Lentil Walnut Pilaf with Kale</t>
  </si>
  <si>
    <t>Food for the Sole Lentil Walnut Pilaf with Kale</t>
  </si>
  <si>
    <t>Sasquatch Fuel Beef Stroganoff</t>
  </si>
  <si>
    <t>7-Flavour Consomme</t>
  </si>
  <si>
    <t>Happy Yak 7-Flavour Consomme</t>
  </si>
  <si>
    <t>Ranchero Soup</t>
  </si>
  <si>
    <t>Happy Yak Ranchero Soup</t>
  </si>
  <si>
    <t>Spaghetti &amp; Meat Sauce</t>
  </si>
  <si>
    <t>Sasquatch Fuel Spaghetti &amp; Meat Sauce</t>
  </si>
  <si>
    <t>Kickin' Cactus Bowl</t>
  </si>
  <si>
    <t>Sasquatch Fuel Kickin' Cactus Bowl</t>
  </si>
  <si>
    <t>Thai Peanut Slaw</t>
  </si>
  <si>
    <t>Farm to Summit Thai Peanut Slaw</t>
  </si>
  <si>
    <t>Thai Red Curry</t>
  </si>
  <si>
    <t>Farm to Summit Thai Red Curry</t>
  </si>
  <si>
    <t>Creamy Mashed Potatoes</t>
  </si>
  <si>
    <t>Bushka's Kitchen Creamy Mashed Potatoes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</si>
</sst>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2">
    <font>
      <sz val="11.0"/>
      <color theme="1"/>
      <name val="Calibri"/>
      <scheme val="minor"/>
    </font>
    <font>
      <color theme="1"/>
      <name val="Calibri"/>
    </font>
    <font>
      <b/>
      <sz val="13.0"/>
      <color theme="1"/>
      <name val="Calibri"/>
    </font>
    <font>
      <b/>
      <sz val="11.0"/>
      <color theme="1"/>
      <name val="Calibri"/>
    </font>
    <font>
      <u/>
      <color rgb="FF0000FF"/>
      <name val="Calibri"/>
    </font>
    <font>
      <b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sz val="11.0"/>
      <color rgb="FFF2F2F2"/>
      <name val="Calibri"/>
    </font>
    <font/>
    <font>
      <sz val="11.0"/>
      <color rgb="FF999999"/>
      <name val="Calibri"/>
    </font>
    <font>
      <sz val="11.0"/>
      <color rgb="FFD9D9D9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sz val="11.0"/>
      <color rgb="FFFF0000"/>
      <name val="Calibri"/>
    </font>
    <font>
      <sz val="11.0"/>
      <color rgb="FF00B0F0"/>
      <name val="Calibri"/>
    </font>
    <font>
      <sz val="11.0"/>
      <color rgb="FF00B050"/>
      <name val="Calibri"/>
    </font>
    <font>
      <sz val="11.0"/>
      <color theme="5"/>
      <name val="Calibri"/>
    </font>
    <font>
      <b/>
      <sz val="11.0"/>
      <color rgb="FF00B050"/>
      <name val="Calibri"/>
    </font>
    <font>
      <sz val="11.0"/>
      <color rgb="FF9C0006"/>
      <name val="Calibri"/>
    </font>
    <font>
      <sz val="11.0"/>
      <color rgb="FF0070C0"/>
      <name val="Calibri"/>
    </font>
    <font>
      <sz val="11.0"/>
      <color rgb="FFFFFFFF"/>
      <name val="Calibri"/>
    </font>
  </fonts>
  <fills count="32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  <fill>
      <patternFill patternType="solid">
        <fgColor rgb="FF8DB3E2"/>
        <bgColor rgb="FF8DB3E2"/>
      </patternFill>
    </fill>
    <fill>
      <patternFill patternType="solid">
        <fgColor rgb="FFC6D9F0"/>
        <bgColor rgb="FFC6D9F0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theme="6"/>
        <bgColor theme="6"/>
      </patternFill>
    </fill>
    <fill>
      <patternFill patternType="solid">
        <fgColor rgb="FFEFEFEF"/>
        <bgColor rgb="FFEFEFEF"/>
      </patternFill>
    </fill>
    <fill>
      <patternFill patternType="solid">
        <fgColor rgb="FFD68C8A"/>
        <bgColor rgb="FFD68C8A"/>
      </patternFill>
    </fill>
    <fill>
      <patternFill patternType="solid">
        <fgColor rgb="FFE6B8B7"/>
        <bgColor rgb="FFE6B8B7"/>
      </patternFill>
    </fill>
    <fill>
      <patternFill patternType="solid">
        <fgColor rgb="FFFCD5B4"/>
        <bgColor rgb="FFFCD5B4"/>
      </patternFill>
    </fill>
    <fill>
      <patternFill patternType="solid">
        <fgColor rgb="FFFCE4D0"/>
        <bgColor rgb="FFFCE4D0"/>
      </patternFill>
    </fill>
    <fill>
      <patternFill patternType="solid">
        <fgColor rgb="FFFEF2E8"/>
        <bgColor rgb="FFFEF2E8"/>
      </patternFill>
    </fill>
    <fill>
      <patternFill patternType="solid">
        <fgColor rgb="FFFFC7CE"/>
        <bgColor rgb="FFFFC7CE"/>
      </patternFill>
    </fill>
    <fill>
      <patternFill patternType="solid">
        <fgColor rgb="FFB8CCE4"/>
        <bgColor rgb="FFB8CCE4"/>
      </patternFill>
    </fill>
    <fill>
      <patternFill patternType="solid">
        <fgColor rgb="FF000000"/>
        <bgColor rgb="FF000000"/>
      </patternFill>
    </fill>
  </fills>
  <borders count="51">
    <border/>
    <border>
      <left/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2" fontId="3" numFmtId="0" xfId="0" applyBorder="1" applyFill="1" applyFont="1"/>
    <xf borderId="1" fillId="2" fontId="3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horizontal="center"/>
    </xf>
    <xf borderId="0" fillId="0" fontId="4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2" fillId="2" fontId="3" numFmtId="0" xfId="0" applyAlignment="1" applyBorder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6" numFmtId="1" xfId="0" applyAlignment="1" applyFont="1" applyNumberFormat="1">
      <alignment horizontal="center" readingOrder="0"/>
    </xf>
    <xf borderId="0" fillId="0" fontId="6" numFmtId="2" xfId="0" applyAlignment="1" applyFont="1" applyNumberFormat="1">
      <alignment horizontal="center"/>
    </xf>
    <xf borderId="1" fillId="4" fontId="6" numFmtId="0" xfId="0" applyAlignment="1" applyBorder="1" applyFill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3" numFmtId="1" xfId="0" applyAlignment="1" applyFont="1" applyNumberFormat="1">
      <alignment horizontal="center"/>
    </xf>
    <xf borderId="3" fillId="0" fontId="6" numFmtId="2" xfId="0" applyAlignment="1" applyBorder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0" fillId="0" fontId="7" numFmtId="0" xfId="0" applyAlignment="1" applyFont="1">
      <alignment readingOrder="0"/>
    </xf>
    <xf borderId="0" fillId="0" fontId="6" numFmtId="9" xfId="0" applyAlignment="1" applyFont="1" applyNumberFormat="1">
      <alignment horizontal="center"/>
    </xf>
    <xf borderId="0" fillId="0" fontId="6" numFmtId="0" xfId="0" applyFont="1"/>
    <xf borderId="0" fillId="0" fontId="8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top" wrapText="1"/>
    </xf>
    <xf borderId="6" fillId="5" fontId="6" numFmtId="0" xfId="0" applyAlignment="1" applyBorder="1" applyFill="1" applyFont="1">
      <alignment horizontal="center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6" numFmtId="164" xfId="0" applyAlignment="1" applyBorder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7" fillId="0" fontId="6" numFmtId="1" xfId="0" applyAlignment="1" applyBorder="1" applyFont="1" applyNumberFormat="1">
      <alignment horizontal="center" vertical="center"/>
    </xf>
    <xf borderId="7" fillId="0" fontId="6" numFmtId="9" xfId="0" applyAlignment="1" applyBorder="1" applyFont="1" applyNumberFormat="1">
      <alignment horizontal="center" vertical="center"/>
    </xf>
    <xf borderId="8" fillId="0" fontId="6" numFmtId="2" xfId="0" applyAlignment="1" applyBorder="1" applyFont="1" applyNumberFormat="1">
      <alignment horizontal="center" vertical="center"/>
    </xf>
    <xf borderId="9" fillId="5" fontId="6" numFmtId="0" xfId="0" applyAlignment="1" applyBorder="1" applyFill="1" applyFont="1">
      <alignment horizontal="center" shrinkToFit="0" vertical="center" wrapText="1"/>
    </xf>
    <xf borderId="7" fillId="0" fontId="6" numFmtId="1" xfId="0" applyAlignment="1" applyBorder="1" applyFont="1" applyNumberFormat="1">
      <alignment horizontal="center" shrinkToFit="0" vertical="center" wrapText="1"/>
    </xf>
    <xf borderId="7" fillId="0" fontId="6" numFmtId="164" xfId="0" applyAlignment="1" applyBorder="1" applyFont="1" applyNumberFormat="1">
      <alignment horizontal="center" shrinkToFit="0" vertical="center" wrapText="1"/>
    </xf>
    <xf borderId="7" fillId="0" fontId="6" numFmtId="2" xfId="0" applyAlignment="1" applyBorder="1" applyFont="1" applyNumberFormat="1">
      <alignment horizontal="center" shrinkToFit="0" vertical="center" wrapText="1"/>
    </xf>
    <xf borderId="7" fillId="0" fontId="6" numFmtId="9" xfId="0" applyAlignment="1" applyBorder="1" applyFont="1" applyNumberFormat="1">
      <alignment horizontal="center" shrinkToFit="0" vertical="center" wrapText="1"/>
    </xf>
    <xf borderId="10" fillId="0" fontId="6" numFmtId="2" xfId="0" applyAlignment="1" applyBorder="1" applyFont="1" applyNumberFormat="1">
      <alignment horizontal="center" shrinkToFit="0" vertical="center" wrapText="1"/>
    </xf>
    <xf borderId="11" fillId="0" fontId="9" numFmtId="0" xfId="0" applyBorder="1" applyFont="1"/>
    <xf borderId="12" fillId="0" fontId="9" numFmtId="0" xfId="0" applyBorder="1" applyFont="1"/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3" fillId="0" fontId="6" numFmtId="164" xfId="0" applyAlignment="1" applyBorder="1" applyFont="1" applyNumberFormat="1">
      <alignment horizontal="center" vertical="center"/>
    </xf>
    <xf borderId="13" fillId="0" fontId="9" numFmtId="0" xfId="0" applyBorder="1" applyFont="1"/>
    <xf borderId="14" fillId="0" fontId="9" numFmtId="0" xfId="0" applyBorder="1" applyFont="1"/>
    <xf borderId="15" fillId="0" fontId="9" numFmtId="0" xfId="0" applyBorder="1" applyFont="1"/>
    <xf borderId="16" fillId="0" fontId="6" numFmtId="0" xfId="0" applyAlignment="1" applyBorder="1" applyFont="1">
      <alignment horizontal="left" shrinkToFit="0" vertical="center" wrapText="1"/>
    </xf>
    <xf borderId="16" fillId="0" fontId="6" numFmtId="0" xfId="0" applyAlignment="1" applyBorder="1" applyFont="1">
      <alignment horizontal="center" readingOrder="0" shrinkToFit="0" vertical="center" wrapText="1"/>
    </xf>
    <xf borderId="16" fillId="0" fontId="6" numFmtId="1" xfId="0" applyAlignment="1" applyBorder="1" applyFont="1" applyNumberFormat="1">
      <alignment horizontal="center" vertical="center"/>
    </xf>
    <xf borderId="17" fillId="0" fontId="9" numFmtId="0" xfId="0" applyBorder="1" applyFont="1"/>
    <xf borderId="16" fillId="0" fontId="9" numFmtId="0" xfId="0" applyBorder="1" applyFont="1"/>
    <xf borderId="18" fillId="0" fontId="9" numFmtId="0" xfId="0" applyBorder="1" applyFont="1"/>
    <xf borderId="19" fillId="5" fontId="6" numFmtId="0" xfId="0" applyAlignment="1" applyBorder="1" applyFill="1" applyFont="1">
      <alignment horizontal="center" shrinkToFit="0" vertical="center" wrapText="1"/>
    </xf>
    <xf borderId="20" fillId="0" fontId="6" numFmtId="0" xfId="0" applyAlignment="1" applyBorder="1" applyFont="1">
      <alignment horizontal="left" shrinkToFit="0" vertical="center" wrapText="1"/>
    </xf>
    <xf borderId="20" fillId="0" fontId="6" numFmtId="0" xfId="0" applyAlignment="1" applyBorder="1" applyFont="1">
      <alignment horizontal="center" readingOrder="0" shrinkToFit="0" vertical="center" wrapText="1"/>
    </xf>
    <xf borderId="20" fillId="0" fontId="6" numFmtId="164" xfId="0" applyAlignment="1" applyBorder="1" applyFont="1" applyNumberFormat="1">
      <alignment horizontal="center" vertical="center"/>
    </xf>
    <xf borderId="20" fillId="0" fontId="6" numFmtId="1" xfId="0" applyAlignment="1" applyBorder="1" applyFont="1" applyNumberFormat="1">
      <alignment horizontal="center" vertical="center"/>
    </xf>
    <xf borderId="20" fillId="0" fontId="6" numFmtId="9" xfId="0" applyAlignment="1" applyBorder="1" applyFont="1" applyNumberFormat="1">
      <alignment horizontal="center" vertical="center"/>
    </xf>
    <xf borderId="21" fillId="0" fontId="6" numFmtId="164" xfId="0" applyAlignment="1" applyBorder="1" applyFont="1" applyNumberFormat="1">
      <alignment horizontal="center" vertical="center"/>
    </xf>
    <xf borderId="21" fillId="5" fontId="6" numFmtId="0" xfId="0" applyAlignment="1" applyBorder="1" applyFill="1" applyFont="1">
      <alignment horizontal="center" shrinkToFit="0" vertical="center" wrapText="1"/>
    </xf>
    <xf borderId="20" fillId="0" fontId="6" numFmtId="1" xfId="0" applyAlignment="1" applyBorder="1" applyFont="1" applyNumberFormat="1">
      <alignment horizontal="center" shrinkToFit="0" vertical="center" wrapText="1"/>
    </xf>
    <xf borderId="20" fillId="0" fontId="6" numFmtId="164" xfId="0" applyAlignment="1" applyBorder="1" applyFont="1" applyNumberFormat="1">
      <alignment horizontal="center" shrinkToFit="0" vertical="center" wrapText="1"/>
    </xf>
    <xf borderId="20" fillId="0" fontId="6" numFmtId="9" xfId="0" applyAlignment="1" applyBorder="1" applyFont="1" applyNumberFormat="1">
      <alignment horizontal="center" shrinkToFit="0" vertical="center" wrapText="1"/>
    </xf>
    <xf borderId="22" fillId="0" fontId="6" numFmtId="2" xfId="0" applyAlignment="1" applyBorder="1" applyFont="1" applyNumberFormat="1">
      <alignment horizontal="center" shrinkToFit="0" vertical="center" wrapText="1"/>
    </xf>
    <xf borderId="3" fillId="0" fontId="9" numFmtId="0" xfId="0" applyBorder="1" applyFont="1"/>
    <xf borderId="16" fillId="0" fontId="6" numFmtId="164" xfId="0" applyAlignment="1" applyBorder="1" applyFont="1" applyNumberFormat="1">
      <alignment horizontal="center" vertical="center"/>
    </xf>
    <xf borderId="16" fillId="0" fontId="6" numFmtId="9" xfId="0" applyAlignment="1" applyBorder="1" applyFont="1" applyNumberFormat="1">
      <alignment horizontal="center" vertical="center"/>
    </xf>
    <xf borderId="23" fillId="0" fontId="6" numFmtId="164" xfId="0" applyAlignment="1" applyBorder="1" applyFont="1" applyNumberFormat="1">
      <alignment horizontal="center" vertical="center"/>
    </xf>
    <xf borderId="23" fillId="0" fontId="9" numFmtId="0" xfId="0" applyBorder="1" applyFont="1"/>
    <xf borderId="20" fillId="0" fontId="6" numFmtId="0" xfId="0" applyAlignment="1" applyBorder="1" applyFont="1">
      <alignment horizontal="left" shrinkToFit="0" wrapText="1"/>
    </xf>
    <xf borderId="0" fillId="0" fontId="6" numFmtId="1" xfId="0" applyAlignment="1" applyFont="1" applyNumberFormat="1">
      <alignment horizontal="center"/>
    </xf>
    <xf borderId="24" fillId="5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wrapText="1"/>
    </xf>
    <xf borderId="16" fillId="0" fontId="6" numFmtId="1" xfId="0" applyAlignment="1" applyBorder="1" applyFont="1" applyNumberFormat="1">
      <alignment horizontal="center"/>
    </xf>
    <xf borderId="20" fillId="0" fontId="6" numFmtId="0" xfId="0" applyAlignment="1" applyBorder="1" applyFont="1">
      <alignment horizontal="left" readingOrder="0" shrinkToFit="0" vertical="center" wrapText="1"/>
    </xf>
    <xf borderId="13" fillId="5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1"/>
    </xf>
    <xf borderId="19" fillId="5" fontId="6" numFmtId="0" xfId="0" applyAlignment="1" applyBorder="1" applyFill="1" applyFont="1">
      <alignment horizontal="center" readingOrder="0" shrinkToFit="0" vertical="center" wrapText="1"/>
    </xf>
    <xf borderId="24" fillId="5" fontId="6" numFmtId="0" xfId="0" applyAlignment="1" applyBorder="1" applyFill="1" applyFont="1">
      <alignment horizontal="center" readingOrder="0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5" fillId="0" fontId="9" numFmtId="0" xfId="0" applyBorder="1" applyFont="1"/>
    <xf borderId="26" fillId="5" fontId="3" numFmtId="0" xfId="0" applyAlignment="1" applyBorder="1" applyFill="1" applyFont="1">
      <alignment horizontal="center" readingOrder="0" shrinkToFit="0" vertical="center" wrapText="1"/>
    </xf>
    <xf borderId="4" fillId="6" fontId="10" numFmtId="0" xfId="0" applyAlignment="1" applyBorder="1" applyFill="1" applyFont="1">
      <alignment horizontal="left" shrinkToFit="0" vertical="center" wrapText="1"/>
    </xf>
    <xf borderId="4" fillId="0" fontId="3" numFmtId="164" xfId="0" applyAlignment="1" applyBorder="1" applyFont="1" applyNumberFormat="1">
      <alignment horizontal="center" vertical="center"/>
    </xf>
    <xf borderId="4" fillId="0" fontId="3" numFmtId="1" xfId="0" applyAlignment="1" applyBorder="1" applyFont="1" applyNumberFormat="1">
      <alignment horizontal="center" vertical="center"/>
    </xf>
    <xf borderId="4" fillId="6" fontId="11" numFmtId="0" xfId="0" applyAlignment="1" applyBorder="1" applyFill="1" applyFont="1">
      <alignment horizontal="left" shrinkToFit="0" vertical="center" wrapText="1"/>
    </xf>
    <xf borderId="4" fillId="0" fontId="3" numFmtId="2" xfId="0" applyAlignment="1" applyBorder="1" applyFont="1" applyNumberFormat="1">
      <alignment horizontal="center" vertical="center"/>
    </xf>
    <xf borderId="4" fillId="0" fontId="3" numFmtId="9" xfId="0" applyAlignment="1" applyBorder="1" applyFont="1" applyNumberFormat="1">
      <alignment horizontal="center" vertical="center"/>
    </xf>
    <xf borderId="27" fillId="0" fontId="3" numFmtId="2" xfId="0" applyAlignment="1" applyBorder="1" applyFont="1" applyNumberFormat="1">
      <alignment horizontal="center" vertical="center"/>
    </xf>
    <xf borderId="28" fillId="2" fontId="3" numFmtId="0" xfId="0" applyAlignment="1" applyBorder="1" applyFill="1" applyFont="1">
      <alignment horizontal="center"/>
    </xf>
    <xf borderId="29" fillId="2" fontId="3" numFmtId="49" xfId="0" applyAlignment="1" applyBorder="1" applyFill="1" applyFont="1" applyNumberFormat="1">
      <alignment horizontal="center"/>
    </xf>
    <xf borderId="30" fillId="2" fontId="3" numFmtId="0" xfId="0" applyAlignment="1" applyBorder="1" applyFill="1" applyFont="1">
      <alignment horizontal="center"/>
    </xf>
    <xf borderId="31" fillId="2" fontId="3" numFmtId="0" xfId="0" applyAlignment="1" applyBorder="1" applyFill="1" applyFont="1">
      <alignment horizontal="center"/>
    </xf>
    <xf borderId="32" fillId="0" fontId="9" numFmtId="0" xfId="0" applyBorder="1" applyFont="1"/>
    <xf borderId="33" fillId="0" fontId="9" numFmtId="0" xfId="0" applyBorder="1" applyFont="1"/>
    <xf borderId="34" fillId="2" fontId="3" numFmtId="0" xfId="0" applyAlignment="1" applyBorder="1" applyFill="1" applyFont="1">
      <alignment horizontal="center"/>
    </xf>
    <xf borderId="35" fillId="0" fontId="9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12" fillId="7" fontId="6" numFmtId="0" xfId="0" applyAlignment="1" applyBorder="1" applyFill="1" applyFont="1">
      <alignment horizontal="center"/>
    </xf>
    <xf borderId="0" fillId="7" fontId="3" numFmtId="49" xfId="0" applyAlignment="1" applyFill="1" applyFont="1" applyNumberFormat="1">
      <alignment horizontal="center"/>
    </xf>
    <xf borderId="3" fillId="7" fontId="6" numFmtId="0" xfId="0" applyAlignment="1" applyBorder="1" applyFill="1" applyFont="1">
      <alignment horizontal="center"/>
    </xf>
    <xf borderId="12" fillId="0" fontId="6" numFmtId="0" xfId="0" applyAlignment="1" applyBorder="1" applyFont="1">
      <alignment horizontal="center"/>
    </xf>
    <xf borderId="36" fillId="8" fontId="6" numFmtId="0" xfId="0" applyAlignment="1" applyBorder="1" applyFill="1" applyFont="1">
      <alignment horizontal="center"/>
    </xf>
    <xf borderId="1" fillId="8" fontId="3" numFmtId="49" xfId="0" applyAlignment="1" applyBorder="1" applyFill="1" applyFont="1" applyNumberFormat="1">
      <alignment horizontal="center"/>
    </xf>
    <xf borderId="2" fillId="8" fontId="6" numFmtId="0" xfId="0" applyAlignment="1" applyBorder="1" applyFill="1" applyFont="1">
      <alignment horizontal="center"/>
    </xf>
    <xf borderId="37" fillId="9" fontId="6" numFmtId="0" xfId="0" applyAlignment="1" applyBorder="1" applyFill="1" applyFont="1">
      <alignment horizontal="center"/>
    </xf>
    <xf borderId="38" fillId="0" fontId="9" numFmtId="0" xfId="0" applyBorder="1" applyFont="1"/>
    <xf borderId="39" fillId="0" fontId="9" numFmtId="0" xfId="0" applyBorder="1" applyFont="1"/>
    <xf borderId="40" fillId="9" fontId="6" numFmtId="0" xfId="0" applyAlignment="1" applyBorder="1" applyFill="1" applyFont="1">
      <alignment horizontal="center"/>
    </xf>
    <xf borderId="41" fillId="0" fontId="9" numFmtId="0" xfId="0" applyBorder="1" applyFont="1"/>
    <xf borderId="36" fillId="10" fontId="6" numFmtId="0" xfId="0" applyAlignment="1" applyBorder="1" applyFill="1" applyFont="1">
      <alignment horizontal="center"/>
    </xf>
    <xf borderId="1" fillId="10" fontId="3" numFmtId="49" xfId="0" applyAlignment="1" applyBorder="1" applyFill="1" applyFont="1" applyNumberFormat="1">
      <alignment horizontal="center"/>
    </xf>
    <xf borderId="2" fillId="10" fontId="6" numFmtId="0" xfId="0" applyAlignment="1" applyBorder="1" applyFill="1" applyFont="1">
      <alignment horizontal="center"/>
    </xf>
    <xf borderId="37" fillId="11" fontId="6" numFmtId="0" xfId="0" applyAlignment="1" applyBorder="1" applyFill="1" applyFont="1">
      <alignment horizontal="center"/>
    </xf>
    <xf borderId="40" fillId="11" fontId="6" numFmtId="0" xfId="0" applyAlignment="1" applyBorder="1" applyFill="1" applyFont="1">
      <alignment horizontal="center"/>
    </xf>
    <xf borderId="36" fillId="9" fontId="6" numFmtId="0" xfId="0" applyAlignment="1" applyBorder="1" applyFill="1" applyFont="1">
      <alignment horizontal="center"/>
    </xf>
    <xf borderId="1" fillId="9" fontId="3" numFmtId="49" xfId="0" applyAlignment="1" applyBorder="1" applyFill="1" applyFont="1" applyNumberFormat="1">
      <alignment horizontal="center"/>
    </xf>
    <xf borderId="2" fillId="9" fontId="6" numFmtId="0" xfId="0" applyAlignment="1" applyBorder="1" applyFill="1" applyFont="1">
      <alignment horizontal="center"/>
    </xf>
    <xf borderId="37" fillId="12" fontId="6" numFmtId="0" xfId="0" applyAlignment="1" applyBorder="1" applyFill="1" applyFont="1">
      <alignment horizontal="center"/>
    </xf>
    <xf borderId="40" fillId="12" fontId="6" numFmtId="0" xfId="0" applyAlignment="1" applyBorder="1" applyFill="1" applyFont="1">
      <alignment horizontal="center"/>
    </xf>
    <xf borderId="36" fillId="11" fontId="6" numFmtId="0" xfId="0" applyAlignment="1" applyBorder="1" applyFill="1" applyFont="1">
      <alignment horizontal="center"/>
    </xf>
    <xf borderId="1" fillId="11" fontId="3" numFmtId="49" xfId="0" applyAlignment="1" applyBorder="1" applyFill="1" applyFont="1" applyNumberFormat="1">
      <alignment horizontal="center"/>
    </xf>
    <xf borderId="2" fillId="11" fontId="6" numFmtId="0" xfId="0" applyAlignment="1" applyBorder="1" applyFill="1" applyFont="1">
      <alignment horizontal="center"/>
    </xf>
    <xf borderId="42" fillId="7" fontId="6" numFmtId="0" xfId="0" applyAlignment="1" applyBorder="1" applyFill="1" applyFont="1">
      <alignment horizontal="center"/>
    </xf>
    <xf borderId="43" fillId="0" fontId="9" numFmtId="0" xfId="0" applyBorder="1" applyFont="1"/>
    <xf borderId="44" fillId="0" fontId="9" numFmtId="0" xfId="0" applyBorder="1" applyFont="1"/>
    <xf borderId="45" fillId="2" fontId="3" numFmtId="0" xfId="0" applyBorder="1" applyFill="1" applyFont="1"/>
    <xf borderId="46" fillId="7" fontId="6" numFmtId="0" xfId="0" applyAlignment="1" applyBorder="1" applyFill="1" applyFont="1">
      <alignment horizontal="center"/>
    </xf>
    <xf borderId="47" fillId="0" fontId="9" numFmtId="0" xfId="0" applyBorder="1" applyFont="1"/>
    <xf borderId="45" fillId="2" fontId="3" numFmtId="0" xfId="0" applyAlignment="1" applyBorder="1" applyFill="1" applyFont="1">
      <alignment horizontal="center"/>
    </xf>
    <xf borderId="48" fillId="12" fontId="6" numFmtId="0" xfId="0" applyAlignment="1" applyBorder="1" applyFill="1" applyFont="1">
      <alignment horizontal="center"/>
    </xf>
    <xf borderId="45" fillId="3" fontId="3" numFmtId="0" xfId="0" applyAlignment="1" applyBorder="1" applyFill="1" applyFont="1">
      <alignment horizontal="center"/>
    </xf>
    <xf borderId="45" fillId="12" fontId="3" numFmtId="49" xfId="0" applyAlignment="1" applyBorder="1" applyFill="1" applyFont="1" applyNumberFormat="1">
      <alignment horizontal="center"/>
    </xf>
    <xf borderId="45" fillId="4" fontId="3" numFmtId="0" xfId="0" applyAlignment="1" applyBorder="1" applyFill="1" applyFont="1">
      <alignment horizontal="center"/>
    </xf>
    <xf borderId="49" fillId="12" fontId="6" numFmtId="0" xfId="0" applyAlignment="1" applyBorder="1" applyFill="1" applyFont="1">
      <alignment horizontal="center"/>
    </xf>
    <xf borderId="45" fillId="13" fontId="3" numFmtId="0" xfId="0" applyAlignment="1" applyBorder="1" applyFill="1" applyFont="1">
      <alignment horizontal="center"/>
    </xf>
    <xf borderId="45" fillId="14" fontId="3" numFmtId="0" xfId="0" applyAlignment="1" applyBorder="1" applyFill="1" applyFont="1">
      <alignment horizontal="center"/>
    </xf>
    <xf borderId="45" fillId="2" fontId="12" numFmtId="0" xfId="0" applyAlignment="1" applyBorder="1" applyFill="1" applyFont="1">
      <alignment horizontal="center"/>
    </xf>
    <xf borderId="16" fillId="0" fontId="3" numFmtId="0" xfId="0" applyBorder="1" applyFont="1"/>
    <xf borderId="0" fillId="0" fontId="13" numFmtId="0" xfId="0" applyFont="1"/>
    <xf borderId="30" fillId="2" fontId="3" numFmtId="49" xfId="0" applyAlignment="1" applyBorder="1" applyFill="1" applyFont="1" applyNumberFormat="1">
      <alignment horizontal="center"/>
    </xf>
    <xf borderId="1" fillId="3" fontId="6" numFmtId="0" xfId="0" applyAlignment="1" applyBorder="1" applyFill="1" applyFont="1">
      <alignment horizontal="center"/>
    </xf>
    <xf borderId="1" fillId="13" fontId="6" numFmtId="0" xfId="0" applyAlignment="1" applyBorder="1" applyFill="1" applyFont="1">
      <alignment horizontal="center"/>
    </xf>
    <xf borderId="1" fillId="14" fontId="6" numFmtId="0" xfId="0" applyAlignment="1" applyBorder="1" applyFill="1" applyFont="1">
      <alignment horizontal="center"/>
    </xf>
    <xf borderId="3" fillId="0" fontId="6" numFmtId="49" xfId="0" applyAlignment="1" applyBorder="1" applyFont="1" applyNumberFormat="1">
      <alignment horizontal="center"/>
    </xf>
    <xf borderId="0" fillId="0" fontId="14" numFmtId="0" xfId="0" applyAlignment="1" applyFont="1">
      <alignment horizontal="center"/>
    </xf>
    <xf borderId="1" fillId="4" fontId="6" numFmtId="1" xfId="0" applyAlignment="1" applyBorder="1" applyFill="1" applyFont="1" applyNumberFormat="1">
      <alignment horizontal="center"/>
    </xf>
    <xf borderId="2" fillId="9" fontId="6" numFmtId="49" xfId="0" applyAlignment="1" applyBorder="1" applyFill="1" applyFont="1" applyNumberFormat="1">
      <alignment horizontal="center"/>
    </xf>
    <xf borderId="0" fillId="0" fontId="15" numFmtId="0" xfId="0" applyFont="1"/>
    <xf borderId="37" fillId="15" fontId="6" numFmtId="0" xfId="0" applyAlignment="1" applyBorder="1" applyFill="1" applyFont="1">
      <alignment horizontal="center"/>
    </xf>
    <xf borderId="40" fillId="15" fontId="6" numFmtId="0" xfId="0" applyAlignment="1" applyBorder="1" applyFill="1" applyFont="1">
      <alignment horizontal="center"/>
    </xf>
    <xf borderId="2" fillId="11" fontId="6" numFmtId="49" xfId="0" applyAlignment="1" applyBorder="1" applyFill="1" applyFont="1" applyNumberFormat="1">
      <alignment horizontal="center"/>
    </xf>
    <xf borderId="37" fillId="16" fontId="6" numFmtId="0" xfId="0" applyAlignment="1" applyBorder="1" applyFill="1" applyFont="1">
      <alignment horizontal="center"/>
    </xf>
    <xf borderId="40" fillId="16" fontId="6" numFmtId="0" xfId="0" applyAlignment="1" applyBorder="1" applyFill="1" applyFont="1">
      <alignment horizontal="center"/>
    </xf>
    <xf borderId="0" fillId="0" fontId="6" numFmtId="0" xfId="0" applyAlignment="1" applyFont="1">
      <alignment horizontal="left"/>
    </xf>
    <xf borderId="15" fillId="0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23" fillId="0" fontId="6" numFmtId="49" xfId="0" applyAlignment="1" applyBorder="1" applyFont="1" applyNumberFormat="1">
      <alignment horizontal="center"/>
    </xf>
    <xf borderId="3" fillId="0" fontId="6" numFmtId="1" xfId="0" applyAlignment="1" applyBorder="1" applyFont="1" applyNumberFormat="1">
      <alignment horizontal="center"/>
    </xf>
    <xf borderId="37" fillId="13" fontId="6" numFmtId="0" xfId="0" applyAlignment="1" applyBorder="1" applyFill="1" applyFont="1">
      <alignment horizontal="center"/>
    </xf>
    <xf borderId="40" fillId="13" fontId="6" numFmtId="0" xfId="0" applyAlignment="1" applyBorder="1" applyFill="1" applyFont="1">
      <alignment horizontal="center"/>
    </xf>
    <xf borderId="37" fillId="17" fontId="6" numFmtId="0" xfId="0" applyAlignment="1" applyBorder="1" applyFill="1" applyFont="1">
      <alignment horizontal="center"/>
    </xf>
    <xf borderId="40" fillId="17" fontId="6" numFmtId="0" xfId="0" applyAlignment="1" applyBorder="1" applyFill="1" applyFont="1">
      <alignment horizontal="center"/>
    </xf>
    <xf borderId="16" fillId="0" fontId="3" numFmtId="1" xfId="0" applyAlignment="1" applyBorder="1" applyFont="1" applyNumberFormat="1">
      <alignment horizontal="center"/>
    </xf>
    <xf borderId="23" fillId="0" fontId="6" numFmtId="1" xfId="0" applyAlignment="1" applyBorder="1" applyFont="1" applyNumberFormat="1">
      <alignment horizontal="center"/>
    </xf>
    <xf borderId="42" fillId="8" fontId="6" numFmtId="0" xfId="0" applyAlignment="1" applyBorder="1" applyFill="1" applyFont="1">
      <alignment horizontal="center"/>
    </xf>
    <xf borderId="46" fillId="8" fontId="6" numFmtId="0" xfId="0" applyAlignment="1" applyBorder="1" applyFill="1" applyFont="1">
      <alignment horizontal="center"/>
    </xf>
    <xf borderId="0" fillId="0" fontId="16" numFmtId="0" xfId="0" applyFont="1"/>
    <xf borderId="40" fillId="17" fontId="3" numFmtId="0" xfId="0" applyAlignment="1" applyBorder="1" applyFill="1" applyFont="1">
      <alignment horizontal="center"/>
    </xf>
    <xf borderId="40" fillId="18" fontId="3" numFmtId="0" xfId="0" applyAlignment="1" applyBorder="1" applyFill="1" applyFont="1">
      <alignment horizontal="center"/>
    </xf>
    <xf borderId="1" fillId="17" fontId="3" numFmtId="0" xfId="0" applyAlignment="1" applyBorder="1" applyFill="1" applyFont="1">
      <alignment horizontal="center"/>
    </xf>
    <xf borderId="40" fillId="19" fontId="3" numFmtId="0" xfId="0" applyAlignment="1" applyBorder="1" applyFill="1" applyFont="1">
      <alignment horizontal="center"/>
    </xf>
    <xf borderId="0" fillId="0" fontId="6" numFmtId="0" xfId="0" applyAlignment="1" applyFont="1">
      <alignment horizontal="right"/>
    </xf>
    <xf borderId="50" fillId="13" fontId="6" numFmtId="0" xfId="0" applyAlignment="1" applyBorder="1" applyFill="1" applyFont="1">
      <alignment horizontal="center"/>
    </xf>
    <xf borderId="50" fillId="14" fontId="6" numFmtId="0" xfId="0" applyAlignment="1" applyBorder="1" applyFill="1" applyFont="1">
      <alignment horizontal="center"/>
    </xf>
    <xf borderId="40" fillId="16" fontId="3" numFmtId="0" xfId="0" applyAlignment="1" applyBorder="1" applyFill="1" applyFont="1">
      <alignment horizontal="center"/>
    </xf>
    <xf borderId="1" fillId="16" fontId="3" numFmtId="0" xfId="0" applyAlignment="1" applyBorder="1" applyFill="1" applyFont="1">
      <alignment horizontal="center"/>
    </xf>
    <xf borderId="0" fillId="0" fontId="17" numFmtId="0" xfId="0" applyAlignment="1" applyFont="1">
      <alignment horizontal="center"/>
    </xf>
    <xf borderId="40" fillId="20" fontId="3" numFmtId="0" xfId="0" applyAlignment="1" applyBorder="1" applyFill="1" applyFont="1">
      <alignment horizontal="center"/>
    </xf>
    <xf borderId="1" fillId="20" fontId="3" numFmtId="0" xfId="0" applyAlignment="1" applyBorder="1" applyFill="1" applyFont="1">
      <alignment horizontal="center"/>
    </xf>
    <xf borderId="0" fillId="0" fontId="17" numFmtId="1" xfId="0" applyAlignment="1" applyFont="1" applyNumberFormat="1">
      <alignment horizontal="center"/>
    </xf>
    <xf borderId="50" fillId="21" fontId="6" numFmtId="0" xfId="0" applyAlignment="1" applyBorder="1" applyFill="1" applyFont="1">
      <alignment horizontal="center"/>
    </xf>
    <xf borderId="40" fillId="22" fontId="3" numFmtId="0" xfId="0" applyAlignment="1" applyBorder="1" applyFill="1" applyFont="1">
      <alignment horizontal="center"/>
    </xf>
    <xf borderId="0" fillId="0" fontId="6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horizontal="center" readingOrder="0"/>
    </xf>
    <xf borderId="1" fillId="2" fontId="6" numFmtId="0" xfId="0" applyAlignment="1" applyBorder="1" applyFill="1" applyFont="1">
      <alignment horizontal="center" readingOrder="0"/>
    </xf>
    <xf borderId="0" fillId="0" fontId="6" numFmtId="2" xfId="0" applyAlignment="1" applyFont="1" applyNumberFormat="1">
      <alignment horizontal="center" readingOrder="0"/>
    </xf>
    <xf borderId="12" fillId="0" fontId="6" numFmtId="1" xfId="0" applyAlignment="1" applyBorder="1" applyFont="1" applyNumberFormat="1">
      <alignment horizontal="center"/>
    </xf>
    <xf borderId="0" fillId="0" fontId="16" numFmtId="0" xfId="0" applyAlignment="1" applyFont="1">
      <alignment horizontal="center"/>
    </xf>
    <xf borderId="0" fillId="0" fontId="16" numFmtId="2" xfId="0" applyAlignment="1" applyFont="1" applyNumberFormat="1">
      <alignment horizontal="center"/>
    </xf>
    <xf borderId="1" fillId="3" fontId="18" numFmtId="0" xfId="0" applyAlignment="1" applyBorder="1" applyFill="1" applyFont="1">
      <alignment horizontal="center"/>
    </xf>
    <xf borderId="1" fillId="4" fontId="16" numFmtId="0" xfId="0" applyAlignment="1" applyBorder="1" applyFill="1" applyFont="1">
      <alignment horizontal="center"/>
    </xf>
    <xf borderId="1" fillId="2" fontId="16" numFmtId="0" xfId="0" applyAlignment="1" applyBorder="1" applyFill="1" applyFont="1">
      <alignment horizontal="center"/>
    </xf>
    <xf borderId="0" fillId="0" fontId="14" numFmtId="0" xfId="0" applyFont="1"/>
    <xf borderId="0" fillId="0" fontId="14" numFmtId="2" xfId="0" applyAlignment="1" applyFont="1" applyNumberFormat="1">
      <alignment horizontal="center"/>
    </xf>
    <xf borderId="1" fillId="3" fontId="12" numFmtId="0" xfId="0" applyAlignment="1" applyBorder="1" applyFill="1" applyFont="1">
      <alignment horizontal="center"/>
    </xf>
    <xf borderId="1" fillId="4" fontId="14" numFmtId="0" xfId="0" applyAlignment="1" applyBorder="1" applyFill="1" applyFont="1">
      <alignment horizontal="center"/>
    </xf>
    <xf borderId="1" fillId="2" fontId="14" numFmtId="0" xfId="0" applyAlignment="1" applyBorder="1" applyFill="1" applyFont="1">
      <alignment horizontal="center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2" xfId="0" applyAlignment="1" applyFont="1" applyNumberForma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1" fillId="3" fontId="3" numFmtId="0" xfId="0" applyAlignment="1" applyBorder="1" applyFill="1" applyFont="1">
      <alignment horizontal="center" shrinkToFit="0" vertical="bottom" wrapText="1"/>
    </xf>
    <xf borderId="1" fillId="23" fontId="6" numFmtId="0" xfId="0" applyAlignment="1" applyBorder="1" applyFill="1" applyFont="1">
      <alignment horizontal="center" shrinkToFit="0" vertical="bottom" wrapText="1"/>
    </xf>
    <xf borderId="1" fillId="4" fontId="6" numFmtId="0" xfId="0" applyAlignment="1" applyBorder="1" applyFill="1" applyFont="1">
      <alignment horizontal="center" vertical="bottom"/>
    </xf>
    <xf borderId="1" fillId="5" fontId="6" numFmtId="0" xfId="0" applyAlignment="1" applyBorder="1" applyFill="1" applyFont="1">
      <alignment horizontal="center" shrinkToFit="0" vertical="bottom" wrapText="1"/>
    </xf>
    <xf borderId="12" fillId="24" fontId="3" numFmtId="1" xfId="0" applyAlignment="1" applyBorder="1" applyFill="1" applyFont="1" applyNumberFormat="1">
      <alignment horizontal="center" vertical="bottom"/>
    </xf>
    <xf borderId="0" fillId="24" fontId="6" numFmtId="2" xfId="0" applyAlignment="1" applyFill="1" applyFont="1" applyNumberFormat="1">
      <alignment horizontal="center" vertical="bottom"/>
    </xf>
    <xf borderId="1" fillId="0" fontId="6" numFmtId="0" xfId="0" applyAlignment="1" applyBorder="1" applyFont="1">
      <alignment vertical="bottom"/>
    </xf>
    <xf borderId="0" fillId="24" fontId="3" numFmtId="1" xfId="0" applyAlignment="1" applyFill="1" applyFont="1" applyNumberFormat="1">
      <alignment horizontal="center" vertical="bottom"/>
    </xf>
    <xf borderId="3" fillId="24" fontId="6" numFmtId="2" xfId="0" applyAlignment="1" applyBorder="1" applyFill="1" applyFont="1" applyNumberFormat="1">
      <alignment horizontal="center" vertical="bottom"/>
    </xf>
    <xf borderId="1" fillId="4" fontId="6" numFmtId="0" xfId="0" applyAlignment="1" applyBorder="1" applyFill="1" applyFont="1">
      <alignment horizontal="center" shrinkToFit="0" vertical="bottom" wrapText="1"/>
    </xf>
    <xf borderId="1" fillId="2" fontId="6" numFmtId="0" xfId="0" applyAlignment="1" applyBorder="1" applyFill="1" applyFont="1">
      <alignment horizontal="center" shrinkToFit="0" vertical="bottom" wrapText="1"/>
    </xf>
    <xf borderId="0" fillId="25" fontId="3" numFmtId="1" xfId="0" applyAlignment="1" applyFill="1" applyFont="1" applyNumberFormat="1">
      <alignment horizontal="center" vertical="bottom"/>
    </xf>
    <xf borderId="3" fillId="20" fontId="6" numFmtId="2" xfId="0" applyAlignment="1" applyBorder="1" applyFill="1" applyFont="1" applyNumberFormat="1">
      <alignment horizontal="center" vertical="bottom"/>
    </xf>
    <xf borderId="0" fillId="26" fontId="3" numFmtId="1" xfId="0" applyAlignment="1" applyFill="1" applyFont="1" applyNumberFormat="1">
      <alignment horizontal="center" vertical="bottom"/>
    </xf>
    <xf borderId="3" fillId="18" fontId="6" numFmtId="2" xfId="0" applyAlignment="1" applyBorder="1" applyFill="1" applyFont="1" applyNumberForma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2" fontId="6" numFmtId="0" xfId="0" applyAlignment="1" applyBorder="1" applyFill="1" applyFont="1">
      <alignment horizontal="center" vertical="bottom"/>
    </xf>
    <xf borderId="0" fillId="27" fontId="3" numFmtId="1" xfId="0" applyAlignment="1" applyFill="1" applyFont="1" applyNumberFormat="1">
      <alignment horizontal="center" vertical="bottom"/>
    </xf>
    <xf borderId="3" fillId="27" fontId="6" numFmtId="2" xfId="0" applyAlignment="1" applyBorder="1" applyFill="1" applyFont="1" applyNumberFormat="1">
      <alignment horizontal="center" vertical="bottom"/>
    </xf>
    <xf borderId="0" fillId="28" fontId="3" numFmtId="1" xfId="0" applyAlignment="1" applyFill="1" applyFont="1" applyNumberFormat="1">
      <alignment horizontal="center" vertical="bottom"/>
    </xf>
    <xf borderId="3" fillId="28" fontId="6" numFmtId="2" xfId="0" applyAlignment="1" applyBorder="1" applyFill="1" applyFont="1" applyNumberForma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3" fillId="0" fontId="6" numFmtId="2" xfId="0" applyAlignment="1" applyBorder="1" applyFont="1" applyNumberFormat="1">
      <alignment horizontal="center" vertical="bottom"/>
    </xf>
    <xf borderId="1" fillId="4" fontId="6" numFmtId="0" xfId="0" applyAlignment="1" applyBorder="1" applyFill="1" applyFont="1">
      <alignment vertical="bottom"/>
    </xf>
    <xf borderId="0" fillId="29" fontId="19" numFmtId="0" xfId="0" applyAlignment="1" applyFill="1" applyFont="1">
      <alignment horizontal="center" vertical="bottom"/>
    </xf>
    <xf borderId="0" fillId="24" fontId="6" numFmtId="1" xfId="0" applyAlignment="1" applyFill="1" applyFont="1" applyNumberForma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0" fontId="6" numFmtId="1" xfId="0" applyAlignment="1" applyFont="1" applyNumberFormat="1">
      <alignment horizontal="center" vertical="bottom"/>
    </xf>
    <xf borderId="0" fillId="30" fontId="20" numFmtId="0" xfId="0" applyAlignment="1" applyFill="1" applyFont="1">
      <alignment horizontal="center" vertical="bottom"/>
    </xf>
    <xf borderId="1" fillId="2" fontId="6" numFmtId="0" xfId="0" applyAlignment="1" applyBorder="1" applyFill="1" applyFont="1">
      <alignment vertical="bottom"/>
    </xf>
    <xf borderId="0" fillId="31" fontId="21" numFmtId="0" xfId="0" applyAlignment="1" applyFill="1" applyFont="1">
      <alignment horizontal="center" vertical="bottom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shrinkToFit="0" vertical="center" wrapText="1"/>
    </xf>
  </cellXfs>
  <cellStyles count="1">
    <cellStyle xfId="0" name="Normal" builtinId="0"/>
  </cellStyles>
  <dxfs count="31">
    <dxf>
      <font>
        <color theme="0"/>
      </font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  <dxf>
      <font/>
      <fill>
        <patternFill patternType="solid">
          <fgColor rgb="FFB2A1C7"/>
          <bgColor rgb="FFB2A1C7"/>
        </patternFill>
      </fill>
      <border/>
    </dxf>
    <dxf>
      <font>
        <color rgb="FFD8D8D8"/>
      </font>
      <fill>
        <patternFill patternType="none"/>
      </fill>
      <border/>
    </dxf>
    <dxf>
      <font>
        <color theme="0"/>
      </font>
      <fill>
        <patternFill patternType="solid">
          <fgColor theme="1"/>
          <bgColor theme="1"/>
        </patternFill>
      </fill>
      <border/>
    </dxf>
    <dxf>
      <font>
        <color rgb="FF0070C0"/>
      </font>
      <fill>
        <patternFill patternType="solid">
          <fgColor rgb="FFB8CCE4"/>
          <bgColor rgb="FFB8CCE4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EF2E8"/>
          <bgColor rgb="FFFEF2E8"/>
        </patternFill>
      </fill>
      <border/>
    </dxf>
    <dxf>
      <font/>
      <fill>
        <patternFill patternType="solid">
          <fgColor rgb="FFFCE4D0"/>
          <bgColor rgb="FFFCE4D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8DB3E2"/>
          <bgColor rgb="FF8DB3E2"/>
        </patternFill>
      </fill>
      <border/>
    </dxf>
    <dxf>
      <font>
        <color theme="1"/>
      </font>
      <fill>
        <patternFill patternType="solid">
          <fgColor rgb="FFE5B8B7"/>
          <bgColor rgb="FFE5B8B7"/>
        </patternFill>
      </fill>
      <border/>
    </dxf>
    <dxf>
      <font>
        <color theme="1"/>
      </font>
      <fill>
        <patternFill patternType="solid">
          <fgColor rgb="FFFBD4B4"/>
          <bgColor rgb="FFFBD4B4"/>
        </patternFill>
      </fill>
      <border/>
    </dxf>
    <dxf>
      <font>
        <color theme="1"/>
      </font>
      <fill>
        <patternFill patternType="none"/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D68C8A"/>
          <bgColor rgb="FFD68C8A"/>
        </patternFill>
      </fill>
      <border/>
    </dxf>
    <dxf>
      <font/>
      <fill>
        <patternFill patternType="solid">
          <fgColor rgb="FFE6B8B7"/>
          <bgColor rgb="FFE6B8B7"/>
        </patternFill>
      </fill>
      <border/>
    </dxf>
    <dxf>
      <font/>
      <fill>
        <patternFill patternType="solid">
          <fgColor rgb="FFFCD5B4"/>
          <bgColor rgb="FFFCD5B4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6D9F0"/>
          <bgColor rgb="FFC6D9F0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55" sheet="Multi-day planner"/>
  </cacheSource>
  <cacheFields>
    <cacheField name="Day" numFmtId="0">
      <sharedItems containsString="0" containsBlank="1" containsNumber="1" containsInteger="1">
        <n v="1.0"/>
        <m/>
        <n v="2.0"/>
        <n v="3.0"/>
        <n v="4.0"/>
        <n v="5.0"/>
        <n v="6.0"/>
        <n v="7.0"/>
      </sharedItems>
    </cacheField>
    <cacheField name="Meal" numFmtId="0">
      <sharedItems containsBlank="1">
        <s v="Breakfast"/>
        <m/>
        <s v="Morning Snacks"/>
        <s v="Lunch"/>
        <s v="Afternoon Snacks"/>
        <s v="Recovery"/>
        <s v="Dinner"/>
        <s v="Dessert"/>
        <s v="Total"/>
      </sharedItems>
    </cacheField>
    <cacheField name="Item" numFmtId="0">
      <sharedItems containsBlank="1">
        <s v="Backpacker's Pantry Granola with Bananas &amp; Milk"/>
        <m/>
        <s v="Honey Stinger Waffle, Short Stack with Maple"/>
        <s v="Justin's Classic Peanut Butter"/>
        <s v="Open Nature Uncured Hot Italian Salami"/>
        <s v="Tillamook Cheese packet, Medium Cheddar"/>
        <s v="Safeway (bulk dispenser) Mountain Mix"/>
        <s v="Kind Salted Caramel Dark Chocolate Nut"/>
        <s v="Tailwind Nutrition Chocolate Recovery"/>
        <s v="Pinnacle Foods Thai Peanut Curry, Roasted Vegetables, Rice Noodles"/>
        <s v="zzzz - subtotal line - ignore"/>
      </sharedItems>
    </cacheField>
    <cacheField name="Qty" numFmtId="0">
      <sharedItems containsString="0" containsBlank="1" containsNumber="1" containsInteger="1">
        <n v="1.0"/>
        <n v="2.0"/>
        <n v="3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opping List" cacheId="0" dataCaption="" rowGrandTotals="0" createdVersion="6" compact="0" compactData="0">
  <location ref="A4:B13" firstHeaderRow="0" firstDataRow="1" firstDataCol="0" rowPageCount="1" colPageCount="1"/>
  <pivotFields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e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tem" axis="axisRow" compact="0" outline="0" multipleItemSelectionAllowed="1" showAll="0" sortType="ascending">
      <items>
        <item x="1"/>
        <item x="0"/>
        <item x="2"/>
        <item x="3"/>
        <item x="7"/>
        <item x="4"/>
        <item x="9"/>
        <item x="6"/>
        <item x="8"/>
        <item x="5"/>
        <item x="10"/>
        <item t="default"/>
      </items>
    </pivotField>
    <pivotField name="Qty" axis="axisPage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pageFields>
    <pageField fld="3"/>
  </pageFields>
  <dataFields>
    <dataField name="SUM of Qty" fld="3" baseField="0"/>
  </dataFields>
  <filters>
    <filter fld="3" type="captionGreaterThan" evalOrder="-1" id="2" stringValue1="0">
      <autoFilter ref="A1">
        <filterColumn colId="0">
          <customFilters>
            <customFilter operator="greaterThan" val="0"/>
          </customFilters>
        </filterColumn>
      </autoFilter>
    </filter>
  </filter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GearSkeptic" TargetMode="External"/><Relationship Id="rId2" Type="http://schemas.openxmlformats.org/officeDocument/2006/relationships/hyperlink" Target="https://www.reddit.com/r/Ultralight/comments/1mb2fi3/beta_test_multiday_backpacking_meal_planner_based/" TargetMode="External"/><Relationship Id="rId3" Type="http://schemas.openxmlformats.org/officeDocument/2006/relationships/hyperlink" Target="https://www.dropbox.com/scl/fi/bgwzfihqbv3907ajdbeby/Hiker-Food-2.5.xlsx?rlkey=emtv218tcgnh8jwh6zi7xi1os&amp;e=1&amp;dl=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3.57"/>
  </cols>
  <sheetData>
    <row r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 t="s">
        <v>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" t="s">
        <v>23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1" t="s">
        <v>35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7" t="s">
        <v>36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2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/>
      <c r="B12" s="1" t="s">
        <v>38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40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7" t="s">
        <v>42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44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1" t="s">
        <v>46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1" t="s">
        <v>47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1" t="s">
        <v>49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1" t="s">
        <v>51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5" t="s">
        <v>53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B22" s="7" t="s">
        <v>54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1" t="s">
        <v>57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C24" s="1" t="s">
        <v>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C25" s="1" t="s">
        <v>61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C26" s="1" t="s">
        <v>62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7" t="s">
        <v>63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9" t="s">
        <v>67</v>
      </c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1" t="s">
        <v>68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" t="s">
        <v>69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1" t="s">
        <v>70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</sheetData>
  <hyperlinks>
    <hyperlink r:id="rId1" ref="A2"/>
    <hyperlink display="Use the Multi-Day Planner to map out each day's meals:" location="'Multi-day planner'!A1" ref="A8"/>
    <hyperlink display="Look at Color Keys to understand different weight, fat, carbs/protein, and salt ratios" location="'Color Keys'!A1" ref="B10"/>
    <hyperlink display="Use the Shopping List to help with what to buy" location="'Shopping List'!A1" ref="B14"/>
    <hyperlink display="Something missing? Add a new row to Hiker Food but not at the very bottom" location="'Hiker Food'!A1" ref="A15"/>
    <hyperlink r:id="rId2" ref="B22"/>
    <hyperlink r:id="rId3" ref="B27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10.43"/>
    <col customWidth="1" min="3" max="3" width="45.71"/>
    <col customWidth="1" min="4" max="4" width="4.86"/>
    <col customWidth="1" min="5" max="6" width="4.57"/>
    <col customWidth="1" min="7" max="7" width="3.71"/>
    <col customWidth="1" min="8" max="8" width="5.29"/>
    <col customWidth="1" min="9" max="9" width="5.43"/>
    <col customWidth="1" min="10" max="10" width="6.0"/>
    <col customWidth="1" min="11" max="11" width="5.57"/>
    <col customWidth="1" min="12" max="12" width="6.43"/>
    <col customWidth="1" hidden="1" min="13" max="13" width="7.43"/>
    <col customWidth="1" min="14" max="14" width="8.29"/>
    <col customWidth="1" min="15" max="15" width="5.43"/>
    <col customWidth="1" min="16" max="17" width="6.14"/>
    <col customWidth="1" min="18" max="18" width="6.57"/>
    <col customWidth="1" min="19" max="19" width="5.29"/>
    <col customWidth="1" min="20" max="20" width="11.57"/>
    <col customWidth="1" min="21" max="22" width="5.0"/>
    <col customWidth="1" min="23" max="25" width="5.14"/>
    <col customWidth="1" min="26" max="26" width="6.29"/>
    <col customWidth="1" min="27" max="27" width="5.86"/>
    <col customWidth="1" min="28" max="28" width="6.71"/>
    <col customWidth="1" min="29" max="29" width="6.14"/>
  </cols>
  <sheetData>
    <row r="1">
      <c r="A1" s="29" t="s">
        <v>74</v>
      </c>
      <c r="B1" s="30" t="s">
        <v>75</v>
      </c>
      <c r="C1" s="31" t="s">
        <v>39</v>
      </c>
      <c r="D1" s="32" t="s">
        <v>76</v>
      </c>
      <c r="E1" s="33" t="s">
        <v>79</v>
      </c>
      <c r="F1" s="34" t="s">
        <v>82</v>
      </c>
      <c r="G1" s="33" t="s">
        <v>12</v>
      </c>
      <c r="H1" s="33" t="s">
        <v>83</v>
      </c>
      <c r="I1" s="33" t="s">
        <v>14</v>
      </c>
      <c r="J1" s="33" t="s">
        <v>15</v>
      </c>
      <c r="K1" s="33" t="s">
        <v>16</v>
      </c>
      <c r="L1" s="33" t="s">
        <v>17</v>
      </c>
      <c r="M1" s="33" t="s">
        <v>19</v>
      </c>
      <c r="N1" s="33" t="s">
        <v>20</v>
      </c>
      <c r="O1" s="33" t="s">
        <v>84</v>
      </c>
      <c r="P1" s="35" t="s">
        <v>24</v>
      </c>
      <c r="Q1" s="35" t="s">
        <v>25</v>
      </c>
      <c r="R1" s="35" t="s">
        <v>26</v>
      </c>
      <c r="S1" s="35" t="s">
        <v>27</v>
      </c>
      <c r="T1" s="36" t="s">
        <v>85</v>
      </c>
      <c r="U1" s="33" t="s">
        <v>86</v>
      </c>
      <c r="V1" s="33" t="s">
        <v>79</v>
      </c>
      <c r="W1" s="33" t="s">
        <v>87</v>
      </c>
      <c r="X1" s="33" t="s">
        <v>82</v>
      </c>
      <c r="Y1" s="33" t="s">
        <v>91</v>
      </c>
      <c r="Z1" s="35" t="s">
        <v>24</v>
      </c>
      <c r="AA1" s="35" t="s">
        <v>25</v>
      </c>
      <c r="AB1" s="35" t="s">
        <v>26</v>
      </c>
      <c r="AC1" s="35" t="s">
        <v>27</v>
      </c>
    </row>
    <row r="2">
      <c r="A2" s="37">
        <v>1.0</v>
      </c>
      <c r="B2" s="38" t="s">
        <v>92</v>
      </c>
      <c r="C2" s="39" t="s">
        <v>43</v>
      </c>
      <c r="D2" s="40">
        <v>1.0</v>
      </c>
      <c r="E2" s="41">
        <f t="array" ref="E2">if(C2="","",_xlfn.xlookup(C2,'Hiker Food'!$C:$C,'Hiker Food'!G:G)*D2)</f>
        <v>4.761988748</v>
      </c>
      <c r="F2" s="42">
        <f t="array" ref="F2">if(C2="","",_xlfn.xlookup(C2,'Hiker Food'!$C:$C,'Hiker Food'!H:H)*D2)</f>
        <v>135</v>
      </c>
      <c r="G2" s="43">
        <f t="array" ref="G2">if($C2="","",_xlfn.xlookup($C2,'Hiker Food'!$C:$C,'Hiker Food'!J:J)*$D2)</f>
        <v>31</v>
      </c>
      <c r="H2" s="43">
        <f t="array" ref="H2">if($C2="","",_xlfn.xlookup($C2,'Hiker Food'!$C:$C,'Hiker Food'!K:K)*$D2)</f>
        <v>280</v>
      </c>
      <c r="I2" s="43">
        <f t="array" ref="I2">if($C2="","",_xlfn.xlookup($C2,'Hiker Food'!$C:$C,'Hiker Food'!L:L)*$D2)</f>
        <v>0</v>
      </c>
      <c r="J2" s="43">
        <f t="array" ref="J2">if($C2="","",_xlfn.xlookup($C2,'Hiker Food'!$C:$C,'Hiker Food'!M:M)*$D2)</f>
        <v>74</v>
      </c>
      <c r="K2" s="43">
        <f t="array" ref="K2">if($C2="","",_xlfn.xlookup($C2,'Hiker Food'!$C:$C,'Hiker Food'!N:N)*$D2)</f>
        <v>7</v>
      </c>
      <c r="L2" s="43">
        <f t="array" ref="L2">if($C2="","",_xlfn.xlookup($C2,'Hiker Food'!$C:$C,'Hiker Food'!O:O)*$D2)</f>
        <v>32</v>
      </c>
      <c r="M2" s="43">
        <f t="array" ref="M2">if($C2="","",_xlfn.xlookup($C2,'Hiker Food'!$C:$C,'Hiker Food'!P:P)*$D2)</f>
        <v>35</v>
      </c>
      <c r="N2" s="43">
        <f t="array" ref="N2">if($C2="","",_xlfn.xlookup($C2,'Hiker Food'!$C:$C,'Hiker Food'!Q:Q)*$D2)</f>
        <v>17</v>
      </c>
      <c r="O2" s="43">
        <f t="array" ref="O2">if($C2="","",_xlfn.xlookup($C2,'Hiker Food'!$C:$C,'Hiker Food'!I:I)*$D2)</f>
        <v>620</v>
      </c>
      <c r="P2" s="41">
        <f t="array" ref="P2">if($C2="","",_xlfn.xlookup($C2,'Hiker Food'!$C:$C,'Hiker Food'!T:T))</f>
        <v>4.352941176</v>
      </c>
      <c r="Q2" s="44">
        <f t="array" ref="Q2">if($C2="","",_xlfn.xlookup($C2,'Hiker Food'!$C:$C,'Hiker Food'!U:U))</f>
        <v>0.433903577</v>
      </c>
      <c r="R2" s="44">
        <f t="array" ref="R2">if($C2="","",_xlfn.xlookup($C2,'Hiker Food'!$C:$C,'Hiker Food'!V:V))</f>
        <v>0.199066874</v>
      </c>
      <c r="S2" s="45">
        <f t="array" ref="S2">if($C2="","",_xlfn.xlookup($C2,'Hiker Food'!$C:$C,'Hiker Food'!W:W))</f>
        <v>0.4516129032</v>
      </c>
      <c r="T2" s="46" t="s">
        <v>92</v>
      </c>
      <c r="U2" s="47">
        <f>if($C2="","",$Y2/V2)</f>
        <v>130.1977037</v>
      </c>
      <c r="V2" s="48">
        <f>if($C2="","",sum(E2:E4))</f>
        <v>4.761988748</v>
      </c>
      <c r="W2" s="48">
        <f>if($C2="","",$Y2/X2)</f>
        <v>4.592592593</v>
      </c>
      <c r="X2" s="47">
        <f>if($C2="","",sum(F2:F4))</f>
        <v>135</v>
      </c>
      <c r="Y2" s="47">
        <f>if($C2="","",sum(O2:O4))</f>
        <v>620</v>
      </c>
      <c r="Z2" s="49">
        <f>if($C2="","",(sum(J2:J4)/sum(N2:N4)))</f>
        <v>4.352941176</v>
      </c>
      <c r="AA2" s="50">
        <f>if($C2="","",sum(G2:G4)*9/sum(sum(G2:G4)*9+sum(J2:J4)*4+sum(N2:N4)*4))</f>
        <v>0.433903577</v>
      </c>
      <c r="AB2" s="50">
        <f>if($C2="","",sum(L2:L4)*4/sum(sum(G2:G4)*9+sum(J2:J4)*4+sum(N2:N4)*4))</f>
        <v>0.199066874</v>
      </c>
      <c r="AC2" s="51">
        <f>if($C2="","",(sum(H2:H4)/sum(O2:O4)))</f>
        <v>0.4516129032</v>
      </c>
    </row>
    <row r="3">
      <c r="A3" s="52"/>
      <c r="B3" s="53"/>
      <c r="C3" s="54"/>
      <c r="D3" s="55">
        <v>1.0</v>
      </c>
      <c r="E3" s="56" t="str">
        <f t="array" ref="E3">if(C3="","",_xlfn.xlookup(C3,'Hiker Food'!$C:$C,'Hiker Food'!G:G)*D3)</f>
        <v/>
      </c>
      <c r="F3" s="42" t="str">
        <f t="array" ref="F3">if(C3="","",_xlfn.xlookup(C3,'Hiker Food'!$C:$C,'Hiker Food'!H:H)*D3)</f>
        <v/>
      </c>
      <c r="G3" s="42" t="str">
        <f t="array" ref="G3">if($C3="","",_xlfn.xlookup($C3,'Hiker Food'!$C:$C,'Hiker Food'!J:J)*$D3)</f>
        <v/>
      </c>
      <c r="H3" s="42" t="str">
        <f t="array" ref="H3">if($C3="","",_xlfn.xlookup($C3,'Hiker Food'!$C:$C,'Hiker Food'!K:K)*$D3)</f>
        <v/>
      </c>
      <c r="I3" s="42" t="str">
        <f t="array" ref="I3">if($C3="","",_xlfn.xlookup($C3,'Hiker Food'!$C:$C,'Hiker Food'!L:L)*$D3)</f>
        <v/>
      </c>
      <c r="J3" s="42" t="str">
        <f t="array" ref="J3">if($C3="","",_xlfn.xlookup($C3,'Hiker Food'!$C:$C,'Hiker Food'!M:M)*$D3)</f>
        <v/>
      </c>
      <c r="K3" s="42" t="str">
        <f t="array" ref="K3">if($C3="","",_xlfn.xlookup($C3,'Hiker Food'!$C:$C,'Hiker Food'!N:N)*$D3)</f>
        <v/>
      </c>
      <c r="L3" s="42" t="str">
        <f t="array" ref="L3">if($C3="","",_xlfn.xlookup($C3,'Hiker Food'!$C:$C,'Hiker Food'!O:O)*$D3)</f>
        <v/>
      </c>
      <c r="M3" s="42" t="str">
        <f t="array" ref="M3">if($C3="","",_xlfn.xlookup($C3,'Hiker Food'!$C:$C,'Hiker Food'!P:P)*$D3)</f>
        <v/>
      </c>
      <c r="N3" s="42" t="str">
        <f t="array" ref="N3">if($C3="","",_xlfn.xlookup($C3,'Hiker Food'!$C:$C,'Hiker Food'!Q:Q)*$D3)</f>
        <v/>
      </c>
      <c r="O3" s="42" t="str">
        <f t="array" ref="O3">if($C3="","",_xlfn.xlookup($C3,'Hiker Food'!$C:$C,'Hiker Food'!I:I)*$D3)</f>
        <v/>
      </c>
      <c r="P3" s="56" t="str">
        <f t="array" ref="P3">if($C3="","",_xlfn.xlookup($C3,'Hiker Food'!$C:$C,'Hiker Food'!T:T))</f>
        <v/>
      </c>
      <c r="Q3" s="57" t="str">
        <f t="array" ref="Q3">if($C3="","",_xlfn.xlookup($C3,'Hiker Food'!$C:$C,'Hiker Food'!U:U))</f>
        <v/>
      </c>
      <c r="R3" s="57" t="str">
        <f t="array" ref="R3">if($C3="","",_xlfn.xlookup($C3,'Hiker Food'!$C:$C,'Hiker Food'!V:V))</f>
        <v/>
      </c>
      <c r="S3" s="58" t="str">
        <f t="array" ref="S3">if($C3="","",_xlfn.xlookup($C3,'Hiker Food'!$C:$C,'Hiker Food'!W:W))</f>
        <v/>
      </c>
      <c r="T3" s="59"/>
      <c r="AC3" s="60"/>
    </row>
    <row r="4">
      <c r="A4" s="52"/>
      <c r="B4" s="61"/>
      <c r="C4" s="62"/>
      <c r="D4" s="63">
        <v>1.0</v>
      </c>
      <c r="E4" s="56" t="str">
        <f t="array" ref="E4">if(C4="","",_xlfn.xlookup(C4,'Hiker Food'!$C:$C,'Hiker Food'!G:G)*D4)</f>
        <v/>
      </c>
      <c r="F4" s="64" t="str">
        <f t="array" ref="F4">if(C4="","",_xlfn.xlookup(C4,'Hiker Food'!$C:$C,'Hiker Food'!H:H)*D4)</f>
        <v/>
      </c>
      <c r="G4" s="64" t="str">
        <f t="array" ref="G4">if($C4="","",_xlfn.xlookup($C4,'Hiker Food'!$C:$C,'Hiker Food'!J:J)*$D4)</f>
        <v/>
      </c>
      <c r="H4" s="64" t="str">
        <f t="array" ref="H4">if($C4="","",_xlfn.xlookup($C4,'Hiker Food'!$C:$C,'Hiker Food'!K:K)*$D4)</f>
        <v/>
      </c>
      <c r="I4" s="64" t="str">
        <f t="array" ref="I4">if($C4="","",_xlfn.xlookup($C4,'Hiker Food'!$C:$C,'Hiker Food'!L:L)*$D4)</f>
        <v/>
      </c>
      <c r="J4" s="64" t="str">
        <f t="array" ref="J4">if($C4="","",_xlfn.xlookup($C4,'Hiker Food'!$C:$C,'Hiker Food'!M:M)*$D4)</f>
        <v/>
      </c>
      <c r="K4" s="64" t="str">
        <f t="array" ref="K4">if($C4="","",_xlfn.xlookup($C4,'Hiker Food'!$C:$C,'Hiker Food'!N:N)*$D4)</f>
        <v/>
      </c>
      <c r="L4" s="64" t="str">
        <f t="array" ref="L4">if($C4="","",_xlfn.xlookup($C4,'Hiker Food'!$C:$C,'Hiker Food'!O:O)*$D4)</f>
        <v/>
      </c>
      <c r="M4" s="64" t="str">
        <f t="array" ref="M4">if($C4="","",_xlfn.xlookup($C4,'Hiker Food'!$C:$C,'Hiker Food'!P:P)*$D4)</f>
        <v/>
      </c>
      <c r="N4" s="64" t="str">
        <f t="array" ref="N4">if($C4="","",_xlfn.xlookup($C4,'Hiker Food'!$C:$C,'Hiker Food'!Q:Q)*$D4)</f>
        <v/>
      </c>
      <c r="O4" s="42" t="str">
        <f t="array" ref="O4">if($C4="","",_xlfn.xlookup($C4,'Hiker Food'!$C:$C,'Hiker Food'!I:I)*$D4)</f>
        <v/>
      </c>
      <c r="P4" s="56" t="str">
        <f t="array" ref="P4">if($C4="","",_xlfn.xlookup($C4,'Hiker Food'!$C:$C,'Hiker Food'!T:T))</f>
        <v/>
      </c>
      <c r="Q4" s="57" t="str">
        <f t="array" ref="Q4">if($C4="","",_xlfn.xlookup($C4,'Hiker Food'!$C:$C,'Hiker Food'!U:U))</f>
        <v/>
      </c>
      <c r="R4" s="57" t="str">
        <f t="array" ref="R4">if($C4="","",_xlfn.xlookup($C4,'Hiker Food'!$C:$C,'Hiker Food'!V:V))</f>
        <v/>
      </c>
      <c r="S4" s="58" t="str">
        <f t="array" ref="S4">if($C4="","",_xlfn.xlookup($C4,'Hiker Food'!$C:$C,'Hiker Food'!W:W))</f>
        <v/>
      </c>
      <c r="T4" s="65"/>
      <c r="U4" s="66"/>
      <c r="V4" s="66"/>
      <c r="W4" s="66"/>
      <c r="X4" s="66"/>
      <c r="Y4" s="66"/>
      <c r="Z4" s="66"/>
      <c r="AA4" s="66"/>
      <c r="AB4" s="66"/>
      <c r="AC4" s="67"/>
    </row>
    <row r="5">
      <c r="A5" s="52"/>
      <c r="B5" s="68" t="s">
        <v>179</v>
      </c>
      <c r="C5" s="69" t="s">
        <v>45</v>
      </c>
      <c r="D5" s="70">
        <v>2.0</v>
      </c>
      <c r="E5" s="71">
        <f t="array" ref="E5">if(C5="","",_xlfn.xlookup(C5,'Hiker Food'!$C:$C,'Hiker Food'!G:G)*D5)</f>
        <v>2.116439443</v>
      </c>
      <c r="F5" s="42">
        <f t="array" ref="F5">if(C5="","",_xlfn.xlookup(C5,'Hiker Food'!$C:$C,'Hiker Food'!H:H)*D5)</f>
        <v>60</v>
      </c>
      <c r="G5" s="72">
        <f t="array" ref="G5">if($C5="","",_xlfn.xlookup($C5,'Hiker Food'!$C:$C,'Hiker Food'!J:J)*$D5)</f>
        <v>14</v>
      </c>
      <c r="H5" s="72">
        <f t="array" ref="H5">if($C5="","",_xlfn.xlookup($C5,'Hiker Food'!$C:$C,'Hiker Food'!K:K)*$D5)</f>
        <v>110</v>
      </c>
      <c r="I5" s="72">
        <f t="array" ref="I5">if($C5="","",_xlfn.xlookup($C5,'Hiker Food'!$C:$C,'Hiker Food'!L:L)*$D5)</f>
        <v>0</v>
      </c>
      <c r="J5" s="72">
        <f t="array" ref="J5">if($C5="","",_xlfn.xlookup($C5,'Hiker Food'!$C:$C,'Hiker Food'!M:M)*$D5)</f>
        <v>38</v>
      </c>
      <c r="K5" s="72">
        <f t="array" ref="K5">if($C5="","",_xlfn.xlookup($C5,'Hiker Food'!$C:$C,'Hiker Food'!N:N)*$D5)</f>
        <v>2</v>
      </c>
      <c r="L5" s="72">
        <f t="array" ref="L5">if($C5="","",_xlfn.xlookup($C5,'Hiker Food'!$C:$C,'Hiker Food'!O:O)*$D5)</f>
        <v>20</v>
      </c>
      <c r="M5" s="72">
        <f t="array" ref="M5">if($C5="","",_xlfn.xlookup($C5,'Hiker Food'!$C:$C,'Hiker Food'!P:P)*$D5)</f>
        <v>16</v>
      </c>
      <c r="N5" s="72">
        <f t="array" ref="N5">if($C5="","",_xlfn.xlookup($C5,'Hiker Food'!$C:$C,'Hiker Food'!Q:Q)*$D5)</f>
        <v>2</v>
      </c>
      <c r="O5" s="72">
        <f t="array" ref="O5">if($C5="","",_xlfn.xlookup($C5,'Hiker Food'!$C:$C,'Hiker Food'!I:I)*$D5)</f>
        <v>300</v>
      </c>
      <c r="P5" s="71">
        <f t="array" ref="P5">if($C5="","",_xlfn.xlookup($C5,'Hiker Food'!$C:$C,'Hiker Food'!T:T))</f>
        <v>19</v>
      </c>
      <c r="Q5" s="73">
        <f t="array" ref="Q5">if($C5="","",_xlfn.xlookup($C5,'Hiker Food'!$C:$C,'Hiker Food'!U:U))</f>
        <v>0.4405594406</v>
      </c>
      <c r="R5" s="73">
        <f t="array" ref="R5">if($C5="","",_xlfn.xlookup($C5,'Hiker Food'!$C:$C,'Hiker Food'!V:V))</f>
        <v>0.2797202797</v>
      </c>
      <c r="S5" s="74">
        <f t="array" ref="S5">if($C5="","",_xlfn.xlookup($C5,'Hiker Food'!$C:$C,'Hiker Food'!W:W))</f>
        <v>0.3666666667</v>
      </c>
      <c r="T5" s="75" t="s">
        <v>179</v>
      </c>
      <c r="U5" s="76">
        <f>if(C5="","",Y5/V5)</f>
        <v>164.61</v>
      </c>
      <c r="V5" s="77">
        <f>if($C5="","",sum(E5:E7))</f>
        <v>4.37397485</v>
      </c>
      <c r="W5" s="77">
        <f>if($C5="","",$Y5/X5)</f>
        <v>5.806451613</v>
      </c>
      <c r="X5" s="76">
        <f>if($C5="","",sum(F5:F7))</f>
        <v>124</v>
      </c>
      <c r="Y5" s="76">
        <f>if($C5="","",sum(O5:O7))</f>
        <v>720</v>
      </c>
      <c r="Z5" s="77">
        <f>if($C5="","",(sum(J5:J7)/sum(N5:N7)))</f>
        <v>3.125</v>
      </c>
      <c r="AA5" s="78">
        <f>if($C5="","",sum(G5:G7)*9/sum(sum(G5:G7)*9+sum(J5:J7)*4+sum(N5:N7)*4))</f>
        <v>0.6302521008</v>
      </c>
      <c r="AB5" s="78">
        <f>if($C5="","",sum(L5:L7)*4/sum(sum(G5:G7)*9+sum(J5:J7)*4+sum(N5:N7)*4))</f>
        <v>0.1344537815</v>
      </c>
      <c r="AC5" s="79">
        <f>if($C5="","",(sum(H5:H7)/sum(O5:O7)))</f>
        <v>0.2222222222</v>
      </c>
    </row>
    <row r="6">
      <c r="A6" s="52"/>
      <c r="B6" s="53"/>
      <c r="C6" s="54" t="s">
        <v>48</v>
      </c>
      <c r="D6" s="55">
        <v>2.0</v>
      </c>
      <c r="E6" s="56">
        <f t="array" ref="E6">if(C6="","",_xlfn.xlookup(C6,'Hiker Food'!$C:$C,'Hiker Food'!G:G)*D6)</f>
        <v>2.257535406</v>
      </c>
      <c r="F6" s="42">
        <f t="array" ref="F6">if(C6="","",_xlfn.xlookup(C6,'Hiker Food'!$C:$C,'Hiker Food'!H:H)*D6)</f>
        <v>64</v>
      </c>
      <c r="G6" s="42">
        <f t="array" ref="G6">if($C6="","",_xlfn.xlookup($C6,'Hiker Food'!$C:$C,'Hiker Food'!J:J)*$D6)</f>
        <v>36</v>
      </c>
      <c r="H6" s="42">
        <f t="array" ref="H6">if($C6="","",_xlfn.xlookup($C6,'Hiker Food'!$C:$C,'Hiker Food'!K:K)*$D6)</f>
        <v>50</v>
      </c>
      <c r="I6" s="42">
        <f t="array" ref="I6">if($C6="","",_xlfn.xlookup($C6,'Hiker Food'!$C:$C,'Hiker Food'!L:L)*$D6)</f>
        <v>180</v>
      </c>
      <c r="J6" s="42">
        <f t="array" ref="J6">if($C6="","",_xlfn.xlookup($C6,'Hiker Food'!$C:$C,'Hiker Food'!M:M)*$D6)</f>
        <v>12</v>
      </c>
      <c r="K6" s="42">
        <f t="array" ref="K6">if($C6="","",_xlfn.xlookup($C6,'Hiker Food'!$C:$C,'Hiker Food'!N:N)*$D6)</f>
        <v>2</v>
      </c>
      <c r="L6" s="42">
        <f t="array" ref="L6">if($C6="","",_xlfn.xlookup($C6,'Hiker Food'!$C:$C,'Hiker Food'!O:O)*$D6)</f>
        <v>4</v>
      </c>
      <c r="M6" s="42">
        <f t="array" ref="M6">if($C6="","",_xlfn.xlookup($C6,'Hiker Food'!$C:$C,'Hiker Food'!P:P)*$D6)</f>
        <v>6</v>
      </c>
      <c r="N6" s="42">
        <f t="array" ref="N6">if($C6="","",_xlfn.xlookup($C6,'Hiker Food'!$C:$C,'Hiker Food'!Q:Q)*$D6)</f>
        <v>14</v>
      </c>
      <c r="O6" s="42">
        <f t="array" ref="O6">if($C6="","",_xlfn.xlookup($C6,'Hiker Food'!$C:$C,'Hiker Food'!I:I)*$D6)</f>
        <v>420</v>
      </c>
      <c r="P6" s="56">
        <f t="array" ref="P6">if($C6="","",_xlfn.xlookup($C6,'Hiker Food'!$C:$C,'Hiker Food'!T:T))</f>
        <v>0.8571428571</v>
      </c>
      <c r="Q6" s="57">
        <f t="array" ref="Q6">if($C6="","",_xlfn.xlookup($C6,'Hiker Food'!$C:$C,'Hiker Food'!U:U))</f>
        <v>0.7570093458</v>
      </c>
      <c r="R6" s="57">
        <f t="array" ref="R6">if($C6="","",_xlfn.xlookup($C6,'Hiker Food'!$C:$C,'Hiker Food'!V:V))</f>
        <v>0.03738317757</v>
      </c>
      <c r="S6" s="58">
        <f t="array" ref="S6">if($C6="","",_xlfn.xlookup($C6,'Hiker Food'!$C:$C,'Hiker Food'!W:W))</f>
        <v>0.119047619</v>
      </c>
      <c r="T6" s="80"/>
      <c r="AC6" s="60"/>
    </row>
    <row r="7">
      <c r="A7" s="52"/>
      <c r="B7" s="61"/>
      <c r="C7" s="54"/>
      <c r="D7" s="63">
        <v>1.0</v>
      </c>
      <c r="E7" s="81" t="str">
        <f t="array" ref="E7">if(C7="","",_xlfn.xlookup(C7,'Hiker Food'!$C:$C,'Hiker Food'!G:G)*D7)</f>
        <v/>
      </c>
      <c r="F7" s="64" t="str">
        <f t="array" ref="F7">if(C7="","",_xlfn.xlookup(C7,'Hiker Food'!$C:$C,'Hiker Food'!H:H)*D7)</f>
        <v/>
      </c>
      <c r="G7" s="64" t="str">
        <f t="array" ref="G7">if($C7="","",_xlfn.xlookup($C7,'Hiker Food'!$C:$C,'Hiker Food'!J:J)*$D7)</f>
        <v/>
      </c>
      <c r="H7" s="64" t="str">
        <f t="array" ref="H7">if($C7="","",_xlfn.xlookup($C7,'Hiker Food'!$C:$C,'Hiker Food'!K:K)*$D7)</f>
        <v/>
      </c>
      <c r="I7" s="64" t="str">
        <f t="array" ref="I7">if($C7="","",_xlfn.xlookup($C7,'Hiker Food'!$C:$C,'Hiker Food'!L:L)*$D7)</f>
        <v/>
      </c>
      <c r="J7" s="64" t="str">
        <f t="array" ref="J7">if($C7="","",_xlfn.xlookup($C7,'Hiker Food'!$C:$C,'Hiker Food'!M:M)*$D7)</f>
        <v/>
      </c>
      <c r="K7" s="64" t="str">
        <f t="array" ref="K7">if($C7="","",_xlfn.xlookup($C7,'Hiker Food'!$C:$C,'Hiker Food'!N:N)*$D7)</f>
        <v/>
      </c>
      <c r="L7" s="64" t="str">
        <f t="array" ref="L7">if($C7="","",_xlfn.xlookup($C7,'Hiker Food'!$C:$C,'Hiker Food'!O:O)*$D7)</f>
        <v/>
      </c>
      <c r="M7" s="64" t="str">
        <f t="array" ref="M7">if($C7="","",_xlfn.xlookup($C7,'Hiker Food'!$C:$C,'Hiker Food'!P:P)*$D7)</f>
        <v/>
      </c>
      <c r="N7" s="64" t="str">
        <f t="array" ref="N7">if($C7="","",_xlfn.xlookup($C7,'Hiker Food'!$C:$C,'Hiker Food'!Q:Q)*$D7)</f>
        <v/>
      </c>
      <c r="O7" s="64" t="str">
        <f t="array" ref="O7">if($C7="","",_xlfn.xlookup($C7,'Hiker Food'!$C:$C,'Hiker Food'!I:I)*$D7)</f>
        <v/>
      </c>
      <c r="P7" s="81" t="str">
        <f t="array" ref="P7">if($C7="","",_xlfn.xlookup($C7,'Hiker Food'!$C:$C,'Hiker Food'!T:T))</f>
        <v/>
      </c>
      <c r="Q7" s="82" t="str">
        <f t="array" ref="Q7">if($C7="","",_xlfn.xlookup($C7,'Hiker Food'!$C:$C,'Hiker Food'!U:U))</f>
        <v/>
      </c>
      <c r="R7" s="82" t="str">
        <f t="array" ref="R7">if($C7="","",_xlfn.xlookup($C7,'Hiker Food'!$C:$C,'Hiker Food'!V:V))</f>
        <v/>
      </c>
      <c r="S7" s="83" t="str">
        <f t="array" ref="S7">if($C7="","",_xlfn.xlookup($C7,'Hiker Food'!$C:$C,'Hiker Food'!W:W))</f>
        <v/>
      </c>
      <c r="T7" s="84"/>
      <c r="U7" s="66"/>
      <c r="V7" s="66"/>
      <c r="W7" s="66"/>
      <c r="X7" s="66"/>
      <c r="Y7" s="66"/>
      <c r="Z7" s="66"/>
      <c r="AA7" s="66"/>
      <c r="AB7" s="66"/>
      <c r="AC7" s="67"/>
    </row>
    <row r="8">
      <c r="A8" s="52"/>
      <c r="B8" s="68" t="s">
        <v>257</v>
      </c>
      <c r="C8" s="85" t="s">
        <v>52</v>
      </c>
      <c r="D8" s="70">
        <v>3.0</v>
      </c>
      <c r="E8" s="56">
        <f t="array" ref="E8">if(C8="","",_xlfn.xlookup(C8,'Hiker Food'!$C:$C,'Hiker Food'!G:G)*D8)</f>
        <v>2.963015221</v>
      </c>
      <c r="F8" s="86">
        <f t="array" ref="F8">if(C8="","",_xlfn.xlookup(C8,'Hiker Food'!$C:$C,'Hiker Food'!H:H)*D8)</f>
        <v>84</v>
      </c>
      <c r="G8" s="72">
        <f t="array" ref="G8">if($C8="","",_xlfn.xlookup($C8,'Hiker Food'!$C:$C,'Hiker Food'!J:J)*$D8)</f>
        <v>30</v>
      </c>
      <c r="H8" s="72">
        <f t="array" ref="H8">if($C8="","",_xlfn.xlookup($C8,'Hiker Food'!$C:$C,'Hiker Food'!K:K)*$D8)</f>
        <v>1320</v>
      </c>
      <c r="I8" s="72">
        <f t="array" ref="I8">if($C8="","",_xlfn.xlookup($C8,'Hiker Food'!$C:$C,'Hiker Food'!L:L)*$D8)</f>
        <v>0</v>
      </c>
      <c r="J8" s="72">
        <f t="array" ref="J8">if($C8="","",_xlfn.xlookup($C8,'Hiker Food'!$C:$C,'Hiker Food'!M:M)*$D8)</f>
        <v>3</v>
      </c>
      <c r="K8" s="72">
        <f t="array" ref="K8">if($C8="","",_xlfn.xlookup($C8,'Hiker Food'!$C:$C,'Hiker Food'!N:N)*$D8)</f>
        <v>0</v>
      </c>
      <c r="L8" s="72">
        <f t="array" ref="L8">if($C8="","",_xlfn.xlookup($C8,'Hiker Food'!$C:$C,'Hiker Food'!O:O)*$D8)</f>
        <v>0</v>
      </c>
      <c r="M8" s="72">
        <f t="array" ref="M8">if($C8="","",_xlfn.xlookup($C8,'Hiker Food'!$C:$C,'Hiker Food'!P:P)*$D8)</f>
        <v>3</v>
      </c>
      <c r="N8" s="72">
        <f t="array" ref="N8">if($C8="","",_xlfn.xlookup($C8,'Hiker Food'!$C:$C,'Hiker Food'!Q:Q)*$D8)</f>
        <v>18</v>
      </c>
      <c r="O8" s="42">
        <f t="array" ref="O8">if($C8="","",_xlfn.xlookup($C8,'Hiker Food'!$C:$C,'Hiker Food'!I:I)*$D8)</f>
        <v>330</v>
      </c>
      <c r="P8" s="56">
        <f t="array" ref="P8">if($C8="","",_xlfn.xlookup($C8,'Hiker Food'!$C:$C,'Hiker Food'!T:T))</f>
        <v>0.1666666667</v>
      </c>
      <c r="Q8" s="57">
        <f t="array" ref="Q8">if($C8="","",_xlfn.xlookup($C8,'Hiker Food'!$C:$C,'Hiker Food'!U:U))</f>
        <v>0.7627118644</v>
      </c>
      <c r="R8" s="57" t="str">
        <f t="array" ref="R8">if($C8="","",_xlfn.xlookup($C8,'Hiker Food'!$C:$C,'Hiker Food'!V:V))</f>
        <v>0%</v>
      </c>
      <c r="S8" s="58">
        <f t="array" ref="S8">if($C8="","",_xlfn.xlookup($C8,'Hiker Food'!$C:$C,'Hiker Food'!W:W))</f>
        <v>4</v>
      </c>
      <c r="T8" s="87" t="s">
        <v>257</v>
      </c>
      <c r="U8" s="76">
        <f>if(C8="","",Y8/V8)</f>
        <v>115.7122449</v>
      </c>
      <c r="V8" s="77">
        <f>if($C8="","",sum(E8:E10))</f>
        <v>5.185276636</v>
      </c>
      <c r="W8" s="77">
        <f>if($C8="","",$Y8/X8)</f>
        <v>4.081632653</v>
      </c>
      <c r="X8" s="76">
        <f>if($C8="","",sum(F8:F10))</f>
        <v>147</v>
      </c>
      <c r="Y8" s="76">
        <f>if($C8="","",sum(O8:O10))</f>
        <v>600</v>
      </c>
      <c r="Z8" s="77">
        <f>if($C8="","",(sum(J8:J10)/sum(N8:N10)))</f>
        <v>0.1818181818</v>
      </c>
      <c r="AA8" s="78">
        <f>if($C8="","",sum(G8:G10)*9/sum(sum(G8:G10)*9+sum(J8:J10)*4+sum(N8:N10)*4))</f>
        <v>0.7463414634</v>
      </c>
      <c r="AB8" s="78">
        <f>if($C8="","",sum(L8:L10)*4/sum(sum(G8:G10)*9+sum(J8:J10)*4+sum(N8:N10)*4))</f>
        <v>0</v>
      </c>
      <c r="AC8" s="79">
        <f>if($C8="","",(sum(H8:H10)/sum(O8:O10)))</f>
        <v>2.95</v>
      </c>
    </row>
    <row r="9">
      <c r="A9" s="52"/>
      <c r="B9" s="53"/>
      <c r="C9" s="88" t="s">
        <v>60</v>
      </c>
      <c r="D9" s="55">
        <v>3.0</v>
      </c>
      <c r="E9" s="56">
        <f t="array" ref="E9">if(C9="","",_xlfn.xlookup(C9,'Hiker Food'!$C:$C,'Hiker Food'!G:G)*D9)</f>
        <v>2.222261416</v>
      </c>
      <c r="F9" s="86">
        <f t="array" ref="F9">if(C9="","",_xlfn.xlookup(C9,'Hiker Food'!$C:$C,'Hiker Food'!H:H)*D9)</f>
        <v>63</v>
      </c>
      <c r="G9" s="42">
        <f t="array" ref="G9">if($C9="","",_xlfn.xlookup($C9,'Hiker Food'!$C:$C,'Hiker Food'!J:J)*$D9)</f>
        <v>21</v>
      </c>
      <c r="H9" s="42">
        <f t="array" ref="H9">if($C9="","",_xlfn.xlookup($C9,'Hiker Food'!$C:$C,'Hiker Food'!K:K)*$D9)</f>
        <v>450</v>
      </c>
      <c r="I9" s="42">
        <f t="array" ref="I9">if($C9="","",_xlfn.xlookup($C9,'Hiker Food'!$C:$C,'Hiker Food'!L:L)*$D9)</f>
        <v>0</v>
      </c>
      <c r="J9" s="42">
        <f t="array" ref="J9">if($C9="","",_xlfn.xlookup($C9,'Hiker Food'!$C:$C,'Hiker Food'!M:M)*$D9)</f>
        <v>3</v>
      </c>
      <c r="K9" s="42">
        <f t="array" ref="K9">if($C9="","",_xlfn.xlookup($C9,'Hiker Food'!$C:$C,'Hiker Food'!N:N)*$D9)</f>
        <v>0</v>
      </c>
      <c r="L9" s="42">
        <f t="array" ref="L9">if($C9="","",_xlfn.xlookup($C9,'Hiker Food'!$C:$C,'Hiker Food'!O:O)*$D9)</f>
        <v>0</v>
      </c>
      <c r="M9" s="42">
        <f t="array" ref="M9">if($C9="","",_xlfn.xlookup($C9,'Hiker Food'!$C:$C,'Hiker Food'!P:P)*$D9)</f>
        <v>3</v>
      </c>
      <c r="N9" s="42">
        <f t="array" ref="N9">if($C9="","",_xlfn.xlookup($C9,'Hiker Food'!$C:$C,'Hiker Food'!Q:Q)*$D9)</f>
        <v>15</v>
      </c>
      <c r="O9" s="42">
        <f t="array" ref="O9">if($C9="","",_xlfn.xlookup($C9,'Hiker Food'!$C:$C,'Hiker Food'!I:I)*$D9)</f>
        <v>270</v>
      </c>
      <c r="P9" s="56">
        <f t="array" ref="P9">if($C9="","",_xlfn.xlookup($C9,'Hiker Food'!$C:$C,'Hiker Food'!T:T))</f>
        <v>0.2</v>
      </c>
      <c r="Q9" s="57">
        <f t="array" ref="Q9">if($C9="","",_xlfn.xlookup($C9,'Hiker Food'!$C:$C,'Hiker Food'!U:U))</f>
        <v>0.724137931</v>
      </c>
      <c r="R9" s="57" t="str">
        <f t="array" ref="R9">if($C9="","",_xlfn.xlookup($C9,'Hiker Food'!$C:$C,'Hiker Food'!V:V))</f>
        <v>0%</v>
      </c>
      <c r="S9" s="58">
        <f t="array" ref="S9">if($C9="","",_xlfn.xlookup($C9,'Hiker Food'!$C:$C,'Hiker Food'!W:W))</f>
        <v>1.666666667</v>
      </c>
      <c r="T9" s="59"/>
      <c r="AC9" s="60"/>
    </row>
    <row r="10">
      <c r="A10" s="52"/>
      <c r="B10" s="61"/>
      <c r="C10" s="62"/>
      <c r="D10" s="63">
        <v>1.0</v>
      </c>
      <c r="E10" s="81" t="str">
        <f t="array" ref="E10">if(C10="","",_xlfn.xlookup(C10,'Hiker Food'!$C:$C,'Hiker Food'!G:G)*D10)</f>
        <v/>
      </c>
      <c r="F10" s="89" t="str">
        <f t="array" ref="F10">if(C10="","",_xlfn.xlookup(C10,'Hiker Food'!$C:$C,'Hiker Food'!H:H)*D10)</f>
        <v/>
      </c>
      <c r="G10" s="64" t="str">
        <f t="array" ref="G10">if($C10="","",_xlfn.xlookup($C10,'Hiker Food'!$C:$C,'Hiker Food'!J:J)*$D10)</f>
        <v/>
      </c>
      <c r="H10" s="64" t="str">
        <f t="array" ref="H10">if($C10="","",_xlfn.xlookup($C10,'Hiker Food'!$C:$C,'Hiker Food'!K:K)*$D10)</f>
        <v/>
      </c>
      <c r="I10" s="64" t="str">
        <f t="array" ref="I10">if($C10="","",_xlfn.xlookup($C10,'Hiker Food'!$C:$C,'Hiker Food'!L:L)*$D10)</f>
        <v/>
      </c>
      <c r="J10" s="64" t="str">
        <f t="array" ref="J10">if($C10="","",_xlfn.xlookup($C10,'Hiker Food'!$C:$C,'Hiker Food'!M:M)*$D10)</f>
        <v/>
      </c>
      <c r="K10" s="64" t="str">
        <f t="array" ref="K10">if($C10="","",_xlfn.xlookup($C10,'Hiker Food'!$C:$C,'Hiker Food'!N:N)*$D10)</f>
        <v/>
      </c>
      <c r="L10" s="64" t="str">
        <f t="array" ref="L10">if($C10="","",_xlfn.xlookup($C10,'Hiker Food'!$C:$C,'Hiker Food'!O:O)*$D10)</f>
        <v/>
      </c>
      <c r="M10" s="64" t="str">
        <f t="array" ref="M10">if($C10="","",_xlfn.xlookup($C10,'Hiker Food'!$C:$C,'Hiker Food'!P:P)*$D10)</f>
        <v/>
      </c>
      <c r="N10" s="64" t="str">
        <f t="array" ref="N10">if($C10="","",_xlfn.xlookup($C10,'Hiker Food'!$C:$C,'Hiker Food'!Q:Q)*$D10)</f>
        <v/>
      </c>
      <c r="O10" s="64" t="str">
        <f t="array" ref="O10">if($C10="","",_xlfn.xlookup($C10,'Hiker Food'!$C:$C,'Hiker Food'!I:I)*$D10)</f>
        <v/>
      </c>
      <c r="P10" s="81" t="str">
        <f t="array" ref="P10">if($C10="","",_xlfn.xlookup($C10,'Hiker Food'!$C:$C,'Hiker Food'!T:T))</f>
        <v/>
      </c>
      <c r="Q10" s="82" t="str">
        <f t="array" ref="Q10">if($C10="","",_xlfn.xlookup($C10,'Hiker Food'!$C:$C,'Hiker Food'!U:U))</f>
        <v/>
      </c>
      <c r="R10" s="82" t="str">
        <f t="array" ref="R10">if($C10="","",_xlfn.xlookup($C10,'Hiker Food'!$C:$C,'Hiker Food'!V:V))</f>
        <v/>
      </c>
      <c r="S10" s="83" t="str">
        <f t="array" ref="S10">if($C10="","",_xlfn.xlookup($C10,'Hiker Food'!$C:$C,'Hiker Food'!W:W))</f>
        <v/>
      </c>
      <c r="T10" s="65"/>
      <c r="U10" s="66"/>
      <c r="V10" s="66"/>
      <c r="W10" s="66"/>
      <c r="X10" s="66"/>
      <c r="Y10" s="66"/>
      <c r="Z10" s="66"/>
      <c r="AA10" s="66"/>
      <c r="AB10" s="66"/>
      <c r="AC10" s="67"/>
    </row>
    <row r="11">
      <c r="A11" s="52"/>
      <c r="B11" s="68" t="s">
        <v>314</v>
      </c>
      <c r="C11" s="90" t="s">
        <v>56</v>
      </c>
      <c r="D11" s="70">
        <v>1.0</v>
      </c>
      <c r="E11" s="71">
        <f t="array" ref="E11">if(C11="","",_xlfn.xlookup(C11,'Hiker Food'!$C:$C,'Hiker Food'!G:G)*D11)</f>
        <v>1.410959629</v>
      </c>
      <c r="F11" s="42">
        <f t="array" ref="F11">if(C11="","",_xlfn.xlookup(C11,'Hiker Food'!$C:$C,'Hiker Food'!H:H)*D11)</f>
        <v>40</v>
      </c>
      <c r="G11" s="72">
        <f t="array" ref="G11">if($C11="","",_xlfn.xlookup($C11,'Hiker Food'!$C:$C,'Hiker Food'!J:J)*$D11)</f>
        <v>11</v>
      </c>
      <c r="H11" s="72">
        <f t="array" ref="H11">if($C11="","",_xlfn.xlookup($C11,'Hiker Food'!$C:$C,'Hiker Food'!K:K)*$D11)</f>
        <v>62</v>
      </c>
      <c r="I11" s="72">
        <f t="array" ref="I11">if($C11="","",_xlfn.xlookup($C11,'Hiker Food'!$C:$C,'Hiker Food'!L:L)*$D11)</f>
        <v>0</v>
      </c>
      <c r="J11" s="72">
        <f t="array" ref="J11">if($C11="","",_xlfn.xlookup($C11,'Hiker Food'!$C:$C,'Hiker Food'!M:M)*$D11)</f>
        <v>21</v>
      </c>
      <c r="K11" s="72">
        <f t="array" ref="K11">if($C11="","",_xlfn.xlookup($C11,'Hiker Food'!$C:$C,'Hiker Food'!N:N)*$D11)</f>
        <v>3</v>
      </c>
      <c r="L11" s="72">
        <f t="array" ref="L11">if($C11="","",_xlfn.xlookup($C11,'Hiker Food'!$C:$C,'Hiker Food'!O:O)*$D11)</f>
        <v>16</v>
      </c>
      <c r="M11" s="72">
        <f t="array" ref="M11">if($C11="","",_xlfn.xlookup($C11,'Hiker Food'!$C:$C,'Hiker Food'!P:P)*$D11)</f>
        <v>2</v>
      </c>
      <c r="N11" s="72">
        <f t="array" ref="N11">if($C11="","",_xlfn.xlookup($C11,'Hiker Food'!$C:$C,'Hiker Food'!Q:Q)*$D11)</f>
        <v>5</v>
      </c>
      <c r="O11" s="72">
        <f t="array" ref="O11">if($C11="","",_xlfn.xlookup($C11,'Hiker Food'!$C:$C,'Hiker Food'!I:I)*$D11)</f>
        <v>190</v>
      </c>
      <c r="P11" s="71">
        <f t="array" ref="P11">if($C11="","",_xlfn.xlookup($C11,'Hiker Food'!$C:$C,'Hiker Food'!T:T))</f>
        <v>4.2</v>
      </c>
      <c r="Q11" s="73">
        <f t="array" ref="Q11">if($C11="","",_xlfn.xlookup($C11,'Hiker Food'!$C:$C,'Hiker Food'!U:U))</f>
        <v>0.4876847291</v>
      </c>
      <c r="R11" s="73">
        <f t="array" ref="R11">if($C11="","",_xlfn.xlookup($C11,'Hiker Food'!$C:$C,'Hiker Food'!V:V))</f>
        <v>0.315270936</v>
      </c>
      <c r="S11" s="74">
        <f t="array" ref="S11">if($C11="","",_xlfn.xlookup($C11,'Hiker Food'!$C:$C,'Hiker Food'!W:W))</f>
        <v>0.3263157895</v>
      </c>
      <c r="T11" s="91" t="s">
        <v>314</v>
      </c>
      <c r="U11" s="76">
        <f>if(C11="","",Y11/V11)</f>
        <v>134.660125</v>
      </c>
      <c r="V11" s="77">
        <f>if($C11="","",sum(E11:E13))</f>
        <v>2.821919258</v>
      </c>
      <c r="W11" s="77">
        <f>if($C11="","",$Y11/X11)</f>
        <v>4.75</v>
      </c>
      <c r="X11" s="76">
        <f>if($C11="","",sum(F11:F13))</f>
        <v>80</v>
      </c>
      <c r="Y11" s="76">
        <f>if($C11="","",sum(O11:O13))</f>
        <v>380</v>
      </c>
      <c r="Z11" s="77">
        <f>if($C11="","",(sum(J11:J13)/sum(N11:N13)))</f>
        <v>3.7</v>
      </c>
      <c r="AA11" s="78">
        <f>if($C11="","",sum(G11:G13)*9/sum(sum(G11:G13)*9+sum(J11:J13)*4+sum(N11:N13)*4))</f>
        <v>0.5545023697</v>
      </c>
      <c r="AB11" s="78">
        <f>if($C11="","",sum(L11:L13)*4/sum(sum(G11:G13)*9+sum(J11:J13)*4+sum(N11:N13)*4))</f>
        <v>0.1990521327</v>
      </c>
      <c r="AC11" s="79">
        <f>if($C11="","",(sum(H11:H13)/sum(O11:O13)))</f>
        <v>0.4394736842</v>
      </c>
    </row>
    <row r="12">
      <c r="A12" s="52"/>
      <c r="B12" s="53"/>
      <c r="C12" s="54" t="s">
        <v>50</v>
      </c>
      <c r="D12" s="55">
        <v>1.0</v>
      </c>
      <c r="E12" s="56">
        <f t="array" ref="E12">if(C12="","",_xlfn.xlookup(C12,'Hiker Food'!$C:$C,'Hiker Food'!G:G)*D12)</f>
        <v>1.410959629</v>
      </c>
      <c r="F12" s="42">
        <f t="array" ref="F12">if(C12="","",_xlfn.xlookup(C12,'Hiker Food'!$C:$C,'Hiker Food'!H:H)*D12)</f>
        <v>40</v>
      </c>
      <c r="G12" s="42">
        <f t="array" ref="G12">if($C12="","",_xlfn.xlookup($C12,'Hiker Food'!$C:$C,'Hiker Food'!J:J)*$D12)</f>
        <v>15</v>
      </c>
      <c r="H12" s="42">
        <f t="array" ref="H12">if($C12="","",_xlfn.xlookup($C12,'Hiker Food'!$C:$C,'Hiker Food'!K:K)*$D12)</f>
        <v>105</v>
      </c>
      <c r="I12" s="42">
        <f t="array" ref="I12">if($C12="","",_xlfn.xlookup($C12,'Hiker Food'!$C:$C,'Hiker Food'!L:L)*$D12)</f>
        <v>200</v>
      </c>
      <c r="J12" s="42">
        <f t="array" ref="J12">if($C12="","",_xlfn.xlookup($C12,'Hiker Food'!$C:$C,'Hiker Food'!M:M)*$D12)</f>
        <v>16</v>
      </c>
      <c r="K12" s="42">
        <f t="array" ref="K12">if($C12="","",_xlfn.xlookup($C12,'Hiker Food'!$C:$C,'Hiker Food'!N:N)*$D12)</f>
        <v>7</v>
      </c>
      <c r="L12" s="42">
        <f t="array" ref="L12">if($C12="","",_xlfn.xlookup($C12,'Hiker Food'!$C:$C,'Hiker Food'!O:O)*$D12)</f>
        <v>5</v>
      </c>
      <c r="M12" s="42">
        <f t="array" ref="M12">if($C12="","",_xlfn.xlookup($C12,'Hiker Food'!$C:$C,'Hiker Food'!P:P)*$D12)</f>
        <v>4</v>
      </c>
      <c r="N12" s="42">
        <f t="array" ref="N12">if($C12="","",_xlfn.xlookup($C12,'Hiker Food'!$C:$C,'Hiker Food'!Q:Q)*$D12)</f>
        <v>5</v>
      </c>
      <c r="O12" s="42">
        <f t="array" ref="O12">if($C12="","",_xlfn.xlookup($C12,'Hiker Food'!$C:$C,'Hiker Food'!I:I)*$D12)</f>
        <v>190</v>
      </c>
      <c r="P12" s="56">
        <f t="array" ref="P12">if($C12="","",_xlfn.xlookup($C12,'Hiker Food'!$C:$C,'Hiker Food'!T:T))</f>
        <v>3.2</v>
      </c>
      <c r="Q12" s="57">
        <f t="array" ref="Q12">if($C12="","",_xlfn.xlookup($C12,'Hiker Food'!$C:$C,'Hiker Food'!U:U))</f>
        <v>0.6164383562</v>
      </c>
      <c r="R12" s="57">
        <f t="array" ref="R12">if($C12="","",_xlfn.xlookup($C12,'Hiker Food'!$C:$C,'Hiker Food'!V:V))</f>
        <v>0.09132420091</v>
      </c>
      <c r="S12" s="58">
        <f t="array" ref="S12">if($C12="","",_xlfn.xlookup($C12,'Hiker Food'!$C:$C,'Hiker Food'!W:W))</f>
        <v>0.5526315789</v>
      </c>
      <c r="T12" s="59"/>
      <c r="AC12" s="60"/>
    </row>
    <row r="13">
      <c r="A13" s="52"/>
      <c r="B13" s="61"/>
      <c r="C13" s="62"/>
      <c r="D13" s="63">
        <v>1.0</v>
      </c>
      <c r="E13" s="81" t="str">
        <f t="array" ref="E13">if(C13="","",_xlfn.xlookup(C13,'Hiker Food'!$C:$C,'Hiker Food'!G:G)*D13)</f>
        <v/>
      </c>
      <c r="F13" s="64" t="str">
        <f t="array" ref="F13">if(C13="","",_xlfn.xlookup(C13,'Hiker Food'!$C:$C,'Hiker Food'!H:H)*D13)</f>
        <v/>
      </c>
      <c r="G13" s="64" t="str">
        <f t="array" ref="G13">if($C13="","",_xlfn.xlookup($C13,'Hiker Food'!$C:$C,'Hiker Food'!J:J)*$D13)</f>
        <v/>
      </c>
      <c r="H13" s="64" t="str">
        <f t="array" ref="H13">if($C13="","",_xlfn.xlookup($C13,'Hiker Food'!$C:$C,'Hiker Food'!K:K)*$D13)</f>
        <v/>
      </c>
      <c r="I13" s="64" t="str">
        <f t="array" ref="I13">if($C13="","",_xlfn.xlookup($C13,'Hiker Food'!$C:$C,'Hiker Food'!L:L)*$D13)</f>
        <v/>
      </c>
      <c r="J13" s="64" t="str">
        <f t="array" ref="J13">if($C13="","",_xlfn.xlookup($C13,'Hiker Food'!$C:$C,'Hiker Food'!M:M)*$D13)</f>
        <v/>
      </c>
      <c r="K13" s="64" t="str">
        <f t="array" ref="K13">if($C13="","",_xlfn.xlookup($C13,'Hiker Food'!$C:$C,'Hiker Food'!N:N)*$D13)</f>
        <v/>
      </c>
      <c r="L13" s="64" t="str">
        <f t="array" ref="L13">if($C13="","",_xlfn.xlookup($C13,'Hiker Food'!$C:$C,'Hiker Food'!O:O)*$D13)</f>
        <v/>
      </c>
      <c r="M13" s="64" t="str">
        <f t="array" ref="M13">if($C13="","",_xlfn.xlookup($C13,'Hiker Food'!$C:$C,'Hiker Food'!P:P)*$D13)</f>
        <v/>
      </c>
      <c r="N13" s="64" t="str">
        <f t="array" ref="N13">if($C13="","",_xlfn.xlookup($C13,'Hiker Food'!$C:$C,'Hiker Food'!Q:Q)*$D13)</f>
        <v/>
      </c>
      <c r="O13" s="64" t="str">
        <f t="array" ref="O13">if($C13="","",_xlfn.xlookup($C13,'Hiker Food'!$C:$C,'Hiker Food'!I:I)*$D13)</f>
        <v/>
      </c>
      <c r="P13" s="81" t="str">
        <f t="array" ref="P13">if($C13="","",_xlfn.xlookup($C13,'Hiker Food'!$C:$C,'Hiker Food'!T:T))</f>
        <v/>
      </c>
      <c r="Q13" s="82" t="str">
        <f t="array" ref="Q13">if($C13="","",_xlfn.xlookup($C13,'Hiker Food'!$C:$C,'Hiker Food'!U:U))</f>
        <v/>
      </c>
      <c r="R13" s="82" t="str">
        <f t="array" ref="R13">if($C13="","",_xlfn.xlookup($C13,'Hiker Food'!$C:$C,'Hiker Food'!V:V))</f>
        <v/>
      </c>
      <c r="S13" s="83" t="str">
        <f t="array" ref="S13">if($C13="","",_xlfn.xlookup($C13,'Hiker Food'!$C:$C,'Hiker Food'!W:W))</f>
        <v/>
      </c>
      <c r="T13" s="65"/>
      <c r="U13" s="66"/>
      <c r="V13" s="66"/>
      <c r="W13" s="66"/>
      <c r="X13" s="66"/>
      <c r="Y13" s="66"/>
      <c r="Z13" s="66"/>
      <c r="AA13" s="66"/>
      <c r="AB13" s="66"/>
      <c r="AC13" s="67"/>
    </row>
    <row r="14">
      <c r="A14" s="52"/>
      <c r="B14" s="68" t="s">
        <v>366</v>
      </c>
      <c r="C14" s="90" t="s">
        <v>58</v>
      </c>
      <c r="D14" s="70">
        <v>1.0</v>
      </c>
      <c r="E14" s="71">
        <f t="array" ref="E14">if(C14="","",_xlfn.xlookup(C14,'Hiker Food'!$C:$C,'Hiker Food'!G:G)*D14)</f>
        <v>2</v>
      </c>
      <c r="F14" s="42">
        <f t="array" ref="F14">if(C14="","",_xlfn.xlookup(C14,'Hiker Food'!$C:$C,'Hiker Food'!H:H)*D14)</f>
        <v>60</v>
      </c>
      <c r="G14" s="72">
        <f t="array" ref="G14">if($C14="","",_xlfn.xlookup($C14,'Hiker Food'!$C:$C,'Hiker Food'!J:J)*$D14)</f>
        <v>0</v>
      </c>
      <c r="H14" s="72">
        <f t="array" ref="H14">if($C14="","",_xlfn.xlookup($C14,'Hiker Food'!$C:$C,'Hiker Food'!K:K)*$D14)</f>
        <v>500</v>
      </c>
      <c r="I14" s="72">
        <f t="array" ref="I14">if($C14="","",_xlfn.xlookup($C14,'Hiker Food'!$C:$C,'Hiker Food'!L:L)*$D14)</f>
        <v>470</v>
      </c>
      <c r="J14" s="72">
        <f t="array" ref="J14">if($C14="","",_xlfn.xlookup($C14,'Hiker Food'!$C:$C,'Hiker Food'!M:M)*$D14)</f>
        <v>34</v>
      </c>
      <c r="K14" s="72">
        <f t="array" ref="K14">if($C14="","",_xlfn.xlookup($C14,'Hiker Food'!$C:$C,'Hiker Food'!N:N)*$D14)</f>
        <v>1</v>
      </c>
      <c r="L14" s="72">
        <f t="array" ref="L14">if($C14="","",_xlfn.xlookup($C14,'Hiker Food'!$C:$C,'Hiker Food'!O:O)*$D14)</f>
        <v>32</v>
      </c>
      <c r="M14" s="72">
        <f t="array" ref="M14">if($C14="","",_xlfn.xlookup($C14,'Hiker Food'!$C:$C,'Hiker Food'!P:P)*$D14)</f>
        <v>1</v>
      </c>
      <c r="N14" s="72">
        <f t="array" ref="N14">if($C14="","",_xlfn.xlookup($C14,'Hiker Food'!$C:$C,'Hiker Food'!Q:Q)*$D14)</f>
        <v>20</v>
      </c>
      <c r="O14" s="72">
        <f t="array" ref="O14">if($C14="","",_xlfn.xlookup($C14,'Hiker Food'!$C:$C,'Hiker Food'!I:I)*$D14)</f>
        <v>220</v>
      </c>
      <c r="P14" s="71">
        <f t="array" ref="P14">if($C14="","",_xlfn.xlookup($C14,'Hiker Food'!$C:$C,'Hiker Food'!T:T))</f>
        <v>1.7</v>
      </c>
      <c r="Q14" s="73" t="str">
        <f t="array" ref="Q14">if($C14="","",_xlfn.xlookup($C14,'Hiker Food'!$C:$C,'Hiker Food'!U:U))</f>
        <v>0%</v>
      </c>
      <c r="R14" s="73">
        <f t="array" ref="R14">if($C14="","",_xlfn.xlookup($C14,'Hiker Food'!$C:$C,'Hiker Food'!V:V))</f>
        <v>0.5925925926</v>
      </c>
      <c r="S14" s="74">
        <f t="array" ref="S14">if($C14="","",_xlfn.xlookup($C14,'Hiker Food'!$C:$C,'Hiker Food'!W:W))</f>
        <v>2.272727273</v>
      </c>
      <c r="T14" s="87" t="s">
        <v>366</v>
      </c>
      <c r="U14" s="76">
        <f>if(C14="","",Y14/V14)</f>
        <v>110</v>
      </c>
      <c r="V14" s="77">
        <f>if($C14="","",sum(E14:E16))</f>
        <v>2</v>
      </c>
      <c r="W14" s="77">
        <f>if($C14="","",$Y14/X14)</f>
        <v>3.666666667</v>
      </c>
      <c r="X14" s="76">
        <f>if($C14="","",sum(F14:F16))</f>
        <v>60</v>
      </c>
      <c r="Y14" s="76">
        <f>if($C14="","",sum(O14:O16))</f>
        <v>220</v>
      </c>
      <c r="Z14" s="77">
        <f>if($C14="","",(sum(J14:J16)/sum(N14:N16)))</f>
        <v>1.7</v>
      </c>
      <c r="AA14" s="78">
        <f>if($C14="","",sum(G14:G16)*9/sum(sum(G14:G16)*9+sum(J14:J16)*4+sum(N14:N16)*4))</f>
        <v>0</v>
      </c>
      <c r="AB14" s="78">
        <f>if($C14="","",sum(L14:L16)*4/sum(sum(G14:G16)*9+sum(J14:J16)*4+sum(N14:N16)*4))</f>
        <v>0.5925925926</v>
      </c>
      <c r="AC14" s="79">
        <f>if($C14="","",(sum(H14:H16)/sum(O14:O16)))</f>
        <v>2.272727273</v>
      </c>
    </row>
    <row r="15">
      <c r="A15" s="52"/>
      <c r="B15" s="53"/>
      <c r="C15" s="93"/>
      <c r="D15" s="55">
        <v>1.0</v>
      </c>
      <c r="E15" s="56" t="str">
        <f t="array" ref="E15">if(C15="","",_xlfn.xlookup(C15,'Hiker Food'!$C:$C,'Hiker Food'!G:G)*D15)</f>
        <v/>
      </c>
      <c r="F15" s="42" t="str">
        <f t="array" ref="F15">if(C15="","",_xlfn.xlookup(C15,'Hiker Food'!$C:$C,'Hiker Food'!H:H)*D15)</f>
        <v/>
      </c>
      <c r="G15" s="42" t="str">
        <f t="array" ref="G15">if($C15="","",_xlfn.xlookup($C15,'Hiker Food'!$C:$C,'Hiker Food'!J:J)*$D15)</f>
        <v/>
      </c>
      <c r="H15" s="42" t="str">
        <f t="array" ref="H15">if($C15="","",_xlfn.xlookup($C15,'Hiker Food'!$C:$C,'Hiker Food'!K:K)*$D15)</f>
        <v/>
      </c>
      <c r="I15" s="42" t="str">
        <f t="array" ref="I15">if($C15="","",_xlfn.xlookup($C15,'Hiker Food'!$C:$C,'Hiker Food'!L:L)*$D15)</f>
        <v/>
      </c>
      <c r="J15" s="42" t="str">
        <f t="array" ref="J15">if($C15="","",_xlfn.xlookup($C15,'Hiker Food'!$C:$C,'Hiker Food'!M:M)*$D15)</f>
        <v/>
      </c>
      <c r="K15" s="42" t="str">
        <f t="array" ref="K15">if($C15="","",_xlfn.xlookup($C15,'Hiker Food'!$C:$C,'Hiker Food'!N:N)*$D15)</f>
        <v/>
      </c>
      <c r="L15" s="42" t="str">
        <f t="array" ref="L15">if($C15="","",_xlfn.xlookup($C15,'Hiker Food'!$C:$C,'Hiker Food'!O:O)*$D15)</f>
        <v/>
      </c>
      <c r="M15" s="42" t="str">
        <f t="array" ref="M15">if($C15="","",_xlfn.xlookup($C15,'Hiker Food'!$C:$C,'Hiker Food'!P:P)*$D15)</f>
        <v/>
      </c>
      <c r="N15" s="42" t="str">
        <f t="array" ref="N15">if($C15="","",_xlfn.xlookup($C15,'Hiker Food'!$C:$C,'Hiker Food'!Q:Q)*$D15)</f>
        <v/>
      </c>
      <c r="O15" s="42" t="str">
        <f t="array" ref="O15">if($C15="","",_xlfn.xlookup($C15,'Hiker Food'!$C:$C,'Hiker Food'!I:I)*$D15)</f>
        <v/>
      </c>
      <c r="P15" s="56" t="str">
        <f t="array" ref="P15">if($C15="","",_xlfn.xlookup($C15,'Hiker Food'!$C:$C,'Hiker Food'!T:T))</f>
        <v/>
      </c>
      <c r="Q15" s="57" t="str">
        <f t="array" ref="Q15">if($C15="","",_xlfn.xlookup($C15,'Hiker Food'!$C:$C,'Hiker Food'!U:U))</f>
        <v/>
      </c>
      <c r="R15" s="57" t="str">
        <f t="array" ref="R15">if($C15="","",_xlfn.xlookup($C15,'Hiker Food'!$C:$C,'Hiker Food'!V:V))</f>
        <v/>
      </c>
      <c r="S15" s="58" t="str">
        <f t="array" ref="S15">if($C15="","",_xlfn.xlookup($C15,'Hiker Food'!$C:$C,'Hiker Food'!W:W))</f>
        <v/>
      </c>
      <c r="T15" s="59"/>
      <c r="AC15" s="60"/>
    </row>
    <row r="16">
      <c r="A16" s="52"/>
      <c r="B16" s="61"/>
      <c r="C16" s="54"/>
      <c r="D16" s="63">
        <v>1.0</v>
      </c>
      <c r="E16" s="81" t="str">
        <f t="array" ref="E16">if(C16="","",_xlfn.xlookup(C16,'Hiker Food'!$C:$C,'Hiker Food'!G:G)*D16)</f>
        <v/>
      </c>
      <c r="F16" s="64" t="str">
        <f t="array" ref="F16">if(C16="","",_xlfn.xlookup(C16,'Hiker Food'!$C:$C,'Hiker Food'!H:H)*D16)</f>
        <v/>
      </c>
      <c r="G16" s="64" t="str">
        <f t="array" ref="G16">if($C16="","",_xlfn.xlookup($C16,'Hiker Food'!$C:$C,'Hiker Food'!J:J)*$D16)</f>
        <v/>
      </c>
      <c r="H16" s="64" t="str">
        <f t="array" ref="H16">if($C16="","",_xlfn.xlookup($C16,'Hiker Food'!$C:$C,'Hiker Food'!K:K)*$D16)</f>
        <v/>
      </c>
      <c r="I16" s="64" t="str">
        <f t="array" ref="I16">if($C16="","",_xlfn.xlookup($C16,'Hiker Food'!$C:$C,'Hiker Food'!L:L)*$D16)</f>
        <v/>
      </c>
      <c r="J16" s="64" t="str">
        <f t="array" ref="J16">if($C16="","",_xlfn.xlookup($C16,'Hiker Food'!$C:$C,'Hiker Food'!M:M)*$D16)</f>
        <v/>
      </c>
      <c r="K16" s="64" t="str">
        <f t="array" ref="K16">if($C16="","",_xlfn.xlookup($C16,'Hiker Food'!$C:$C,'Hiker Food'!N:N)*$D16)</f>
        <v/>
      </c>
      <c r="L16" s="64" t="str">
        <f t="array" ref="L16">if($C16="","",_xlfn.xlookup($C16,'Hiker Food'!$C:$C,'Hiker Food'!O:O)*$D16)</f>
        <v/>
      </c>
      <c r="M16" s="64" t="str">
        <f t="array" ref="M16">if($C16="","",_xlfn.xlookup($C16,'Hiker Food'!$C:$C,'Hiker Food'!P:P)*$D16)</f>
        <v/>
      </c>
      <c r="N16" s="64" t="str">
        <f t="array" ref="N16">if($C16="","",_xlfn.xlookup($C16,'Hiker Food'!$C:$C,'Hiker Food'!Q:Q)*$D16)</f>
        <v/>
      </c>
      <c r="O16" s="64" t="str">
        <f t="array" ref="O16">if($C16="","",_xlfn.xlookup($C16,'Hiker Food'!$C:$C,'Hiker Food'!I:I)*$D16)</f>
        <v/>
      </c>
      <c r="P16" s="81" t="str">
        <f t="array" ref="P16">if($C16="","",_xlfn.xlookup($C16,'Hiker Food'!$C:$C,'Hiker Food'!T:T))</f>
        <v/>
      </c>
      <c r="Q16" s="82" t="str">
        <f t="array" ref="Q16">if($C16="","",_xlfn.xlookup($C16,'Hiker Food'!$C:$C,'Hiker Food'!U:U))</f>
        <v/>
      </c>
      <c r="R16" s="82" t="str">
        <f t="array" ref="R16">if($C16="","",_xlfn.xlookup($C16,'Hiker Food'!$C:$C,'Hiker Food'!V:V))</f>
        <v/>
      </c>
      <c r="S16" s="83" t="str">
        <f t="array" ref="S16">if($C16="","",_xlfn.xlookup($C16,'Hiker Food'!$C:$C,'Hiker Food'!W:W))</f>
        <v/>
      </c>
      <c r="T16" s="65"/>
      <c r="U16" s="66"/>
      <c r="V16" s="66"/>
      <c r="W16" s="66"/>
      <c r="X16" s="66"/>
      <c r="Y16" s="66"/>
      <c r="Z16" s="66"/>
      <c r="AA16" s="66"/>
      <c r="AB16" s="66"/>
      <c r="AC16" s="67"/>
    </row>
    <row r="17">
      <c r="A17" s="52"/>
      <c r="B17" s="94" t="s">
        <v>424</v>
      </c>
      <c r="C17" s="90" t="s">
        <v>55</v>
      </c>
      <c r="D17" s="70">
        <v>1.0</v>
      </c>
      <c r="E17" s="71">
        <f t="array" ref="E17">if(C17="","",_xlfn.xlookup(C17,'Hiker Food'!$C:$C,'Hiker Food'!G:G)*D17)</f>
        <v>3.809590998</v>
      </c>
      <c r="F17" s="42">
        <f t="array" ref="F17">if(C17="","",_xlfn.xlookup(C17,'Hiker Food'!$C:$C,'Hiker Food'!H:H)*D17)</f>
        <v>108</v>
      </c>
      <c r="G17" s="72">
        <f t="array" ref="G17">if($C17="","",_xlfn.xlookup($C17,'Hiker Food'!$C:$C,'Hiker Food'!J:J)*$D17)</f>
        <v>37</v>
      </c>
      <c r="H17" s="72">
        <f t="array" ref="H17">if($C17="","",_xlfn.xlookup($C17,'Hiker Food'!$C:$C,'Hiker Food'!K:K)*$D17)</f>
        <v>930</v>
      </c>
      <c r="I17" s="72">
        <f t="array" ref="I17">if($C17="","",_xlfn.xlookup($C17,'Hiker Food'!$C:$C,'Hiker Food'!L:L)*$D17)</f>
        <v>540</v>
      </c>
      <c r="J17" s="72">
        <f t="array" ref="J17">if($C17="","",_xlfn.xlookup($C17,'Hiker Food'!$C:$C,'Hiker Food'!M:M)*$D17)</f>
        <v>53</v>
      </c>
      <c r="K17" s="72">
        <f t="array" ref="K17">if($C17="","",_xlfn.xlookup($C17,'Hiker Food'!$C:$C,'Hiker Food'!N:N)*$D17)</f>
        <v>10</v>
      </c>
      <c r="L17" s="72">
        <f t="array" ref="L17">if($C17="","",_xlfn.xlookup($C17,'Hiker Food'!$C:$C,'Hiker Food'!O:O)*$D17)</f>
        <v>13</v>
      </c>
      <c r="M17" s="72">
        <f t="array" ref="M17">if($C17="","",_xlfn.xlookup($C17,'Hiker Food'!$C:$C,'Hiker Food'!P:P)*$D17)</f>
        <v>30</v>
      </c>
      <c r="N17" s="72">
        <f t="array" ref="N17">if($C17="","",_xlfn.xlookup($C17,'Hiker Food'!$C:$C,'Hiker Food'!Q:Q)*$D17)</f>
        <v>20</v>
      </c>
      <c r="O17" s="72">
        <f t="array" ref="O17">if($C17="","",_xlfn.xlookup($C17,'Hiker Food'!$C:$C,'Hiker Food'!I:I)*$D17)</f>
        <v>630</v>
      </c>
      <c r="P17" s="71">
        <f t="array" ref="P17">if($C17="","",_xlfn.xlookup($C17,'Hiker Food'!$C:$C,'Hiker Food'!T:T))</f>
        <v>2.65</v>
      </c>
      <c r="Q17" s="73">
        <f t="array" ref="Q17">if($C17="","",_xlfn.xlookup($C17,'Hiker Food'!$C:$C,'Hiker Food'!U:U))</f>
        <v>0.5328</v>
      </c>
      <c r="R17" s="73">
        <f t="array" ref="R17">if($C17="","",_xlfn.xlookup($C17,'Hiker Food'!$C:$C,'Hiker Food'!V:V))</f>
        <v>0.0832</v>
      </c>
      <c r="S17" s="74">
        <f t="array" ref="S17">if($C17="","",_xlfn.xlookup($C17,'Hiker Food'!$C:$C,'Hiker Food'!W:W))</f>
        <v>1.476190476</v>
      </c>
      <c r="T17" s="95" t="s">
        <v>424</v>
      </c>
      <c r="U17" s="76">
        <f>if(C17="","",Y17/V17)</f>
        <v>165.3720833</v>
      </c>
      <c r="V17" s="77">
        <f>if($C17="","",sum(E17:E19))</f>
        <v>3.809590998</v>
      </c>
      <c r="W17" s="77">
        <f>if($C17="","",$Y17/X17)</f>
        <v>5.833333333</v>
      </c>
      <c r="X17" s="76">
        <f>if($C17="","",sum(F17:F19))</f>
        <v>108</v>
      </c>
      <c r="Y17" s="76">
        <f>if($C17="","",sum(O17:O19))</f>
        <v>630</v>
      </c>
      <c r="Z17" s="77">
        <f>if($C17="","",(sum(J17:J19)/sum(N17:N19)))</f>
        <v>2.65</v>
      </c>
      <c r="AA17" s="78">
        <f>if($C17="","",sum(G17:G19)*9/sum(sum(G17:G19)*9+sum(J17:J19)*4+sum(N17:N19)*4))</f>
        <v>0.5328</v>
      </c>
      <c r="AB17" s="78">
        <f>if($C17="","",sum(L17:L19)*4/sum(sum(G17:G19)*9+sum(J17:J19)*4+sum(N17:N19)*4))</f>
        <v>0.0832</v>
      </c>
      <c r="AC17" s="79">
        <f>if($C17="","",(sum(H17:H19)/sum(O17:O19)))</f>
        <v>1.476190476</v>
      </c>
    </row>
    <row r="18">
      <c r="A18" s="52"/>
      <c r="B18" s="53"/>
      <c r="C18" s="54"/>
      <c r="D18" s="55">
        <v>1.0</v>
      </c>
      <c r="E18" s="56" t="str">
        <f t="array" ref="E18">if(C18="","",_xlfn.xlookup(C18,'Hiker Food'!$C:$C,'Hiker Food'!G:G)*D18)</f>
        <v/>
      </c>
      <c r="F18" s="42" t="str">
        <f t="array" ref="F18">if(C18="","",_xlfn.xlookup(C18,'Hiker Food'!$C:$C,'Hiker Food'!H:H)*D18)</f>
        <v/>
      </c>
      <c r="G18" s="42" t="str">
        <f t="array" ref="G18">if($C18="","",_xlfn.xlookup($C18,'Hiker Food'!$C:$C,'Hiker Food'!J:J)*$D18)</f>
        <v/>
      </c>
      <c r="H18" s="42" t="str">
        <f t="array" ref="H18">if($C18="","",_xlfn.xlookup($C18,'Hiker Food'!$C:$C,'Hiker Food'!K:K)*$D18)</f>
        <v/>
      </c>
      <c r="I18" s="42" t="str">
        <f t="array" ref="I18">if($C18="","",_xlfn.xlookup($C18,'Hiker Food'!$C:$C,'Hiker Food'!L:L)*$D18)</f>
        <v/>
      </c>
      <c r="J18" s="42" t="str">
        <f t="array" ref="J18">if($C18="","",_xlfn.xlookup($C18,'Hiker Food'!$C:$C,'Hiker Food'!M:M)*$D18)</f>
        <v/>
      </c>
      <c r="K18" s="42" t="str">
        <f t="array" ref="K18">if($C18="","",_xlfn.xlookup($C18,'Hiker Food'!$C:$C,'Hiker Food'!N:N)*$D18)</f>
        <v/>
      </c>
      <c r="L18" s="42" t="str">
        <f t="array" ref="L18">if($C18="","",_xlfn.xlookup($C18,'Hiker Food'!$C:$C,'Hiker Food'!O:O)*$D18)</f>
        <v/>
      </c>
      <c r="M18" s="42" t="str">
        <f t="array" ref="M18">if($C18="","",_xlfn.xlookup($C18,'Hiker Food'!$C:$C,'Hiker Food'!P:P)*$D18)</f>
        <v/>
      </c>
      <c r="N18" s="42" t="str">
        <f t="array" ref="N18">if($C18="","",_xlfn.xlookup($C18,'Hiker Food'!$C:$C,'Hiker Food'!Q:Q)*$D18)</f>
        <v/>
      </c>
      <c r="O18" s="42" t="str">
        <f t="array" ref="O18">if($C18="","",_xlfn.xlookup($C18,'Hiker Food'!$C:$C,'Hiker Food'!I:I)*$D18)</f>
        <v/>
      </c>
      <c r="P18" s="56" t="str">
        <f t="array" ref="P18">if($C18="","",_xlfn.xlookup($C18,'Hiker Food'!$C:$C,'Hiker Food'!T:T))</f>
        <v/>
      </c>
      <c r="Q18" s="57" t="str">
        <f t="array" ref="Q18">if($C18="","",_xlfn.xlookup($C18,'Hiker Food'!$C:$C,'Hiker Food'!U:U))</f>
        <v/>
      </c>
      <c r="R18" s="57" t="str">
        <f t="array" ref="R18">if($C18="","",_xlfn.xlookup($C18,'Hiker Food'!$C:$C,'Hiker Food'!V:V))</f>
        <v/>
      </c>
      <c r="S18" s="58" t="str">
        <f t="array" ref="S18">if($C18="","",_xlfn.xlookup($C18,'Hiker Food'!$C:$C,'Hiker Food'!W:W))</f>
        <v/>
      </c>
      <c r="T18" s="59"/>
      <c r="AC18" s="60"/>
    </row>
    <row r="19">
      <c r="A19" s="52"/>
      <c r="B19" s="61"/>
      <c r="C19" s="54"/>
      <c r="D19" s="63">
        <v>1.0</v>
      </c>
      <c r="E19" s="81" t="str">
        <f t="array" ref="E19">if(C19="","",_xlfn.xlookup(C19,'Hiker Food'!$C:$C,'Hiker Food'!G:G)*D19)</f>
        <v/>
      </c>
      <c r="F19" s="64" t="str">
        <f t="array" ref="F19">if(C19="","",_xlfn.xlookup(C19,'Hiker Food'!$C:$C,'Hiker Food'!H:H)*D19)</f>
        <v/>
      </c>
      <c r="G19" s="64" t="str">
        <f t="array" ref="G19">if($C19="","",_xlfn.xlookup($C19,'Hiker Food'!$C:$C,'Hiker Food'!J:J)*$D19)</f>
        <v/>
      </c>
      <c r="H19" s="64" t="str">
        <f t="array" ref="H19">if($C19="","",_xlfn.xlookup($C19,'Hiker Food'!$C:$C,'Hiker Food'!K:K)*$D19)</f>
        <v/>
      </c>
      <c r="I19" s="64" t="str">
        <f t="array" ref="I19">if($C19="","",_xlfn.xlookup($C19,'Hiker Food'!$C:$C,'Hiker Food'!L:L)*$D19)</f>
        <v/>
      </c>
      <c r="J19" s="64" t="str">
        <f t="array" ref="J19">if($C19="","",_xlfn.xlookup($C19,'Hiker Food'!$C:$C,'Hiker Food'!M:M)*$D19)</f>
        <v/>
      </c>
      <c r="K19" s="64" t="str">
        <f t="array" ref="K19">if($C19="","",_xlfn.xlookup($C19,'Hiker Food'!$C:$C,'Hiker Food'!N:N)*$D19)</f>
        <v/>
      </c>
      <c r="L19" s="64" t="str">
        <f t="array" ref="L19">if($C19="","",_xlfn.xlookup($C19,'Hiker Food'!$C:$C,'Hiker Food'!O:O)*$D19)</f>
        <v/>
      </c>
      <c r="M19" s="64" t="str">
        <f t="array" ref="M19">if($C19="","",_xlfn.xlookup($C19,'Hiker Food'!$C:$C,'Hiker Food'!P:P)*$D19)</f>
        <v/>
      </c>
      <c r="N19" s="64" t="str">
        <f t="array" ref="N19">if($C19="","",_xlfn.xlookup($C19,'Hiker Food'!$C:$C,'Hiker Food'!Q:Q)*$D19)</f>
        <v/>
      </c>
      <c r="O19" s="64" t="str">
        <f t="array" ref="O19">if($C19="","",_xlfn.xlookup($C19,'Hiker Food'!$C:$C,'Hiker Food'!I:I)*$D19)</f>
        <v/>
      </c>
      <c r="P19" s="81" t="str">
        <f t="array" ref="P19">if($C19="","",_xlfn.xlookup($C19,'Hiker Food'!$C:$C,'Hiker Food'!T:T))</f>
        <v/>
      </c>
      <c r="Q19" s="82" t="str">
        <f t="array" ref="Q19">if($C19="","",_xlfn.xlookup($C19,'Hiker Food'!$C:$C,'Hiker Food'!U:U))</f>
        <v/>
      </c>
      <c r="R19" s="82" t="str">
        <f t="array" ref="R19">if($C19="","",_xlfn.xlookup($C19,'Hiker Food'!$C:$C,'Hiker Food'!V:V))</f>
        <v/>
      </c>
      <c r="S19" s="83" t="str">
        <f t="array" ref="S19">if($C19="","",_xlfn.xlookup($C19,'Hiker Food'!$C:$C,'Hiker Food'!W:W))</f>
        <v/>
      </c>
      <c r="T19" s="65"/>
      <c r="U19" s="66"/>
      <c r="V19" s="66"/>
      <c r="W19" s="66"/>
      <c r="X19" s="66"/>
      <c r="Y19" s="66"/>
      <c r="Z19" s="66"/>
      <c r="AA19" s="66"/>
      <c r="AB19" s="66"/>
      <c r="AC19" s="67"/>
    </row>
    <row r="20">
      <c r="A20" s="52"/>
      <c r="B20" s="94" t="s">
        <v>478</v>
      </c>
      <c r="C20" s="90"/>
      <c r="D20" s="70">
        <v>1.0</v>
      </c>
      <c r="E20" s="71" t="str">
        <f t="array" ref="E20">if(C20="","",_xlfn.xlookup(C20,'Hiker Food'!$C:$C,'Hiker Food'!G:G)*D20)</f>
        <v/>
      </c>
      <c r="F20" s="42" t="str">
        <f t="array" ref="F20">if(C20="","",_xlfn.xlookup(C20,'Hiker Food'!$C:$C,'Hiker Food'!H:H)*D20)</f>
        <v/>
      </c>
      <c r="G20" s="72" t="str">
        <f t="array" ref="G20">if($C20="","",_xlfn.xlookup($C20,'Hiker Food'!$C:$C,'Hiker Food'!J:J)*$D20)</f>
        <v/>
      </c>
      <c r="H20" s="72" t="str">
        <f t="array" ref="H20">if($C20="","",_xlfn.xlookup($C20,'Hiker Food'!$C:$C,'Hiker Food'!K:K)*$D20)</f>
        <v/>
      </c>
      <c r="I20" s="72" t="str">
        <f t="array" ref="I20">if($C20="","",_xlfn.xlookup($C20,'Hiker Food'!$C:$C,'Hiker Food'!L:L)*$D20)</f>
        <v/>
      </c>
      <c r="J20" s="72" t="str">
        <f t="array" ref="J20">if($C20="","",_xlfn.xlookup($C20,'Hiker Food'!$C:$C,'Hiker Food'!M:M)*$D20)</f>
        <v/>
      </c>
      <c r="K20" s="72" t="str">
        <f t="array" ref="K20">if($C20="","",_xlfn.xlookup($C20,'Hiker Food'!$C:$C,'Hiker Food'!N:N)*$D20)</f>
        <v/>
      </c>
      <c r="L20" s="72" t="str">
        <f t="array" ref="L20">if($C20="","",_xlfn.xlookup($C20,'Hiker Food'!$C:$C,'Hiker Food'!O:O)*$D20)</f>
        <v/>
      </c>
      <c r="M20" s="72" t="str">
        <f t="array" ref="M20">if($C20="","",_xlfn.xlookup($C20,'Hiker Food'!$C:$C,'Hiker Food'!P:P)*$D20)</f>
        <v/>
      </c>
      <c r="N20" s="72" t="str">
        <f t="array" ref="N20">if($C20="","",_xlfn.xlookup($C20,'Hiker Food'!$C:$C,'Hiker Food'!Q:Q)*$D20)</f>
        <v/>
      </c>
      <c r="O20" s="72" t="str">
        <f t="array" ref="O20">if($C20="","",_xlfn.xlookup($C20,'Hiker Food'!$C:$C,'Hiker Food'!I:I)*$D20)</f>
        <v/>
      </c>
      <c r="P20" s="71" t="str">
        <f t="array" ref="P20">if($C20="","",_xlfn.xlookup($C20,'Hiker Food'!$C:$C,'Hiker Food'!T:T))</f>
        <v/>
      </c>
      <c r="Q20" s="73" t="str">
        <f t="array" ref="Q20">if($C20="","",_xlfn.xlookup($C20,'Hiker Food'!$C:$C,'Hiker Food'!U:U))</f>
        <v/>
      </c>
      <c r="R20" s="73" t="str">
        <f t="array" ref="R20">if($C20="","",_xlfn.xlookup($C20,'Hiker Food'!$C:$C,'Hiker Food'!V:V))</f>
        <v/>
      </c>
      <c r="S20" s="74" t="str">
        <f t="array" ref="S20">if($C20="","",_xlfn.xlookup($C20,'Hiker Food'!$C:$C,'Hiker Food'!W:W))</f>
        <v/>
      </c>
      <c r="T20" s="95" t="s">
        <v>478</v>
      </c>
      <c r="U20" s="76" t="str">
        <f>if(C20="","",Y20/V20)</f>
        <v/>
      </c>
      <c r="V20" s="96" t="str">
        <f>if($C20="","",sum(E20:E22))</f>
        <v/>
      </c>
      <c r="W20" s="77" t="str">
        <f>if($C20="","",$Y20/X20)</f>
        <v/>
      </c>
      <c r="X20" s="96" t="str">
        <f>if($C20="","",sum(F20:F22))</f>
        <v/>
      </c>
      <c r="Y20" s="96" t="str">
        <f>if($C20="","",sum(O20:O22))</f>
        <v/>
      </c>
      <c r="Z20" s="77" t="str">
        <f>if($C20="","",(sum(J20:J22)/sum(N20:N22)))</f>
        <v/>
      </c>
      <c r="AA20" s="78" t="str">
        <f>if($C20="","",sum(G20:G22)*9/sum(sum(G20:G22)*9+sum(J20:J22)*4+sum(N20:N22)*4))</f>
        <v/>
      </c>
      <c r="AB20" s="78" t="str">
        <f>if($C20="","",sum(L20:L22)*4/sum(sum(G20:G22)*9+sum(J20:J22)*4+sum(N20:N22)*4))</f>
        <v/>
      </c>
      <c r="AC20" s="79" t="str">
        <f>if($C20="","",(sum(H20:H22)/sum(O20:O22)))</f>
        <v/>
      </c>
    </row>
    <row r="21">
      <c r="A21" s="52"/>
      <c r="B21" s="53"/>
      <c r="C21" s="93"/>
      <c r="D21" s="55">
        <v>1.0</v>
      </c>
      <c r="E21" s="56" t="str">
        <f t="array" ref="E21">if(C21="","",_xlfn.xlookup(C21,'Hiker Food'!$C:$C,'Hiker Food'!G:G)*D21)</f>
        <v/>
      </c>
      <c r="F21" s="42" t="str">
        <f t="array" ref="F21">if(C21="","",_xlfn.xlookup(C21,'Hiker Food'!$C:$C,'Hiker Food'!H:H)*D21)</f>
        <v/>
      </c>
      <c r="G21" s="42" t="str">
        <f t="array" ref="G21">if($C21="","",_xlfn.xlookup($C21,'Hiker Food'!$C:$C,'Hiker Food'!J:J)*$D21)</f>
        <v/>
      </c>
      <c r="H21" s="42" t="str">
        <f t="array" ref="H21">if($C21="","",_xlfn.xlookup($C21,'Hiker Food'!$C:$C,'Hiker Food'!K:K)*$D21)</f>
        <v/>
      </c>
      <c r="I21" s="42" t="str">
        <f t="array" ref="I21">if($C21="","",_xlfn.xlookup($C21,'Hiker Food'!$C:$C,'Hiker Food'!L:L)*$D21)</f>
        <v/>
      </c>
      <c r="J21" s="42" t="str">
        <f t="array" ref="J21">if($C21="","",_xlfn.xlookup($C21,'Hiker Food'!$C:$C,'Hiker Food'!M:M)*$D21)</f>
        <v/>
      </c>
      <c r="K21" s="42" t="str">
        <f t="array" ref="K21">if($C21="","",_xlfn.xlookup($C21,'Hiker Food'!$C:$C,'Hiker Food'!N:N)*$D21)</f>
        <v/>
      </c>
      <c r="L21" s="42" t="str">
        <f t="array" ref="L21">if($C21="","",_xlfn.xlookup($C21,'Hiker Food'!$C:$C,'Hiker Food'!O:O)*$D21)</f>
        <v/>
      </c>
      <c r="M21" s="42" t="str">
        <f t="array" ref="M21">if($C21="","",_xlfn.xlookup($C21,'Hiker Food'!$C:$C,'Hiker Food'!P:P)*$D21)</f>
        <v/>
      </c>
      <c r="N21" s="42" t="str">
        <f t="array" ref="N21">if($C21="","",_xlfn.xlookup($C21,'Hiker Food'!$C:$C,'Hiker Food'!Q:Q)*$D21)</f>
        <v/>
      </c>
      <c r="O21" s="42" t="str">
        <f t="array" ref="O21">if($C21="","",_xlfn.xlookup($C21,'Hiker Food'!$C:$C,'Hiker Food'!I:I)*$D21)</f>
        <v/>
      </c>
      <c r="P21" s="56" t="str">
        <f t="array" ref="P21">if($C21="","",_xlfn.xlookup($C21,'Hiker Food'!$C:$C,'Hiker Food'!T:T))</f>
        <v/>
      </c>
      <c r="Q21" s="57" t="str">
        <f t="array" ref="Q21">if($C21="","",_xlfn.xlookup($C21,'Hiker Food'!$C:$C,'Hiker Food'!U:U))</f>
        <v/>
      </c>
      <c r="R21" s="57" t="str">
        <f t="array" ref="R21">if($C21="","",_xlfn.xlookup($C21,'Hiker Food'!$C:$C,'Hiker Food'!V:V))</f>
        <v/>
      </c>
      <c r="S21" s="58" t="str">
        <f t="array" ref="S21">if($C21="","",_xlfn.xlookup($C21,'Hiker Food'!$C:$C,'Hiker Food'!W:W))</f>
        <v/>
      </c>
      <c r="T21" s="59"/>
      <c r="AC21" s="60"/>
    </row>
    <row r="22">
      <c r="A22" s="52"/>
      <c r="B22" s="61"/>
      <c r="C22" s="62"/>
      <c r="D22" s="63">
        <v>1.0</v>
      </c>
      <c r="E22" s="81" t="str">
        <f t="array" ref="E22">if(C22="","",_xlfn.xlookup(C22,'Hiker Food'!$C:$C,'Hiker Food'!G:G)*D22)</f>
        <v/>
      </c>
      <c r="F22" s="64" t="str">
        <f t="array" ref="F22">if(C22="","",_xlfn.xlookup(C22,'Hiker Food'!$C:$C,'Hiker Food'!H:H)*D22)</f>
        <v/>
      </c>
      <c r="G22" s="64" t="str">
        <f t="array" ref="G22">if($C22="","",_xlfn.xlookup($C22,'Hiker Food'!$C:$C,'Hiker Food'!J:J)*$D22)</f>
        <v/>
      </c>
      <c r="H22" s="64" t="str">
        <f t="array" ref="H22">if($C22="","",_xlfn.xlookup($C22,'Hiker Food'!$C:$C,'Hiker Food'!K:K)*$D22)</f>
        <v/>
      </c>
      <c r="I22" s="64" t="str">
        <f t="array" ref="I22">if($C22="","",_xlfn.xlookup($C22,'Hiker Food'!$C:$C,'Hiker Food'!L:L)*$D22)</f>
        <v/>
      </c>
      <c r="J22" s="64" t="str">
        <f t="array" ref="J22">if($C22="","",_xlfn.xlookup($C22,'Hiker Food'!$C:$C,'Hiker Food'!M:M)*$D22)</f>
        <v/>
      </c>
      <c r="K22" s="64" t="str">
        <f t="array" ref="K22">if($C22="","",_xlfn.xlookup($C22,'Hiker Food'!$C:$C,'Hiker Food'!N:N)*$D22)</f>
        <v/>
      </c>
      <c r="L22" s="64" t="str">
        <f t="array" ref="L22">if($C22="","",_xlfn.xlookup($C22,'Hiker Food'!$C:$C,'Hiker Food'!O:O)*$D22)</f>
        <v/>
      </c>
      <c r="M22" s="64" t="str">
        <f t="array" ref="M22">if($C22="","",_xlfn.xlookup($C22,'Hiker Food'!$C:$C,'Hiker Food'!P:P)*$D22)</f>
        <v/>
      </c>
      <c r="N22" s="64" t="str">
        <f t="array" ref="N22">if($C22="","",_xlfn.xlookup($C22,'Hiker Food'!$C:$C,'Hiker Food'!Q:Q)*$D22)</f>
        <v/>
      </c>
      <c r="O22" s="64" t="str">
        <f t="array" ref="O22">if($C22="","",_xlfn.xlookup($C22,'Hiker Food'!$C:$C,'Hiker Food'!I:I)*$D22)</f>
        <v/>
      </c>
      <c r="P22" s="81" t="str">
        <f t="array" ref="P22">if($C22="","",_xlfn.xlookup($C22,'Hiker Food'!$C:$C,'Hiker Food'!T:T))</f>
        <v/>
      </c>
      <c r="Q22" s="82" t="str">
        <f t="array" ref="Q22">if($C22="","",_xlfn.xlookup($C22,'Hiker Food'!$C:$C,'Hiker Food'!U:U))</f>
        <v/>
      </c>
      <c r="R22" s="82" t="str">
        <f t="array" ref="R22">if($C22="","",_xlfn.xlookup($C22,'Hiker Food'!$C:$C,'Hiker Food'!V:V))</f>
        <v/>
      </c>
      <c r="S22" s="83" t="str">
        <f t="array" ref="S22">if($C22="","",_xlfn.xlookup($C22,'Hiker Food'!$C:$C,'Hiker Food'!W:W))</f>
        <v/>
      </c>
      <c r="T22" s="65"/>
      <c r="U22" s="66"/>
      <c r="V22" s="66"/>
      <c r="W22" s="66"/>
      <c r="X22" s="66"/>
      <c r="Y22" s="66"/>
      <c r="Z22" s="66"/>
      <c r="AA22" s="66"/>
      <c r="AB22" s="66"/>
      <c r="AC22" s="67"/>
    </row>
    <row r="23">
      <c r="A23" s="97"/>
      <c r="B23" s="98" t="s">
        <v>532</v>
      </c>
      <c r="C23" s="99" t="str">
        <f>IF(COUNTIF(C2:C22,"")=COUNTA(C2:C22), "", "zzzz - subtotal line - ignore")</f>
        <v>zzzz - subtotal line - ignore</v>
      </c>
      <c r="D23" s="99"/>
      <c r="E23" s="100">
        <f t="shared" ref="E23:O23" si="1">if(counta($C2:$C22)=0,"",SUM(E2:E22))</f>
        <v>22.95275049</v>
      </c>
      <c r="F23" s="101">
        <f t="shared" si="1"/>
        <v>654</v>
      </c>
      <c r="G23" s="101">
        <f t="shared" si="1"/>
        <v>195</v>
      </c>
      <c r="H23" s="101">
        <f t="shared" si="1"/>
        <v>3807</v>
      </c>
      <c r="I23" s="101">
        <f t="shared" si="1"/>
        <v>1390</v>
      </c>
      <c r="J23" s="101">
        <f t="shared" si="1"/>
        <v>254</v>
      </c>
      <c r="K23" s="101">
        <f t="shared" si="1"/>
        <v>32</v>
      </c>
      <c r="L23" s="101">
        <f t="shared" si="1"/>
        <v>122</v>
      </c>
      <c r="M23" s="101">
        <f t="shared" si="1"/>
        <v>100</v>
      </c>
      <c r="N23" s="101">
        <f t="shared" si="1"/>
        <v>116</v>
      </c>
      <c r="O23" s="101">
        <f t="shared" si="1"/>
        <v>3170</v>
      </c>
      <c r="P23" s="102"/>
      <c r="Q23" s="102"/>
      <c r="R23" s="102"/>
      <c r="S23" s="102"/>
      <c r="T23" s="98" t="s">
        <v>532</v>
      </c>
      <c r="U23" s="100"/>
      <c r="V23" s="100">
        <f>if(counta($C2:$C22)=0,"",SUM(E2:E22))</f>
        <v>22.95275049</v>
      </c>
      <c r="W23" s="101"/>
      <c r="X23" s="101">
        <f>if(counta($C2:$C22)=0,"",SUM(F2:F22))</f>
        <v>654</v>
      </c>
      <c r="Y23" s="101">
        <f>if(counta($C2:$C22)=0,"",SUM(O2:O22))</f>
        <v>3170</v>
      </c>
      <c r="Z23" s="103">
        <f>if($V23="","",sum(J2:J22)/sum(N2:N22))</f>
        <v>2.189655172</v>
      </c>
      <c r="AA23" s="104">
        <f>if($V23="","",sum(G2:G22)*9/sum(sum(G2:G22)*9+sum(J2:J22)*4+sum(N2:N22)*4))</f>
        <v>0.542503864</v>
      </c>
      <c r="AB23" s="104">
        <f>if($V23="","",sum(L2:L22)*4/sum(sum(G2:G22)*9+sum(J2:J22)*4+sum(N2:N22)*4))</f>
        <v>0.1508500773</v>
      </c>
      <c r="AC23" s="105">
        <f>if($V23="","",sum(H2:H22)/sum(O2:O22))</f>
        <v>1.200946372</v>
      </c>
    </row>
    <row r="24">
      <c r="A24" s="37">
        <v>2.0</v>
      </c>
      <c r="B24" s="38" t="s">
        <v>92</v>
      </c>
      <c r="C24" s="39"/>
      <c r="D24" s="40">
        <v>1.0</v>
      </c>
      <c r="E24" s="41" t="str">
        <f t="array" ref="E24">if(C24="","",_xlfn.xlookup(C24,'Hiker Food'!$C:$C,'Hiker Food'!G:G)*D24)</f>
        <v/>
      </c>
      <c r="F24" s="42" t="str">
        <f t="array" ref="F24">if(C24="","",_xlfn.xlookup(C24,'Hiker Food'!$C:$C,'Hiker Food'!H:H)*D24)</f>
        <v/>
      </c>
      <c r="G24" s="43" t="str">
        <f t="array" ref="G24">if($C24="","",_xlfn.xlookup($C24,'Hiker Food'!$C:$C,'Hiker Food'!J:J)*$D24)</f>
        <v/>
      </c>
      <c r="H24" s="43" t="str">
        <f t="array" ref="H24">if($C24="","",_xlfn.xlookup($C24,'Hiker Food'!$C:$C,'Hiker Food'!K:K)*$D24)</f>
        <v/>
      </c>
      <c r="I24" s="43" t="str">
        <f t="array" ref="I24">if($C24="","",_xlfn.xlookup($C24,'Hiker Food'!$C:$C,'Hiker Food'!L:L)*$D24)</f>
        <v/>
      </c>
      <c r="J24" s="43" t="str">
        <f t="array" ref="J24">if($C24="","",_xlfn.xlookup($C24,'Hiker Food'!$C:$C,'Hiker Food'!M:M)*$D24)</f>
        <v/>
      </c>
      <c r="K24" s="43" t="str">
        <f t="array" ref="K24">if($C24="","",_xlfn.xlookup($C24,'Hiker Food'!$C:$C,'Hiker Food'!N:N)*$D24)</f>
        <v/>
      </c>
      <c r="L24" s="43" t="str">
        <f t="array" ref="L24">if($C24="","",_xlfn.xlookup($C24,'Hiker Food'!$C:$C,'Hiker Food'!O:O)*$D24)</f>
        <v/>
      </c>
      <c r="M24" s="43" t="str">
        <f t="array" ref="M24">if($C24="","",_xlfn.xlookup($C24,'Hiker Food'!$C:$C,'Hiker Food'!P:P)*$D24)</f>
        <v/>
      </c>
      <c r="N24" s="43" t="str">
        <f t="array" ref="N24">if($C24="","",_xlfn.xlookup($C24,'Hiker Food'!$C:$C,'Hiker Food'!Q:Q)*$D24)</f>
        <v/>
      </c>
      <c r="O24" s="43" t="str">
        <f t="array" ref="O24">if($C24="","",_xlfn.xlookup($C24,'Hiker Food'!$C:$C,'Hiker Food'!I:I)*$D24)</f>
        <v/>
      </c>
      <c r="P24" s="41" t="str">
        <f t="array" ref="P24">if($C24="","",_xlfn.xlookup($C24,'Hiker Food'!$C:$C,'Hiker Food'!T:T))</f>
        <v/>
      </c>
      <c r="Q24" s="44" t="str">
        <f t="array" ref="Q24">if($C24="","",_xlfn.xlookup($C24,'Hiker Food'!$C:$C,'Hiker Food'!U:U))</f>
        <v/>
      </c>
      <c r="R24" s="44" t="str">
        <f t="array" ref="R24">if($C24="","",_xlfn.xlookup($C24,'Hiker Food'!$C:$C,'Hiker Food'!V:V))</f>
        <v/>
      </c>
      <c r="S24" s="45" t="str">
        <f t="array" ref="S24">if($C24="","",_xlfn.xlookup($C24,'Hiker Food'!$C:$C,'Hiker Food'!W:W))</f>
        <v/>
      </c>
      <c r="T24" s="46" t="s">
        <v>92</v>
      </c>
      <c r="U24" s="47" t="str">
        <f>if($C24="","",$Y24/V24)</f>
        <v/>
      </c>
      <c r="V24" s="114" t="str">
        <f>if($C24="","",sum(E24:E26))</f>
        <v/>
      </c>
      <c r="W24" s="48" t="str">
        <f>if($C24="","",$Y24/X24)</f>
        <v/>
      </c>
      <c r="X24" s="114" t="str">
        <f>if($C24="","",sum(F24:F26))</f>
        <v/>
      </c>
      <c r="Y24" s="114" t="str">
        <f>if($C24="","",sum(O24:O26))</f>
        <v/>
      </c>
      <c r="Z24" s="49" t="str">
        <f>if($C24="","",(sum(J24:J26)/sum(N24:N26)))</f>
        <v/>
      </c>
      <c r="AA24" s="50" t="str">
        <f>if($C24="","",sum(G24:G26)*9/sum(sum(G24:G26)*9+sum(J24:J26)*4+sum(N24:N26)*4))</f>
        <v/>
      </c>
      <c r="AB24" s="50" t="str">
        <f>if($C24="","",sum(L24:L26)*4/sum(sum(G24:G26)*9+sum(J24:J26)*4+sum(N24:N26)*4))</f>
        <v/>
      </c>
      <c r="AC24" s="51" t="str">
        <f>if($C24="","",(sum(H24:H26)/sum(O24:O26)))</f>
        <v/>
      </c>
    </row>
    <row r="25">
      <c r="A25" s="52"/>
      <c r="B25" s="53"/>
      <c r="C25" s="54"/>
      <c r="D25" s="55">
        <v>1.0</v>
      </c>
      <c r="E25" s="56" t="str">
        <f t="array" ref="E25">if(C25="","",_xlfn.xlookup(C25,'Hiker Food'!$C:$C,'Hiker Food'!G:G)*D25)</f>
        <v/>
      </c>
      <c r="F25" s="42" t="str">
        <f t="array" ref="F25">if(C25="","",_xlfn.xlookup(C25,'Hiker Food'!$C:$C,'Hiker Food'!H:H)*D25)</f>
        <v/>
      </c>
      <c r="G25" s="42" t="str">
        <f t="array" ref="G25">if($C25="","",_xlfn.xlookup($C25,'Hiker Food'!$C:$C,'Hiker Food'!J:J)*$D25)</f>
        <v/>
      </c>
      <c r="H25" s="42" t="str">
        <f t="array" ref="H25">if($C25="","",_xlfn.xlookup($C25,'Hiker Food'!$C:$C,'Hiker Food'!K:K)*$D25)</f>
        <v/>
      </c>
      <c r="I25" s="42" t="str">
        <f t="array" ref="I25">if($C25="","",_xlfn.xlookup($C25,'Hiker Food'!$C:$C,'Hiker Food'!L:L)*$D25)</f>
        <v/>
      </c>
      <c r="J25" s="42" t="str">
        <f t="array" ref="J25">if($C25="","",_xlfn.xlookup($C25,'Hiker Food'!$C:$C,'Hiker Food'!M:M)*$D25)</f>
        <v/>
      </c>
      <c r="K25" s="42" t="str">
        <f t="array" ref="K25">if($C25="","",_xlfn.xlookup($C25,'Hiker Food'!$C:$C,'Hiker Food'!N:N)*$D25)</f>
        <v/>
      </c>
      <c r="L25" s="42" t="str">
        <f t="array" ref="L25">if($C25="","",_xlfn.xlookup($C25,'Hiker Food'!$C:$C,'Hiker Food'!O:O)*$D25)</f>
        <v/>
      </c>
      <c r="M25" s="42" t="str">
        <f t="array" ref="M25">if($C25="","",_xlfn.xlookup($C25,'Hiker Food'!$C:$C,'Hiker Food'!P:P)*$D25)</f>
        <v/>
      </c>
      <c r="N25" s="42" t="str">
        <f t="array" ref="N25">if($C25="","",_xlfn.xlookup($C25,'Hiker Food'!$C:$C,'Hiker Food'!Q:Q)*$D25)</f>
        <v/>
      </c>
      <c r="O25" s="42" t="str">
        <f t="array" ref="O25">if($C25="","",_xlfn.xlookup($C25,'Hiker Food'!$C:$C,'Hiker Food'!I:I)*$D25)</f>
        <v/>
      </c>
      <c r="P25" s="56" t="str">
        <f t="array" ref="P25">if($C25="","",_xlfn.xlookup($C25,'Hiker Food'!$C:$C,'Hiker Food'!T:T))</f>
        <v/>
      </c>
      <c r="Q25" s="57" t="str">
        <f t="array" ref="Q25">if($C25="","",_xlfn.xlookup($C25,'Hiker Food'!$C:$C,'Hiker Food'!U:U))</f>
        <v/>
      </c>
      <c r="R25" s="57" t="str">
        <f t="array" ref="R25">if($C25="","",_xlfn.xlookup($C25,'Hiker Food'!$C:$C,'Hiker Food'!V:V))</f>
        <v/>
      </c>
      <c r="S25" s="58" t="str">
        <f t="array" ref="S25">if($C25="","",_xlfn.xlookup($C25,'Hiker Food'!$C:$C,'Hiker Food'!W:W))</f>
        <v/>
      </c>
      <c r="T25" s="59"/>
      <c r="AC25" s="60"/>
    </row>
    <row r="26">
      <c r="A26" s="52"/>
      <c r="B26" s="61"/>
      <c r="C26" s="62"/>
      <c r="D26" s="63">
        <v>1.0</v>
      </c>
      <c r="E26" s="56" t="str">
        <f t="array" ref="E26">if(C26="","",_xlfn.xlookup(C26,'Hiker Food'!$C:$C,'Hiker Food'!G:G)*D26)</f>
        <v/>
      </c>
      <c r="F26" s="64" t="str">
        <f t="array" ref="F26">if(C26="","",_xlfn.xlookup(C26,'Hiker Food'!$C:$C,'Hiker Food'!H:H)*D26)</f>
        <v/>
      </c>
      <c r="G26" s="64" t="str">
        <f t="array" ref="G26">if($C26="","",_xlfn.xlookup($C26,'Hiker Food'!$C:$C,'Hiker Food'!J:J)*$D26)</f>
        <v/>
      </c>
      <c r="H26" s="64" t="str">
        <f t="array" ref="H26">if($C26="","",_xlfn.xlookup($C26,'Hiker Food'!$C:$C,'Hiker Food'!K:K)*$D26)</f>
        <v/>
      </c>
      <c r="I26" s="64" t="str">
        <f t="array" ref="I26">if($C26="","",_xlfn.xlookup($C26,'Hiker Food'!$C:$C,'Hiker Food'!L:L)*$D26)</f>
        <v/>
      </c>
      <c r="J26" s="64" t="str">
        <f t="array" ref="J26">if($C26="","",_xlfn.xlookup($C26,'Hiker Food'!$C:$C,'Hiker Food'!M:M)*$D26)</f>
        <v/>
      </c>
      <c r="K26" s="64" t="str">
        <f t="array" ref="K26">if($C26="","",_xlfn.xlookup($C26,'Hiker Food'!$C:$C,'Hiker Food'!N:N)*$D26)</f>
        <v/>
      </c>
      <c r="L26" s="64" t="str">
        <f t="array" ref="L26">if($C26="","",_xlfn.xlookup($C26,'Hiker Food'!$C:$C,'Hiker Food'!O:O)*$D26)</f>
        <v/>
      </c>
      <c r="M26" s="64" t="str">
        <f t="array" ref="M26">if($C26="","",_xlfn.xlookup($C26,'Hiker Food'!$C:$C,'Hiker Food'!P:P)*$D26)</f>
        <v/>
      </c>
      <c r="N26" s="64" t="str">
        <f t="array" ref="N26">if($C26="","",_xlfn.xlookup($C26,'Hiker Food'!$C:$C,'Hiker Food'!Q:Q)*$D26)</f>
        <v/>
      </c>
      <c r="O26" s="42" t="str">
        <f t="array" ref="O26">if($C26="","",_xlfn.xlookup($C26,'Hiker Food'!$C:$C,'Hiker Food'!I:I)*$D26)</f>
        <v/>
      </c>
      <c r="P26" s="56" t="str">
        <f t="array" ref="P26">if($C26="","",_xlfn.xlookup($C26,'Hiker Food'!$C:$C,'Hiker Food'!T:T))</f>
        <v/>
      </c>
      <c r="Q26" s="57" t="str">
        <f t="array" ref="Q26">if($C26="","",_xlfn.xlookup($C26,'Hiker Food'!$C:$C,'Hiker Food'!U:U))</f>
        <v/>
      </c>
      <c r="R26" s="57" t="str">
        <f t="array" ref="R26">if($C26="","",_xlfn.xlookup($C26,'Hiker Food'!$C:$C,'Hiker Food'!V:V))</f>
        <v/>
      </c>
      <c r="S26" s="58" t="str">
        <f t="array" ref="S26">if($C26="","",_xlfn.xlookup($C26,'Hiker Food'!$C:$C,'Hiker Food'!W:W))</f>
        <v/>
      </c>
      <c r="T26" s="65"/>
      <c r="U26" s="66"/>
      <c r="V26" s="66"/>
      <c r="W26" s="66"/>
      <c r="X26" s="66"/>
      <c r="Y26" s="66"/>
      <c r="Z26" s="66"/>
      <c r="AA26" s="66"/>
      <c r="AB26" s="66"/>
      <c r="AC26" s="67"/>
    </row>
    <row r="27">
      <c r="A27" s="52"/>
      <c r="B27" s="68" t="s">
        <v>179</v>
      </c>
      <c r="C27" s="69"/>
      <c r="D27" s="70">
        <v>2.0</v>
      </c>
      <c r="E27" s="71" t="str">
        <f t="array" ref="E27">if(C27="","",_xlfn.xlookup(C27,'Hiker Food'!$C:$C,'Hiker Food'!G:G)*D27)</f>
        <v/>
      </c>
      <c r="F27" s="42" t="str">
        <f t="array" ref="F27">if(C27="","",_xlfn.xlookup(C27,'Hiker Food'!$C:$C,'Hiker Food'!H:H)*D27)</f>
        <v/>
      </c>
      <c r="G27" s="72" t="str">
        <f t="array" ref="G27">if($C27="","",_xlfn.xlookup($C27,'Hiker Food'!$C:$C,'Hiker Food'!J:J)*$D27)</f>
        <v/>
      </c>
      <c r="H27" s="72" t="str">
        <f t="array" ref="H27">if($C27="","",_xlfn.xlookup($C27,'Hiker Food'!$C:$C,'Hiker Food'!K:K)*$D27)</f>
        <v/>
      </c>
      <c r="I27" s="72" t="str">
        <f t="array" ref="I27">if($C27="","",_xlfn.xlookup($C27,'Hiker Food'!$C:$C,'Hiker Food'!L:L)*$D27)</f>
        <v/>
      </c>
      <c r="J27" s="72" t="str">
        <f t="array" ref="J27">if($C27="","",_xlfn.xlookup($C27,'Hiker Food'!$C:$C,'Hiker Food'!M:M)*$D27)</f>
        <v/>
      </c>
      <c r="K27" s="72" t="str">
        <f t="array" ref="K27">if($C27="","",_xlfn.xlookup($C27,'Hiker Food'!$C:$C,'Hiker Food'!N:N)*$D27)</f>
        <v/>
      </c>
      <c r="L27" s="72" t="str">
        <f t="array" ref="L27">if($C27="","",_xlfn.xlookup($C27,'Hiker Food'!$C:$C,'Hiker Food'!O:O)*$D27)</f>
        <v/>
      </c>
      <c r="M27" s="72" t="str">
        <f t="array" ref="M27">if($C27="","",_xlfn.xlookup($C27,'Hiker Food'!$C:$C,'Hiker Food'!P:P)*$D27)</f>
        <v/>
      </c>
      <c r="N27" s="72" t="str">
        <f t="array" ref="N27">if($C27="","",_xlfn.xlookup($C27,'Hiker Food'!$C:$C,'Hiker Food'!Q:Q)*$D27)</f>
        <v/>
      </c>
      <c r="O27" s="72" t="str">
        <f t="array" ref="O27">if($C27="","",_xlfn.xlookup($C27,'Hiker Food'!$C:$C,'Hiker Food'!I:I)*$D27)</f>
        <v/>
      </c>
      <c r="P27" s="71" t="str">
        <f t="array" ref="P27">if($C27="","",_xlfn.xlookup($C27,'Hiker Food'!$C:$C,'Hiker Food'!T:T))</f>
        <v/>
      </c>
      <c r="Q27" s="73" t="str">
        <f t="array" ref="Q27">if($C27="","",_xlfn.xlookup($C27,'Hiker Food'!$C:$C,'Hiker Food'!U:U))</f>
        <v/>
      </c>
      <c r="R27" s="73" t="str">
        <f t="array" ref="R27">if($C27="","",_xlfn.xlookup($C27,'Hiker Food'!$C:$C,'Hiker Food'!V:V))</f>
        <v/>
      </c>
      <c r="S27" s="74" t="str">
        <f t="array" ref="S27">if($C27="","",_xlfn.xlookup($C27,'Hiker Food'!$C:$C,'Hiker Food'!W:W))</f>
        <v/>
      </c>
      <c r="T27" s="75" t="s">
        <v>179</v>
      </c>
      <c r="U27" s="76" t="str">
        <f>if(C27="","",Y27/V27)</f>
        <v/>
      </c>
      <c r="V27" s="96" t="str">
        <f>if($C27="","",sum(E27:E29))</f>
        <v/>
      </c>
      <c r="W27" s="77" t="str">
        <f>if($C27="","",$Y27/X27)</f>
        <v/>
      </c>
      <c r="X27" s="96" t="str">
        <f>if($C27="","",sum(F27:F29))</f>
        <v/>
      </c>
      <c r="Y27" s="96" t="str">
        <f>if($C27="","",sum(O27:O29))</f>
        <v/>
      </c>
      <c r="Z27" s="77" t="str">
        <f>if($C27="","",(sum(J27:J29)/sum(N27:N29)))</f>
        <v/>
      </c>
      <c r="AA27" s="78" t="str">
        <f>if($C27="","",sum(G27:G29)*9/sum(sum(G27:G29)*9+sum(J27:J29)*4+sum(N27:N29)*4))</f>
        <v/>
      </c>
      <c r="AB27" s="78" t="str">
        <f>if($C27="","",sum(L27:L29)*4/sum(sum(G27:G29)*9+sum(J27:J29)*4+sum(N27:N29)*4))</f>
        <v/>
      </c>
      <c r="AC27" s="79" t="str">
        <f>if($C27="","",(sum(H27:H29)/sum(O27:O29)))</f>
        <v/>
      </c>
    </row>
    <row r="28">
      <c r="A28" s="52"/>
      <c r="B28" s="53"/>
      <c r="C28" s="54"/>
      <c r="D28" s="55">
        <v>2.0</v>
      </c>
      <c r="E28" s="56" t="str">
        <f t="array" ref="E28">if(C28="","",_xlfn.xlookup(C28,'Hiker Food'!$C:$C,'Hiker Food'!G:G)*D28)</f>
        <v/>
      </c>
      <c r="F28" s="42" t="str">
        <f t="array" ref="F28">if(C28="","",_xlfn.xlookup(C28,'Hiker Food'!$C:$C,'Hiker Food'!H:H)*D28)</f>
        <v/>
      </c>
      <c r="G28" s="42" t="str">
        <f t="array" ref="G28">if($C28="","",_xlfn.xlookup($C28,'Hiker Food'!$C:$C,'Hiker Food'!J:J)*$D28)</f>
        <v/>
      </c>
      <c r="H28" s="42" t="str">
        <f t="array" ref="H28">if($C28="","",_xlfn.xlookup($C28,'Hiker Food'!$C:$C,'Hiker Food'!K:K)*$D28)</f>
        <v/>
      </c>
      <c r="I28" s="42" t="str">
        <f t="array" ref="I28">if($C28="","",_xlfn.xlookup($C28,'Hiker Food'!$C:$C,'Hiker Food'!L:L)*$D28)</f>
        <v/>
      </c>
      <c r="J28" s="42" t="str">
        <f t="array" ref="J28">if($C28="","",_xlfn.xlookup($C28,'Hiker Food'!$C:$C,'Hiker Food'!M:M)*$D28)</f>
        <v/>
      </c>
      <c r="K28" s="42" t="str">
        <f t="array" ref="K28">if($C28="","",_xlfn.xlookup($C28,'Hiker Food'!$C:$C,'Hiker Food'!N:N)*$D28)</f>
        <v/>
      </c>
      <c r="L28" s="42" t="str">
        <f t="array" ref="L28">if($C28="","",_xlfn.xlookup($C28,'Hiker Food'!$C:$C,'Hiker Food'!O:O)*$D28)</f>
        <v/>
      </c>
      <c r="M28" s="42" t="str">
        <f t="array" ref="M28">if($C28="","",_xlfn.xlookup($C28,'Hiker Food'!$C:$C,'Hiker Food'!P:P)*$D28)</f>
        <v/>
      </c>
      <c r="N28" s="42" t="str">
        <f t="array" ref="N28">if($C28="","",_xlfn.xlookup($C28,'Hiker Food'!$C:$C,'Hiker Food'!Q:Q)*$D28)</f>
        <v/>
      </c>
      <c r="O28" s="42" t="str">
        <f t="array" ref="O28">if($C28="","",_xlfn.xlookup($C28,'Hiker Food'!$C:$C,'Hiker Food'!I:I)*$D28)</f>
        <v/>
      </c>
      <c r="P28" s="56" t="str">
        <f t="array" ref="P28">if($C28="","",_xlfn.xlookup($C28,'Hiker Food'!$C:$C,'Hiker Food'!T:T))</f>
        <v/>
      </c>
      <c r="Q28" s="57" t="str">
        <f t="array" ref="Q28">if($C28="","",_xlfn.xlookup($C28,'Hiker Food'!$C:$C,'Hiker Food'!U:U))</f>
        <v/>
      </c>
      <c r="R28" s="57" t="str">
        <f t="array" ref="R28">if($C28="","",_xlfn.xlookup($C28,'Hiker Food'!$C:$C,'Hiker Food'!V:V))</f>
        <v/>
      </c>
      <c r="S28" s="58" t="str">
        <f t="array" ref="S28">if($C28="","",_xlfn.xlookup($C28,'Hiker Food'!$C:$C,'Hiker Food'!W:W))</f>
        <v/>
      </c>
      <c r="T28" s="80"/>
      <c r="AC28" s="60"/>
    </row>
    <row r="29">
      <c r="A29" s="52"/>
      <c r="B29" s="61"/>
      <c r="C29" s="54"/>
      <c r="D29" s="63">
        <v>1.0</v>
      </c>
      <c r="E29" s="81" t="str">
        <f t="array" ref="E29">if(C29="","",_xlfn.xlookup(C29,'Hiker Food'!$C:$C,'Hiker Food'!G:G)*D29)</f>
        <v/>
      </c>
      <c r="F29" s="64" t="str">
        <f t="array" ref="F29">if(C29="","",_xlfn.xlookup(C29,'Hiker Food'!$C:$C,'Hiker Food'!H:H)*D29)</f>
        <v/>
      </c>
      <c r="G29" s="64" t="str">
        <f t="array" ref="G29">if($C29="","",_xlfn.xlookup($C29,'Hiker Food'!$C:$C,'Hiker Food'!J:J)*$D29)</f>
        <v/>
      </c>
      <c r="H29" s="64" t="str">
        <f t="array" ref="H29">if($C29="","",_xlfn.xlookup($C29,'Hiker Food'!$C:$C,'Hiker Food'!K:K)*$D29)</f>
        <v/>
      </c>
      <c r="I29" s="64" t="str">
        <f t="array" ref="I29">if($C29="","",_xlfn.xlookup($C29,'Hiker Food'!$C:$C,'Hiker Food'!L:L)*$D29)</f>
        <v/>
      </c>
      <c r="J29" s="64" t="str">
        <f t="array" ref="J29">if($C29="","",_xlfn.xlookup($C29,'Hiker Food'!$C:$C,'Hiker Food'!M:M)*$D29)</f>
        <v/>
      </c>
      <c r="K29" s="64" t="str">
        <f t="array" ref="K29">if($C29="","",_xlfn.xlookup($C29,'Hiker Food'!$C:$C,'Hiker Food'!N:N)*$D29)</f>
        <v/>
      </c>
      <c r="L29" s="64" t="str">
        <f t="array" ref="L29">if($C29="","",_xlfn.xlookup($C29,'Hiker Food'!$C:$C,'Hiker Food'!O:O)*$D29)</f>
        <v/>
      </c>
      <c r="M29" s="64" t="str">
        <f t="array" ref="M29">if($C29="","",_xlfn.xlookup($C29,'Hiker Food'!$C:$C,'Hiker Food'!P:P)*$D29)</f>
        <v/>
      </c>
      <c r="N29" s="64" t="str">
        <f t="array" ref="N29">if($C29="","",_xlfn.xlookup($C29,'Hiker Food'!$C:$C,'Hiker Food'!Q:Q)*$D29)</f>
        <v/>
      </c>
      <c r="O29" s="64" t="str">
        <f t="array" ref="O29">if($C29="","",_xlfn.xlookup($C29,'Hiker Food'!$C:$C,'Hiker Food'!I:I)*$D29)</f>
        <v/>
      </c>
      <c r="P29" s="81" t="str">
        <f t="array" ref="P29">if($C29="","",_xlfn.xlookup($C29,'Hiker Food'!$C:$C,'Hiker Food'!T:T))</f>
        <v/>
      </c>
      <c r="Q29" s="82" t="str">
        <f t="array" ref="Q29">if($C29="","",_xlfn.xlookup($C29,'Hiker Food'!$C:$C,'Hiker Food'!U:U))</f>
        <v/>
      </c>
      <c r="R29" s="82" t="str">
        <f t="array" ref="R29">if($C29="","",_xlfn.xlookup($C29,'Hiker Food'!$C:$C,'Hiker Food'!V:V))</f>
        <v/>
      </c>
      <c r="S29" s="83" t="str">
        <f t="array" ref="S29">if($C29="","",_xlfn.xlookup($C29,'Hiker Food'!$C:$C,'Hiker Food'!W:W))</f>
        <v/>
      </c>
      <c r="T29" s="84"/>
      <c r="U29" s="66"/>
      <c r="V29" s="66"/>
      <c r="W29" s="66"/>
      <c r="X29" s="66"/>
      <c r="Y29" s="66"/>
      <c r="Z29" s="66"/>
      <c r="AA29" s="66"/>
      <c r="AB29" s="66"/>
      <c r="AC29" s="67"/>
    </row>
    <row r="30">
      <c r="A30" s="52"/>
      <c r="B30" s="68" t="s">
        <v>257</v>
      </c>
      <c r="C30" s="85"/>
      <c r="D30" s="70">
        <v>3.0</v>
      </c>
      <c r="E30" s="56" t="str">
        <f t="array" ref="E30">if(C30="","",_xlfn.xlookup(C30,'Hiker Food'!$C:$C,'Hiker Food'!G:G)*D30)</f>
        <v/>
      </c>
      <c r="F30" s="86" t="str">
        <f t="array" ref="F30">if(C30="","",_xlfn.xlookup(C30,'Hiker Food'!$C:$C,'Hiker Food'!H:H)*D30)</f>
        <v/>
      </c>
      <c r="G30" s="72" t="str">
        <f t="array" ref="G30">if($C30="","",_xlfn.xlookup($C30,'Hiker Food'!$C:$C,'Hiker Food'!J:J)*$D30)</f>
        <v/>
      </c>
      <c r="H30" s="72" t="str">
        <f t="array" ref="H30">if($C30="","",_xlfn.xlookup($C30,'Hiker Food'!$C:$C,'Hiker Food'!K:K)*$D30)</f>
        <v/>
      </c>
      <c r="I30" s="72" t="str">
        <f t="array" ref="I30">if($C30="","",_xlfn.xlookup($C30,'Hiker Food'!$C:$C,'Hiker Food'!L:L)*$D30)</f>
        <v/>
      </c>
      <c r="J30" s="72" t="str">
        <f t="array" ref="J30">if($C30="","",_xlfn.xlookup($C30,'Hiker Food'!$C:$C,'Hiker Food'!M:M)*$D30)</f>
        <v/>
      </c>
      <c r="K30" s="72" t="str">
        <f t="array" ref="K30">if($C30="","",_xlfn.xlookup($C30,'Hiker Food'!$C:$C,'Hiker Food'!N:N)*$D30)</f>
        <v/>
      </c>
      <c r="L30" s="72" t="str">
        <f t="array" ref="L30">if($C30="","",_xlfn.xlookup($C30,'Hiker Food'!$C:$C,'Hiker Food'!O:O)*$D30)</f>
        <v/>
      </c>
      <c r="M30" s="72" t="str">
        <f t="array" ref="M30">if($C30="","",_xlfn.xlookup($C30,'Hiker Food'!$C:$C,'Hiker Food'!P:P)*$D30)</f>
        <v/>
      </c>
      <c r="N30" s="72" t="str">
        <f t="array" ref="N30">if($C30="","",_xlfn.xlookup($C30,'Hiker Food'!$C:$C,'Hiker Food'!Q:Q)*$D30)</f>
        <v/>
      </c>
      <c r="O30" s="42" t="str">
        <f t="array" ref="O30">if($C30="","",_xlfn.xlookup($C30,'Hiker Food'!$C:$C,'Hiker Food'!I:I)*$D30)</f>
        <v/>
      </c>
      <c r="P30" s="56" t="str">
        <f t="array" ref="P30">if($C30="","",_xlfn.xlookup($C30,'Hiker Food'!$C:$C,'Hiker Food'!T:T))</f>
        <v/>
      </c>
      <c r="Q30" s="57" t="str">
        <f t="array" ref="Q30">if($C30="","",_xlfn.xlookup($C30,'Hiker Food'!$C:$C,'Hiker Food'!U:U))</f>
        <v/>
      </c>
      <c r="R30" s="57" t="str">
        <f t="array" ref="R30">if($C30="","",_xlfn.xlookup($C30,'Hiker Food'!$C:$C,'Hiker Food'!V:V))</f>
        <v/>
      </c>
      <c r="S30" s="58" t="str">
        <f t="array" ref="S30">if($C30="","",_xlfn.xlookup($C30,'Hiker Food'!$C:$C,'Hiker Food'!W:W))</f>
        <v/>
      </c>
      <c r="T30" s="87" t="s">
        <v>257</v>
      </c>
      <c r="U30" s="76" t="str">
        <f>if(C30="","",Y30/V30)</f>
        <v/>
      </c>
      <c r="V30" s="96" t="str">
        <f>if($C30="","",sum(E30:E32))</f>
        <v/>
      </c>
      <c r="W30" s="77" t="str">
        <f>if($C30="","",$Y30/X30)</f>
        <v/>
      </c>
      <c r="X30" s="96" t="str">
        <f>if($C30="","",sum(F30:F32))</f>
        <v/>
      </c>
      <c r="Y30" s="96" t="str">
        <f>if($C30="","",sum(O30:O32))</f>
        <v/>
      </c>
      <c r="Z30" s="77" t="str">
        <f>if($C30="","",(sum(J30:J32)/sum(N30:N32)))</f>
        <v/>
      </c>
      <c r="AA30" s="78" t="str">
        <f>if($C30="","",sum(G30:G32)*9/sum(sum(G30:G32)*9+sum(J30:J32)*4+sum(N30:N32)*4))</f>
        <v/>
      </c>
      <c r="AB30" s="78" t="str">
        <f>if($C30="","",sum(L30:L32)*4/sum(sum(G30:G32)*9+sum(J30:J32)*4+sum(N30:N32)*4))</f>
        <v/>
      </c>
      <c r="AC30" s="79" t="str">
        <f>if($C30="","",(sum(H30:H32)/sum(O30:O32)))</f>
        <v/>
      </c>
    </row>
    <row r="31">
      <c r="A31" s="52"/>
      <c r="B31" s="53"/>
      <c r="C31" s="88"/>
      <c r="D31" s="55">
        <v>3.0</v>
      </c>
      <c r="E31" s="56" t="str">
        <f t="array" ref="E31">if(C31="","",_xlfn.xlookup(C31,'Hiker Food'!$C:$C,'Hiker Food'!G:G)*D31)</f>
        <v/>
      </c>
      <c r="F31" s="86" t="str">
        <f t="array" ref="F31">if(C31="","",_xlfn.xlookup(C31,'Hiker Food'!$C:$C,'Hiker Food'!H:H)*D31)</f>
        <v/>
      </c>
      <c r="G31" s="42" t="str">
        <f t="array" ref="G31">if($C31="","",_xlfn.xlookup($C31,'Hiker Food'!$C:$C,'Hiker Food'!J:J)*$D31)</f>
        <v/>
      </c>
      <c r="H31" s="42" t="str">
        <f t="array" ref="H31">if($C31="","",_xlfn.xlookup($C31,'Hiker Food'!$C:$C,'Hiker Food'!K:K)*$D31)</f>
        <v/>
      </c>
      <c r="I31" s="42" t="str">
        <f t="array" ref="I31">if($C31="","",_xlfn.xlookup($C31,'Hiker Food'!$C:$C,'Hiker Food'!L:L)*$D31)</f>
        <v/>
      </c>
      <c r="J31" s="42" t="str">
        <f t="array" ref="J31">if($C31="","",_xlfn.xlookup($C31,'Hiker Food'!$C:$C,'Hiker Food'!M:M)*$D31)</f>
        <v/>
      </c>
      <c r="K31" s="42" t="str">
        <f t="array" ref="K31">if($C31="","",_xlfn.xlookup($C31,'Hiker Food'!$C:$C,'Hiker Food'!N:N)*$D31)</f>
        <v/>
      </c>
      <c r="L31" s="42" t="str">
        <f t="array" ref="L31">if($C31="","",_xlfn.xlookup($C31,'Hiker Food'!$C:$C,'Hiker Food'!O:O)*$D31)</f>
        <v/>
      </c>
      <c r="M31" s="42" t="str">
        <f t="array" ref="M31">if($C31="","",_xlfn.xlookup($C31,'Hiker Food'!$C:$C,'Hiker Food'!P:P)*$D31)</f>
        <v/>
      </c>
      <c r="N31" s="42" t="str">
        <f t="array" ref="N31">if($C31="","",_xlfn.xlookup($C31,'Hiker Food'!$C:$C,'Hiker Food'!Q:Q)*$D31)</f>
        <v/>
      </c>
      <c r="O31" s="42" t="str">
        <f t="array" ref="O31">if($C31="","",_xlfn.xlookup($C31,'Hiker Food'!$C:$C,'Hiker Food'!I:I)*$D31)</f>
        <v/>
      </c>
      <c r="P31" s="56" t="str">
        <f t="array" ref="P31">if($C31="","",_xlfn.xlookup($C31,'Hiker Food'!$C:$C,'Hiker Food'!T:T))</f>
        <v/>
      </c>
      <c r="Q31" s="57" t="str">
        <f t="array" ref="Q31">if($C31="","",_xlfn.xlookup($C31,'Hiker Food'!$C:$C,'Hiker Food'!U:U))</f>
        <v/>
      </c>
      <c r="R31" s="57" t="str">
        <f t="array" ref="R31">if($C31="","",_xlfn.xlookup($C31,'Hiker Food'!$C:$C,'Hiker Food'!V:V))</f>
        <v/>
      </c>
      <c r="S31" s="58" t="str">
        <f t="array" ref="S31">if($C31="","",_xlfn.xlookup($C31,'Hiker Food'!$C:$C,'Hiker Food'!W:W))</f>
        <v/>
      </c>
      <c r="T31" s="59"/>
      <c r="AC31" s="60"/>
    </row>
    <row r="32">
      <c r="A32" s="52"/>
      <c r="B32" s="61"/>
      <c r="C32" s="62"/>
      <c r="D32" s="63">
        <v>1.0</v>
      </c>
      <c r="E32" s="81" t="str">
        <f t="array" ref="E32">if(C32="","",_xlfn.xlookup(C32,'Hiker Food'!$C:$C,'Hiker Food'!G:G)*D32)</f>
        <v/>
      </c>
      <c r="F32" s="89" t="str">
        <f t="array" ref="F32">if(C32="","",_xlfn.xlookup(C32,'Hiker Food'!$C:$C,'Hiker Food'!H:H)*D32)</f>
        <v/>
      </c>
      <c r="G32" s="64" t="str">
        <f t="array" ref="G32">if($C32="","",_xlfn.xlookup($C32,'Hiker Food'!$C:$C,'Hiker Food'!J:J)*$D32)</f>
        <v/>
      </c>
      <c r="H32" s="64" t="str">
        <f t="array" ref="H32">if($C32="","",_xlfn.xlookup($C32,'Hiker Food'!$C:$C,'Hiker Food'!K:K)*$D32)</f>
        <v/>
      </c>
      <c r="I32" s="64" t="str">
        <f t="array" ref="I32">if($C32="","",_xlfn.xlookup($C32,'Hiker Food'!$C:$C,'Hiker Food'!L:L)*$D32)</f>
        <v/>
      </c>
      <c r="J32" s="64" t="str">
        <f t="array" ref="J32">if($C32="","",_xlfn.xlookup($C32,'Hiker Food'!$C:$C,'Hiker Food'!M:M)*$D32)</f>
        <v/>
      </c>
      <c r="K32" s="64" t="str">
        <f t="array" ref="K32">if($C32="","",_xlfn.xlookup($C32,'Hiker Food'!$C:$C,'Hiker Food'!N:N)*$D32)</f>
        <v/>
      </c>
      <c r="L32" s="64" t="str">
        <f t="array" ref="L32">if($C32="","",_xlfn.xlookup($C32,'Hiker Food'!$C:$C,'Hiker Food'!O:O)*$D32)</f>
        <v/>
      </c>
      <c r="M32" s="64" t="str">
        <f t="array" ref="M32">if($C32="","",_xlfn.xlookup($C32,'Hiker Food'!$C:$C,'Hiker Food'!P:P)*$D32)</f>
        <v/>
      </c>
      <c r="N32" s="64" t="str">
        <f t="array" ref="N32">if($C32="","",_xlfn.xlookup($C32,'Hiker Food'!$C:$C,'Hiker Food'!Q:Q)*$D32)</f>
        <v/>
      </c>
      <c r="O32" s="64" t="str">
        <f t="array" ref="O32">if($C32="","",_xlfn.xlookup($C32,'Hiker Food'!$C:$C,'Hiker Food'!I:I)*$D32)</f>
        <v/>
      </c>
      <c r="P32" s="81" t="str">
        <f t="array" ref="P32">if($C32="","",_xlfn.xlookup($C32,'Hiker Food'!$C:$C,'Hiker Food'!T:T))</f>
        <v/>
      </c>
      <c r="Q32" s="82" t="str">
        <f t="array" ref="Q32">if($C32="","",_xlfn.xlookup($C32,'Hiker Food'!$C:$C,'Hiker Food'!U:U))</f>
        <v/>
      </c>
      <c r="R32" s="82" t="str">
        <f t="array" ref="R32">if($C32="","",_xlfn.xlookup($C32,'Hiker Food'!$C:$C,'Hiker Food'!V:V))</f>
        <v/>
      </c>
      <c r="S32" s="83" t="str">
        <f t="array" ref="S32">if($C32="","",_xlfn.xlookup($C32,'Hiker Food'!$C:$C,'Hiker Food'!W:W))</f>
        <v/>
      </c>
      <c r="T32" s="65"/>
      <c r="U32" s="66"/>
      <c r="V32" s="66"/>
      <c r="W32" s="66"/>
      <c r="X32" s="66"/>
      <c r="Y32" s="66"/>
      <c r="Z32" s="66"/>
      <c r="AA32" s="66"/>
      <c r="AB32" s="66"/>
      <c r="AC32" s="67"/>
    </row>
    <row r="33">
      <c r="A33" s="52"/>
      <c r="B33" s="68" t="s">
        <v>314</v>
      </c>
      <c r="C33" s="90"/>
      <c r="D33" s="70">
        <v>1.0</v>
      </c>
      <c r="E33" s="71" t="str">
        <f t="array" ref="E33">if(C33="","",_xlfn.xlookup(C33,'Hiker Food'!$C:$C,'Hiker Food'!G:G)*D33)</f>
        <v/>
      </c>
      <c r="F33" s="42" t="str">
        <f t="array" ref="F33">if(C33="","",_xlfn.xlookup(C33,'Hiker Food'!$C:$C,'Hiker Food'!H:H)*D33)</f>
        <v/>
      </c>
      <c r="G33" s="72" t="str">
        <f t="array" ref="G33">if($C33="","",_xlfn.xlookup($C33,'Hiker Food'!$C:$C,'Hiker Food'!J:J)*$D33)</f>
        <v/>
      </c>
      <c r="H33" s="72" t="str">
        <f t="array" ref="H33">if($C33="","",_xlfn.xlookup($C33,'Hiker Food'!$C:$C,'Hiker Food'!K:K)*$D33)</f>
        <v/>
      </c>
      <c r="I33" s="72" t="str">
        <f t="array" ref="I33">if($C33="","",_xlfn.xlookup($C33,'Hiker Food'!$C:$C,'Hiker Food'!L:L)*$D33)</f>
        <v/>
      </c>
      <c r="J33" s="72" t="str">
        <f t="array" ref="J33">if($C33="","",_xlfn.xlookup($C33,'Hiker Food'!$C:$C,'Hiker Food'!M:M)*$D33)</f>
        <v/>
      </c>
      <c r="K33" s="72" t="str">
        <f t="array" ref="K33">if($C33="","",_xlfn.xlookup($C33,'Hiker Food'!$C:$C,'Hiker Food'!N:N)*$D33)</f>
        <v/>
      </c>
      <c r="L33" s="72" t="str">
        <f t="array" ref="L33">if($C33="","",_xlfn.xlookup($C33,'Hiker Food'!$C:$C,'Hiker Food'!O:O)*$D33)</f>
        <v/>
      </c>
      <c r="M33" s="72" t="str">
        <f t="array" ref="M33">if($C33="","",_xlfn.xlookup($C33,'Hiker Food'!$C:$C,'Hiker Food'!P:P)*$D33)</f>
        <v/>
      </c>
      <c r="N33" s="72" t="str">
        <f t="array" ref="N33">if($C33="","",_xlfn.xlookup($C33,'Hiker Food'!$C:$C,'Hiker Food'!Q:Q)*$D33)</f>
        <v/>
      </c>
      <c r="O33" s="72" t="str">
        <f t="array" ref="O33">if($C33="","",_xlfn.xlookup($C33,'Hiker Food'!$C:$C,'Hiker Food'!I:I)*$D33)</f>
        <v/>
      </c>
      <c r="P33" s="71" t="str">
        <f t="array" ref="P33">if($C33="","",_xlfn.xlookup($C33,'Hiker Food'!$C:$C,'Hiker Food'!T:T))</f>
        <v/>
      </c>
      <c r="Q33" s="73" t="str">
        <f t="array" ref="Q33">if($C33="","",_xlfn.xlookup($C33,'Hiker Food'!$C:$C,'Hiker Food'!U:U))</f>
        <v/>
      </c>
      <c r="R33" s="73" t="str">
        <f t="array" ref="R33">if($C33="","",_xlfn.xlookup($C33,'Hiker Food'!$C:$C,'Hiker Food'!V:V))</f>
        <v/>
      </c>
      <c r="S33" s="74" t="str">
        <f t="array" ref="S33">if($C33="","",_xlfn.xlookup($C33,'Hiker Food'!$C:$C,'Hiker Food'!W:W))</f>
        <v/>
      </c>
      <c r="T33" s="91" t="s">
        <v>314</v>
      </c>
      <c r="U33" s="76" t="str">
        <f>if(C33="","",Y33/V33)</f>
        <v/>
      </c>
      <c r="V33" s="96" t="str">
        <f>if($C33="","",sum(E33:E35))</f>
        <v/>
      </c>
      <c r="W33" s="77" t="str">
        <f>if($C33="","",$Y33/X33)</f>
        <v/>
      </c>
      <c r="X33" s="96" t="str">
        <f>if($C33="","",sum(F33:F35))</f>
        <v/>
      </c>
      <c r="Y33" s="96" t="str">
        <f>if($C33="","",sum(O33:O35))</f>
        <v/>
      </c>
      <c r="Z33" s="77" t="str">
        <f>if($C33="","",(sum(J33:J35)/sum(N33:N35)))</f>
        <v/>
      </c>
      <c r="AA33" s="78" t="str">
        <f>if($C33="","",sum(G33:G35)*9/sum(sum(G33:G35)*9+sum(J33:J35)*4+sum(N33:N35)*4))</f>
        <v/>
      </c>
      <c r="AB33" s="78" t="str">
        <f>if($C33="","",sum(L33:L35)*4/sum(sum(G33:G35)*9+sum(J33:J35)*4+sum(N33:N35)*4))</f>
        <v/>
      </c>
      <c r="AC33" s="79" t="str">
        <f>if($C33="","",(sum(H33:H35)/sum(O33:O35)))</f>
        <v/>
      </c>
    </row>
    <row r="34">
      <c r="A34" s="52"/>
      <c r="B34" s="53"/>
      <c r="C34" s="54"/>
      <c r="D34" s="55">
        <v>1.0</v>
      </c>
      <c r="E34" s="56" t="str">
        <f t="array" ref="E34">if(C34="","",_xlfn.xlookup(C34,'Hiker Food'!$C:$C,'Hiker Food'!G:G)*D34)</f>
        <v/>
      </c>
      <c r="F34" s="42" t="str">
        <f t="array" ref="F34">if(C34="","",_xlfn.xlookup(C34,'Hiker Food'!$C:$C,'Hiker Food'!H:H)*D34)</f>
        <v/>
      </c>
      <c r="G34" s="42" t="str">
        <f t="array" ref="G34">if($C34="","",_xlfn.xlookup($C34,'Hiker Food'!$C:$C,'Hiker Food'!J:J)*$D34)</f>
        <v/>
      </c>
      <c r="H34" s="42" t="str">
        <f t="array" ref="H34">if($C34="","",_xlfn.xlookup($C34,'Hiker Food'!$C:$C,'Hiker Food'!K:K)*$D34)</f>
        <v/>
      </c>
      <c r="I34" s="42" t="str">
        <f t="array" ref="I34">if($C34="","",_xlfn.xlookup($C34,'Hiker Food'!$C:$C,'Hiker Food'!L:L)*$D34)</f>
        <v/>
      </c>
      <c r="J34" s="42" t="str">
        <f t="array" ref="J34">if($C34="","",_xlfn.xlookup($C34,'Hiker Food'!$C:$C,'Hiker Food'!M:M)*$D34)</f>
        <v/>
      </c>
      <c r="K34" s="42" t="str">
        <f t="array" ref="K34">if($C34="","",_xlfn.xlookup($C34,'Hiker Food'!$C:$C,'Hiker Food'!N:N)*$D34)</f>
        <v/>
      </c>
      <c r="L34" s="42" t="str">
        <f t="array" ref="L34">if($C34="","",_xlfn.xlookup($C34,'Hiker Food'!$C:$C,'Hiker Food'!O:O)*$D34)</f>
        <v/>
      </c>
      <c r="M34" s="42" t="str">
        <f t="array" ref="M34">if($C34="","",_xlfn.xlookup($C34,'Hiker Food'!$C:$C,'Hiker Food'!P:P)*$D34)</f>
        <v/>
      </c>
      <c r="N34" s="42" t="str">
        <f t="array" ref="N34">if($C34="","",_xlfn.xlookup($C34,'Hiker Food'!$C:$C,'Hiker Food'!Q:Q)*$D34)</f>
        <v/>
      </c>
      <c r="O34" s="42" t="str">
        <f t="array" ref="O34">if($C34="","",_xlfn.xlookup($C34,'Hiker Food'!$C:$C,'Hiker Food'!I:I)*$D34)</f>
        <v/>
      </c>
      <c r="P34" s="56" t="str">
        <f t="array" ref="P34">if($C34="","",_xlfn.xlookup($C34,'Hiker Food'!$C:$C,'Hiker Food'!T:T))</f>
        <v/>
      </c>
      <c r="Q34" s="57" t="str">
        <f t="array" ref="Q34">if($C34="","",_xlfn.xlookup($C34,'Hiker Food'!$C:$C,'Hiker Food'!U:U))</f>
        <v/>
      </c>
      <c r="R34" s="57" t="str">
        <f t="array" ref="R34">if($C34="","",_xlfn.xlookup($C34,'Hiker Food'!$C:$C,'Hiker Food'!V:V))</f>
        <v/>
      </c>
      <c r="S34" s="58" t="str">
        <f t="array" ref="S34">if($C34="","",_xlfn.xlookup($C34,'Hiker Food'!$C:$C,'Hiker Food'!W:W))</f>
        <v/>
      </c>
      <c r="T34" s="59"/>
      <c r="AC34" s="60"/>
    </row>
    <row r="35">
      <c r="A35" s="52"/>
      <c r="B35" s="61"/>
      <c r="C35" s="62"/>
      <c r="D35" s="63">
        <v>1.0</v>
      </c>
      <c r="E35" s="81" t="str">
        <f t="array" ref="E35">if(C35="","",_xlfn.xlookup(C35,'Hiker Food'!$C:$C,'Hiker Food'!G:G)*D35)</f>
        <v/>
      </c>
      <c r="F35" s="64" t="str">
        <f t="array" ref="F35">if(C35="","",_xlfn.xlookup(C35,'Hiker Food'!$C:$C,'Hiker Food'!H:H)*D35)</f>
        <v/>
      </c>
      <c r="G35" s="64" t="str">
        <f t="array" ref="G35">if($C35="","",_xlfn.xlookup($C35,'Hiker Food'!$C:$C,'Hiker Food'!J:J)*$D35)</f>
        <v/>
      </c>
      <c r="H35" s="64" t="str">
        <f t="array" ref="H35">if($C35="","",_xlfn.xlookup($C35,'Hiker Food'!$C:$C,'Hiker Food'!K:K)*$D35)</f>
        <v/>
      </c>
      <c r="I35" s="64" t="str">
        <f t="array" ref="I35">if($C35="","",_xlfn.xlookup($C35,'Hiker Food'!$C:$C,'Hiker Food'!L:L)*$D35)</f>
        <v/>
      </c>
      <c r="J35" s="64" t="str">
        <f t="array" ref="J35">if($C35="","",_xlfn.xlookup($C35,'Hiker Food'!$C:$C,'Hiker Food'!M:M)*$D35)</f>
        <v/>
      </c>
      <c r="K35" s="64" t="str">
        <f t="array" ref="K35">if($C35="","",_xlfn.xlookup($C35,'Hiker Food'!$C:$C,'Hiker Food'!N:N)*$D35)</f>
        <v/>
      </c>
      <c r="L35" s="64" t="str">
        <f t="array" ref="L35">if($C35="","",_xlfn.xlookup($C35,'Hiker Food'!$C:$C,'Hiker Food'!O:O)*$D35)</f>
        <v/>
      </c>
      <c r="M35" s="64" t="str">
        <f t="array" ref="M35">if($C35="","",_xlfn.xlookup($C35,'Hiker Food'!$C:$C,'Hiker Food'!P:P)*$D35)</f>
        <v/>
      </c>
      <c r="N35" s="64" t="str">
        <f t="array" ref="N35">if($C35="","",_xlfn.xlookup($C35,'Hiker Food'!$C:$C,'Hiker Food'!Q:Q)*$D35)</f>
        <v/>
      </c>
      <c r="O35" s="64" t="str">
        <f t="array" ref="O35">if($C35="","",_xlfn.xlookup($C35,'Hiker Food'!$C:$C,'Hiker Food'!I:I)*$D35)</f>
        <v/>
      </c>
      <c r="P35" s="81" t="str">
        <f t="array" ref="P35">if($C35="","",_xlfn.xlookup($C35,'Hiker Food'!$C:$C,'Hiker Food'!T:T))</f>
        <v/>
      </c>
      <c r="Q35" s="82" t="str">
        <f t="array" ref="Q35">if($C35="","",_xlfn.xlookup($C35,'Hiker Food'!$C:$C,'Hiker Food'!U:U))</f>
        <v/>
      </c>
      <c r="R35" s="82" t="str">
        <f t="array" ref="R35">if($C35="","",_xlfn.xlookup($C35,'Hiker Food'!$C:$C,'Hiker Food'!V:V))</f>
        <v/>
      </c>
      <c r="S35" s="83" t="str">
        <f t="array" ref="S35">if($C35="","",_xlfn.xlookup($C35,'Hiker Food'!$C:$C,'Hiker Food'!W:W))</f>
        <v/>
      </c>
      <c r="T35" s="65"/>
      <c r="U35" s="66"/>
      <c r="V35" s="66"/>
      <c r="W35" s="66"/>
      <c r="X35" s="66"/>
      <c r="Y35" s="66"/>
      <c r="Z35" s="66"/>
      <c r="AA35" s="66"/>
      <c r="AB35" s="66"/>
      <c r="AC35" s="67"/>
    </row>
    <row r="36">
      <c r="A36" s="52"/>
      <c r="B36" s="68" t="s">
        <v>366</v>
      </c>
      <c r="C36" s="90"/>
      <c r="D36" s="70">
        <v>1.0</v>
      </c>
      <c r="E36" s="71" t="str">
        <f t="array" ref="E36">if(C36="","",_xlfn.xlookup(C36,'Hiker Food'!$C:$C,'Hiker Food'!G:G)*D36)</f>
        <v/>
      </c>
      <c r="F36" s="42" t="str">
        <f t="array" ref="F36">if(C36="","",_xlfn.xlookup(C36,'Hiker Food'!$C:$C,'Hiker Food'!H:H)*D36)</f>
        <v/>
      </c>
      <c r="G36" s="72" t="str">
        <f t="array" ref="G36">if($C36="","",_xlfn.xlookup($C36,'Hiker Food'!$C:$C,'Hiker Food'!J:J)*$D36)</f>
        <v/>
      </c>
      <c r="H36" s="72" t="str">
        <f t="array" ref="H36">if($C36="","",_xlfn.xlookup($C36,'Hiker Food'!$C:$C,'Hiker Food'!K:K)*$D36)</f>
        <v/>
      </c>
      <c r="I36" s="72" t="str">
        <f t="array" ref="I36">if($C36="","",_xlfn.xlookup($C36,'Hiker Food'!$C:$C,'Hiker Food'!L:L)*$D36)</f>
        <v/>
      </c>
      <c r="J36" s="72" t="str">
        <f t="array" ref="J36">if($C36="","",_xlfn.xlookup($C36,'Hiker Food'!$C:$C,'Hiker Food'!M:M)*$D36)</f>
        <v/>
      </c>
      <c r="K36" s="72" t="str">
        <f t="array" ref="K36">if($C36="","",_xlfn.xlookup($C36,'Hiker Food'!$C:$C,'Hiker Food'!N:N)*$D36)</f>
        <v/>
      </c>
      <c r="L36" s="72" t="str">
        <f t="array" ref="L36">if($C36="","",_xlfn.xlookup($C36,'Hiker Food'!$C:$C,'Hiker Food'!O:O)*$D36)</f>
        <v/>
      </c>
      <c r="M36" s="72" t="str">
        <f t="array" ref="M36">if($C36="","",_xlfn.xlookup($C36,'Hiker Food'!$C:$C,'Hiker Food'!P:P)*$D36)</f>
        <v/>
      </c>
      <c r="N36" s="72" t="str">
        <f t="array" ref="N36">if($C36="","",_xlfn.xlookup($C36,'Hiker Food'!$C:$C,'Hiker Food'!Q:Q)*$D36)</f>
        <v/>
      </c>
      <c r="O36" s="72" t="str">
        <f t="array" ref="O36">if($C36="","",_xlfn.xlookup($C36,'Hiker Food'!$C:$C,'Hiker Food'!I:I)*$D36)</f>
        <v/>
      </c>
      <c r="P36" s="71" t="str">
        <f t="array" ref="P36">if($C36="","",_xlfn.xlookup($C36,'Hiker Food'!$C:$C,'Hiker Food'!T:T))</f>
        <v/>
      </c>
      <c r="Q36" s="73" t="str">
        <f t="array" ref="Q36">if($C36="","",_xlfn.xlookup($C36,'Hiker Food'!$C:$C,'Hiker Food'!U:U))</f>
        <v/>
      </c>
      <c r="R36" s="73" t="str">
        <f t="array" ref="R36">if($C36="","",_xlfn.xlookup($C36,'Hiker Food'!$C:$C,'Hiker Food'!V:V))</f>
        <v/>
      </c>
      <c r="S36" s="74" t="str">
        <f t="array" ref="S36">if($C36="","",_xlfn.xlookup($C36,'Hiker Food'!$C:$C,'Hiker Food'!W:W))</f>
        <v/>
      </c>
      <c r="T36" s="87" t="s">
        <v>366</v>
      </c>
      <c r="U36" s="76" t="str">
        <f>if(C36="","",Y36/V36)</f>
        <v/>
      </c>
      <c r="V36" s="96" t="str">
        <f>if($C36="","",sum(E36:E38))</f>
        <v/>
      </c>
      <c r="W36" s="77" t="str">
        <f>if($C36="","",$Y36/X36)</f>
        <v/>
      </c>
      <c r="X36" s="96" t="str">
        <f>if($C36="","",sum(F36:F38))</f>
        <v/>
      </c>
      <c r="Y36" s="96" t="str">
        <f>if($C36="","",sum(O36:O38))</f>
        <v/>
      </c>
      <c r="Z36" s="77" t="str">
        <f>if($C36="","",(sum(J36:J38)/sum(N36:N38)))</f>
        <v/>
      </c>
      <c r="AA36" s="78" t="str">
        <f>if($C36="","",sum(G36:G38)*9/sum(sum(G36:G38)*9+sum(J36:J38)*4+sum(N36:N38)*4))</f>
        <v/>
      </c>
      <c r="AB36" s="78" t="str">
        <f>if($C36="","",sum(L36:L38)*4/sum(sum(G36:G38)*9+sum(J36:J38)*4+sum(N36:N38)*4))</f>
        <v/>
      </c>
      <c r="AC36" s="79" t="str">
        <f>if($C36="","",(sum(H36:H38)/sum(O36:O38)))</f>
        <v/>
      </c>
    </row>
    <row r="37">
      <c r="A37" s="52"/>
      <c r="B37" s="53"/>
      <c r="C37" s="93"/>
      <c r="D37" s="55">
        <v>1.0</v>
      </c>
      <c r="E37" s="56" t="str">
        <f t="array" ref="E37">if(C37="","",_xlfn.xlookup(C37,'Hiker Food'!$C:$C,'Hiker Food'!G:G)*D37)</f>
        <v/>
      </c>
      <c r="F37" s="42" t="str">
        <f t="array" ref="F37">if(C37="","",_xlfn.xlookup(C37,'Hiker Food'!$C:$C,'Hiker Food'!H:H)*D37)</f>
        <v/>
      </c>
      <c r="G37" s="42" t="str">
        <f t="array" ref="G37">if($C37="","",_xlfn.xlookup($C37,'Hiker Food'!$C:$C,'Hiker Food'!J:J)*$D37)</f>
        <v/>
      </c>
      <c r="H37" s="42" t="str">
        <f t="array" ref="H37">if($C37="","",_xlfn.xlookup($C37,'Hiker Food'!$C:$C,'Hiker Food'!K:K)*$D37)</f>
        <v/>
      </c>
      <c r="I37" s="42" t="str">
        <f t="array" ref="I37">if($C37="","",_xlfn.xlookup($C37,'Hiker Food'!$C:$C,'Hiker Food'!L:L)*$D37)</f>
        <v/>
      </c>
      <c r="J37" s="42" t="str">
        <f t="array" ref="J37">if($C37="","",_xlfn.xlookup($C37,'Hiker Food'!$C:$C,'Hiker Food'!M:M)*$D37)</f>
        <v/>
      </c>
      <c r="K37" s="42" t="str">
        <f t="array" ref="K37">if($C37="","",_xlfn.xlookup($C37,'Hiker Food'!$C:$C,'Hiker Food'!N:N)*$D37)</f>
        <v/>
      </c>
      <c r="L37" s="42" t="str">
        <f t="array" ref="L37">if($C37="","",_xlfn.xlookup($C37,'Hiker Food'!$C:$C,'Hiker Food'!O:O)*$D37)</f>
        <v/>
      </c>
      <c r="M37" s="42" t="str">
        <f t="array" ref="M37">if($C37="","",_xlfn.xlookup($C37,'Hiker Food'!$C:$C,'Hiker Food'!P:P)*$D37)</f>
        <v/>
      </c>
      <c r="N37" s="42" t="str">
        <f t="array" ref="N37">if($C37="","",_xlfn.xlookup($C37,'Hiker Food'!$C:$C,'Hiker Food'!Q:Q)*$D37)</f>
        <v/>
      </c>
      <c r="O37" s="42" t="str">
        <f t="array" ref="O37">if($C37="","",_xlfn.xlookup($C37,'Hiker Food'!$C:$C,'Hiker Food'!I:I)*$D37)</f>
        <v/>
      </c>
      <c r="P37" s="56" t="str">
        <f t="array" ref="P37">if($C37="","",_xlfn.xlookup($C37,'Hiker Food'!$C:$C,'Hiker Food'!T:T))</f>
        <v/>
      </c>
      <c r="Q37" s="57" t="str">
        <f t="array" ref="Q37">if($C37="","",_xlfn.xlookup($C37,'Hiker Food'!$C:$C,'Hiker Food'!U:U))</f>
        <v/>
      </c>
      <c r="R37" s="57" t="str">
        <f t="array" ref="R37">if($C37="","",_xlfn.xlookup($C37,'Hiker Food'!$C:$C,'Hiker Food'!V:V))</f>
        <v/>
      </c>
      <c r="S37" s="58" t="str">
        <f t="array" ref="S37">if($C37="","",_xlfn.xlookup($C37,'Hiker Food'!$C:$C,'Hiker Food'!W:W))</f>
        <v/>
      </c>
      <c r="T37" s="59"/>
      <c r="AC37" s="60"/>
    </row>
    <row r="38">
      <c r="A38" s="52"/>
      <c r="B38" s="61"/>
      <c r="C38" s="54"/>
      <c r="D38" s="63">
        <v>1.0</v>
      </c>
      <c r="E38" s="81" t="str">
        <f t="array" ref="E38">if(C38="","",_xlfn.xlookup(C38,'Hiker Food'!$C:$C,'Hiker Food'!G:G)*D38)</f>
        <v/>
      </c>
      <c r="F38" s="64" t="str">
        <f t="array" ref="F38">if(C38="","",_xlfn.xlookup(C38,'Hiker Food'!$C:$C,'Hiker Food'!H:H)*D38)</f>
        <v/>
      </c>
      <c r="G38" s="64" t="str">
        <f t="array" ref="G38">if($C38="","",_xlfn.xlookup($C38,'Hiker Food'!$C:$C,'Hiker Food'!J:J)*$D38)</f>
        <v/>
      </c>
      <c r="H38" s="64" t="str">
        <f t="array" ref="H38">if($C38="","",_xlfn.xlookup($C38,'Hiker Food'!$C:$C,'Hiker Food'!K:K)*$D38)</f>
        <v/>
      </c>
      <c r="I38" s="64" t="str">
        <f t="array" ref="I38">if($C38="","",_xlfn.xlookup($C38,'Hiker Food'!$C:$C,'Hiker Food'!L:L)*$D38)</f>
        <v/>
      </c>
      <c r="J38" s="64" t="str">
        <f t="array" ref="J38">if($C38="","",_xlfn.xlookup($C38,'Hiker Food'!$C:$C,'Hiker Food'!M:M)*$D38)</f>
        <v/>
      </c>
      <c r="K38" s="64" t="str">
        <f t="array" ref="K38">if($C38="","",_xlfn.xlookup($C38,'Hiker Food'!$C:$C,'Hiker Food'!N:N)*$D38)</f>
        <v/>
      </c>
      <c r="L38" s="64" t="str">
        <f t="array" ref="L38">if($C38="","",_xlfn.xlookup($C38,'Hiker Food'!$C:$C,'Hiker Food'!O:O)*$D38)</f>
        <v/>
      </c>
      <c r="M38" s="64" t="str">
        <f t="array" ref="M38">if($C38="","",_xlfn.xlookup($C38,'Hiker Food'!$C:$C,'Hiker Food'!P:P)*$D38)</f>
        <v/>
      </c>
      <c r="N38" s="64" t="str">
        <f t="array" ref="N38">if($C38="","",_xlfn.xlookup($C38,'Hiker Food'!$C:$C,'Hiker Food'!Q:Q)*$D38)</f>
        <v/>
      </c>
      <c r="O38" s="64" t="str">
        <f t="array" ref="O38">if($C38="","",_xlfn.xlookup($C38,'Hiker Food'!$C:$C,'Hiker Food'!I:I)*$D38)</f>
        <v/>
      </c>
      <c r="P38" s="81" t="str">
        <f t="array" ref="P38">if($C38="","",_xlfn.xlookup($C38,'Hiker Food'!$C:$C,'Hiker Food'!T:T))</f>
        <v/>
      </c>
      <c r="Q38" s="82" t="str">
        <f t="array" ref="Q38">if($C38="","",_xlfn.xlookup($C38,'Hiker Food'!$C:$C,'Hiker Food'!U:U))</f>
        <v/>
      </c>
      <c r="R38" s="82" t="str">
        <f t="array" ref="R38">if($C38="","",_xlfn.xlookup($C38,'Hiker Food'!$C:$C,'Hiker Food'!V:V))</f>
        <v/>
      </c>
      <c r="S38" s="83" t="str">
        <f t="array" ref="S38">if($C38="","",_xlfn.xlookup($C38,'Hiker Food'!$C:$C,'Hiker Food'!W:W))</f>
        <v/>
      </c>
      <c r="T38" s="65"/>
      <c r="U38" s="66"/>
      <c r="V38" s="66"/>
      <c r="W38" s="66"/>
      <c r="X38" s="66"/>
      <c r="Y38" s="66"/>
      <c r="Z38" s="66"/>
      <c r="AA38" s="66"/>
      <c r="AB38" s="66"/>
      <c r="AC38" s="67"/>
    </row>
    <row r="39">
      <c r="A39" s="52"/>
      <c r="B39" s="94" t="s">
        <v>424</v>
      </c>
      <c r="C39" s="90"/>
      <c r="D39" s="70">
        <v>1.0</v>
      </c>
      <c r="E39" s="71" t="str">
        <f t="array" ref="E39">if(C39="","",_xlfn.xlookup(C39,'Hiker Food'!$C:$C,'Hiker Food'!G:G)*D39)</f>
        <v/>
      </c>
      <c r="F39" s="42" t="str">
        <f t="array" ref="F39">if(C39="","",_xlfn.xlookup(C39,'Hiker Food'!$C:$C,'Hiker Food'!H:H)*D39)</f>
        <v/>
      </c>
      <c r="G39" s="72" t="str">
        <f t="array" ref="G39">if($C39="","",_xlfn.xlookup($C39,'Hiker Food'!$C:$C,'Hiker Food'!J:J)*$D39)</f>
        <v/>
      </c>
      <c r="H39" s="72" t="str">
        <f t="array" ref="H39">if($C39="","",_xlfn.xlookup($C39,'Hiker Food'!$C:$C,'Hiker Food'!K:K)*$D39)</f>
        <v/>
      </c>
      <c r="I39" s="72" t="str">
        <f t="array" ref="I39">if($C39="","",_xlfn.xlookup($C39,'Hiker Food'!$C:$C,'Hiker Food'!L:L)*$D39)</f>
        <v/>
      </c>
      <c r="J39" s="72" t="str">
        <f t="array" ref="J39">if($C39="","",_xlfn.xlookup($C39,'Hiker Food'!$C:$C,'Hiker Food'!M:M)*$D39)</f>
        <v/>
      </c>
      <c r="K39" s="72" t="str">
        <f t="array" ref="K39">if($C39="","",_xlfn.xlookup($C39,'Hiker Food'!$C:$C,'Hiker Food'!N:N)*$D39)</f>
        <v/>
      </c>
      <c r="L39" s="72" t="str">
        <f t="array" ref="L39">if($C39="","",_xlfn.xlookup($C39,'Hiker Food'!$C:$C,'Hiker Food'!O:O)*$D39)</f>
        <v/>
      </c>
      <c r="M39" s="72" t="str">
        <f t="array" ref="M39">if($C39="","",_xlfn.xlookup($C39,'Hiker Food'!$C:$C,'Hiker Food'!P:P)*$D39)</f>
        <v/>
      </c>
      <c r="N39" s="72" t="str">
        <f t="array" ref="N39">if($C39="","",_xlfn.xlookup($C39,'Hiker Food'!$C:$C,'Hiker Food'!Q:Q)*$D39)</f>
        <v/>
      </c>
      <c r="O39" s="72" t="str">
        <f t="array" ref="O39">if($C39="","",_xlfn.xlookup($C39,'Hiker Food'!$C:$C,'Hiker Food'!I:I)*$D39)</f>
        <v/>
      </c>
      <c r="P39" s="71" t="str">
        <f t="array" ref="P39">if($C39="","",_xlfn.xlookup($C39,'Hiker Food'!$C:$C,'Hiker Food'!T:T))</f>
        <v/>
      </c>
      <c r="Q39" s="73" t="str">
        <f t="array" ref="Q39">if($C39="","",_xlfn.xlookup($C39,'Hiker Food'!$C:$C,'Hiker Food'!U:U))</f>
        <v/>
      </c>
      <c r="R39" s="73" t="str">
        <f t="array" ref="R39">if($C39="","",_xlfn.xlookup($C39,'Hiker Food'!$C:$C,'Hiker Food'!V:V))</f>
        <v/>
      </c>
      <c r="S39" s="74" t="str">
        <f t="array" ref="S39">if($C39="","",_xlfn.xlookup($C39,'Hiker Food'!$C:$C,'Hiker Food'!W:W))</f>
        <v/>
      </c>
      <c r="T39" s="95" t="s">
        <v>424</v>
      </c>
      <c r="U39" s="76" t="str">
        <f>if(C39="","",Y39/V39)</f>
        <v/>
      </c>
      <c r="V39" s="96" t="str">
        <f>if($C39="","",sum(E39:E41))</f>
        <v/>
      </c>
      <c r="W39" s="77" t="str">
        <f>if($C39="","",$Y39/X39)</f>
        <v/>
      </c>
      <c r="X39" s="96" t="str">
        <f>if($C39="","",sum(F39:F41))</f>
        <v/>
      </c>
      <c r="Y39" s="96" t="str">
        <f>if($C39="","",sum(O39:O41))</f>
        <v/>
      </c>
      <c r="Z39" s="77" t="str">
        <f>if($C39="","",(sum(J39:J41)/sum(N39:N41)))</f>
        <v/>
      </c>
      <c r="AA39" s="78" t="str">
        <f>if($C39="","",sum(G39:G41)*9/sum(sum(G39:G41)*9+sum(J39:J41)*4+sum(N39:N41)*4))</f>
        <v/>
      </c>
      <c r="AB39" s="78" t="str">
        <f>if($C39="","",sum(L39:L41)*4/sum(sum(G39:G41)*9+sum(J39:J41)*4+sum(N39:N41)*4))</f>
        <v/>
      </c>
      <c r="AC39" s="79" t="str">
        <f>if($C39="","",(sum(H39:H41)/sum(O39:O41)))</f>
        <v/>
      </c>
    </row>
    <row r="40">
      <c r="A40" s="52"/>
      <c r="B40" s="53"/>
      <c r="C40" s="54"/>
      <c r="D40" s="55">
        <v>1.0</v>
      </c>
      <c r="E40" s="56" t="str">
        <f t="array" ref="E40">if(C40="","",_xlfn.xlookup(C40,'Hiker Food'!$C:$C,'Hiker Food'!G:G)*D40)</f>
        <v/>
      </c>
      <c r="F40" s="42" t="str">
        <f t="array" ref="F40">if(C40="","",_xlfn.xlookup(C40,'Hiker Food'!$C:$C,'Hiker Food'!H:H)*D40)</f>
        <v/>
      </c>
      <c r="G40" s="42" t="str">
        <f t="array" ref="G40">if($C40="","",_xlfn.xlookup($C40,'Hiker Food'!$C:$C,'Hiker Food'!J:J)*$D40)</f>
        <v/>
      </c>
      <c r="H40" s="42" t="str">
        <f t="array" ref="H40">if($C40="","",_xlfn.xlookup($C40,'Hiker Food'!$C:$C,'Hiker Food'!K:K)*$D40)</f>
        <v/>
      </c>
      <c r="I40" s="42" t="str">
        <f t="array" ref="I40">if($C40="","",_xlfn.xlookup($C40,'Hiker Food'!$C:$C,'Hiker Food'!L:L)*$D40)</f>
        <v/>
      </c>
      <c r="J40" s="42" t="str">
        <f t="array" ref="J40">if($C40="","",_xlfn.xlookup($C40,'Hiker Food'!$C:$C,'Hiker Food'!M:M)*$D40)</f>
        <v/>
      </c>
      <c r="K40" s="42" t="str">
        <f t="array" ref="K40">if($C40="","",_xlfn.xlookup($C40,'Hiker Food'!$C:$C,'Hiker Food'!N:N)*$D40)</f>
        <v/>
      </c>
      <c r="L40" s="42" t="str">
        <f t="array" ref="L40">if($C40="","",_xlfn.xlookup($C40,'Hiker Food'!$C:$C,'Hiker Food'!O:O)*$D40)</f>
        <v/>
      </c>
      <c r="M40" s="42" t="str">
        <f t="array" ref="M40">if($C40="","",_xlfn.xlookup($C40,'Hiker Food'!$C:$C,'Hiker Food'!P:P)*$D40)</f>
        <v/>
      </c>
      <c r="N40" s="42" t="str">
        <f t="array" ref="N40">if($C40="","",_xlfn.xlookup($C40,'Hiker Food'!$C:$C,'Hiker Food'!Q:Q)*$D40)</f>
        <v/>
      </c>
      <c r="O40" s="42" t="str">
        <f t="array" ref="O40">if($C40="","",_xlfn.xlookup($C40,'Hiker Food'!$C:$C,'Hiker Food'!I:I)*$D40)</f>
        <v/>
      </c>
      <c r="P40" s="56" t="str">
        <f t="array" ref="P40">if($C40="","",_xlfn.xlookup($C40,'Hiker Food'!$C:$C,'Hiker Food'!T:T))</f>
        <v/>
      </c>
      <c r="Q40" s="57" t="str">
        <f t="array" ref="Q40">if($C40="","",_xlfn.xlookup($C40,'Hiker Food'!$C:$C,'Hiker Food'!U:U))</f>
        <v/>
      </c>
      <c r="R40" s="57" t="str">
        <f t="array" ref="R40">if($C40="","",_xlfn.xlookup($C40,'Hiker Food'!$C:$C,'Hiker Food'!V:V))</f>
        <v/>
      </c>
      <c r="S40" s="58" t="str">
        <f t="array" ref="S40">if($C40="","",_xlfn.xlookup($C40,'Hiker Food'!$C:$C,'Hiker Food'!W:W))</f>
        <v/>
      </c>
      <c r="T40" s="59"/>
      <c r="AC40" s="60"/>
    </row>
    <row r="41">
      <c r="A41" s="52"/>
      <c r="B41" s="61"/>
      <c r="C41" s="54"/>
      <c r="D41" s="63">
        <v>1.0</v>
      </c>
      <c r="E41" s="81" t="str">
        <f t="array" ref="E41">if(C41="","",_xlfn.xlookup(C41,'Hiker Food'!$C:$C,'Hiker Food'!G:G)*D41)</f>
        <v/>
      </c>
      <c r="F41" s="64" t="str">
        <f t="array" ref="F41">if(C41="","",_xlfn.xlookup(C41,'Hiker Food'!$C:$C,'Hiker Food'!H:H)*D41)</f>
        <v/>
      </c>
      <c r="G41" s="64" t="str">
        <f t="array" ref="G41">if($C41="","",_xlfn.xlookup($C41,'Hiker Food'!$C:$C,'Hiker Food'!J:J)*$D41)</f>
        <v/>
      </c>
      <c r="H41" s="64" t="str">
        <f t="array" ref="H41">if($C41="","",_xlfn.xlookup($C41,'Hiker Food'!$C:$C,'Hiker Food'!K:K)*$D41)</f>
        <v/>
      </c>
      <c r="I41" s="64" t="str">
        <f t="array" ref="I41">if($C41="","",_xlfn.xlookup($C41,'Hiker Food'!$C:$C,'Hiker Food'!L:L)*$D41)</f>
        <v/>
      </c>
      <c r="J41" s="64" t="str">
        <f t="array" ref="J41">if($C41="","",_xlfn.xlookup($C41,'Hiker Food'!$C:$C,'Hiker Food'!M:M)*$D41)</f>
        <v/>
      </c>
      <c r="K41" s="64" t="str">
        <f t="array" ref="K41">if($C41="","",_xlfn.xlookup($C41,'Hiker Food'!$C:$C,'Hiker Food'!N:N)*$D41)</f>
        <v/>
      </c>
      <c r="L41" s="64" t="str">
        <f t="array" ref="L41">if($C41="","",_xlfn.xlookup($C41,'Hiker Food'!$C:$C,'Hiker Food'!O:O)*$D41)</f>
        <v/>
      </c>
      <c r="M41" s="64" t="str">
        <f t="array" ref="M41">if($C41="","",_xlfn.xlookup($C41,'Hiker Food'!$C:$C,'Hiker Food'!P:P)*$D41)</f>
        <v/>
      </c>
      <c r="N41" s="64" t="str">
        <f t="array" ref="N41">if($C41="","",_xlfn.xlookup($C41,'Hiker Food'!$C:$C,'Hiker Food'!Q:Q)*$D41)</f>
        <v/>
      </c>
      <c r="O41" s="64" t="str">
        <f t="array" ref="O41">if($C41="","",_xlfn.xlookup($C41,'Hiker Food'!$C:$C,'Hiker Food'!I:I)*$D41)</f>
        <v/>
      </c>
      <c r="P41" s="81" t="str">
        <f t="array" ref="P41">if($C41="","",_xlfn.xlookup($C41,'Hiker Food'!$C:$C,'Hiker Food'!T:T))</f>
        <v/>
      </c>
      <c r="Q41" s="82" t="str">
        <f t="array" ref="Q41">if($C41="","",_xlfn.xlookup($C41,'Hiker Food'!$C:$C,'Hiker Food'!U:U))</f>
        <v/>
      </c>
      <c r="R41" s="82" t="str">
        <f t="array" ref="R41">if($C41="","",_xlfn.xlookup($C41,'Hiker Food'!$C:$C,'Hiker Food'!V:V))</f>
        <v/>
      </c>
      <c r="S41" s="83" t="str">
        <f t="array" ref="S41">if($C41="","",_xlfn.xlookup($C41,'Hiker Food'!$C:$C,'Hiker Food'!W:W))</f>
        <v/>
      </c>
      <c r="T41" s="65"/>
      <c r="U41" s="66"/>
      <c r="V41" s="66"/>
      <c r="W41" s="66"/>
      <c r="X41" s="66"/>
      <c r="Y41" s="66"/>
      <c r="Z41" s="66"/>
      <c r="AA41" s="66"/>
      <c r="AB41" s="66"/>
      <c r="AC41" s="67"/>
    </row>
    <row r="42">
      <c r="A42" s="52"/>
      <c r="B42" s="94" t="s">
        <v>478</v>
      </c>
      <c r="C42" s="90"/>
      <c r="D42" s="70">
        <v>1.0</v>
      </c>
      <c r="E42" s="71" t="str">
        <f t="array" ref="E42">if(C42="","",_xlfn.xlookup(C42,'Hiker Food'!$C:$C,'Hiker Food'!G:G)*D42)</f>
        <v/>
      </c>
      <c r="F42" s="42" t="str">
        <f t="array" ref="F42">if(C42="","",_xlfn.xlookup(C42,'Hiker Food'!$C:$C,'Hiker Food'!H:H)*D42)</f>
        <v/>
      </c>
      <c r="G42" s="72" t="str">
        <f t="array" ref="G42">if($C42="","",_xlfn.xlookup($C42,'Hiker Food'!$C:$C,'Hiker Food'!J:J)*$D42)</f>
        <v/>
      </c>
      <c r="H42" s="72" t="str">
        <f t="array" ref="H42">if($C42="","",_xlfn.xlookup($C42,'Hiker Food'!$C:$C,'Hiker Food'!K:K)*$D42)</f>
        <v/>
      </c>
      <c r="I42" s="72" t="str">
        <f t="array" ref="I42">if($C42="","",_xlfn.xlookup($C42,'Hiker Food'!$C:$C,'Hiker Food'!L:L)*$D42)</f>
        <v/>
      </c>
      <c r="J42" s="72" t="str">
        <f t="array" ref="J42">if($C42="","",_xlfn.xlookup($C42,'Hiker Food'!$C:$C,'Hiker Food'!M:M)*$D42)</f>
        <v/>
      </c>
      <c r="K42" s="72" t="str">
        <f t="array" ref="K42">if($C42="","",_xlfn.xlookup($C42,'Hiker Food'!$C:$C,'Hiker Food'!N:N)*$D42)</f>
        <v/>
      </c>
      <c r="L42" s="72" t="str">
        <f t="array" ref="L42">if($C42="","",_xlfn.xlookup($C42,'Hiker Food'!$C:$C,'Hiker Food'!O:O)*$D42)</f>
        <v/>
      </c>
      <c r="M42" s="72" t="str">
        <f t="array" ref="M42">if($C42="","",_xlfn.xlookup($C42,'Hiker Food'!$C:$C,'Hiker Food'!P:P)*$D42)</f>
        <v/>
      </c>
      <c r="N42" s="72" t="str">
        <f t="array" ref="N42">if($C42="","",_xlfn.xlookup($C42,'Hiker Food'!$C:$C,'Hiker Food'!Q:Q)*$D42)</f>
        <v/>
      </c>
      <c r="O42" s="72" t="str">
        <f t="array" ref="O42">if($C42="","",_xlfn.xlookup($C42,'Hiker Food'!$C:$C,'Hiker Food'!I:I)*$D42)</f>
        <v/>
      </c>
      <c r="P42" s="71" t="str">
        <f t="array" ref="P42">if($C42="","",_xlfn.xlookup($C42,'Hiker Food'!$C:$C,'Hiker Food'!T:T))</f>
        <v/>
      </c>
      <c r="Q42" s="73" t="str">
        <f t="array" ref="Q42">if($C42="","",_xlfn.xlookup($C42,'Hiker Food'!$C:$C,'Hiker Food'!U:U))</f>
        <v/>
      </c>
      <c r="R42" s="73" t="str">
        <f t="array" ref="R42">if($C42="","",_xlfn.xlookup($C42,'Hiker Food'!$C:$C,'Hiker Food'!V:V))</f>
        <v/>
      </c>
      <c r="S42" s="74" t="str">
        <f t="array" ref="S42">if($C42="","",_xlfn.xlookup($C42,'Hiker Food'!$C:$C,'Hiker Food'!W:W))</f>
        <v/>
      </c>
      <c r="T42" s="95" t="s">
        <v>478</v>
      </c>
      <c r="U42" s="76" t="str">
        <f>if(C42="","",Y42/V42)</f>
        <v/>
      </c>
      <c r="V42" s="96" t="str">
        <f>if($C42="","",sum(E42:E44))</f>
        <v/>
      </c>
      <c r="W42" s="77" t="str">
        <f>if($C42="","",$Y42/X42)</f>
        <v/>
      </c>
      <c r="X42" s="96" t="str">
        <f>if($C42="","",sum(F42:F44))</f>
        <v/>
      </c>
      <c r="Y42" s="96" t="str">
        <f>if($C42="","",sum(O42:O44))</f>
        <v/>
      </c>
      <c r="Z42" s="77" t="str">
        <f>if($C42="","",(sum(J42:J44)/sum(N42:N44)))</f>
        <v/>
      </c>
      <c r="AA42" s="78" t="str">
        <f>if($C42="","",sum(G42:G44)*9/sum(sum(G42:G44)*9+sum(J42:J44)*4+sum(N42:N44)*4))</f>
        <v/>
      </c>
      <c r="AB42" s="78" t="str">
        <f>if($C42="","",sum(L42:L44)*4/sum(sum(G42:G44)*9+sum(J42:J44)*4+sum(N42:N44)*4))</f>
        <v/>
      </c>
      <c r="AC42" s="79" t="str">
        <f>if($C42="","",(sum(H42:H44)/sum(O42:O44)))</f>
        <v/>
      </c>
    </row>
    <row r="43">
      <c r="A43" s="52"/>
      <c r="B43" s="53"/>
      <c r="C43" s="93"/>
      <c r="D43" s="55">
        <v>1.0</v>
      </c>
      <c r="E43" s="56" t="str">
        <f t="array" ref="E43">if(C43="","",_xlfn.xlookup(C43,'Hiker Food'!$C:$C,'Hiker Food'!G:G)*D43)</f>
        <v/>
      </c>
      <c r="F43" s="42" t="str">
        <f t="array" ref="F43">if(C43="","",_xlfn.xlookup(C43,'Hiker Food'!$C:$C,'Hiker Food'!H:H)*D43)</f>
        <v/>
      </c>
      <c r="G43" s="42" t="str">
        <f t="array" ref="G43">if($C43="","",_xlfn.xlookup($C43,'Hiker Food'!$C:$C,'Hiker Food'!J:J)*$D43)</f>
        <v/>
      </c>
      <c r="H43" s="42" t="str">
        <f t="array" ref="H43">if($C43="","",_xlfn.xlookup($C43,'Hiker Food'!$C:$C,'Hiker Food'!K:K)*$D43)</f>
        <v/>
      </c>
      <c r="I43" s="42" t="str">
        <f t="array" ref="I43">if($C43="","",_xlfn.xlookup($C43,'Hiker Food'!$C:$C,'Hiker Food'!L:L)*$D43)</f>
        <v/>
      </c>
      <c r="J43" s="42" t="str">
        <f t="array" ref="J43">if($C43="","",_xlfn.xlookup($C43,'Hiker Food'!$C:$C,'Hiker Food'!M:M)*$D43)</f>
        <v/>
      </c>
      <c r="K43" s="42" t="str">
        <f t="array" ref="K43">if($C43="","",_xlfn.xlookup($C43,'Hiker Food'!$C:$C,'Hiker Food'!N:N)*$D43)</f>
        <v/>
      </c>
      <c r="L43" s="42" t="str">
        <f t="array" ref="L43">if($C43="","",_xlfn.xlookup($C43,'Hiker Food'!$C:$C,'Hiker Food'!O:O)*$D43)</f>
        <v/>
      </c>
      <c r="M43" s="42" t="str">
        <f t="array" ref="M43">if($C43="","",_xlfn.xlookup($C43,'Hiker Food'!$C:$C,'Hiker Food'!P:P)*$D43)</f>
        <v/>
      </c>
      <c r="N43" s="42" t="str">
        <f t="array" ref="N43">if($C43="","",_xlfn.xlookup($C43,'Hiker Food'!$C:$C,'Hiker Food'!Q:Q)*$D43)</f>
        <v/>
      </c>
      <c r="O43" s="42" t="str">
        <f t="array" ref="O43">if($C43="","",_xlfn.xlookup($C43,'Hiker Food'!$C:$C,'Hiker Food'!I:I)*$D43)</f>
        <v/>
      </c>
      <c r="P43" s="56" t="str">
        <f t="array" ref="P43">if($C43="","",_xlfn.xlookup($C43,'Hiker Food'!$C:$C,'Hiker Food'!T:T))</f>
        <v/>
      </c>
      <c r="Q43" s="57" t="str">
        <f t="array" ref="Q43">if($C43="","",_xlfn.xlookup($C43,'Hiker Food'!$C:$C,'Hiker Food'!U:U))</f>
        <v/>
      </c>
      <c r="R43" s="57" t="str">
        <f t="array" ref="R43">if($C43="","",_xlfn.xlookup($C43,'Hiker Food'!$C:$C,'Hiker Food'!V:V))</f>
        <v/>
      </c>
      <c r="S43" s="58" t="str">
        <f t="array" ref="S43">if($C43="","",_xlfn.xlookup($C43,'Hiker Food'!$C:$C,'Hiker Food'!W:W))</f>
        <v/>
      </c>
      <c r="T43" s="59"/>
      <c r="AC43" s="60"/>
    </row>
    <row r="44">
      <c r="A44" s="52"/>
      <c r="B44" s="61"/>
      <c r="C44" s="62"/>
      <c r="D44" s="63">
        <v>1.0</v>
      </c>
      <c r="E44" s="81" t="str">
        <f t="array" ref="E44">if(C44="","",_xlfn.xlookup(C44,'Hiker Food'!$C:$C,'Hiker Food'!G:G)*D44)</f>
        <v/>
      </c>
      <c r="F44" s="64" t="str">
        <f t="array" ref="F44">if(C44="","",_xlfn.xlookup(C44,'Hiker Food'!$C:$C,'Hiker Food'!H:H)*D44)</f>
        <v/>
      </c>
      <c r="G44" s="64" t="str">
        <f t="array" ref="G44">if($C44="","",_xlfn.xlookup($C44,'Hiker Food'!$C:$C,'Hiker Food'!J:J)*$D44)</f>
        <v/>
      </c>
      <c r="H44" s="64" t="str">
        <f t="array" ref="H44">if($C44="","",_xlfn.xlookup($C44,'Hiker Food'!$C:$C,'Hiker Food'!K:K)*$D44)</f>
        <v/>
      </c>
      <c r="I44" s="64" t="str">
        <f t="array" ref="I44">if($C44="","",_xlfn.xlookup($C44,'Hiker Food'!$C:$C,'Hiker Food'!L:L)*$D44)</f>
        <v/>
      </c>
      <c r="J44" s="64" t="str">
        <f t="array" ref="J44">if($C44="","",_xlfn.xlookup($C44,'Hiker Food'!$C:$C,'Hiker Food'!M:M)*$D44)</f>
        <v/>
      </c>
      <c r="K44" s="64" t="str">
        <f t="array" ref="K44">if($C44="","",_xlfn.xlookup($C44,'Hiker Food'!$C:$C,'Hiker Food'!N:N)*$D44)</f>
        <v/>
      </c>
      <c r="L44" s="64" t="str">
        <f t="array" ref="L44">if($C44="","",_xlfn.xlookup($C44,'Hiker Food'!$C:$C,'Hiker Food'!O:O)*$D44)</f>
        <v/>
      </c>
      <c r="M44" s="64" t="str">
        <f t="array" ref="M44">if($C44="","",_xlfn.xlookup($C44,'Hiker Food'!$C:$C,'Hiker Food'!P:P)*$D44)</f>
        <v/>
      </c>
      <c r="N44" s="64" t="str">
        <f t="array" ref="N44">if($C44="","",_xlfn.xlookup($C44,'Hiker Food'!$C:$C,'Hiker Food'!Q:Q)*$D44)</f>
        <v/>
      </c>
      <c r="O44" s="64" t="str">
        <f t="array" ref="O44">if($C44="","",_xlfn.xlookup($C44,'Hiker Food'!$C:$C,'Hiker Food'!I:I)*$D44)</f>
        <v/>
      </c>
      <c r="P44" s="81" t="str">
        <f t="array" ref="P44">if($C44="","",_xlfn.xlookup($C44,'Hiker Food'!$C:$C,'Hiker Food'!T:T))</f>
        <v/>
      </c>
      <c r="Q44" s="82" t="str">
        <f t="array" ref="Q44">if($C44="","",_xlfn.xlookup($C44,'Hiker Food'!$C:$C,'Hiker Food'!U:U))</f>
        <v/>
      </c>
      <c r="R44" s="82" t="str">
        <f t="array" ref="R44">if($C44="","",_xlfn.xlookup($C44,'Hiker Food'!$C:$C,'Hiker Food'!V:V))</f>
        <v/>
      </c>
      <c r="S44" s="83" t="str">
        <f t="array" ref="S44">if($C44="","",_xlfn.xlookup($C44,'Hiker Food'!$C:$C,'Hiker Food'!W:W))</f>
        <v/>
      </c>
      <c r="T44" s="65"/>
      <c r="U44" s="66"/>
      <c r="V44" s="66"/>
      <c r="W44" s="66"/>
      <c r="X44" s="66"/>
      <c r="Y44" s="66"/>
      <c r="Z44" s="66"/>
      <c r="AA44" s="66"/>
      <c r="AB44" s="66"/>
      <c r="AC44" s="67"/>
    </row>
    <row r="45">
      <c r="A45" s="97"/>
      <c r="B45" s="98" t="s">
        <v>532</v>
      </c>
      <c r="C45" s="99" t="str">
        <f>IF(COUNTIF(C24:C44,"")=COUNTA(C24:C44), "", "zzzz - subtotal line - ignore")</f>
        <v>zzzz - subtotal line - ignore</v>
      </c>
      <c r="D45" s="99"/>
      <c r="E45" s="100" t="str">
        <f t="shared" ref="E45:O45" si="2">if(counta($C24:$C44)=0,"",SUM(E24:E44))</f>
        <v/>
      </c>
      <c r="F45" s="101" t="str">
        <f t="shared" si="2"/>
        <v/>
      </c>
      <c r="G45" s="101" t="str">
        <f t="shared" si="2"/>
        <v/>
      </c>
      <c r="H45" s="101" t="str">
        <f t="shared" si="2"/>
        <v/>
      </c>
      <c r="I45" s="101" t="str">
        <f t="shared" si="2"/>
        <v/>
      </c>
      <c r="J45" s="101" t="str">
        <f t="shared" si="2"/>
        <v/>
      </c>
      <c r="K45" s="101" t="str">
        <f t="shared" si="2"/>
        <v/>
      </c>
      <c r="L45" s="101" t="str">
        <f t="shared" si="2"/>
        <v/>
      </c>
      <c r="M45" s="101" t="str">
        <f t="shared" si="2"/>
        <v/>
      </c>
      <c r="N45" s="101" t="str">
        <f t="shared" si="2"/>
        <v/>
      </c>
      <c r="O45" s="101" t="str">
        <f t="shared" si="2"/>
        <v/>
      </c>
      <c r="P45" s="102"/>
      <c r="Q45" s="102"/>
      <c r="R45" s="102"/>
      <c r="S45" s="102"/>
      <c r="T45" s="98" t="s">
        <v>532</v>
      </c>
      <c r="U45" s="100"/>
      <c r="V45" s="100" t="str">
        <f>if(counta($C24:$C44)=0,"",SUM(E24:E44))</f>
        <v/>
      </c>
      <c r="W45" s="101"/>
      <c r="X45" s="101" t="str">
        <f>if(counta($C24:$C44)=0,"",SUM(F24:F44))</f>
        <v/>
      </c>
      <c r="Y45" s="101" t="str">
        <f>if(counta($C24:$C44)=0,"",SUM(O24:O44))</f>
        <v/>
      </c>
      <c r="Z45" s="103" t="str">
        <f>if($V45="","",sum(J24:J44)/sum(N24:N44))</f>
        <v/>
      </c>
      <c r="AA45" s="104" t="str">
        <f>if($V45="","",sum(G24:G44)*9/sum(sum(G24:G44)*9+sum(J24:J44)*4+sum(N24:N44)*4))</f>
        <v/>
      </c>
      <c r="AB45" s="104" t="str">
        <f>if($V45="","",sum(L24:L44)*4/sum(sum(G24:G44)*9+sum(J24:J44)*4+sum(N24:N44)*4))</f>
        <v/>
      </c>
      <c r="AC45" s="105" t="str">
        <f>if($V45="","",sum(H24:H44)/sum(O24:O44))</f>
        <v/>
      </c>
    </row>
    <row r="46">
      <c r="A46" s="37">
        <v>3.0</v>
      </c>
      <c r="B46" s="38" t="s">
        <v>92</v>
      </c>
      <c r="C46" s="39"/>
      <c r="D46" s="40">
        <v>1.0</v>
      </c>
      <c r="E46" s="41" t="str">
        <f t="array" ref="E46">if(C46="","",_xlfn.xlookup(C46,'Hiker Food'!$C:$C,'Hiker Food'!G:G)*D46)</f>
        <v/>
      </c>
      <c r="F46" s="42" t="str">
        <f t="array" ref="F46">if(C46="","",_xlfn.xlookup(C46,'Hiker Food'!$C:$C,'Hiker Food'!H:H)*D46)</f>
        <v/>
      </c>
      <c r="G46" s="43" t="str">
        <f t="array" ref="G46">if($C46="","",_xlfn.xlookup($C46,'Hiker Food'!$C:$C,'Hiker Food'!J:J)*$D46)</f>
        <v/>
      </c>
      <c r="H46" s="43" t="str">
        <f t="array" ref="H46">if($C46="","",_xlfn.xlookup($C46,'Hiker Food'!$C:$C,'Hiker Food'!K:K)*$D46)</f>
        <v/>
      </c>
      <c r="I46" s="43" t="str">
        <f t="array" ref="I46">if($C46="","",_xlfn.xlookup($C46,'Hiker Food'!$C:$C,'Hiker Food'!L:L)*$D46)</f>
        <v/>
      </c>
      <c r="J46" s="43" t="str">
        <f t="array" ref="J46">if($C46="","",_xlfn.xlookup($C46,'Hiker Food'!$C:$C,'Hiker Food'!M:M)*$D46)</f>
        <v/>
      </c>
      <c r="K46" s="43" t="str">
        <f t="array" ref="K46">if($C46="","",_xlfn.xlookup($C46,'Hiker Food'!$C:$C,'Hiker Food'!N:N)*$D46)</f>
        <v/>
      </c>
      <c r="L46" s="43" t="str">
        <f t="array" ref="L46">if($C46="","",_xlfn.xlookup($C46,'Hiker Food'!$C:$C,'Hiker Food'!O:O)*$D46)</f>
        <v/>
      </c>
      <c r="M46" s="43" t="str">
        <f t="array" ref="M46">if($C46="","",_xlfn.xlookup($C46,'Hiker Food'!$C:$C,'Hiker Food'!P:P)*$D46)</f>
        <v/>
      </c>
      <c r="N46" s="43" t="str">
        <f t="array" ref="N46">if($C46="","",_xlfn.xlookup($C46,'Hiker Food'!$C:$C,'Hiker Food'!Q:Q)*$D46)</f>
        <v/>
      </c>
      <c r="O46" s="43" t="str">
        <f t="array" ref="O46">if($C46="","",_xlfn.xlookup($C46,'Hiker Food'!$C:$C,'Hiker Food'!I:I)*$D46)</f>
        <v/>
      </c>
      <c r="P46" s="41" t="str">
        <f t="array" ref="P46">if($C46="","",_xlfn.xlookup($C46,'Hiker Food'!$C:$C,'Hiker Food'!T:T))</f>
        <v/>
      </c>
      <c r="Q46" s="44" t="str">
        <f t="array" ref="Q46">if($C46="","",_xlfn.xlookup($C46,'Hiker Food'!$C:$C,'Hiker Food'!U:U))</f>
        <v/>
      </c>
      <c r="R46" s="44" t="str">
        <f t="array" ref="R46">if($C46="","",_xlfn.xlookup($C46,'Hiker Food'!$C:$C,'Hiker Food'!V:V))</f>
        <v/>
      </c>
      <c r="S46" s="45" t="str">
        <f t="array" ref="S46">if($C46="","",_xlfn.xlookup($C46,'Hiker Food'!$C:$C,'Hiker Food'!W:W))</f>
        <v/>
      </c>
      <c r="T46" s="46" t="s">
        <v>92</v>
      </c>
      <c r="U46" s="47" t="str">
        <f>if($C46="","",$Y46/V46)</f>
        <v/>
      </c>
      <c r="V46" s="114" t="str">
        <f>if($C46="","",sum(E46:E48))</f>
        <v/>
      </c>
      <c r="W46" s="48" t="str">
        <f>if($C46="","",$Y46/X46)</f>
        <v/>
      </c>
      <c r="X46" s="114" t="str">
        <f>if($C46="","",sum(F46:F48))</f>
        <v/>
      </c>
      <c r="Y46" s="114" t="str">
        <f>if($C46="","",sum(O46:O48))</f>
        <v/>
      </c>
      <c r="Z46" s="49" t="str">
        <f>if($C46="","",(sum(J46:J48)/sum(N46:N48)))</f>
        <v/>
      </c>
      <c r="AA46" s="50" t="str">
        <f>if($C46="","",sum(G46:G48)*9/sum(sum(G46:G48)*9+sum(J46:J48)*4+sum(N46:N48)*4))</f>
        <v/>
      </c>
      <c r="AB46" s="50" t="str">
        <f>if($C46="","",sum(L46:L48)*4/sum(sum(G46:G48)*9+sum(J46:J48)*4+sum(N46:N48)*4))</f>
        <v/>
      </c>
      <c r="AC46" s="51" t="str">
        <f>if($C46="","",(sum(H46:H48)/sum(O46:O48)))</f>
        <v/>
      </c>
    </row>
    <row r="47">
      <c r="A47" s="52"/>
      <c r="B47" s="53"/>
      <c r="C47" s="54"/>
      <c r="D47" s="55">
        <v>1.0</v>
      </c>
      <c r="E47" s="56" t="str">
        <f t="array" ref="E47">if(C47="","",_xlfn.xlookup(C47,'Hiker Food'!$C:$C,'Hiker Food'!G:G)*D47)</f>
        <v/>
      </c>
      <c r="F47" s="42" t="str">
        <f t="array" ref="F47">if(C47="","",_xlfn.xlookup(C47,'Hiker Food'!$C:$C,'Hiker Food'!H:H)*D47)</f>
        <v/>
      </c>
      <c r="G47" s="42" t="str">
        <f t="array" ref="G47">if($C47="","",_xlfn.xlookup($C47,'Hiker Food'!$C:$C,'Hiker Food'!J:J)*$D47)</f>
        <v/>
      </c>
      <c r="H47" s="42" t="str">
        <f t="array" ref="H47">if($C47="","",_xlfn.xlookup($C47,'Hiker Food'!$C:$C,'Hiker Food'!K:K)*$D47)</f>
        <v/>
      </c>
      <c r="I47" s="42" t="str">
        <f t="array" ref="I47">if($C47="","",_xlfn.xlookup($C47,'Hiker Food'!$C:$C,'Hiker Food'!L:L)*$D47)</f>
        <v/>
      </c>
      <c r="J47" s="42" t="str">
        <f t="array" ref="J47">if($C47="","",_xlfn.xlookup($C47,'Hiker Food'!$C:$C,'Hiker Food'!M:M)*$D47)</f>
        <v/>
      </c>
      <c r="K47" s="42" t="str">
        <f t="array" ref="K47">if($C47="","",_xlfn.xlookup($C47,'Hiker Food'!$C:$C,'Hiker Food'!N:N)*$D47)</f>
        <v/>
      </c>
      <c r="L47" s="42" t="str">
        <f t="array" ref="L47">if($C47="","",_xlfn.xlookup($C47,'Hiker Food'!$C:$C,'Hiker Food'!O:O)*$D47)</f>
        <v/>
      </c>
      <c r="M47" s="42" t="str">
        <f t="array" ref="M47">if($C47="","",_xlfn.xlookup($C47,'Hiker Food'!$C:$C,'Hiker Food'!P:P)*$D47)</f>
        <v/>
      </c>
      <c r="N47" s="42" t="str">
        <f t="array" ref="N47">if($C47="","",_xlfn.xlookup($C47,'Hiker Food'!$C:$C,'Hiker Food'!Q:Q)*$D47)</f>
        <v/>
      </c>
      <c r="O47" s="42" t="str">
        <f t="array" ref="O47">if($C47="","",_xlfn.xlookup($C47,'Hiker Food'!$C:$C,'Hiker Food'!I:I)*$D47)</f>
        <v/>
      </c>
      <c r="P47" s="56" t="str">
        <f t="array" ref="P47">if($C47="","",_xlfn.xlookup($C47,'Hiker Food'!$C:$C,'Hiker Food'!T:T))</f>
        <v/>
      </c>
      <c r="Q47" s="57" t="str">
        <f t="array" ref="Q47">if($C47="","",_xlfn.xlookup($C47,'Hiker Food'!$C:$C,'Hiker Food'!U:U))</f>
        <v/>
      </c>
      <c r="R47" s="57" t="str">
        <f t="array" ref="R47">if($C47="","",_xlfn.xlookup($C47,'Hiker Food'!$C:$C,'Hiker Food'!V:V))</f>
        <v/>
      </c>
      <c r="S47" s="58" t="str">
        <f t="array" ref="S47">if($C47="","",_xlfn.xlookup($C47,'Hiker Food'!$C:$C,'Hiker Food'!W:W))</f>
        <v/>
      </c>
      <c r="T47" s="59"/>
      <c r="AC47" s="60"/>
    </row>
    <row r="48">
      <c r="A48" s="52"/>
      <c r="B48" s="61"/>
      <c r="C48" s="62"/>
      <c r="D48" s="63">
        <v>1.0</v>
      </c>
      <c r="E48" s="56" t="str">
        <f t="array" ref="E48">if(C48="","",_xlfn.xlookup(C48,'Hiker Food'!$C:$C,'Hiker Food'!G:G)*D48)</f>
        <v/>
      </c>
      <c r="F48" s="64" t="str">
        <f t="array" ref="F48">if(C48="","",_xlfn.xlookup(C48,'Hiker Food'!$C:$C,'Hiker Food'!H:H)*D48)</f>
        <v/>
      </c>
      <c r="G48" s="64" t="str">
        <f t="array" ref="G48">if($C48="","",_xlfn.xlookup($C48,'Hiker Food'!$C:$C,'Hiker Food'!J:J)*$D48)</f>
        <v/>
      </c>
      <c r="H48" s="64" t="str">
        <f t="array" ref="H48">if($C48="","",_xlfn.xlookup($C48,'Hiker Food'!$C:$C,'Hiker Food'!K:K)*$D48)</f>
        <v/>
      </c>
      <c r="I48" s="64" t="str">
        <f t="array" ref="I48">if($C48="","",_xlfn.xlookup($C48,'Hiker Food'!$C:$C,'Hiker Food'!L:L)*$D48)</f>
        <v/>
      </c>
      <c r="J48" s="64" t="str">
        <f t="array" ref="J48">if($C48="","",_xlfn.xlookup($C48,'Hiker Food'!$C:$C,'Hiker Food'!M:M)*$D48)</f>
        <v/>
      </c>
      <c r="K48" s="64" t="str">
        <f t="array" ref="K48">if($C48="","",_xlfn.xlookup($C48,'Hiker Food'!$C:$C,'Hiker Food'!N:N)*$D48)</f>
        <v/>
      </c>
      <c r="L48" s="64" t="str">
        <f t="array" ref="L48">if($C48="","",_xlfn.xlookup($C48,'Hiker Food'!$C:$C,'Hiker Food'!O:O)*$D48)</f>
        <v/>
      </c>
      <c r="M48" s="64" t="str">
        <f t="array" ref="M48">if($C48="","",_xlfn.xlookup($C48,'Hiker Food'!$C:$C,'Hiker Food'!P:P)*$D48)</f>
        <v/>
      </c>
      <c r="N48" s="64" t="str">
        <f t="array" ref="N48">if($C48="","",_xlfn.xlookup($C48,'Hiker Food'!$C:$C,'Hiker Food'!Q:Q)*$D48)</f>
        <v/>
      </c>
      <c r="O48" s="42" t="str">
        <f t="array" ref="O48">if($C48="","",_xlfn.xlookup($C48,'Hiker Food'!$C:$C,'Hiker Food'!I:I)*$D48)</f>
        <v/>
      </c>
      <c r="P48" s="56" t="str">
        <f t="array" ref="P48">if($C48="","",_xlfn.xlookup($C48,'Hiker Food'!$C:$C,'Hiker Food'!T:T))</f>
        <v/>
      </c>
      <c r="Q48" s="57" t="str">
        <f t="array" ref="Q48">if($C48="","",_xlfn.xlookup($C48,'Hiker Food'!$C:$C,'Hiker Food'!U:U))</f>
        <v/>
      </c>
      <c r="R48" s="57" t="str">
        <f t="array" ref="R48">if($C48="","",_xlfn.xlookup($C48,'Hiker Food'!$C:$C,'Hiker Food'!V:V))</f>
        <v/>
      </c>
      <c r="S48" s="58" t="str">
        <f t="array" ref="S48">if($C48="","",_xlfn.xlookup($C48,'Hiker Food'!$C:$C,'Hiker Food'!W:W))</f>
        <v/>
      </c>
      <c r="T48" s="65"/>
      <c r="U48" s="66"/>
      <c r="V48" s="66"/>
      <c r="W48" s="66"/>
      <c r="X48" s="66"/>
      <c r="Y48" s="66"/>
      <c r="Z48" s="66"/>
      <c r="AA48" s="66"/>
      <c r="AB48" s="66"/>
      <c r="AC48" s="67"/>
    </row>
    <row r="49">
      <c r="A49" s="52"/>
      <c r="B49" s="68" t="s">
        <v>179</v>
      </c>
      <c r="C49" s="69"/>
      <c r="D49" s="70">
        <v>2.0</v>
      </c>
      <c r="E49" s="71" t="str">
        <f t="array" ref="E49">if(C49="","",_xlfn.xlookup(C49,'Hiker Food'!$C:$C,'Hiker Food'!G:G)*D49)</f>
        <v/>
      </c>
      <c r="F49" s="42" t="str">
        <f t="array" ref="F49">if(C49="","",_xlfn.xlookup(C49,'Hiker Food'!$C:$C,'Hiker Food'!H:H)*D49)</f>
        <v/>
      </c>
      <c r="G49" s="72" t="str">
        <f t="array" ref="G49">if($C49="","",_xlfn.xlookup($C49,'Hiker Food'!$C:$C,'Hiker Food'!J:J)*$D49)</f>
        <v/>
      </c>
      <c r="H49" s="72" t="str">
        <f t="array" ref="H49">if($C49="","",_xlfn.xlookup($C49,'Hiker Food'!$C:$C,'Hiker Food'!K:K)*$D49)</f>
        <v/>
      </c>
      <c r="I49" s="72" t="str">
        <f t="array" ref="I49">if($C49="","",_xlfn.xlookup($C49,'Hiker Food'!$C:$C,'Hiker Food'!L:L)*$D49)</f>
        <v/>
      </c>
      <c r="J49" s="72" t="str">
        <f t="array" ref="J49">if($C49="","",_xlfn.xlookup($C49,'Hiker Food'!$C:$C,'Hiker Food'!M:M)*$D49)</f>
        <v/>
      </c>
      <c r="K49" s="72" t="str">
        <f t="array" ref="K49">if($C49="","",_xlfn.xlookup($C49,'Hiker Food'!$C:$C,'Hiker Food'!N:N)*$D49)</f>
        <v/>
      </c>
      <c r="L49" s="72" t="str">
        <f t="array" ref="L49">if($C49="","",_xlfn.xlookup($C49,'Hiker Food'!$C:$C,'Hiker Food'!O:O)*$D49)</f>
        <v/>
      </c>
      <c r="M49" s="72" t="str">
        <f t="array" ref="M49">if($C49="","",_xlfn.xlookup($C49,'Hiker Food'!$C:$C,'Hiker Food'!P:P)*$D49)</f>
        <v/>
      </c>
      <c r="N49" s="72" t="str">
        <f t="array" ref="N49">if($C49="","",_xlfn.xlookup($C49,'Hiker Food'!$C:$C,'Hiker Food'!Q:Q)*$D49)</f>
        <v/>
      </c>
      <c r="O49" s="72" t="str">
        <f t="array" ref="O49">if($C49="","",_xlfn.xlookup($C49,'Hiker Food'!$C:$C,'Hiker Food'!I:I)*$D49)</f>
        <v/>
      </c>
      <c r="P49" s="71" t="str">
        <f t="array" ref="P49">if($C49="","",_xlfn.xlookup($C49,'Hiker Food'!$C:$C,'Hiker Food'!T:T))</f>
        <v/>
      </c>
      <c r="Q49" s="73" t="str">
        <f t="array" ref="Q49">if($C49="","",_xlfn.xlookup($C49,'Hiker Food'!$C:$C,'Hiker Food'!U:U))</f>
        <v/>
      </c>
      <c r="R49" s="73" t="str">
        <f t="array" ref="R49">if($C49="","",_xlfn.xlookup($C49,'Hiker Food'!$C:$C,'Hiker Food'!V:V))</f>
        <v/>
      </c>
      <c r="S49" s="74" t="str">
        <f t="array" ref="S49">if($C49="","",_xlfn.xlookup($C49,'Hiker Food'!$C:$C,'Hiker Food'!W:W))</f>
        <v/>
      </c>
      <c r="T49" s="75" t="s">
        <v>179</v>
      </c>
      <c r="U49" s="76" t="str">
        <f>if(C49="","",Y49/V49)</f>
        <v/>
      </c>
      <c r="V49" s="96" t="str">
        <f>if($C49="","",sum(E49:E51))</f>
        <v/>
      </c>
      <c r="W49" s="77" t="str">
        <f>if($C49="","",$Y49/X49)</f>
        <v/>
      </c>
      <c r="X49" s="96" t="str">
        <f>if($C49="","",sum(F49:F51))</f>
        <v/>
      </c>
      <c r="Y49" s="96" t="str">
        <f>if($C49="","",sum(O49:O51))</f>
        <v/>
      </c>
      <c r="Z49" s="77" t="str">
        <f>if($C49="","",(sum(J49:J51)/sum(N49:N51)))</f>
        <v/>
      </c>
      <c r="AA49" s="78" t="str">
        <f>if($C49="","",sum(G49:G51)*9/sum(sum(G49:G51)*9+sum(J49:J51)*4+sum(N49:N51)*4))</f>
        <v/>
      </c>
      <c r="AB49" s="78" t="str">
        <f>if($C49="","",sum(L49:L51)*4/sum(sum(G49:G51)*9+sum(J49:J51)*4+sum(N49:N51)*4))</f>
        <v/>
      </c>
      <c r="AC49" s="79" t="str">
        <f>if($C49="","",(sum(H49:H51)/sum(O49:O51)))</f>
        <v/>
      </c>
    </row>
    <row r="50">
      <c r="A50" s="52"/>
      <c r="B50" s="53"/>
      <c r="C50" s="54"/>
      <c r="D50" s="55">
        <v>2.0</v>
      </c>
      <c r="E50" s="56" t="str">
        <f t="array" ref="E50">if(C50="","",_xlfn.xlookup(C50,'Hiker Food'!$C:$C,'Hiker Food'!G:G)*D50)</f>
        <v/>
      </c>
      <c r="F50" s="42" t="str">
        <f t="array" ref="F50">if(C50="","",_xlfn.xlookup(C50,'Hiker Food'!$C:$C,'Hiker Food'!H:H)*D50)</f>
        <v/>
      </c>
      <c r="G50" s="42" t="str">
        <f t="array" ref="G50">if($C50="","",_xlfn.xlookup($C50,'Hiker Food'!$C:$C,'Hiker Food'!J:J)*$D50)</f>
        <v/>
      </c>
      <c r="H50" s="42" t="str">
        <f t="array" ref="H50">if($C50="","",_xlfn.xlookup($C50,'Hiker Food'!$C:$C,'Hiker Food'!K:K)*$D50)</f>
        <v/>
      </c>
      <c r="I50" s="42" t="str">
        <f t="array" ref="I50">if($C50="","",_xlfn.xlookup($C50,'Hiker Food'!$C:$C,'Hiker Food'!L:L)*$D50)</f>
        <v/>
      </c>
      <c r="J50" s="42" t="str">
        <f t="array" ref="J50">if($C50="","",_xlfn.xlookup($C50,'Hiker Food'!$C:$C,'Hiker Food'!M:M)*$D50)</f>
        <v/>
      </c>
      <c r="K50" s="42" t="str">
        <f t="array" ref="K50">if($C50="","",_xlfn.xlookup($C50,'Hiker Food'!$C:$C,'Hiker Food'!N:N)*$D50)</f>
        <v/>
      </c>
      <c r="L50" s="42" t="str">
        <f t="array" ref="L50">if($C50="","",_xlfn.xlookup($C50,'Hiker Food'!$C:$C,'Hiker Food'!O:O)*$D50)</f>
        <v/>
      </c>
      <c r="M50" s="42" t="str">
        <f t="array" ref="M50">if($C50="","",_xlfn.xlookup($C50,'Hiker Food'!$C:$C,'Hiker Food'!P:P)*$D50)</f>
        <v/>
      </c>
      <c r="N50" s="42" t="str">
        <f t="array" ref="N50">if($C50="","",_xlfn.xlookup($C50,'Hiker Food'!$C:$C,'Hiker Food'!Q:Q)*$D50)</f>
        <v/>
      </c>
      <c r="O50" s="42" t="str">
        <f t="array" ref="O50">if($C50="","",_xlfn.xlookup($C50,'Hiker Food'!$C:$C,'Hiker Food'!I:I)*$D50)</f>
        <v/>
      </c>
      <c r="P50" s="56" t="str">
        <f t="array" ref="P50">if($C50="","",_xlfn.xlookup($C50,'Hiker Food'!$C:$C,'Hiker Food'!T:T))</f>
        <v/>
      </c>
      <c r="Q50" s="57" t="str">
        <f t="array" ref="Q50">if($C50="","",_xlfn.xlookup($C50,'Hiker Food'!$C:$C,'Hiker Food'!U:U))</f>
        <v/>
      </c>
      <c r="R50" s="57" t="str">
        <f t="array" ref="R50">if($C50="","",_xlfn.xlookup($C50,'Hiker Food'!$C:$C,'Hiker Food'!V:V))</f>
        <v/>
      </c>
      <c r="S50" s="58" t="str">
        <f t="array" ref="S50">if($C50="","",_xlfn.xlookup($C50,'Hiker Food'!$C:$C,'Hiker Food'!W:W))</f>
        <v/>
      </c>
      <c r="T50" s="80"/>
      <c r="AC50" s="60"/>
    </row>
    <row r="51">
      <c r="A51" s="52"/>
      <c r="B51" s="61"/>
      <c r="C51" s="54"/>
      <c r="D51" s="63">
        <v>1.0</v>
      </c>
      <c r="E51" s="81" t="str">
        <f t="array" ref="E51">if(C51="","",_xlfn.xlookup(C51,'Hiker Food'!$C:$C,'Hiker Food'!G:G)*D51)</f>
        <v/>
      </c>
      <c r="F51" s="64" t="str">
        <f t="array" ref="F51">if(C51="","",_xlfn.xlookup(C51,'Hiker Food'!$C:$C,'Hiker Food'!H:H)*D51)</f>
        <v/>
      </c>
      <c r="G51" s="64" t="str">
        <f t="array" ref="G51">if($C51="","",_xlfn.xlookup($C51,'Hiker Food'!$C:$C,'Hiker Food'!J:J)*$D51)</f>
        <v/>
      </c>
      <c r="H51" s="64" t="str">
        <f t="array" ref="H51">if($C51="","",_xlfn.xlookup($C51,'Hiker Food'!$C:$C,'Hiker Food'!K:K)*$D51)</f>
        <v/>
      </c>
      <c r="I51" s="64" t="str">
        <f t="array" ref="I51">if($C51="","",_xlfn.xlookup($C51,'Hiker Food'!$C:$C,'Hiker Food'!L:L)*$D51)</f>
        <v/>
      </c>
      <c r="J51" s="64" t="str">
        <f t="array" ref="J51">if($C51="","",_xlfn.xlookup($C51,'Hiker Food'!$C:$C,'Hiker Food'!M:M)*$D51)</f>
        <v/>
      </c>
      <c r="K51" s="64" t="str">
        <f t="array" ref="K51">if($C51="","",_xlfn.xlookup($C51,'Hiker Food'!$C:$C,'Hiker Food'!N:N)*$D51)</f>
        <v/>
      </c>
      <c r="L51" s="64" t="str">
        <f t="array" ref="L51">if($C51="","",_xlfn.xlookup($C51,'Hiker Food'!$C:$C,'Hiker Food'!O:O)*$D51)</f>
        <v/>
      </c>
      <c r="M51" s="64" t="str">
        <f t="array" ref="M51">if($C51="","",_xlfn.xlookup($C51,'Hiker Food'!$C:$C,'Hiker Food'!P:P)*$D51)</f>
        <v/>
      </c>
      <c r="N51" s="64" t="str">
        <f t="array" ref="N51">if($C51="","",_xlfn.xlookup($C51,'Hiker Food'!$C:$C,'Hiker Food'!Q:Q)*$D51)</f>
        <v/>
      </c>
      <c r="O51" s="64" t="str">
        <f t="array" ref="O51">if($C51="","",_xlfn.xlookup($C51,'Hiker Food'!$C:$C,'Hiker Food'!I:I)*$D51)</f>
        <v/>
      </c>
      <c r="P51" s="81" t="str">
        <f t="array" ref="P51">if($C51="","",_xlfn.xlookup($C51,'Hiker Food'!$C:$C,'Hiker Food'!T:T))</f>
        <v/>
      </c>
      <c r="Q51" s="82" t="str">
        <f t="array" ref="Q51">if($C51="","",_xlfn.xlookup($C51,'Hiker Food'!$C:$C,'Hiker Food'!U:U))</f>
        <v/>
      </c>
      <c r="R51" s="82" t="str">
        <f t="array" ref="R51">if($C51="","",_xlfn.xlookup($C51,'Hiker Food'!$C:$C,'Hiker Food'!V:V))</f>
        <v/>
      </c>
      <c r="S51" s="83" t="str">
        <f t="array" ref="S51">if($C51="","",_xlfn.xlookup($C51,'Hiker Food'!$C:$C,'Hiker Food'!W:W))</f>
        <v/>
      </c>
      <c r="T51" s="84"/>
      <c r="U51" s="66"/>
      <c r="V51" s="66"/>
      <c r="W51" s="66"/>
      <c r="X51" s="66"/>
      <c r="Y51" s="66"/>
      <c r="Z51" s="66"/>
      <c r="AA51" s="66"/>
      <c r="AB51" s="66"/>
      <c r="AC51" s="67"/>
    </row>
    <row r="52">
      <c r="A52" s="52"/>
      <c r="B52" s="68" t="s">
        <v>257</v>
      </c>
      <c r="C52" s="85"/>
      <c r="D52" s="70">
        <v>3.0</v>
      </c>
      <c r="E52" s="56" t="str">
        <f t="array" ref="E52">if(C52="","",_xlfn.xlookup(C52,'Hiker Food'!$C:$C,'Hiker Food'!G:G)*D52)</f>
        <v/>
      </c>
      <c r="F52" s="86" t="str">
        <f t="array" ref="F52">if(C52="","",_xlfn.xlookup(C52,'Hiker Food'!$C:$C,'Hiker Food'!H:H)*D52)</f>
        <v/>
      </c>
      <c r="G52" s="72" t="str">
        <f t="array" ref="G52">if($C52="","",_xlfn.xlookup($C52,'Hiker Food'!$C:$C,'Hiker Food'!J:J)*$D52)</f>
        <v/>
      </c>
      <c r="H52" s="72" t="str">
        <f t="array" ref="H52">if($C52="","",_xlfn.xlookup($C52,'Hiker Food'!$C:$C,'Hiker Food'!K:K)*$D52)</f>
        <v/>
      </c>
      <c r="I52" s="72" t="str">
        <f t="array" ref="I52">if($C52="","",_xlfn.xlookup($C52,'Hiker Food'!$C:$C,'Hiker Food'!L:L)*$D52)</f>
        <v/>
      </c>
      <c r="J52" s="72" t="str">
        <f t="array" ref="J52">if($C52="","",_xlfn.xlookup($C52,'Hiker Food'!$C:$C,'Hiker Food'!M:M)*$D52)</f>
        <v/>
      </c>
      <c r="K52" s="72" t="str">
        <f t="array" ref="K52">if($C52="","",_xlfn.xlookup($C52,'Hiker Food'!$C:$C,'Hiker Food'!N:N)*$D52)</f>
        <v/>
      </c>
      <c r="L52" s="72" t="str">
        <f t="array" ref="L52">if($C52="","",_xlfn.xlookup($C52,'Hiker Food'!$C:$C,'Hiker Food'!O:O)*$D52)</f>
        <v/>
      </c>
      <c r="M52" s="72" t="str">
        <f t="array" ref="M52">if($C52="","",_xlfn.xlookup($C52,'Hiker Food'!$C:$C,'Hiker Food'!P:P)*$D52)</f>
        <v/>
      </c>
      <c r="N52" s="72" t="str">
        <f t="array" ref="N52">if($C52="","",_xlfn.xlookup($C52,'Hiker Food'!$C:$C,'Hiker Food'!Q:Q)*$D52)</f>
        <v/>
      </c>
      <c r="O52" s="42" t="str">
        <f t="array" ref="O52">if($C52="","",_xlfn.xlookup($C52,'Hiker Food'!$C:$C,'Hiker Food'!I:I)*$D52)</f>
        <v/>
      </c>
      <c r="P52" s="56" t="str">
        <f t="array" ref="P52">if($C52="","",_xlfn.xlookup($C52,'Hiker Food'!$C:$C,'Hiker Food'!T:T))</f>
        <v/>
      </c>
      <c r="Q52" s="57" t="str">
        <f t="array" ref="Q52">if($C52="","",_xlfn.xlookup($C52,'Hiker Food'!$C:$C,'Hiker Food'!U:U))</f>
        <v/>
      </c>
      <c r="R52" s="57" t="str">
        <f t="array" ref="R52">if($C52="","",_xlfn.xlookup($C52,'Hiker Food'!$C:$C,'Hiker Food'!V:V))</f>
        <v/>
      </c>
      <c r="S52" s="58" t="str">
        <f t="array" ref="S52">if($C52="","",_xlfn.xlookup($C52,'Hiker Food'!$C:$C,'Hiker Food'!W:W))</f>
        <v/>
      </c>
      <c r="T52" s="87" t="s">
        <v>257</v>
      </c>
      <c r="U52" s="76" t="str">
        <f>if(C52="","",Y52/V52)</f>
        <v/>
      </c>
      <c r="V52" s="96" t="str">
        <f>if($C52="","",sum(E52:E54))</f>
        <v/>
      </c>
      <c r="W52" s="77" t="str">
        <f>if($C52="","",$Y52/X52)</f>
        <v/>
      </c>
      <c r="X52" s="96" t="str">
        <f>if($C52="","",sum(F52:F54))</f>
        <v/>
      </c>
      <c r="Y52" s="96" t="str">
        <f>if($C52="","",sum(O52:O54))</f>
        <v/>
      </c>
      <c r="Z52" s="77" t="str">
        <f>if($C52="","",(sum(J52:J54)/sum(N52:N54)))</f>
        <v/>
      </c>
      <c r="AA52" s="78" t="str">
        <f>if($C52="","",sum(G52:G54)*9/sum(sum(G52:G54)*9+sum(J52:J54)*4+sum(N52:N54)*4))</f>
        <v/>
      </c>
      <c r="AB52" s="78" t="str">
        <f>if($C52="","",sum(L52:L54)*4/sum(sum(G52:G54)*9+sum(J52:J54)*4+sum(N52:N54)*4))</f>
        <v/>
      </c>
      <c r="AC52" s="79" t="str">
        <f>if($C52="","",(sum(H52:H54)/sum(O52:O54)))</f>
        <v/>
      </c>
    </row>
    <row r="53">
      <c r="A53" s="52"/>
      <c r="B53" s="53"/>
      <c r="C53" s="88"/>
      <c r="D53" s="55">
        <v>3.0</v>
      </c>
      <c r="E53" s="56" t="str">
        <f t="array" ref="E53">if(C53="","",_xlfn.xlookup(C53,'Hiker Food'!$C:$C,'Hiker Food'!G:G)*D53)</f>
        <v/>
      </c>
      <c r="F53" s="86" t="str">
        <f t="array" ref="F53">if(C53="","",_xlfn.xlookup(C53,'Hiker Food'!$C:$C,'Hiker Food'!H:H)*D53)</f>
        <v/>
      </c>
      <c r="G53" s="42" t="str">
        <f t="array" ref="G53">if($C53="","",_xlfn.xlookup($C53,'Hiker Food'!$C:$C,'Hiker Food'!J:J)*$D53)</f>
        <v/>
      </c>
      <c r="H53" s="42" t="str">
        <f t="array" ref="H53">if($C53="","",_xlfn.xlookup($C53,'Hiker Food'!$C:$C,'Hiker Food'!K:K)*$D53)</f>
        <v/>
      </c>
      <c r="I53" s="42" t="str">
        <f t="array" ref="I53">if($C53="","",_xlfn.xlookup($C53,'Hiker Food'!$C:$C,'Hiker Food'!L:L)*$D53)</f>
        <v/>
      </c>
      <c r="J53" s="42" t="str">
        <f t="array" ref="J53">if($C53="","",_xlfn.xlookup($C53,'Hiker Food'!$C:$C,'Hiker Food'!M:M)*$D53)</f>
        <v/>
      </c>
      <c r="K53" s="42" t="str">
        <f t="array" ref="K53">if($C53="","",_xlfn.xlookup($C53,'Hiker Food'!$C:$C,'Hiker Food'!N:N)*$D53)</f>
        <v/>
      </c>
      <c r="L53" s="42" t="str">
        <f t="array" ref="L53">if($C53="","",_xlfn.xlookup($C53,'Hiker Food'!$C:$C,'Hiker Food'!O:O)*$D53)</f>
        <v/>
      </c>
      <c r="M53" s="42" t="str">
        <f t="array" ref="M53">if($C53="","",_xlfn.xlookup($C53,'Hiker Food'!$C:$C,'Hiker Food'!P:P)*$D53)</f>
        <v/>
      </c>
      <c r="N53" s="42" t="str">
        <f t="array" ref="N53">if($C53="","",_xlfn.xlookup($C53,'Hiker Food'!$C:$C,'Hiker Food'!Q:Q)*$D53)</f>
        <v/>
      </c>
      <c r="O53" s="42" t="str">
        <f t="array" ref="O53">if($C53="","",_xlfn.xlookup($C53,'Hiker Food'!$C:$C,'Hiker Food'!I:I)*$D53)</f>
        <v/>
      </c>
      <c r="P53" s="56" t="str">
        <f t="array" ref="P53">if($C53="","",_xlfn.xlookup($C53,'Hiker Food'!$C:$C,'Hiker Food'!T:T))</f>
        <v/>
      </c>
      <c r="Q53" s="57" t="str">
        <f t="array" ref="Q53">if($C53="","",_xlfn.xlookup($C53,'Hiker Food'!$C:$C,'Hiker Food'!U:U))</f>
        <v/>
      </c>
      <c r="R53" s="57" t="str">
        <f t="array" ref="R53">if($C53="","",_xlfn.xlookup($C53,'Hiker Food'!$C:$C,'Hiker Food'!V:V))</f>
        <v/>
      </c>
      <c r="S53" s="58" t="str">
        <f t="array" ref="S53">if($C53="","",_xlfn.xlookup($C53,'Hiker Food'!$C:$C,'Hiker Food'!W:W))</f>
        <v/>
      </c>
      <c r="T53" s="59"/>
      <c r="AC53" s="60"/>
    </row>
    <row r="54">
      <c r="A54" s="52"/>
      <c r="B54" s="61"/>
      <c r="C54" s="62"/>
      <c r="D54" s="63">
        <v>1.0</v>
      </c>
      <c r="E54" s="81" t="str">
        <f t="array" ref="E54">if(C54="","",_xlfn.xlookup(C54,'Hiker Food'!$C:$C,'Hiker Food'!G:G)*D54)</f>
        <v/>
      </c>
      <c r="F54" s="89" t="str">
        <f t="array" ref="F54">if(C54="","",_xlfn.xlookup(C54,'Hiker Food'!$C:$C,'Hiker Food'!H:H)*D54)</f>
        <v/>
      </c>
      <c r="G54" s="64" t="str">
        <f t="array" ref="G54">if($C54="","",_xlfn.xlookup($C54,'Hiker Food'!$C:$C,'Hiker Food'!J:J)*$D54)</f>
        <v/>
      </c>
      <c r="H54" s="64" t="str">
        <f t="array" ref="H54">if($C54="","",_xlfn.xlookup($C54,'Hiker Food'!$C:$C,'Hiker Food'!K:K)*$D54)</f>
        <v/>
      </c>
      <c r="I54" s="64" t="str">
        <f t="array" ref="I54">if($C54="","",_xlfn.xlookup($C54,'Hiker Food'!$C:$C,'Hiker Food'!L:L)*$D54)</f>
        <v/>
      </c>
      <c r="J54" s="64" t="str">
        <f t="array" ref="J54">if($C54="","",_xlfn.xlookup($C54,'Hiker Food'!$C:$C,'Hiker Food'!M:M)*$D54)</f>
        <v/>
      </c>
      <c r="K54" s="64" t="str">
        <f t="array" ref="K54">if($C54="","",_xlfn.xlookup($C54,'Hiker Food'!$C:$C,'Hiker Food'!N:N)*$D54)</f>
        <v/>
      </c>
      <c r="L54" s="64" t="str">
        <f t="array" ref="L54">if($C54="","",_xlfn.xlookup($C54,'Hiker Food'!$C:$C,'Hiker Food'!O:O)*$D54)</f>
        <v/>
      </c>
      <c r="M54" s="64" t="str">
        <f t="array" ref="M54">if($C54="","",_xlfn.xlookup($C54,'Hiker Food'!$C:$C,'Hiker Food'!P:P)*$D54)</f>
        <v/>
      </c>
      <c r="N54" s="64" t="str">
        <f t="array" ref="N54">if($C54="","",_xlfn.xlookup($C54,'Hiker Food'!$C:$C,'Hiker Food'!Q:Q)*$D54)</f>
        <v/>
      </c>
      <c r="O54" s="64" t="str">
        <f t="array" ref="O54">if($C54="","",_xlfn.xlookup($C54,'Hiker Food'!$C:$C,'Hiker Food'!I:I)*$D54)</f>
        <v/>
      </c>
      <c r="P54" s="81" t="str">
        <f t="array" ref="P54">if($C54="","",_xlfn.xlookup($C54,'Hiker Food'!$C:$C,'Hiker Food'!T:T))</f>
        <v/>
      </c>
      <c r="Q54" s="82" t="str">
        <f t="array" ref="Q54">if($C54="","",_xlfn.xlookup($C54,'Hiker Food'!$C:$C,'Hiker Food'!U:U))</f>
        <v/>
      </c>
      <c r="R54" s="82" t="str">
        <f t="array" ref="R54">if($C54="","",_xlfn.xlookup($C54,'Hiker Food'!$C:$C,'Hiker Food'!V:V))</f>
        <v/>
      </c>
      <c r="S54" s="83" t="str">
        <f t="array" ref="S54">if($C54="","",_xlfn.xlookup($C54,'Hiker Food'!$C:$C,'Hiker Food'!W:W))</f>
        <v/>
      </c>
      <c r="T54" s="65"/>
      <c r="U54" s="66"/>
      <c r="V54" s="66"/>
      <c r="W54" s="66"/>
      <c r="X54" s="66"/>
      <c r="Y54" s="66"/>
      <c r="Z54" s="66"/>
      <c r="AA54" s="66"/>
      <c r="AB54" s="66"/>
      <c r="AC54" s="67"/>
    </row>
    <row r="55">
      <c r="A55" s="52"/>
      <c r="B55" s="68" t="s">
        <v>314</v>
      </c>
      <c r="C55" s="90"/>
      <c r="D55" s="70">
        <v>1.0</v>
      </c>
      <c r="E55" s="71" t="str">
        <f t="array" ref="E55">if(C55="","",_xlfn.xlookup(C55,'Hiker Food'!$C:$C,'Hiker Food'!G:G)*D55)</f>
        <v/>
      </c>
      <c r="F55" s="42" t="str">
        <f t="array" ref="F55">if(C55="","",_xlfn.xlookup(C55,'Hiker Food'!$C:$C,'Hiker Food'!H:H)*D55)</f>
        <v/>
      </c>
      <c r="G55" s="72" t="str">
        <f t="array" ref="G55">if($C55="","",_xlfn.xlookup($C55,'Hiker Food'!$C:$C,'Hiker Food'!J:J)*$D55)</f>
        <v/>
      </c>
      <c r="H55" s="72" t="str">
        <f t="array" ref="H55">if($C55="","",_xlfn.xlookup($C55,'Hiker Food'!$C:$C,'Hiker Food'!K:K)*$D55)</f>
        <v/>
      </c>
      <c r="I55" s="72" t="str">
        <f t="array" ref="I55">if($C55="","",_xlfn.xlookup($C55,'Hiker Food'!$C:$C,'Hiker Food'!L:L)*$D55)</f>
        <v/>
      </c>
      <c r="J55" s="72" t="str">
        <f t="array" ref="J55">if($C55="","",_xlfn.xlookup($C55,'Hiker Food'!$C:$C,'Hiker Food'!M:M)*$D55)</f>
        <v/>
      </c>
      <c r="K55" s="72" t="str">
        <f t="array" ref="K55">if($C55="","",_xlfn.xlookup($C55,'Hiker Food'!$C:$C,'Hiker Food'!N:N)*$D55)</f>
        <v/>
      </c>
      <c r="L55" s="72" t="str">
        <f t="array" ref="L55">if($C55="","",_xlfn.xlookup($C55,'Hiker Food'!$C:$C,'Hiker Food'!O:O)*$D55)</f>
        <v/>
      </c>
      <c r="M55" s="72" t="str">
        <f t="array" ref="M55">if($C55="","",_xlfn.xlookup($C55,'Hiker Food'!$C:$C,'Hiker Food'!P:P)*$D55)</f>
        <v/>
      </c>
      <c r="N55" s="72" t="str">
        <f t="array" ref="N55">if($C55="","",_xlfn.xlookup($C55,'Hiker Food'!$C:$C,'Hiker Food'!Q:Q)*$D55)</f>
        <v/>
      </c>
      <c r="O55" s="72" t="str">
        <f t="array" ref="O55">if($C55="","",_xlfn.xlookup($C55,'Hiker Food'!$C:$C,'Hiker Food'!I:I)*$D55)</f>
        <v/>
      </c>
      <c r="P55" s="71" t="str">
        <f t="array" ref="P55">if($C55="","",_xlfn.xlookup($C55,'Hiker Food'!$C:$C,'Hiker Food'!T:T))</f>
        <v/>
      </c>
      <c r="Q55" s="73" t="str">
        <f t="array" ref="Q55">if($C55="","",_xlfn.xlookup($C55,'Hiker Food'!$C:$C,'Hiker Food'!U:U))</f>
        <v/>
      </c>
      <c r="R55" s="73" t="str">
        <f t="array" ref="R55">if($C55="","",_xlfn.xlookup($C55,'Hiker Food'!$C:$C,'Hiker Food'!V:V))</f>
        <v/>
      </c>
      <c r="S55" s="74" t="str">
        <f t="array" ref="S55">if($C55="","",_xlfn.xlookup($C55,'Hiker Food'!$C:$C,'Hiker Food'!W:W))</f>
        <v/>
      </c>
      <c r="T55" s="91" t="s">
        <v>314</v>
      </c>
      <c r="U55" s="76" t="str">
        <f>if(C55="","",Y55/V55)</f>
        <v/>
      </c>
      <c r="V55" s="96" t="str">
        <f>if($C55="","",sum(E55:E57))</f>
        <v/>
      </c>
      <c r="W55" s="77" t="str">
        <f>if($C55="","",$Y55/X55)</f>
        <v/>
      </c>
      <c r="X55" s="96" t="str">
        <f>if($C55="","",sum(F55:F57))</f>
        <v/>
      </c>
      <c r="Y55" s="96" t="str">
        <f>if($C55="","",sum(O55:O57))</f>
        <v/>
      </c>
      <c r="Z55" s="77" t="str">
        <f>if($C55="","",(sum(J55:J57)/sum(N55:N57)))</f>
        <v/>
      </c>
      <c r="AA55" s="78" t="str">
        <f>if($C55="","",sum(G55:G57)*9/sum(sum(G55:G57)*9+sum(J55:J57)*4+sum(N55:N57)*4))</f>
        <v/>
      </c>
      <c r="AB55" s="78" t="str">
        <f>if($C55="","",sum(L55:L57)*4/sum(sum(G55:G57)*9+sum(J55:J57)*4+sum(N55:N57)*4))</f>
        <v/>
      </c>
      <c r="AC55" s="79" t="str">
        <f>if($C55="","",(sum(H55:H57)/sum(O55:O57)))</f>
        <v/>
      </c>
    </row>
    <row r="56">
      <c r="A56" s="52"/>
      <c r="B56" s="53"/>
      <c r="C56" s="54"/>
      <c r="D56" s="55">
        <v>1.0</v>
      </c>
      <c r="E56" s="56" t="str">
        <f t="array" ref="E56">if(C56="","",_xlfn.xlookup(C56,'Hiker Food'!$C:$C,'Hiker Food'!G:G)*D56)</f>
        <v/>
      </c>
      <c r="F56" s="42" t="str">
        <f t="array" ref="F56">if(C56="","",_xlfn.xlookup(C56,'Hiker Food'!$C:$C,'Hiker Food'!H:H)*D56)</f>
        <v/>
      </c>
      <c r="G56" s="42" t="str">
        <f t="array" ref="G56">if($C56="","",_xlfn.xlookup($C56,'Hiker Food'!$C:$C,'Hiker Food'!J:J)*$D56)</f>
        <v/>
      </c>
      <c r="H56" s="42" t="str">
        <f t="array" ref="H56">if($C56="","",_xlfn.xlookup($C56,'Hiker Food'!$C:$C,'Hiker Food'!K:K)*$D56)</f>
        <v/>
      </c>
      <c r="I56" s="42" t="str">
        <f t="array" ref="I56">if($C56="","",_xlfn.xlookup($C56,'Hiker Food'!$C:$C,'Hiker Food'!L:L)*$D56)</f>
        <v/>
      </c>
      <c r="J56" s="42" t="str">
        <f t="array" ref="J56">if($C56="","",_xlfn.xlookup($C56,'Hiker Food'!$C:$C,'Hiker Food'!M:M)*$D56)</f>
        <v/>
      </c>
      <c r="K56" s="42" t="str">
        <f t="array" ref="K56">if($C56="","",_xlfn.xlookup($C56,'Hiker Food'!$C:$C,'Hiker Food'!N:N)*$D56)</f>
        <v/>
      </c>
      <c r="L56" s="42" t="str">
        <f t="array" ref="L56">if($C56="","",_xlfn.xlookup($C56,'Hiker Food'!$C:$C,'Hiker Food'!O:O)*$D56)</f>
        <v/>
      </c>
      <c r="M56" s="42" t="str">
        <f t="array" ref="M56">if($C56="","",_xlfn.xlookup($C56,'Hiker Food'!$C:$C,'Hiker Food'!P:P)*$D56)</f>
        <v/>
      </c>
      <c r="N56" s="42" t="str">
        <f t="array" ref="N56">if($C56="","",_xlfn.xlookup($C56,'Hiker Food'!$C:$C,'Hiker Food'!Q:Q)*$D56)</f>
        <v/>
      </c>
      <c r="O56" s="42" t="str">
        <f t="array" ref="O56">if($C56="","",_xlfn.xlookup($C56,'Hiker Food'!$C:$C,'Hiker Food'!I:I)*$D56)</f>
        <v/>
      </c>
      <c r="P56" s="56" t="str">
        <f t="array" ref="P56">if($C56="","",_xlfn.xlookup($C56,'Hiker Food'!$C:$C,'Hiker Food'!T:T))</f>
        <v/>
      </c>
      <c r="Q56" s="57" t="str">
        <f t="array" ref="Q56">if($C56="","",_xlfn.xlookup($C56,'Hiker Food'!$C:$C,'Hiker Food'!U:U))</f>
        <v/>
      </c>
      <c r="R56" s="57" t="str">
        <f t="array" ref="R56">if($C56="","",_xlfn.xlookup($C56,'Hiker Food'!$C:$C,'Hiker Food'!V:V))</f>
        <v/>
      </c>
      <c r="S56" s="58" t="str">
        <f t="array" ref="S56">if($C56="","",_xlfn.xlookup($C56,'Hiker Food'!$C:$C,'Hiker Food'!W:W))</f>
        <v/>
      </c>
      <c r="T56" s="59"/>
      <c r="AC56" s="60"/>
    </row>
    <row r="57">
      <c r="A57" s="52"/>
      <c r="B57" s="61"/>
      <c r="C57" s="62"/>
      <c r="D57" s="63">
        <v>1.0</v>
      </c>
      <c r="E57" s="81" t="str">
        <f t="array" ref="E57">if(C57="","",_xlfn.xlookup(C57,'Hiker Food'!$C:$C,'Hiker Food'!G:G)*D57)</f>
        <v/>
      </c>
      <c r="F57" s="64" t="str">
        <f t="array" ref="F57">if(C57="","",_xlfn.xlookup(C57,'Hiker Food'!$C:$C,'Hiker Food'!H:H)*D57)</f>
        <v/>
      </c>
      <c r="G57" s="64" t="str">
        <f t="array" ref="G57">if($C57="","",_xlfn.xlookup($C57,'Hiker Food'!$C:$C,'Hiker Food'!J:J)*$D57)</f>
        <v/>
      </c>
      <c r="H57" s="64" t="str">
        <f t="array" ref="H57">if($C57="","",_xlfn.xlookup($C57,'Hiker Food'!$C:$C,'Hiker Food'!K:K)*$D57)</f>
        <v/>
      </c>
      <c r="I57" s="64" t="str">
        <f t="array" ref="I57">if($C57="","",_xlfn.xlookup($C57,'Hiker Food'!$C:$C,'Hiker Food'!L:L)*$D57)</f>
        <v/>
      </c>
      <c r="J57" s="64" t="str">
        <f t="array" ref="J57">if($C57="","",_xlfn.xlookup($C57,'Hiker Food'!$C:$C,'Hiker Food'!M:M)*$D57)</f>
        <v/>
      </c>
      <c r="K57" s="64" t="str">
        <f t="array" ref="K57">if($C57="","",_xlfn.xlookup($C57,'Hiker Food'!$C:$C,'Hiker Food'!N:N)*$D57)</f>
        <v/>
      </c>
      <c r="L57" s="64" t="str">
        <f t="array" ref="L57">if($C57="","",_xlfn.xlookup($C57,'Hiker Food'!$C:$C,'Hiker Food'!O:O)*$D57)</f>
        <v/>
      </c>
      <c r="M57" s="64" t="str">
        <f t="array" ref="M57">if($C57="","",_xlfn.xlookup($C57,'Hiker Food'!$C:$C,'Hiker Food'!P:P)*$D57)</f>
        <v/>
      </c>
      <c r="N57" s="64" t="str">
        <f t="array" ref="N57">if($C57="","",_xlfn.xlookup($C57,'Hiker Food'!$C:$C,'Hiker Food'!Q:Q)*$D57)</f>
        <v/>
      </c>
      <c r="O57" s="64" t="str">
        <f t="array" ref="O57">if($C57="","",_xlfn.xlookup($C57,'Hiker Food'!$C:$C,'Hiker Food'!I:I)*$D57)</f>
        <v/>
      </c>
      <c r="P57" s="81" t="str">
        <f t="array" ref="P57">if($C57="","",_xlfn.xlookup($C57,'Hiker Food'!$C:$C,'Hiker Food'!T:T))</f>
        <v/>
      </c>
      <c r="Q57" s="82" t="str">
        <f t="array" ref="Q57">if($C57="","",_xlfn.xlookup($C57,'Hiker Food'!$C:$C,'Hiker Food'!U:U))</f>
        <v/>
      </c>
      <c r="R57" s="82" t="str">
        <f t="array" ref="R57">if($C57="","",_xlfn.xlookup($C57,'Hiker Food'!$C:$C,'Hiker Food'!V:V))</f>
        <v/>
      </c>
      <c r="S57" s="83" t="str">
        <f t="array" ref="S57">if($C57="","",_xlfn.xlookup($C57,'Hiker Food'!$C:$C,'Hiker Food'!W:W))</f>
        <v/>
      </c>
      <c r="T57" s="65"/>
      <c r="U57" s="66"/>
      <c r="V57" s="66"/>
      <c r="W57" s="66"/>
      <c r="X57" s="66"/>
      <c r="Y57" s="66"/>
      <c r="Z57" s="66"/>
      <c r="AA57" s="66"/>
      <c r="AB57" s="66"/>
      <c r="AC57" s="67"/>
    </row>
    <row r="58">
      <c r="A58" s="52"/>
      <c r="B58" s="68" t="s">
        <v>366</v>
      </c>
      <c r="C58" s="90"/>
      <c r="D58" s="70">
        <v>1.0</v>
      </c>
      <c r="E58" s="71" t="str">
        <f t="array" ref="E58">if(C58="","",_xlfn.xlookup(C58,'Hiker Food'!$C:$C,'Hiker Food'!G:G)*D58)</f>
        <v/>
      </c>
      <c r="F58" s="42" t="str">
        <f t="array" ref="F58">if(C58="","",_xlfn.xlookup(C58,'Hiker Food'!$C:$C,'Hiker Food'!H:H)*D58)</f>
        <v/>
      </c>
      <c r="G58" s="72" t="str">
        <f t="array" ref="G58">if($C58="","",_xlfn.xlookup($C58,'Hiker Food'!$C:$C,'Hiker Food'!J:J)*$D58)</f>
        <v/>
      </c>
      <c r="H58" s="72" t="str">
        <f t="array" ref="H58">if($C58="","",_xlfn.xlookup($C58,'Hiker Food'!$C:$C,'Hiker Food'!K:K)*$D58)</f>
        <v/>
      </c>
      <c r="I58" s="72" t="str">
        <f t="array" ref="I58">if($C58="","",_xlfn.xlookup($C58,'Hiker Food'!$C:$C,'Hiker Food'!L:L)*$D58)</f>
        <v/>
      </c>
      <c r="J58" s="72" t="str">
        <f t="array" ref="J58">if($C58="","",_xlfn.xlookup($C58,'Hiker Food'!$C:$C,'Hiker Food'!M:M)*$D58)</f>
        <v/>
      </c>
      <c r="K58" s="72" t="str">
        <f t="array" ref="K58">if($C58="","",_xlfn.xlookup($C58,'Hiker Food'!$C:$C,'Hiker Food'!N:N)*$D58)</f>
        <v/>
      </c>
      <c r="L58" s="72" t="str">
        <f t="array" ref="L58">if($C58="","",_xlfn.xlookup($C58,'Hiker Food'!$C:$C,'Hiker Food'!O:O)*$D58)</f>
        <v/>
      </c>
      <c r="M58" s="72" t="str">
        <f t="array" ref="M58">if($C58="","",_xlfn.xlookup($C58,'Hiker Food'!$C:$C,'Hiker Food'!P:P)*$D58)</f>
        <v/>
      </c>
      <c r="N58" s="72" t="str">
        <f t="array" ref="N58">if($C58="","",_xlfn.xlookup($C58,'Hiker Food'!$C:$C,'Hiker Food'!Q:Q)*$D58)</f>
        <v/>
      </c>
      <c r="O58" s="72" t="str">
        <f t="array" ref="O58">if($C58="","",_xlfn.xlookup($C58,'Hiker Food'!$C:$C,'Hiker Food'!I:I)*$D58)</f>
        <v/>
      </c>
      <c r="P58" s="71" t="str">
        <f t="array" ref="P58">if($C58="","",_xlfn.xlookup($C58,'Hiker Food'!$C:$C,'Hiker Food'!T:T))</f>
        <v/>
      </c>
      <c r="Q58" s="73" t="str">
        <f t="array" ref="Q58">if($C58="","",_xlfn.xlookup($C58,'Hiker Food'!$C:$C,'Hiker Food'!U:U))</f>
        <v/>
      </c>
      <c r="R58" s="73" t="str">
        <f t="array" ref="R58">if($C58="","",_xlfn.xlookup($C58,'Hiker Food'!$C:$C,'Hiker Food'!V:V))</f>
        <v/>
      </c>
      <c r="S58" s="74" t="str">
        <f t="array" ref="S58">if($C58="","",_xlfn.xlookup($C58,'Hiker Food'!$C:$C,'Hiker Food'!W:W))</f>
        <v/>
      </c>
      <c r="T58" s="87" t="s">
        <v>366</v>
      </c>
      <c r="U58" s="76" t="str">
        <f>if(C58="","",Y58/V58)</f>
        <v/>
      </c>
      <c r="V58" s="96" t="str">
        <f>if($C58="","",sum(E58:E60))</f>
        <v/>
      </c>
      <c r="W58" s="77" t="str">
        <f>if($C58="","",$Y58/X58)</f>
        <v/>
      </c>
      <c r="X58" s="96" t="str">
        <f>if($C58="","",sum(F58:F60))</f>
        <v/>
      </c>
      <c r="Y58" s="96" t="str">
        <f>if($C58="","",sum(O58:O60))</f>
        <v/>
      </c>
      <c r="Z58" s="77" t="str">
        <f>if($C58="","",(sum(J58:J60)/sum(N58:N60)))</f>
        <v/>
      </c>
      <c r="AA58" s="78" t="str">
        <f>if($C58="","",sum(G58:G60)*9/sum(sum(G58:G60)*9+sum(J58:J60)*4+sum(N58:N60)*4))</f>
        <v/>
      </c>
      <c r="AB58" s="78" t="str">
        <f>if($C58="","",sum(L58:L60)*4/sum(sum(G58:G60)*9+sum(J58:J60)*4+sum(N58:N60)*4))</f>
        <v/>
      </c>
      <c r="AC58" s="79" t="str">
        <f>if($C58="","",(sum(H58:H60)/sum(O58:O60)))</f>
        <v/>
      </c>
    </row>
    <row r="59">
      <c r="A59" s="52"/>
      <c r="B59" s="53"/>
      <c r="C59" s="93"/>
      <c r="D59" s="55">
        <v>1.0</v>
      </c>
      <c r="E59" s="56" t="str">
        <f t="array" ref="E59">if(C59="","",_xlfn.xlookup(C59,'Hiker Food'!$C:$C,'Hiker Food'!G:G)*D59)</f>
        <v/>
      </c>
      <c r="F59" s="42" t="str">
        <f t="array" ref="F59">if(C59="","",_xlfn.xlookup(C59,'Hiker Food'!$C:$C,'Hiker Food'!H:H)*D59)</f>
        <v/>
      </c>
      <c r="G59" s="42" t="str">
        <f t="array" ref="G59">if($C59="","",_xlfn.xlookup($C59,'Hiker Food'!$C:$C,'Hiker Food'!J:J)*$D59)</f>
        <v/>
      </c>
      <c r="H59" s="42" t="str">
        <f t="array" ref="H59">if($C59="","",_xlfn.xlookup($C59,'Hiker Food'!$C:$C,'Hiker Food'!K:K)*$D59)</f>
        <v/>
      </c>
      <c r="I59" s="42" t="str">
        <f t="array" ref="I59">if($C59="","",_xlfn.xlookup($C59,'Hiker Food'!$C:$C,'Hiker Food'!L:L)*$D59)</f>
        <v/>
      </c>
      <c r="J59" s="42" t="str">
        <f t="array" ref="J59">if($C59="","",_xlfn.xlookup($C59,'Hiker Food'!$C:$C,'Hiker Food'!M:M)*$D59)</f>
        <v/>
      </c>
      <c r="K59" s="42" t="str">
        <f t="array" ref="K59">if($C59="","",_xlfn.xlookup($C59,'Hiker Food'!$C:$C,'Hiker Food'!N:N)*$D59)</f>
        <v/>
      </c>
      <c r="L59" s="42" t="str">
        <f t="array" ref="L59">if($C59="","",_xlfn.xlookup($C59,'Hiker Food'!$C:$C,'Hiker Food'!O:O)*$D59)</f>
        <v/>
      </c>
      <c r="M59" s="42" t="str">
        <f t="array" ref="M59">if($C59="","",_xlfn.xlookup($C59,'Hiker Food'!$C:$C,'Hiker Food'!P:P)*$D59)</f>
        <v/>
      </c>
      <c r="N59" s="42" t="str">
        <f t="array" ref="N59">if($C59="","",_xlfn.xlookup($C59,'Hiker Food'!$C:$C,'Hiker Food'!Q:Q)*$D59)</f>
        <v/>
      </c>
      <c r="O59" s="42" t="str">
        <f t="array" ref="O59">if($C59="","",_xlfn.xlookup($C59,'Hiker Food'!$C:$C,'Hiker Food'!I:I)*$D59)</f>
        <v/>
      </c>
      <c r="P59" s="56" t="str">
        <f t="array" ref="P59">if($C59="","",_xlfn.xlookup($C59,'Hiker Food'!$C:$C,'Hiker Food'!T:T))</f>
        <v/>
      </c>
      <c r="Q59" s="57" t="str">
        <f t="array" ref="Q59">if($C59="","",_xlfn.xlookup($C59,'Hiker Food'!$C:$C,'Hiker Food'!U:U))</f>
        <v/>
      </c>
      <c r="R59" s="57" t="str">
        <f t="array" ref="R59">if($C59="","",_xlfn.xlookup($C59,'Hiker Food'!$C:$C,'Hiker Food'!V:V))</f>
        <v/>
      </c>
      <c r="S59" s="58" t="str">
        <f t="array" ref="S59">if($C59="","",_xlfn.xlookup($C59,'Hiker Food'!$C:$C,'Hiker Food'!W:W))</f>
        <v/>
      </c>
      <c r="T59" s="59"/>
      <c r="AC59" s="60"/>
    </row>
    <row r="60">
      <c r="A60" s="52"/>
      <c r="B60" s="61"/>
      <c r="C60" s="54"/>
      <c r="D60" s="63">
        <v>1.0</v>
      </c>
      <c r="E60" s="81" t="str">
        <f t="array" ref="E60">if(C60="","",_xlfn.xlookup(C60,'Hiker Food'!$C:$C,'Hiker Food'!G:G)*D60)</f>
        <v/>
      </c>
      <c r="F60" s="64" t="str">
        <f t="array" ref="F60">if(C60="","",_xlfn.xlookup(C60,'Hiker Food'!$C:$C,'Hiker Food'!H:H)*D60)</f>
        <v/>
      </c>
      <c r="G60" s="64" t="str">
        <f t="array" ref="G60">if($C60="","",_xlfn.xlookup($C60,'Hiker Food'!$C:$C,'Hiker Food'!J:J)*$D60)</f>
        <v/>
      </c>
      <c r="H60" s="64" t="str">
        <f t="array" ref="H60">if($C60="","",_xlfn.xlookup($C60,'Hiker Food'!$C:$C,'Hiker Food'!K:K)*$D60)</f>
        <v/>
      </c>
      <c r="I60" s="64" t="str">
        <f t="array" ref="I60">if($C60="","",_xlfn.xlookup($C60,'Hiker Food'!$C:$C,'Hiker Food'!L:L)*$D60)</f>
        <v/>
      </c>
      <c r="J60" s="64" t="str">
        <f t="array" ref="J60">if($C60="","",_xlfn.xlookup($C60,'Hiker Food'!$C:$C,'Hiker Food'!M:M)*$D60)</f>
        <v/>
      </c>
      <c r="K60" s="64" t="str">
        <f t="array" ref="K60">if($C60="","",_xlfn.xlookup($C60,'Hiker Food'!$C:$C,'Hiker Food'!N:N)*$D60)</f>
        <v/>
      </c>
      <c r="L60" s="64" t="str">
        <f t="array" ref="L60">if($C60="","",_xlfn.xlookup($C60,'Hiker Food'!$C:$C,'Hiker Food'!O:O)*$D60)</f>
        <v/>
      </c>
      <c r="M60" s="64" t="str">
        <f t="array" ref="M60">if($C60="","",_xlfn.xlookup($C60,'Hiker Food'!$C:$C,'Hiker Food'!P:P)*$D60)</f>
        <v/>
      </c>
      <c r="N60" s="64" t="str">
        <f t="array" ref="N60">if($C60="","",_xlfn.xlookup($C60,'Hiker Food'!$C:$C,'Hiker Food'!Q:Q)*$D60)</f>
        <v/>
      </c>
      <c r="O60" s="64" t="str">
        <f t="array" ref="O60">if($C60="","",_xlfn.xlookup($C60,'Hiker Food'!$C:$C,'Hiker Food'!I:I)*$D60)</f>
        <v/>
      </c>
      <c r="P60" s="81" t="str">
        <f t="array" ref="P60">if($C60="","",_xlfn.xlookup($C60,'Hiker Food'!$C:$C,'Hiker Food'!T:T))</f>
        <v/>
      </c>
      <c r="Q60" s="82" t="str">
        <f t="array" ref="Q60">if($C60="","",_xlfn.xlookup($C60,'Hiker Food'!$C:$C,'Hiker Food'!U:U))</f>
        <v/>
      </c>
      <c r="R60" s="82" t="str">
        <f t="array" ref="R60">if($C60="","",_xlfn.xlookup($C60,'Hiker Food'!$C:$C,'Hiker Food'!V:V))</f>
        <v/>
      </c>
      <c r="S60" s="83" t="str">
        <f t="array" ref="S60">if($C60="","",_xlfn.xlookup($C60,'Hiker Food'!$C:$C,'Hiker Food'!W:W))</f>
        <v/>
      </c>
      <c r="T60" s="65"/>
      <c r="U60" s="66"/>
      <c r="V60" s="66"/>
      <c r="W60" s="66"/>
      <c r="X60" s="66"/>
      <c r="Y60" s="66"/>
      <c r="Z60" s="66"/>
      <c r="AA60" s="66"/>
      <c r="AB60" s="66"/>
      <c r="AC60" s="67"/>
    </row>
    <row r="61">
      <c r="A61" s="52"/>
      <c r="B61" s="94" t="s">
        <v>424</v>
      </c>
      <c r="C61" s="90"/>
      <c r="D61" s="70">
        <v>1.0</v>
      </c>
      <c r="E61" s="71" t="str">
        <f t="array" ref="E61">if(C61="","",_xlfn.xlookup(C61,'Hiker Food'!$C:$C,'Hiker Food'!G:G)*D61)</f>
        <v/>
      </c>
      <c r="F61" s="42" t="str">
        <f t="array" ref="F61">if(C61="","",_xlfn.xlookup(C61,'Hiker Food'!$C:$C,'Hiker Food'!H:H)*D61)</f>
        <v/>
      </c>
      <c r="G61" s="72" t="str">
        <f t="array" ref="G61">if($C61="","",_xlfn.xlookup($C61,'Hiker Food'!$C:$C,'Hiker Food'!J:J)*$D61)</f>
        <v/>
      </c>
      <c r="H61" s="72" t="str">
        <f t="array" ref="H61">if($C61="","",_xlfn.xlookup($C61,'Hiker Food'!$C:$C,'Hiker Food'!K:K)*$D61)</f>
        <v/>
      </c>
      <c r="I61" s="72" t="str">
        <f t="array" ref="I61">if($C61="","",_xlfn.xlookup($C61,'Hiker Food'!$C:$C,'Hiker Food'!L:L)*$D61)</f>
        <v/>
      </c>
      <c r="J61" s="72" t="str">
        <f t="array" ref="J61">if($C61="","",_xlfn.xlookup($C61,'Hiker Food'!$C:$C,'Hiker Food'!M:M)*$D61)</f>
        <v/>
      </c>
      <c r="K61" s="72" t="str">
        <f t="array" ref="K61">if($C61="","",_xlfn.xlookup($C61,'Hiker Food'!$C:$C,'Hiker Food'!N:N)*$D61)</f>
        <v/>
      </c>
      <c r="L61" s="72" t="str">
        <f t="array" ref="L61">if($C61="","",_xlfn.xlookup($C61,'Hiker Food'!$C:$C,'Hiker Food'!O:O)*$D61)</f>
        <v/>
      </c>
      <c r="M61" s="72" t="str">
        <f t="array" ref="M61">if($C61="","",_xlfn.xlookup($C61,'Hiker Food'!$C:$C,'Hiker Food'!P:P)*$D61)</f>
        <v/>
      </c>
      <c r="N61" s="72" t="str">
        <f t="array" ref="N61">if($C61="","",_xlfn.xlookup($C61,'Hiker Food'!$C:$C,'Hiker Food'!Q:Q)*$D61)</f>
        <v/>
      </c>
      <c r="O61" s="72" t="str">
        <f t="array" ref="O61">if($C61="","",_xlfn.xlookup($C61,'Hiker Food'!$C:$C,'Hiker Food'!I:I)*$D61)</f>
        <v/>
      </c>
      <c r="P61" s="71" t="str">
        <f t="array" ref="P61">if($C61="","",_xlfn.xlookup($C61,'Hiker Food'!$C:$C,'Hiker Food'!T:T))</f>
        <v/>
      </c>
      <c r="Q61" s="73" t="str">
        <f t="array" ref="Q61">if($C61="","",_xlfn.xlookup($C61,'Hiker Food'!$C:$C,'Hiker Food'!U:U))</f>
        <v/>
      </c>
      <c r="R61" s="73" t="str">
        <f t="array" ref="R61">if($C61="","",_xlfn.xlookup($C61,'Hiker Food'!$C:$C,'Hiker Food'!V:V))</f>
        <v/>
      </c>
      <c r="S61" s="74" t="str">
        <f t="array" ref="S61">if($C61="","",_xlfn.xlookup($C61,'Hiker Food'!$C:$C,'Hiker Food'!W:W))</f>
        <v/>
      </c>
      <c r="T61" s="95" t="s">
        <v>424</v>
      </c>
      <c r="U61" s="76" t="str">
        <f>if(C61="","",Y61/V61)</f>
        <v/>
      </c>
      <c r="V61" s="96" t="str">
        <f>if($C61="","",sum(E61:E63))</f>
        <v/>
      </c>
      <c r="W61" s="77" t="str">
        <f>if($C61="","",$Y61/X61)</f>
        <v/>
      </c>
      <c r="X61" s="96" t="str">
        <f>if($C61="","",sum(F61:F63))</f>
        <v/>
      </c>
      <c r="Y61" s="96" t="str">
        <f>if($C61="","",sum(O61:O63))</f>
        <v/>
      </c>
      <c r="Z61" s="77" t="str">
        <f>if($C61="","",(sum(J61:J63)/sum(N61:N63)))</f>
        <v/>
      </c>
      <c r="AA61" s="78" t="str">
        <f>if($C61="","",sum(G61:G63)*9/sum(sum(G61:G63)*9+sum(J61:J63)*4+sum(N61:N63)*4))</f>
        <v/>
      </c>
      <c r="AB61" s="78" t="str">
        <f>if($C61="","",sum(L61:L63)*4/sum(sum(G61:G63)*9+sum(J61:J63)*4+sum(N61:N63)*4))</f>
        <v/>
      </c>
      <c r="AC61" s="79" t="str">
        <f>if($C61="","",(sum(H61:H63)/sum(O61:O63)))</f>
        <v/>
      </c>
    </row>
    <row r="62">
      <c r="A62" s="52"/>
      <c r="B62" s="53"/>
      <c r="C62" s="54"/>
      <c r="D62" s="55">
        <v>1.0</v>
      </c>
      <c r="E62" s="56" t="str">
        <f t="array" ref="E62">if(C62="","",_xlfn.xlookup(C62,'Hiker Food'!$C:$C,'Hiker Food'!G:G)*D62)</f>
        <v/>
      </c>
      <c r="F62" s="42" t="str">
        <f t="array" ref="F62">if(C62="","",_xlfn.xlookup(C62,'Hiker Food'!$C:$C,'Hiker Food'!H:H)*D62)</f>
        <v/>
      </c>
      <c r="G62" s="42" t="str">
        <f t="array" ref="G62">if($C62="","",_xlfn.xlookup($C62,'Hiker Food'!$C:$C,'Hiker Food'!J:J)*$D62)</f>
        <v/>
      </c>
      <c r="H62" s="42" t="str">
        <f t="array" ref="H62">if($C62="","",_xlfn.xlookup($C62,'Hiker Food'!$C:$C,'Hiker Food'!K:K)*$D62)</f>
        <v/>
      </c>
      <c r="I62" s="42" t="str">
        <f t="array" ref="I62">if($C62="","",_xlfn.xlookup($C62,'Hiker Food'!$C:$C,'Hiker Food'!L:L)*$D62)</f>
        <v/>
      </c>
      <c r="J62" s="42" t="str">
        <f t="array" ref="J62">if($C62="","",_xlfn.xlookup($C62,'Hiker Food'!$C:$C,'Hiker Food'!M:M)*$D62)</f>
        <v/>
      </c>
      <c r="K62" s="42" t="str">
        <f t="array" ref="K62">if($C62="","",_xlfn.xlookup($C62,'Hiker Food'!$C:$C,'Hiker Food'!N:N)*$D62)</f>
        <v/>
      </c>
      <c r="L62" s="42" t="str">
        <f t="array" ref="L62">if($C62="","",_xlfn.xlookup($C62,'Hiker Food'!$C:$C,'Hiker Food'!O:O)*$D62)</f>
        <v/>
      </c>
      <c r="M62" s="42" t="str">
        <f t="array" ref="M62">if($C62="","",_xlfn.xlookup($C62,'Hiker Food'!$C:$C,'Hiker Food'!P:P)*$D62)</f>
        <v/>
      </c>
      <c r="N62" s="42" t="str">
        <f t="array" ref="N62">if($C62="","",_xlfn.xlookup($C62,'Hiker Food'!$C:$C,'Hiker Food'!Q:Q)*$D62)</f>
        <v/>
      </c>
      <c r="O62" s="42" t="str">
        <f t="array" ref="O62">if($C62="","",_xlfn.xlookup($C62,'Hiker Food'!$C:$C,'Hiker Food'!I:I)*$D62)</f>
        <v/>
      </c>
      <c r="P62" s="56" t="str">
        <f t="array" ref="P62">if($C62="","",_xlfn.xlookup($C62,'Hiker Food'!$C:$C,'Hiker Food'!T:T))</f>
        <v/>
      </c>
      <c r="Q62" s="57" t="str">
        <f t="array" ref="Q62">if($C62="","",_xlfn.xlookup($C62,'Hiker Food'!$C:$C,'Hiker Food'!U:U))</f>
        <v/>
      </c>
      <c r="R62" s="57" t="str">
        <f t="array" ref="R62">if($C62="","",_xlfn.xlookup($C62,'Hiker Food'!$C:$C,'Hiker Food'!V:V))</f>
        <v/>
      </c>
      <c r="S62" s="58" t="str">
        <f t="array" ref="S62">if($C62="","",_xlfn.xlookup($C62,'Hiker Food'!$C:$C,'Hiker Food'!W:W))</f>
        <v/>
      </c>
      <c r="T62" s="59"/>
      <c r="AC62" s="60"/>
    </row>
    <row r="63">
      <c r="A63" s="52"/>
      <c r="B63" s="61"/>
      <c r="C63" s="54"/>
      <c r="D63" s="63">
        <v>1.0</v>
      </c>
      <c r="E63" s="81" t="str">
        <f t="array" ref="E63">if(C63="","",_xlfn.xlookup(C63,'Hiker Food'!$C:$C,'Hiker Food'!G:G)*D63)</f>
        <v/>
      </c>
      <c r="F63" s="64" t="str">
        <f t="array" ref="F63">if(C63="","",_xlfn.xlookup(C63,'Hiker Food'!$C:$C,'Hiker Food'!H:H)*D63)</f>
        <v/>
      </c>
      <c r="G63" s="64" t="str">
        <f t="array" ref="G63">if($C63="","",_xlfn.xlookup($C63,'Hiker Food'!$C:$C,'Hiker Food'!J:J)*$D63)</f>
        <v/>
      </c>
      <c r="H63" s="64" t="str">
        <f t="array" ref="H63">if($C63="","",_xlfn.xlookup($C63,'Hiker Food'!$C:$C,'Hiker Food'!K:K)*$D63)</f>
        <v/>
      </c>
      <c r="I63" s="64" t="str">
        <f t="array" ref="I63">if($C63="","",_xlfn.xlookup($C63,'Hiker Food'!$C:$C,'Hiker Food'!L:L)*$D63)</f>
        <v/>
      </c>
      <c r="J63" s="64" t="str">
        <f t="array" ref="J63">if($C63="","",_xlfn.xlookup($C63,'Hiker Food'!$C:$C,'Hiker Food'!M:M)*$D63)</f>
        <v/>
      </c>
      <c r="K63" s="64" t="str">
        <f t="array" ref="K63">if($C63="","",_xlfn.xlookup($C63,'Hiker Food'!$C:$C,'Hiker Food'!N:N)*$D63)</f>
        <v/>
      </c>
      <c r="L63" s="64" t="str">
        <f t="array" ref="L63">if($C63="","",_xlfn.xlookup($C63,'Hiker Food'!$C:$C,'Hiker Food'!O:O)*$D63)</f>
        <v/>
      </c>
      <c r="M63" s="64" t="str">
        <f t="array" ref="M63">if($C63="","",_xlfn.xlookup($C63,'Hiker Food'!$C:$C,'Hiker Food'!P:P)*$D63)</f>
        <v/>
      </c>
      <c r="N63" s="64" t="str">
        <f t="array" ref="N63">if($C63="","",_xlfn.xlookup($C63,'Hiker Food'!$C:$C,'Hiker Food'!Q:Q)*$D63)</f>
        <v/>
      </c>
      <c r="O63" s="64" t="str">
        <f t="array" ref="O63">if($C63="","",_xlfn.xlookup($C63,'Hiker Food'!$C:$C,'Hiker Food'!I:I)*$D63)</f>
        <v/>
      </c>
      <c r="P63" s="81" t="str">
        <f t="array" ref="P63">if($C63="","",_xlfn.xlookup($C63,'Hiker Food'!$C:$C,'Hiker Food'!T:T))</f>
        <v/>
      </c>
      <c r="Q63" s="82" t="str">
        <f t="array" ref="Q63">if($C63="","",_xlfn.xlookup($C63,'Hiker Food'!$C:$C,'Hiker Food'!U:U))</f>
        <v/>
      </c>
      <c r="R63" s="82" t="str">
        <f t="array" ref="R63">if($C63="","",_xlfn.xlookup($C63,'Hiker Food'!$C:$C,'Hiker Food'!V:V))</f>
        <v/>
      </c>
      <c r="S63" s="83" t="str">
        <f t="array" ref="S63">if($C63="","",_xlfn.xlookup($C63,'Hiker Food'!$C:$C,'Hiker Food'!W:W))</f>
        <v/>
      </c>
      <c r="T63" s="65"/>
      <c r="U63" s="66"/>
      <c r="V63" s="66"/>
      <c r="W63" s="66"/>
      <c r="X63" s="66"/>
      <c r="Y63" s="66"/>
      <c r="Z63" s="66"/>
      <c r="AA63" s="66"/>
      <c r="AB63" s="66"/>
      <c r="AC63" s="67"/>
    </row>
    <row r="64">
      <c r="A64" s="52"/>
      <c r="B64" s="94" t="s">
        <v>478</v>
      </c>
      <c r="C64" s="90"/>
      <c r="D64" s="70">
        <v>1.0</v>
      </c>
      <c r="E64" s="71" t="str">
        <f t="array" ref="E64">if(C64="","",_xlfn.xlookup(C64,'Hiker Food'!$C:$C,'Hiker Food'!G:G)*D64)</f>
        <v/>
      </c>
      <c r="F64" s="42" t="str">
        <f t="array" ref="F64">if(C64="","",_xlfn.xlookup(C64,'Hiker Food'!$C:$C,'Hiker Food'!H:H)*D64)</f>
        <v/>
      </c>
      <c r="G64" s="72" t="str">
        <f t="array" ref="G64">if($C64="","",_xlfn.xlookup($C64,'Hiker Food'!$C:$C,'Hiker Food'!J:J)*$D64)</f>
        <v/>
      </c>
      <c r="H64" s="72" t="str">
        <f t="array" ref="H64">if($C64="","",_xlfn.xlookup($C64,'Hiker Food'!$C:$C,'Hiker Food'!K:K)*$D64)</f>
        <v/>
      </c>
      <c r="I64" s="72" t="str">
        <f t="array" ref="I64">if($C64="","",_xlfn.xlookup($C64,'Hiker Food'!$C:$C,'Hiker Food'!L:L)*$D64)</f>
        <v/>
      </c>
      <c r="J64" s="72" t="str">
        <f t="array" ref="J64">if($C64="","",_xlfn.xlookup($C64,'Hiker Food'!$C:$C,'Hiker Food'!M:M)*$D64)</f>
        <v/>
      </c>
      <c r="K64" s="72" t="str">
        <f t="array" ref="K64">if($C64="","",_xlfn.xlookup($C64,'Hiker Food'!$C:$C,'Hiker Food'!N:N)*$D64)</f>
        <v/>
      </c>
      <c r="L64" s="72" t="str">
        <f t="array" ref="L64">if($C64="","",_xlfn.xlookup($C64,'Hiker Food'!$C:$C,'Hiker Food'!O:O)*$D64)</f>
        <v/>
      </c>
      <c r="M64" s="72" t="str">
        <f t="array" ref="M64">if($C64="","",_xlfn.xlookup($C64,'Hiker Food'!$C:$C,'Hiker Food'!P:P)*$D64)</f>
        <v/>
      </c>
      <c r="N64" s="72" t="str">
        <f t="array" ref="N64">if($C64="","",_xlfn.xlookup($C64,'Hiker Food'!$C:$C,'Hiker Food'!Q:Q)*$D64)</f>
        <v/>
      </c>
      <c r="O64" s="72" t="str">
        <f t="array" ref="O64">if($C64="","",_xlfn.xlookup($C64,'Hiker Food'!$C:$C,'Hiker Food'!I:I)*$D64)</f>
        <v/>
      </c>
      <c r="P64" s="71" t="str">
        <f t="array" ref="P64">if($C64="","",_xlfn.xlookup($C64,'Hiker Food'!$C:$C,'Hiker Food'!T:T))</f>
        <v/>
      </c>
      <c r="Q64" s="73" t="str">
        <f t="array" ref="Q64">if($C64="","",_xlfn.xlookup($C64,'Hiker Food'!$C:$C,'Hiker Food'!U:U))</f>
        <v/>
      </c>
      <c r="R64" s="73" t="str">
        <f t="array" ref="R64">if($C64="","",_xlfn.xlookup($C64,'Hiker Food'!$C:$C,'Hiker Food'!V:V))</f>
        <v/>
      </c>
      <c r="S64" s="74" t="str">
        <f t="array" ref="S64">if($C64="","",_xlfn.xlookup($C64,'Hiker Food'!$C:$C,'Hiker Food'!W:W))</f>
        <v/>
      </c>
      <c r="T64" s="95" t="s">
        <v>478</v>
      </c>
      <c r="U64" s="76" t="str">
        <f>if(C64="","",Y64/V64)</f>
        <v/>
      </c>
      <c r="V64" s="96" t="str">
        <f>if($C64="","",sum(E64:E66))</f>
        <v/>
      </c>
      <c r="W64" s="77" t="str">
        <f>if($C64="","",$Y64/X64)</f>
        <v/>
      </c>
      <c r="X64" s="96" t="str">
        <f>if($C64="","",sum(F64:F66))</f>
        <v/>
      </c>
      <c r="Y64" s="96" t="str">
        <f>if($C64="","",sum(O64:O66))</f>
        <v/>
      </c>
      <c r="Z64" s="77" t="str">
        <f>if($C64="","",(sum(J64:J66)/sum(N64:N66)))</f>
        <v/>
      </c>
      <c r="AA64" s="78" t="str">
        <f>if($C64="","",sum(G64:G66)*9/sum(sum(G64:G66)*9+sum(J64:J66)*4+sum(N64:N66)*4))</f>
        <v/>
      </c>
      <c r="AB64" s="78" t="str">
        <f>if($C64="","",sum(L64:L66)*4/sum(sum(G64:G66)*9+sum(J64:J66)*4+sum(N64:N66)*4))</f>
        <v/>
      </c>
      <c r="AC64" s="79" t="str">
        <f>if($C64="","",(sum(H64:H66)/sum(O64:O66)))</f>
        <v/>
      </c>
    </row>
    <row r="65">
      <c r="A65" s="52"/>
      <c r="B65" s="53"/>
      <c r="C65" s="93"/>
      <c r="D65" s="55">
        <v>1.0</v>
      </c>
      <c r="E65" s="56" t="str">
        <f t="array" ref="E65">if(C65="","",_xlfn.xlookup(C65,'Hiker Food'!$C:$C,'Hiker Food'!G:G)*D65)</f>
        <v/>
      </c>
      <c r="F65" s="42" t="str">
        <f t="array" ref="F65">if(C65="","",_xlfn.xlookup(C65,'Hiker Food'!$C:$C,'Hiker Food'!H:H)*D65)</f>
        <v/>
      </c>
      <c r="G65" s="42" t="str">
        <f t="array" ref="G65">if($C65="","",_xlfn.xlookup($C65,'Hiker Food'!$C:$C,'Hiker Food'!J:J)*$D65)</f>
        <v/>
      </c>
      <c r="H65" s="42" t="str">
        <f t="array" ref="H65">if($C65="","",_xlfn.xlookup($C65,'Hiker Food'!$C:$C,'Hiker Food'!K:K)*$D65)</f>
        <v/>
      </c>
      <c r="I65" s="42" t="str">
        <f t="array" ref="I65">if($C65="","",_xlfn.xlookup($C65,'Hiker Food'!$C:$C,'Hiker Food'!L:L)*$D65)</f>
        <v/>
      </c>
      <c r="J65" s="42" t="str">
        <f t="array" ref="J65">if($C65="","",_xlfn.xlookup($C65,'Hiker Food'!$C:$C,'Hiker Food'!M:M)*$D65)</f>
        <v/>
      </c>
      <c r="K65" s="42" t="str">
        <f t="array" ref="K65">if($C65="","",_xlfn.xlookup($C65,'Hiker Food'!$C:$C,'Hiker Food'!N:N)*$D65)</f>
        <v/>
      </c>
      <c r="L65" s="42" t="str">
        <f t="array" ref="L65">if($C65="","",_xlfn.xlookup($C65,'Hiker Food'!$C:$C,'Hiker Food'!O:O)*$D65)</f>
        <v/>
      </c>
      <c r="M65" s="42" t="str">
        <f t="array" ref="M65">if($C65="","",_xlfn.xlookup($C65,'Hiker Food'!$C:$C,'Hiker Food'!P:P)*$D65)</f>
        <v/>
      </c>
      <c r="N65" s="42" t="str">
        <f t="array" ref="N65">if($C65="","",_xlfn.xlookup($C65,'Hiker Food'!$C:$C,'Hiker Food'!Q:Q)*$D65)</f>
        <v/>
      </c>
      <c r="O65" s="42" t="str">
        <f t="array" ref="O65">if($C65="","",_xlfn.xlookup($C65,'Hiker Food'!$C:$C,'Hiker Food'!I:I)*$D65)</f>
        <v/>
      </c>
      <c r="P65" s="56" t="str">
        <f t="array" ref="P65">if($C65="","",_xlfn.xlookup($C65,'Hiker Food'!$C:$C,'Hiker Food'!T:T))</f>
        <v/>
      </c>
      <c r="Q65" s="57" t="str">
        <f t="array" ref="Q65">if($C65="","",_xlfn.xlookup($C65,'Hiker Food'!$C:$C,'Hiker Food'!U:U))</f>
        <v/>
      </c>
      <c r="R65" s="57" t="str">
        <f t="array" ref="R65">if($C65="","",_xlfn.xlookup($C65,'Hiker Food'!$C:$C,'Hiker Food'!V:V))</f>
        <v/>
      </c>
      <c r="S65" s="58" t="str">
        <f t="array" ref="S65">if($C65="","",_xlfn.xlookup($C65,'Hiker Food'!$C:$C,'Hiker Food'!W:W))</f>
        <v/>
      </c>
      <c r="T65" s="59"/>
      <c r="AC65" s="60"/>
    </row>
    <row r="66">
      <c r="A66" s="52"/>
      <c r="B66" s="61"/>
      <c r="C66" s="62"/>
      <c r="D66" s="63">
        <v>1.0</v>
      </c>
      <c r="E66" s="81" t="str">
        <f t="array" ref="E66">if(C66="","",_xlfn.xlookup(C66,'Hiker Food'!$C:$C,'Hiker Food'!G:G)*D66)</f>
        <v/>
      </c>
      <c r="F66" s="64" t="str">
        <f t="array" ref="F66">if(C66="","",_xlfn.xlookup(C66,'Hiker Food'!$C:$C,'Hiker Food'!H:H)*D66)</f>
        <v/>
      </c>
      <c r="G66" s="64" t="str">
        <f t="array" ref="G66">if($C66="","",_xlfn.xlookup($C66,'Hiker Food'!$C:$C,'Hiker Food'!J:J)*$D66)</f>
        <v/>
      </c>
      <c r="H66" s="64" t="str">
        <f t="array" ref="H66">if($C66="","",_xlfn.xlookup($C66,'Hiker Food'!$C:$C,'Hiker Food'!K:K)*$D66)</f>
        <v/>
      </c>
      <c r="I66" s="64" t="str">
        <f t="array" ref="I66">if($C66="","",_xlfn.xlookup($C66,'Hiker Food'!$C:$C,'Hiker Food'!L:L)*$D66)</f>
        <v/>
      </c>
      <c r="J66" s="64" t="str">
        <f t="array" ref="J66">if($C66="","",_xlfn.xlookup($C66,'Hiker Food'!$C:$C,'Hiker Food'!M:M)*$D66)</f>
        <v/>
      </c>
      <c r="K66" s="64" t="str">
        <f t="array" ref="K66">if($C66="","",_xlfn.xlookup($C66,'Hiker Food'!$C:$C,'Hiker Food'!N:N)*$D66)</f>
        <v/>
      </c>
      <c r="L66" s="64" t="str">
        <f t="array" ref="L66">if($C66="","",_xlfn.xlookup($C66,'Hiker Food'!$C:$C,'Hiker Food'!O:O)*$D66)</f>
        <v/>
      </c>
      <c r="M66" s="64" t="str">
        <f t="array" ref="M66">if($C66="","",_xlfn.xlookup($C66,'Hiker Food'!$C:$C,'Hiker Food'!P:P)*$D66)</f>
        <v/>
      </c>
      <c r="N66" s="64" t="str">
        <f t="array" ref="N66">if($C66="","",_xlfn.xlookup($C66,'Hiker Food'!$C:$C,'Hiker Food'!Q:Q)*$D66)</f>
        <v/>
      </c>
      <c r="O66" s="64" t="str">
        <f t="array" ref="O66">if($C66="","",_xlfn.xlookup($C66,'Hiker Food'!$C:$C,'Hiker Food'!I:I)*$D66)</f>
        <v/>
      </c>
      <c r="P66" s="81" t="str">
        <f t="array" ref="P66">if($C66="","",_xlfn.xlookup($C66,'Hiker Food'!$C:$C,'Hiker Food'!T:T))</f>
        <v/>
      </c>
      <c r="Q66" s="82" t="str">
        <f t="array" ref="Q66">if($C66="","",_xlfn.xlookup($C66,'Hiker Food'!$C:$C,'Hiker Food'!U:U))</f>
        <v/>
      </c>
      <c r="R66" s="82" t="str">
        <f t="array" ref="R66">if($C66="","",_xlfn.xlookup($C66,'Hiker Food'!$C:$C,'Hiker Food'!V:V))</f>
        <v/>
      </c>
      <c r="S66" s="83" t="str">
        <f t="array" ref="S66">if($C66="","",_xlfn.xlookup($C66,'Hiker Food'!$C:$C,'Hiker Food'!W:W))</f>
        <v/>
      </c>
      <c r="T66" s="65"/>
      <c r="U66" s="66"/>
      <c r="V66" s="66"/>
      <c r="W66" s="66"/>
      <c r="X66" s="66"/>
      <c r="Y66" s="66"/>
      <c r="Z66" s="66"/>
      <c r="AA66" s="66"/>
      <c r="AB66" s="66"/>
      <c r="AC66" s="67"/>
    </row>
    <row r="67">
      <c r="A67" s="97"/>
      <c r="B67" s="98" t="s">
        <v>532</v>
      </c>
      <c r="C67" s="99" t="str">
        <f>IF(COUNTIF(C46:C66,"")=COUNTA(C46:C66), "", "zzzz - subtotal line - ignore")</f>
        <v>zzzz - subtotal line - ignore</v>
      </c>
      <c r="D67" s="99"/>
      <c r="E67" s="100" t="str">
        <f t="shared" ref="E67:O67" si="3">if(counta($C46:$C66)=0,"",SUM(E46:E66))</f>
        <v/>
      </c>
      <c r="F67" s="101" t="str">
        <f t="shared" si="3"/>
        <v/>
      </c>
      <c r="G67" s="101" t="str">
        <f t="shared" si="3"/>
        <v/>
      </c>
      <c r="H67" s="101" t="str">
        <f t="shared" si="3"/>
        <v/>
      </c>
      <c r="I67" s="101" t="str">
        <f t="shared" si="3"/>
        <v/>
      </c>
      <c r="J67" s="101" t="str">
        <f t="shared" si="3"/>
        <v/>
      </c>
      <c r="K67" s="101" t="str">
        <f t="shared" si="3"/>
        <v/>
      </c>
      <c r="L67" s="101" t="str">
        <f t="shared" si="3"/>
        <v/>
      </c>
      <c r="M67" s="101" t="str">
        <f t="shared" si="3"/>
        <v/>
      </c>
      <c r="N67" s="101" t="str">
        <f t="shared" si="3"/>
        <v/>
      </c>
      <c r="O67" s="101" t="str">
        <f t="shared" si="3"/>
        <v/>
      </c>
      <c r="P67" s="102"/>
      <c r="Q67" s="102"/>
      <c r="R67" s="102"/>
      <c r="S67" s="102"/>
      <c r="T67" s="98" t="s">
        <v>532</v>
      </c>
      <c r="U67" s="100"/>
      <c r="V67" s="100" t="str">
        <f>if(counta($C46:$C66)=0,"",SUM(E46:E66))</f>
        <v/>
      </c>
      <c r="W67" s="101"/>
      <c r="X67" s="101" t="str">
        <f>if(counta($C46:$C66)=0,"",SUM(F46:F66))</f>
        <v/>
      </c>
      <c r="Y67" s="101" t="str">
        <f>if(counta($C46:$C66)=0,"",SUM(O46:O66))</f>
        <v/>
      </c>
      <c r="Z67" s="103" t="str">
        <f>if($V67="","",sum(J46:J66)/sum(N46:N66))</f>
        <v/>
      </c>
      <c r="AA67" s="104" t="str">
        <f>if($V67="","",sum(G46:G66)*9/sum(sum(G46:G66)*9+sum(J46:J66)*4+sum(N46:N66)*4))</f>
        <v/>
      </c>
      <c r="AB67" s="104" t="str">
        <f>if($V67="","",sum(L46:L66)*4/sum(sum(G46:G66)*9+sum(J46:J66)*4+sum(N46:N66)*4))</f>
        <v/>
      </c>
      <c r="AC67" s="105" t="str">
        <f>if($V67="","",sum(H46:H66)/sum(O46:O66))</f>
        <v/>
      </c>
    </row>
    <row r="68">
      <c r="A68" s="37">
        <v>4.0</v>
      </c>
      <c r="B68" s="38" t="s">
        <v>92</v>
      </c>
      <c r="C68" s="39"/>
      <c r="D68" s="40">
        <v>1.0</v>
      </c>
      <c r="E68" s="41" t="str">
        <f t="array" ref="E68">if(C68="","",_xlfn.xlookup(C68,'Hiker Food'!$C:$C,'Hiker Food'!G:G)*D68)</f>
        <v/>
      </c>
      <c r="F68" s="42" t="str">
        <f t="array" ref="F68">if(C68="","",_xlfn.xlookup(C68,'Hiker Food'!$C:$C,'Hiker Food'!H:H)*D68)</f>
        <v/>
      </c>
      <c r="G68" s="43" t="str">
        <f t="array" ref="G68">if($C68="","",_xlfn.xlookup($C68,'Hiker Food'!$C:$C,'Hiker Food'!J:J)*$D68)</f>
        <v/>
      </c>
      <c r="H68" s="43" t="str">
        <f t="array" ref="H68">if($C68="","",_xlfn.xlookup($C68,'Hiker Food'!$C:$C,'Hiker Food'!K:K)*$D68)</f>
        <v/>
      </c>
      <c r="I68" s="43" t="str">
        <f t="array" ref="I68">if($C68="","",_xlfn.xlookup($C68,'Hiker Food'!$C:$C,'Hiker Food'!L:L)*$D68)</f>
        <v/>
      </c>
      <c r="J68" s="43" t="str">
        <f t="array" ref="J68">if($C68="","",_xlfn.xlookup($C68,'Hiker Food'!$C:$C,'Hiker Food'!M:M)*$D68)</f>
        <v/>
      </c>
      <c r="K68" s="43" t="str">
        <f t="array" ref="K68">if($C68="","",_xlfn.xlookup($C68,'Hiker Food'!$C:$C,'Hiker Food'!N:N)*$D68)</f>
        <v/>
      </c>
      <c r="L68" s="43" t="str">
        <f t="array" ref="L68">if($C68="","",_xlfn.xlookup($C68,'Hiker Food'!$C:$C,'Hiker Food'!O:O)*$D68)</f>
        <v/>
      </c>
      <c r="M68" s="43" t="str">
        <f t="array" ref="M68">if($C68="","",_xlfn.xlookup($C68,'Hiker Food'!$C:$C,'Hiker Food'!P:P)*$D68)</f>
        <v/>
      </c>
      <c r="N68" s="43" t="str">
        <f t="array" ref="N68">if($C68="","",_xlfn.xlookup($C68,'Hiker Food'!$C:$C,'Hiker Food'!Q:Q)*$D68)</f>
        <v/>
      </c>
      <c r="O68" s="43" t="str">
        <f t="array" ref="O68">if($C68="","",_xlfn.xlookup($C68,'Hiker Food'!$C:$C,'Hiker Food'!I:I)*$D68)</f>
        <v/>
      </c>
      <c r="P68" s="41" t="str">
        <f t="array" ref="P68">if($C68="","",_xlfn.xlookup($C68,'Hiker Food'!$C:$C,'Hiker Food'!T:T))</f>
        <v/>
      </c>
      <c r="Q68" s="44" t="str">
        <f t="array" ref="Q68">if($C68="","",_xlfn.xlookup($C68,'Hiker Food'!$C:$C,'Hiker Food'!U:U))</f>
        <v/>
      </c>
      <c r="R68" s="44" t="str">
        <f t="array" ref="R68">if($C68="","",_xlfn.xlookup($C68,'Hiker Food'!$C:$C,'Hiker Food'!V:V))</f>
        <v/>
      </c>
      <c r="S68" s="45" t="str">
        <f t="array" ref="S68">if($C68="","",_xlfn.xlookup($C68,'Hiker Food'!$C:$C,'Hiker Food'!W:W))</f>
        <v/>
      </c>
      <c r="T68" s="46" t="s">
        <v>92</v>
      </c>
      <c r="U68" s="47" t="str">
        <f>if($C68="","",$Y68/V68)</f>
        <v/>
      </c>
      <c r="V68" s="114" t="str">
        <f>if($C68="","",sum(E68:E70))</f>
        <v/>
      </c>
      <c r="W68" s="48" t="str">
        <f>if($C68="","",$Y68/X68)</f>
        <v/>
      </c>
      <c r="X68" s="114" t="str">
        <f>if($C68="","",sum(F68:F70))</f>
        <v/>
      </c>
      <c r="Y68" s="114" t="str">
        <f>if($C68="","",sum(O68:O70))</f>
        <v/>
      </c>
      <c r="Z68" s="49" t="str">
        <f>if($C68="","",(sum(J68:J70)/sum(N68:N70)))</f>
        <v/>
      </c>
      <c r="AA68" s="50" t="str">
        <f>if($C68="","",sum(G68:G70)*9/sum(sum(G68:G70)*9+sum(J68:J70)*4+sum(N68:N70)*4))</f>
        <v/>
      </c>
      <c r="AB68" s="50" t="str">
        <f>if($C68="","",sum(L68:L70)*4/sum(sum(G68:G70)*9+sum(J68:J70)*4+sum(N68:N70)*4))</f>
        <v/>
      </c>
      <c r="AC68" s="51" t="str">
        <f>if($C68="","",(sum(H68:H70)/sum(O68:O70)))</f>
        <v/>
      </c>
    </row>
    <row r="69">
      <c r="A69" s="52"/>
      <c r="B69" s="53"/>
      <c r="C69" s="54"/>
      <c r="D69" s="55">
        <v>1.0</v>
      </c>
      <c r="E69" s="56" t="str">
        <f t="array" ref="E69">if(C69="","",_xlfn.xlookup(C69,'Hiker Food'!$C:$C,'Hiker Food'!G:G)*D69)</f>
        <v/>
      </c>
      <c r="F69" s="42" t="str">
        <f t="array" ref="F69">if(C69="","",_xlfn.xlookup(C69,'Hiker Food'!$C:$C,'Hiker Food'!H:H)*D69)</f>
        <v/>
      </c>
      <c r="G69" s="42" t="str">
        <f t="array" ref="G69">if($C69="","",_xlfn.xlookup($C69,'Hiker Food'!$C:$C,'Hiker Food'!J:J)*$D69)</f>
        <v/>
      </c>
      <c r="H69" s="42" t="str">
        <f t="array" ref="H69">if($C69="","",_xlfn.xlookup($C69,'Hiker Food'!$C:$C,'Hiker Food'!K:K)*$D69)</f>
        <v/>
      </c>
      <c r="I69" s="42" t="str">
        <f t="array" ref="I69">if($C69="","",_xlfn.xlookup($C69,'Hiker Food'!$C:$C,'Hiker Food'!L:L)*$D69)</f>
        <v/>
      </c>
      <c r="J69" s="42" t="str">
        <f t="array" ref="J69">if($C69="","",_xlfn.xlookup($C69,'Hiker Food'!$C:$C,'Hiker Food'!M:M)*$D69)</f>
        <v/>
      </c>
      <c r="K69" s="42" t="str">
        <f t="array" ref="K69">if($C69="","",_xlfn.xlookup($C69,'Hiker Food'!$C:$C,'Hiker Food'!N:N)*$D69)</f>
        <v/>
      </c>
      <c r="L69" s="42" t="str">
        <f t="array" ref="L69">if($C69="","",_xlfn.xlookup($C69,'Hiker Food'!$C:$C,'Hiker Food'!O:O)*$D69)</f>
        <v/>
      </c>
      <c r="M69" s="42" t="str">
        <f t="array" ref="M69">if($C69="","",_xlfn.xlookup($C69,'Hiker Food'!$C:$C,'Hiker Food'!P:P)*$D69)</f>
        <v/>
      </c>
      <c r="N69" s="42" t="str">
        <f t="array" ref="N69">if($C69="","",_xlfn.xlookup($C69,'Hiker Food'!$C:$C,'Hiker Food'!Q:Q)*$D69)</f>
        <v/>
      </c>
      <c r="O69" s="42" t="str">
        <f t="array" ref="O69">if($C69="","",_xlfn.xlookup($C69,'Hiker Food'!$C:$C,'Hiker Food'!I:I)*$D69)</f>
        <v/>
      </c>
      <c r="P69" s="56" t="str">
        <f t="array" ref="P69">if($C69="","",_xlfn.xlookup($C69,'Hiker Food'!$C:$C,'Hiker Food'!T:T))</f>
        <v/>
      </c>
      <c r="Q69" s="57" t="str">
        <f t="array" ref="Q69">if($C69="","",_xlfn.xlookup($C69,'Hiker Food'!$C:$C,'Hiker Food'!U:U))</f>
        <v/>
      </c>
      <c r="R69" s="57" t="str">
        <f t="array" ref="R69">if($C69="","",_xlfn.xlookup($C69,'Hiker Food'!$C:$C,'Hiker Food'!V:V))</f>
        <v/>
      </c>
      <c r="S69" s="58" t="str">
        <f t="array" ref="S69">if($C69="","",_xlfn.xlookup($C69,'Hiker Food'!$C:$C,'Hiker Food'!W:W))</f>
        <v/>
      </c>
      <c r="T69" s="59"/>
      <c r="AC69" s="60"/>
    </row>
    <row r="70">
      <c r="A70" s="52"/>
      <c r="B70" s="61"/>
      <c r="C70" s="62"/>
      <c r="D70" s="63">
        <v>1.0</v>
      </c>
      <c r="E70" s="56" t="str">
        <f t="array" ref="E70">if(C70="","",_xlfn.xlookup(C70,'Hiker Food'!$C:$C,'Hiker Food'!G:G)*D70)</f>
        <v/>
      </c>
      <c r="F70" s="64" t="str">
        <f t="array" ref="F70">if(C70="","",_xlfn.xlookup(C70,'Hiker Food'!$C:$C,'Hiker Food'!H:H)*D70)</f>
        <v/>
      </c>
      <c r="G70" s="64" t="str">
        <f t="array" ref="G70">if($C70="","",_xlfn.xlookup($C70,'Hiker Food'!$C:$C,'Hiker Food'!J:J)*$D70)</f>
        <v/>
      </c>
      <c r="H70" s="64" t="str">
        <f t="array" ref="H70">if($C70="","",_xlfn.xlookup($C70,'Hiker Food'!$C:$C,'Hiker Food'!K:K)*$D70)</f>
        <v/>
      </c>
      <c r="I70" s="64" t="str">
        <f t="array" ref="I70">if($C70="","",_xlfn.xlookup($C70,'Hiker Food'!$C:$C,'Hiker Food'!L:L)*$D70)</f>
        <v/>
      </c>
      <c r="J70" s="64" t="str">
        <f t="array" ref="J70">if($C70="","",_xlfn.xlookup($C70,'Hiker Food'!$C:$C,'Hiker Food'!M:M)*$D70)</f>
        <v/>
      </c>
      <c r="K70" s="64" t="str">
        <f t="array" ref="K70">if($C70="","",_xlfn.xlookup($C70,'Hiker Food'!$C:$C,'Hiker Food'!N:N)*$D70)</f>
        <v/>
      </c>
      <c r="L70" s="64" t="str">
        <f t="array" ref="L70">if($C70="","",_xlfn.xlookup($C70,'Hiker Food'!$C:$C,'Hiker Food'!O:O)*$D70)</f>
        <v/>
      </c>
      <c r="M70" s="64" t="str">
        <f t="array" ref="M70">if($C70="","",_xlfn.xlookup($C70,'Hiker Food'!$C:$C,'Hiker Food'!P:P)*$D70)</f>
        <v/>
      </c>
      <c r="N70" s="64" t="str">
        <f t="array" ref="N70">if($C70="","",_xlfn.xlookup($C70,'Hiker Food'!$C:$C,'Hiker Food'!Q:Q)*$D70)</f>
        <v/>
      </c>
      <c r="O70" s="42" t="str">
        <f t="array" ref="O70">if($C70="","",_xlfn.xlookup($C70,'Hiker Food'!$C:$C,'Hiker Food'!I:I)*$D70)</f>
        <v/>
      </c>
      <c r="P70" s="56" t="str">
        <f t="array" ref="P70">if($C70="","",_xlfn.xlookup($C70,'Hiker Food'!$C:$C,'Hiker Food'!T:T))</f>
        <v/>
      </c>
      <c r="Q70" s="57" t="str">
        <f t="array" ref="Q70">if($C70="","",_xlfn.xlookup($C70,'Hiker Food'!$C:$C,'Hiker Food'!U:U))</f>
        <v/>
      </c>
      <c r="R70" s="57" t="str">
        <f t="array" ref="R70">if($C70="","",_xlfn.xlookup($C70,'Hiker Food'!$C:$C,'Hiker Food'!V:V))</f>
        <v/>
      </c>
      <c r="S70" s="58" t="str">
        <f t="array" ref="S70">if($C70="","",_xlfn.xlookup($C70,'Hiker Food'!$C:$C,'Hiker Food'!W:W))</f>
        <v/>
      </c>
      <c r="T70" s="65"/>
      <c r="U70" s="66"/>
      <c r="V70" s="66"/>
      <c r="W70" s="66"/>
      <c r="X70" s="66"/>
      <c r="Y70" s="66"/>
      <c r="Z70" s="66"/>
      <c r="AA70" s="66"/>
      <c r="AB70" s="66"/>
      <c r="AC70" s="67"/>
    </row>
    <row r="71">
      <c r="A71" s="52"/>
      <c r="B71" s="68" t="s">
        <v>179</v>
      </c>
      <c r="C71" s="69"/>
      <c r="D71" s="70">
        <v>2.0</v>
      </c>
      <c r="E71" s="71" t="str">
        <f t="array" ref="E71">if(C71="","",_xlfn.xlookup(C71,'Hiker Food'!$C:$C,'Hiker Food'!G:G)*D71)</f>
        <v/>
      </c>
      <c r="F71" s="42" t="str">
        <f t="array" ref="F71">if(C71="","",_xlfn.xlookup(C71,'Hiker Food'!$C:$C,'Hiker Food'!H:H)*D71)</f>
        <v/>
      </c>
      <c r="G71" s="72" t="str">
        <f t="array" ref="G71">if($C71="","",_xlfn.xlookup($C71,'Hiker Food'!$C:$C,'Hiker Food'!J:J)*$D71)</f>
        <v/>
      </c>
      <c r="H71" s="72" t="str">
        <f t="array" ref="H71">if($C71="","",_xlfn.xlookup($C71,'Hiker Food'!$C:$C,'Hiker Food'!K:K)*$D71)</f>
        <v/>
      </c>
      <c r="I71" s="72" t="str">
        <f t="array" ref="I71">if($C71="","",_xlfn.xlookup($C71,'Hiker Food'!$C:$C,'Hiker Food'!L:L)*$D71)</f>
        <v/>
      </c>
      <c r="J71" s="72" t="str">
        <f t="array" ref="J71">if($C71="","",_xlfn.xlookup($C71,'Hiker Food'!$C:$C,'Hiker Food'!M:M)*$D71)</f>
        <v/>
      </c>
      <c r="K71" s="72" t="str">
        <f t="array" ref="K71">if($C71="","",_xlfn.xlookup($C71,'Hiker Food'!$C:$C,'Hiker Food'!N:N)*$D71)</f>
        <v/>
      </c>
      <c r="L71" s="72" t="str">
        <f t="array" ref="L71">if($C71="","",_xlfn.xlookup($C71,'Hiker Food'!$C:$C,'Hiker Food'!O:O)*$D71)</f>
        <v/>
      </c>
      <c r="M71" s="72" t="str">
        <f t="array" ref="M71">if($C71="","",_xlfn.xlookup($C71,'Hiker Food'!$C:$C,'Hiker Food'!P:P)*$D71)</f>
        <v/>
      </c>
      <c r="N71" s="72" t="str">
        <f t="array" ref="N71">if($C71="","",_xlfn.xlookup($C71,'Hiker Food'!$C:$C,'Hiker Food'!Q:Q)*$D71)</f>
        <v/>
      </c>
      <c r="O71" s="72" t="str">
        <f t="array" ref="O71">if($C71="","",_xlfn.xlookup($C71,'Hiker Food'!$C:$C,'Hiker Food'!I:I)*$D71)</f>
        <v/>
      </c>
      <c r="P71" s="71" t="str">
        <f t="array" ref="P71">if($C71="","",_xlfn.xlookup($C71,'Hiker Food'!$C:$C,'Hiker Food'!T:T))</f>
        <v/>
      </c>
      <c r="Q71" s="73" t="str">
        <f t="array" ref="Q71">if($C71="","",_xlfn.xlookup($C71,'Hiker Food'!$C:$C,'Hiker Food'!U:U))</f>
        <v/>
      </c>
      <c r="R71" s="73" t="str">
        <f t="array" ref="R71">if($C71="","",_xlfn.xlookup($C71,'Hiker Food'!$C:$C,'Hiker Food'!V:V))</f>
        <v/>
      </c>
      <c r="S71" s="74" t="str">
        <f t="array" ref="S71">if($C71="","",_xlfn.xlookup($C71,'Hiker Food'!$C:$C,'Hiker Food'!W:W))</f>
        <v/>
      </c>
      <c r="T71" s="75" t="s">
        <v>179</v>
      </c>
      <c r="U71" s="76" t="str">
        <f>if(C71="","",Y71/V71)</f>
        <v/>
      </c>
      <c r="V71" s="96" t="str">
        <f>if($C71="","",sum(E71:E73))</f>
        <v/>
      </c>
      <c r="W71" s="77" t="str">
        <f>if($C71="","",$Y71/X71)</f>
        <v/>
      </c>
      <c r="X71" s="96" t="str">
        <f>if($C71="","",sum(F71:F73))</f>
        <v/>
      </c>
      <c r="Y71" s="96" t="str">
        <f>if($C71="","",sum(O71:O73))</f>
        <v/>
      </c>
      <c r="Z71" s="77" t="str">
        <f>if($C71="","",(sum(J71:J73)/sum(N71:N73)))</f>
        <v/>
      </c>
      <c r="AA71" s="78" t="str">
        <f>if($C71="","",sum(G71:G73)*9/sum(sum(G71:G73)*9+sum(J71:J73)*4+sum(N71:N73)*4))</f>
        <v/>
      </c>
      <c r="AB71" s="78" t="str">
        <f>if($C71="","",sum(L71:L73)*4/sum(sum(G71:G73)*9+sum(J71:J73)*4+sum(N71:N73)*4))</f>
        <v/>
      </c>
      <c r="AC71" s="79" t="str">
        <f>if($C71="","",(sum(H71:H73)/sum(O71:O73)))</f>
        <v/>
      </c>
    </row>
    <row r="72">
      <c r="A72" s="52"/>
      <c r="B72" s="53"/>
      <c r="C72" s="54"/>
      <c r="D72" s="55">
        <v>2.0</v>
      </c>
      <c r="E72" s="56" t="str">
        <f t="array" ref="E72">if(C72="","",_xlfn.xlookup(C72,'Hiker Food'!$C:$C,'Hiker Food'!G:G)*D72)</f>
        <v/>
      </c>
      <c r="F72" s="42" t="str">
        <f t="array" ref="F72">if(C72="","",_xlfn.xlookup(C72,'Hiker Food'!$C:$C,'Hiker Food'!H:H)*D72)</f>
        <v/>
      </c>
      <c r="G72" s="42" t="str">
        <f t="array" ref="G72">if($C72="","",_xlfn.xlookup($C72,'Hiker Food'!$C:$C,'Hiker Food'!J:J)*$D72)</f>
        <v/>
      </c>
      <c r="H72" s="42" t="str">
        <f t="array" ref="H72">if($C72="","",_xlfn.xlookup($C72,'Hiker Food'!$C:$C,'Hiker Food'!K:K)*$D72)</f>
        <v/>
      </c>
      <c r="I72" s="42" t="str">
        <f t="array" ref="I72">if($C72="","",_xlfn.xlookup($C72,'Hiker Food'!$C:$C,'Hiker Food'!L:L)*$D72)</f>
        <v/>
      </c>
      <c r="J72" s="42" t="str">
        <f t="array" ref="J72">if($C72="","",_xlfn.xlookup($C72,'Hiker Food'!$C:$C,'Hiker Food'!M:M)*$D72)</f>
        <v/>
      </c>
      <c r="K72" s="42" t="str">
        <f t="array" ref="K72">if($C72="","",_xlfn.xlookup($C72,'Hiker Food'!$C:$C,'Hiker Food'!N:N)*$D72)</f>
        <v/>
      </c>
      <c r="L72" s="42" t="str">
        <f t="array" ref="L72">if($C72="","",_xlfn.xlookup($C72,'Hiker Food'!$C:$C,'Hiker Food'!O:O)*$D72)</f>
        <v/>
      </c>
      <c r="M72" s="42" t="str">
        <f t="array" ref="M72">if($C72="","",_xlfn.xlookup($C72,'Hiker Food'!$C:$C,'Hiker Food'!P:P)*$D72)</f>
        <v/>
      </c>
      <c r="N72" s="42" t="str">
        <f t="array" ref="N72">if($C72="","",_xlfn.xlookup($C72,'Hiker Food'!$C:$C,'Hiker Food'!Q:Q)*$D72)</f>
        <v/>
      </c>
      <c r="O72" s="42" t="str">
        <f t="array" ref="O72">if($C72="","",_xlfn.xlookup($C72,'Hiker Food'!$C:$C,'Hiker Food'!I:I)*$D72)</f>
        <v/>
      </c>
      <c r="P72" s="56" t="str">
        <f t="array" ref="P72">if($C72="","",_xlfn.xlookup($C72,'Hiker Food'!$C:$C,'Hiker Food'!T:T))</f>
        <v/>
      </c>
      <c r="Q72" s="57" t="str">
        <f t="array" ref="Q72">if($C72="","",_xlfn.xlookup($C72,'Hiker Food'!$C:$C,'Hiker Food'!U:U))</f>
        <v/>
      </c>
      <c r="R72" s="57" t="str">
        <f t="array" ref="R72">if($C72="","",_xlfn.xlookup($C72,'Hiker Food'!$C:$C,'Hiker Food'!V:V))</f>
        <v/>
      </c>
      <c r="S72" s="58" t="str">
        <f t="array" ref="S72">if($C72="","",_xlfn.xlookup($C72,'Hiker Food'!$C:$C,'Hiker Food'!W:W))</f>
        <v/>
      </c>
      <c r="T72" s="80"/>
      <c r="AC72" s="60"/>
    </row>
    <row r="73">
      <c r="A73" s="52"/>
      <c r="B73" s="61"/>
      <c r="C73" s="54"/>
      <c r="D73" s="63">
        <v>1.0</v>
      </c>
      <c r="E73" s="81" t="str">
        <f t="array" ref="E73">if(C73="","",_xlfn.xlookup(C73,'Hiker Food'!$C:$C,'Hiker Food'!G:G)*D73)</f>
        <v/>
      </c>
      <c r="F73" s="64" t="str">
        <f t="array" ref="F73">if(C73="","",_xlfn.xlookup(C73,'Hiker Food'!$C:$C,'Hiker Food'!H:H)*D73)</f>
        <v/>
      </c>
      <c r="G73" s="64" t="str">
        <f t="array" ref="G73">if($C73="","",_xlfn.xlookup($C73,'Hiker Food'!$C:$C,'Hiker Food'!J:J)*$D73)</f>
        <v/>
      </c>
      <c r="H73" s="64" t="str">
        <f t="array" ref="H73">if($C73="","",_xlfn.xlookup($C73,'Hiker Food'!$C:$C,'Hiker Food'!K:K)*$D73)</f>
        <v/>
      </c>
      <c r="I73" s="64" t="str">
        <f t="array" ref="I73">if($C73="","",_xlfn.xlookup($C73,'Hiker Food'!$C:$C,'Hiker Food'!L:L)*$D73)</f>
        <v/>
      </c>
      <c r="J73" s="64" t="str">
        <f t="array" ref="J73">if($C73="","",_xlfn.xlookup($C73,'Hiker Food'!$C:$C,'Hiker Food'!M:M)*$D73)</f>
        <v/>
      </c>
      <c r="K73" s="64" t="str">
        <f t="array" ref="K73">if($C73="","",_xlfn.xlookup($C73,'Hiker Food'!$C:$C,'Hiker Food'!N:N)*$D73)</f>
        <v/>
      </c>
      <c r="L73" s="64" t="str">
        <f t="array" ref="L73">if($C73="","",_xlfn.xlookup($C73,'Hiker Food'!$C:$C,'Hiker Food'!O:O)*$D73)</f>
        <v/>
      </c>
      <c r="M73" s="64" t="str">
        <f t="array" ref="M73">if($C73="","",_xlfn.xlookup($C73,'Hiker Food'!$C:$C,'Hiker Food'!P:P)*$D73)</f>
        <v/>
      </c>
      <c r="N73" s="64" t="str">
        <f t="array" ref="N73">if($C73="","",_xlfn.xlookup($C73,'Hiker Food'!$C:$C,'Hiker Food'!Q:Q)*$D73)</f>
        <v/>
      </c>
      <c r="O73" s="64" t="str">
        <f t="array" ref="O73">if($C73="","",_xlfn.xlookup($C73,'Hiker Food'!$C:$C,'Hiker Food'!I:I)*$D73)</f>
        <v/>
      </c>
      <c r="P73" s="81" t="str">
        <f t="array" ref="P73">if($C73="","",_xlfn.xlookup($C73,'Hiker Food'!$C:$C,'Hiker Food'!T:T))</f>
        <v/>
      </c>
      <c r="Q73" s="82" t="str">
        <f t="array" ref="Q73">if($C73="","",_xlfn.xlookup($C73,'Hiker Food'!$C:$C,'Hiker Food'!U:U))</f>
        <v/>
      </c>
      <c r="R73" s="82" t="str">
        <f t="array" ref="R73">if($C73="","",_xlfn.xlookup($C73,'Hiker Food'!$C:$C,'Hiker Food'!V:V))</f>
        <v/>
      </c>
      <c r="S73" s="83" t="str">
        <f t="array" ref="S73">if($C73="","",_xlfn.xlookup($C73,'Hiker Food'!$C:$C,'Hiker Food'!W:W))</f>
        <v/>
      </c>
      <c r="T73" s="84"/>
      <c r="U73" s="66"/>
      <c r="V73" s="66"/>
      <c r="W73" s="66"/>
      <c r="X73" s="66"/>
      <c r="Y73" s="66"/>
      <c r="Z73" s="66"/>
      <c r="AA73" s="66"/>
      <c r="AB73" s="66"/>
      <c r="AC73" s="67"/>
    </row>
    <row r="74">
      <c r="A74" s="52"/>
      <c r="B74" s="68" t="s">
        <v>257</v>
      </c>
      <c r="C74" s="85"/>
      <c r="D74" s="70">
        <v>3.0</v>
      </c>
      <c r="E74" s="56" t="str">
        <f t="array" ref="E74">if(C74="","",_xlfn.xlookup(C74,'Hiker Food'!$C:$C,'Hiker Food'!G:G)*D74)</f>
        <v/>
      </c>
      <c r="F74" s="86" t="str">
        <f t="array" ref="F74">if(C74="","",_xlfn.xlookup(C74,'Hiker Food'!$C:$C,'Hiker Food'!H:H)*D74)</f>
        <v/>
      </c>
      <c r="G74" s="72" t="str">
        <f t="array" ref="G74">if($C74="","",_xlfn.xlookup($C74,'Hiker Food'!$C:$C,'Hiker Food'!J:J)*$D74)</f>
        <v/>
      </c>
      <c r="H74" s="72" t="str">
        <f t="array" ref="H74">if($C74="","",_xlfn.xlookup($C74,'Hiker Food'!$C:$C,'Hiker Food'!K:K)*$D74)</f>
        <v/>
      </c>
      <c r="I74" s="72" t="str">
        <f t="array" ref="I74">if($C74="","",_xlfn.xlookup($C74,'Hiker Food'!$C:$C,'Hiker Food'!L:L)*$D74)</f>
        <v/>
      </c>
      <c r="J74" s="72" t="str">
        <f t="array" ref="J74">if($C74="","",_xlfn.xlookup($C74,'Hiker Food'!$C:$C,'Hiker Food'!M:M)*$D74)</f>
        <v/>
      </c>
      <c r="K74" s="72" t="str">
        <f t="array" ref="K74">if($C74="","",_xlfn.xlookup($C74,'Hiker Food'!$C:$C,'Hiker Food'!N:N)*$D74)</f>
        <v/>
      </c>
      <c r="L74" s="72" t="str">
        <f t="array" ref="L74">if($C74="","",_xlfn.xlookup($C74,'Hiker Food'!$C:$C,'Hiker Food'!O:O)*$D74)</f>
        <v/>
      </c>
      <c r="M74" s="72" t="str">
        <f t="array" ref="M74">if($C74="","",_xlfn.xlookup($C74,'Hiker Food'!$C:$C,'Hiker Food'!P:P)*$D74)</f>
        <v/>
      </c>
      <c r="N74" s="72" t="str">
        <f t="array" ref="N74">if($C74="","",_xlfn.xlookup($C74,'Hiker Food'!$C:$C,'Hiker Food'!Q:Q)*$D74)</f>
        <v/>
      </c>
      <c r="O74" s="42" t="str">
        <f t="array" ref="O74">if($C74="","",_xlfn.xlookup($C74,'Hiker Food'!$C:$C,'Hiker Food'!I:I)*$D74)</f>
        <v/>
      </c>
      <c r="P74" s="56" t="str">
        <f t="array" ref="P74">if($C74="","",_xlfn.xlookup($C74,'Hiker Food'!$C:$C,'Hiker Food'!T:T))</f>
        <v/>
      </c>
      <c r="Q74" s="57" t="str">
        <f t="array" ref="Q74">if($C74="","",_xlfn.xlookup($C74,'Hiker Food'!$C:$C,'Hiker Food'!U:U))</f>
        <v/>
      </c>
      <c r="R74" s="57" t="str">
        <f t="array" ref="R74">if($C74="","",_xlfn.xlookup($C74,'Hiker Food'!$C:$C,'Hiker Food'!V:V))</f>
        <v/>
      </c>
      <c r="S74" s="58" t="str">
        <f t="array" ref="S74">if($C74="","",_xlfn.xlookup($C74,'Hiker Food'!$C:$C,'Hiker Food'!W:W))</f>
        <v/>
      </c>
      <c r="T74" s="87" t="s">
        <v>257</v>
      </c>
      <c r="U74" s="76" t="str">
        <f>if(C74="","",Y74/V74)</f>
        <v/>
      </c>
      <c r="V74" s="96" t="str">
        <f>if($C74="","",sum(E74:E76))</f>
        <v/>
      </c>
      <c r="W74" s="77" t="str">
        <f>if($C74="","",$Y74/X74)</f>
        <v/>
      </c>
      <c r="X74" s="96" t="str">
        <f>if($C74="","",sum(F74:F76))</f>
        <v/>
      </c>
      <c r="Y74" s="96" t="str">
        <f>if($C74="","",sum(O74:O76))</f>
        <v/>
      </c>
      <c r="Z74" s="77" t="str">
        <f>if($C74="","",(sum(J74:J76)/sum(N74:N76)))</f>
        <v/>
      </c>
      <c r="AA74" s="78" t="str">
        <f>if($C74="","",sum(G74:G76)*9/sum(sum(G74:G76)*9+sum(J74:J76)*4+sum(N74:N76)*4))</f>
        <v/>
      </c>
      <c r="AB74" s="78" t="str">
        <f>if($C74="","",sum(L74:L76)*4/sum(sum(G74:G76)*9+sum(J74:J76)*4+sum(N74:N76)*4))</f>
        <v/>
      </c>
      <c r="AC74" s="79" t="str">
        <f>if($C74="","",(sum(H74:H76)/sum(O74:O76)))</f>
        <v/>
      </c>
    </row>
    <row r="75">
      <c r="A75" s="52"/>
      <c r="B75" s="53"/>
      <c r="C75" s="88"/>
      <c r="D75" s="55">
        <v>3.0</v>
      </c>
      <c r="E75" s="56" t="str">
        <f t="array" ref="E75">if(C75="","",_xlfn.xlookup(C75,'Hiker Food'!$C:$C,'Hiker Food'!G:G)*D75)</f>
        <v/>
      </c>
      <c r="F75" s="86" t="str">
        <f t="array" ref="F75">if(C75="","",_xlfn.xlookup(C75,'Hiker Food'!$C:$C,'Hiker Food'!H:H)*D75)</f>
        <v/>
      </c>
      <c r="G75" s="42" t="str">
        <f t="array" ref="G75">if($C75="","",_xlfn.xlookup($C75,'Hiker Food'!$C:$C,'Hiker Food'!J:J)*$D75)</f>
        <v/>
      </c>
      <c r="H75" s="42" t="str">
        <f t="array" ref="H75">if($C75="","",_xlfn.xlookup($C75,'Hiker Food'!$C:$C,'Hiker Food'!K:K)*$D75)</f>
        <v/>
      </c>
      <c r="I75" s="42" t="str">
        <f t="array" ref="I75">if($C75="","",_xlfn.xlookup($C75,'Hiker Food'!$C:$C,'Hiker Food'!L:L)*$D75)</f>
        <v/>
      </c>
      <c r="J75" s="42" t="str">
        <f t="array" ref="J75">if($C75="","",_xlfn.xlookup($C75,'Hiker Food'!$C:$C,'Hiker Food'!M:M)*$D75)</f>
        <v/>
      </c>
      <c r="K75" s="42" t="str">
        <f t="array" ref="K75">if($C75="","",_xlfn.xlookup($C75,'Hiker Food'!$C:$C,'Hiker Food'!N:N)*$D75)</f>
        <v/>
      </c>
      <c r="L75" s="42" t="str">
        <f t="array" ref="L75">if($C75="","",_xlfn.xlookup($C75,'Hiker Food'!$C:$C,'Hiker Food'!O:O)*$D75)</f>
        <v/>
      </c>
      <c r="M75" s="42" t="str">
        <f t="array" ref="M75">if($C75="","",_xlfn.xlookup($C75,'Hiker Food'!$C:$C,'Hiker Food'!P:P)*$D75)</f>
        <v/>
      </c>
      <c r="N75" s="42" t="str">
        <f t="array" ref="N75">if($C75="","",_xlfn.xlookup($C75,'Hiker Food'!$C:$C,'Hiker Food'!Q:Q)*$D75)</f>
        <v/>
      </c>
      <c r="O75" s="42" t="str">
        <f t="array" ref="O75">if($C75="","",_xlfn.xlookup($C75,'Hiker Food'!$C:$C,'Hiker Food'!I:I)*$D75)</f>
        <v/>
      </c>
      <c r="P75" s="56" t="str">
        <f t="array" ref="P75">if($C75="","",_xlfn.xlookup($C75,'Hiker Food'!$C:$C,'Hiker Food'!T:T))</f>
        <v/>
      </c>
      <c r="Q75" s="57" t="str">
        <f t="array" ref="Q75">if($C75="","",_xlfn.xlookup($C75,'Hiker Food'!$C:$C,'Hiker Food'!U:U))</f>
        <v/>
      </c>
      <c r="R75" s="57" t="str">
        <f t="array" ref="R75">if($C75="","",_xlfn.xlookup($C75,'Hiker Food'!$C:$C,'Hiker Food'!V:V))</f>
        <v/>
      </c>
      <c r="S75" s="58" t="str">
        <f t="array" ref="S75">if($C75="","",_xlfn.xlookup($C75,'Hiker Food'!$C:$C,'Hiker Food'!W:W))</f>
        <v/>
      </c>
      <c r="T75" s="59"/>
      <c r="AC75" s="60"/>
    </row>
    <row r="76">
      <c r="A76" s="52"/>
      <c r="B76" s="61"/>
      <c r="C76" s="62"/>
      <c r="D76" s="63">
        <v>1.0</v>
      </c>
      <c r="E76" s="81" t="str">
        <f t="array" ref="E76">if(C76="","",_xlfn.xlookup(C76,'Hiker Food'!$C:$C,'Hiker Food'!G:G)*D76)</f>
        <v/>
      </c>
      <c r="F76" s="89" t="str">
        <f t="array" ref="F76">if(C76="","",_xlfn.xlookup(C76,'Hiker Food'!$C:$C,'Hiker Food'!H:H)*D76)</f>
        <v/>
      </c>
      <c r="G76" s="64" t="str">
        <f t="array" ref="G76">if($C76="","",_xlfn.xlookup($C76,'Hiker Food'!$C:$C,'Hiker Food'!J:J)*$D76)</f>
        <v/>
      </c>
      <c r="H76" s="64" t="str">
        <f t="array" ref="H76">if($C76="","",_xlfn.xlookup($C76,'Hiker Food'!$C:$C,'Hiker Food'!K:K)*$D76)</f>
        <v/>
      </c>
      <c r="I76" s="64" t="str">
        <f t="array" ref="I76">if($C76="","",_xlfn.xlookup($C76,'Hiker Food'!$C:$C,'Hiker Food'!L:L)*$D76)</f>
        <v/>
      </c>
      <c r="J76" s="64" t="str">
        <f t="array" ref="J76">if($C76="","",_xlfn.xlookup($C76,'Hiker Food'!$C:$C,'Hiker Food'!M:M)*$D76)</f>
        <v/>
      </c>
      <c r="K76" s="64" t="str">
        <f t="array" ref="K76">if($C76="","",_xlfn.xlookup($C76,'Hiker Food'!$C:$C,'Hiker Food'!N:N)*$D76)</f>
        <v/>
      </c>
      <c r="L76" s="64" t="str">
        <f t="array" ref="L76">if($C76="","",_xlfn.xlookup($C76,'Hiker Food'!$C:$C,'Hiker Food'!O:O)*$D76)</f>
        <v/>
      </c>
      <c r="M76" s="64" t="str">
        <f t="array" ref="M76">if($C76="","",_xlfn.xlookup($C76,'Hiker Food'!$C:$C,'Hiker Food'!P:P)*$D76)</f>
        <v/>
      </c>
      <c r="N76" s="64" t="str">
        <f t="array" ref="N76">if($C76="","",_xlfn.xlookup($C76,'Hiker Food'!$C:$C,'Hiker Food'!Q:Q)*$D76)</f>
        <v/>
      </c>
      <c r="O76" s="64" t="str">
        <f t="array" ref="O76">if($C76="","",_xlfn.xlookup($C76,'Hiker Food'!$C:$C,'Hiker Food'!I:I)*$D76)</f>
        <v/>
      </c>
      <c r="P76" s="81" t="str">
        <f t="array" ref="P76">if($C76="","",_xlfn.xlookup($C76,'Hiker Food'!$C:$C,'Hiker Food'!T:T))</f>
        <v/>
      </c>
      <c r="Q76" s="82" t="str">
        <f t="array" ref="Q76">if($C76="","",_xlfn.xlookup($C76,'Hiker Food'!$C:$C,'Hiker Food'!U:U))</f>
        <v/>
      </c>
      <c r="R76" s="82" t="str">
        <f t="array" ref="R76">if($C76="","",_xlfn.xlookup($C76,'Hiker Food'!$C:$C,'Hiker Food'!V:V))</f>
        <v/>
      </c>
      <c r="S76" s="83" t="str">
        <f t="array" ref="S76">if($C76="","",_xlfn.xlookup($C76,'Hiker Food'!$C:$C,'Hiker Food'!W:W))</f>
        <v/>
      </c>
      <c r="T76" s="65"/>
      <c r="U76" s="66"/>
      <c r="V76" s="66"/>
      <c r="W76" s="66"/>
      <c r="X76" s="66"/>
      <c r="Y76" s="66"/>
      <c r="Z76" s="66"/>
      <c r="AA76" s="66"/>
      <c r="AB76" s="66"/>
      <c r="AC76" s="67"/>
    </row>
    <row r="77">
      <c r="A77" s="52"/>
      <c r="B77" s="68" t="s">
        <v>314</v>
      </c>
      <c r="C77" s="90"/>
      <c r="D77" s="70">
        <v>1.0</v>
      </c>
      <c r="E77" s="71" t="str">
        <f t="array" ref="E77">if(C77="","",_xlfn.xlookup(C77,'Hiker Food'!$C:$C,'Hiker Food'!G:G)*D77)</f>
        <v/>
      </c>
      <c r="F77" s="42" t="str">
        <f t="array" ref="F77">if(C77="","",_xlfn.xlookup(C77,'Hiker Food'!$C:$C,'Hiker Food'!H:H)*D77)</f>
        <v/>
      </c>
      <c r="G77" s="72" t="str">
        <f t="array" ref="G77">if($C77="","",_xlfn.xlookup($C77,'Hiker Food'!$C:$C,'Hiker Food'!J:J)*$D77)</f>
        <v/>
      </c>
      <c r="H77" s="72" t="str">
        <f t="array" ref="H77">if($C77="","",_xlfn.xlookup($C77,'Hiker Food'!$C:$C,'Hiker Food'!K:K)*$D77)</f>
        <v/>
      </c>
      <c r="I77" s="72" t="str">
        <f t="array" ref="I77">if($C77="","",_xlfn.xlookup($C77,'Hiker Food'!$C:$C,'Hiker Food'!L:L)*$D77)</f>
        <v/>
      </c>
      <c r="J77" s="72" t="str">
        <f t="array" ref="J77">if($C77="","",_xlfn.xlookup($C77,'Hiker Food'!$C:$C,'Hiker Food'!M:M)*$D77)</f>
        <v/>
      </c>
      <c r="K77" s="72" t="str">
        <f t="array" ref="K77">if($C77="","",_xlfn.xlookup($C77,'Hiker Food'!$C:$C,'Hiker Food'!N:N)*$D77)</f>
        <v/>
      </c>
      <c r="L77" s="72" t="str">
        <f t="array" ref="L77">if($C77="","",_xlfn.xlookup($C77,'Hiker Food'!$C:$C,'Hiker Food'!O:O)*$D77)</f>
        <v/>
      </c>
      <c r="M77" s="72" t="str">
        <f t="array" ref="M77">if($C77="","",_xlfn.xlookup($C77,'Hiker Food'!$C:$C,'Hiker Food'!P:P)*$D77)</f>
        <v/>
      </c>
      <c r="N77" s="72" t="str">
        <f t="array" ref="N77">if($C77="","",_xlfn.xlookup($C77,'Hiker Food'!$C:$C,'Hiker Food'!Q:Q)*$D77)</f>
        <v/>
      </c>
      <c r="O77" s="72" t="str">
        <f t="array" ref="O77">if($C77="","",_xlfn.xlookup($C77,'Hiker Food'!$C:$C,'Hiker Food'!I:I)*$D77)</f>
        <v/>
      </c>
      <c r="P77" s="71" t="str">
        <f t="array" ref="P77">if($C77="","",_xlfn.xlookup($C77,'Hiker Food'!$C:$C,'Hiker Food'!T:T))</f>
        <v/>
      </c>
      <c r="Q77" s="73" t="str">
        <f t="array" ref="Q77">if($C77="","",_xlfn.xlookup($C77,'Hiker Food'!$C:$C,'Hiker Food'!U:U))</f>
        <v/>
      </c>
      <c r="R77" s="73" t="str">
        <f t="array" ref="R77">if($C77="","",_xlfn.xlookup($C77,'Hiker Food'!$C:$C,'Hiker Food'!V:V))</f>
        <v/>
      </c>
      <c r="S77" s="74" t="str">
        <f t="array" ref="S77">if($C77="","",_xlfn.xlookup($C77,'Hiker Food'!$C:$C,'Hiker Food'!W:W))</f>
        <v/>
      </c>
      <c r="T77" s="91" t="s">
        <v>314</v>
      </c>
      <c r="U77" s="76" t="str">
        <f>if(C77="","",Y77/V77)</f>
        <v/>
      </c>
      <c r="V77" s="96" t="str">
        <f>if($C77="","",sum(E77:E79))</f>
        <v/>
      </c>
      <c r="W77" s="77" t="str">
        <f>if($C77="","",$Y77/X77)</f>
        <v/>
      </c>
      <c r="X77" s="96" t="str">
        <f>if($C77="","",sum(F77:F79))</f>
        <v/>
      </c>
      <c r="Y77" s="96" t="str">
        <f>if($C77="","",sum(O77:O79))</f>
        <v/>
      </c>
      <c r="Z77" s="77" t="str">
        <f>if($C77="","",(sum(J77:J79)/sum(N77:N79)))</f>
        <v/>
      </c>
      <c r="AA77" s="78" t="str">
        <f>if($C77="","",sum(G77:G79)*9/sum(sum(G77:G79)*9+sum(J77:J79)*4+sum(N77:N79)*4))</f>
        <v/>
      </c>
      <c r="AB77" s="78" t="str">
        <f>if($C77="","",sum(L77:L79)*4/sum(sum(G77:G79)*9+sum(J77:J79)*4+sum(N77:N79)*4))</f>
        <v/>
      </c>
      <c r="AC77" s="79" t="str">
        <f>if($C77="","",(sum(H77:H79)/sum(O77:O79)))</f>
        <v/>
      </c>
    </row>
    <row r="78">
      <c r="A78" s="52"/>
      <c r="B78" s="53"/>
      <c r="C78" s="54"/>
      <c r="D78" s="55">
        <v>1.0</v>
      </c>
      <c r="E78" s="56" t="str">
        <f t="array" ref="E78">if(C78="","",_xlfn.xlookup(C78,'Hiker Food'!$C:$C,'Hiker Food'!G:G)*D78)</f>
        <v/>
      </c>
      <c r="F78" s="42" t="str">
        <f t="array" ref="F78">if(C78="","",_xlfn.xlookup(C78,'Hiker Food'!$C:$C,'Hiker Food'!H:H)*D78)</f>
        <v/>
      </c>
      <c r="G78" s="42" t="str">
        <f t="array" ref="G78">if($C78="","",_xlfn.xlookup($C78,'Hiker Food'!$C:$C,'Hiker Food'!J:J)*$D78)</f>
        <v/>
      </c>
      <c r="H78" s="42" t="str">
        <f t="array" ref="H78">if($C78="","",_xlfn.xlookup($C78,'Hiker Food'!$C:$C,'Hiker Food'!K:K)*$D78)</f>
        <v/>
      </c>
      <c r="I78" s="42" t="str">
        <f t="array" ref="I78">if($C78="","",_xlfn.xlookup($C78,'Hiker Food'!$C:$C,'Hiker Food'!L:L)*$D78)</f>
        <v/>
      </c>
      <c r="J78" s="42" t="str">
        <f t="array" ref="J78">if($C78="","",_xlfn.xlookup($C78,'Hiker Food'!$C:$C,'Hiker Food'!M:M)*$D78)</f>
        <v/>
      </c>
      <c r="K78" s="42" t="str">
        <f t="array" ref="K78">if($C78="","",_xlfn.xlookup($C78,'Hiker Food'!$C:$C,'Hiker Food'!N:N)*$D78)</f>
        <v/>
      </c>
      <c r="L78" s="42" t="str">
        <f t="array" ref="L78">if($C78="","",_xlfn.xlookup($C78,'Hiker Food'!$C:$C,'Hiker Food'!O:O)*$D78)</f>
        <v/>
      </c>
      <c r="M78" s="42" t="str">
        <f t="array" ref="M78">if($C78="","",_xlfn.xlookup($C78,'Hiker Food'!$C:$C,'Hiker Food'!P:P)*$D78)</f>
        <v/>
      </c>
      <c r="N78" s="42" t="str">
        <f t="array" ref="N78">if($C78="","",_xlfn.xlookup($C78,'Hiker Food'!$C:$C,'Hiker Food'!Q:Q)*$D78)</f>
        <v/>
      </c>
      <c r="O78" s="42" t="str">
        <f t="array" ref="O78">if($C78="","",_xlfn.xlookup($C78,'Hiker Food'!$C:$C,'Hiker Food'!I:I)*$D78)</f>
        <v/>
      </c>
      <c r="P78" s="56" t="str">
        <f t="array" ref="P78">if($C78="","",_xlfn.xlookup($C78,'Hiker Food'!$C:$C,'Hiker Food'!T:T))</f>
        <v/>
      </c>
      <c r="Q78" s="57" t="str">
        <f t="array" ref="Q78">if($C78="","",_xlfn.xlookup($C78,'Hiker Food'!$C:$C,'Hiker Food'!U:U))</f>
        <v/>
      </c>
      <c r="R78" s="57" t="str">
        <f t="array" ref="R78">if($C78="","",_xlfn.xlookup($C78,'Hiker Food'!$C:$C,'Hiker Food'!V:V))</f>
        <v/>
      </c>
      <c r="S78" s="58" t="str">
        <f t="array" ref="S78">if($C78="","",_xlfn.xlookup($C78,'Hiker Food'!$C:$C,'Hiker Food'!W:W))</f>
        <v/>
      </c>
      <c r="T78" s="59"/>
      <c r="AC78" s="60"/>
    </row>
    <row r="79">
      <c r="A79" s="52"/>
      <c r="B79" s="61"/>
      <c r="C79" s="62"/>
      <c r="D79" s="63">
        <v>1.0</v>
      </c>
      <c r="E79" s="81" t="str">
        <f t="array" ref="E79">if(C79="","",_xlfn.xlookup(C79,'Hiker Food'!$C:$C,'Hiker Food'!G:G)*D79)</f>
        <v/>
      </c>
      <c r="F79" s="64" t="str">
        <f t="array" ref="F79">if(C79="","",_xlfn.xlookup(C79,'Hiker Food'!$C:$C,'Hiker Food'!H:H)*D79)</f>
        <v/>
      </c>
      <c r="G79" s="64" t="str">
        <f t="array" ref="G79">if($C79="","",_xlfn.xlookup($C79,'Hiker Food'!$C:$C,'Hiker Food'!J:J)*$D79)</f>
        <v/>
      </c>
      <c r="H79" s="64" t="str">
        <f t="array" ref="H79">if($C79="","",_xlfn.xlookup($C79,'Hiker Food'!$C:$C,'Hiker Food'!K:K)*$D79)</f>
        <v/>
      </c>
      <c r="I79" s="64" t="str">
        <f t="array" ref="I79">if($C79="","",_xlfn.xlookup($C79,'Hiker Food'!$C:$C,'Hiker Food'!L:L)*$D79)</f>
        <v/>
      </c>
      <c r="J79" s="64" t="str">
        <f t="array" ref="J79">if($C79="","",_xlfn.xlookup($C79,'Hiker Food'!$C:$C,'Hiker Food'!M:M)*$D79)</f>
        <v/>
      </c>
      <c r="K79" s="64" t="str">
        <f t="array" ref="K79">if($C79="","",_xlfn.xlookup($C79,'Hiker Food'!$C:$C,'Hiker Food'!N:N)*$D79)</f>
        <v/>
      </c>
      <c r="L79" s="64" t="str">
        <f t="array" ref="L79">if($C79="","",_xlfn.xlookup($C79,'Hiker Food'!$C:$C,'Hiker Food'!O:O)*$D79)</f>
        <v/>
      </c>
      <c r="M79" s="64" t="str">
        <f t="array" ref="M79">if($C79="","",_xlfn.xlookup($C79,'Hiker Food'!$C:$C,'Hiker Food'!P:P)*$D79)</f>
        <v/>
      </c>
      <c r="N79" s="64" t="str">
        <f t="array" ref="N79">if($C79="","",_xlfn.xlookup($C79,'Hiker Food'!$C:$C,'Hiker Food'!Q:Q)*$D79)</f>
        <v/>
      </c>
      <c r="O79" s="64" t="str">
        <f t="array" ref="O79">if($C79="","",_xlfn.xlookup($C79,'Hiker Food'!$C:$C,'Hiker Food'!I:I)*$D79)</f>
        <v/>
      </c>
      <c r="P79" s="81" t="str">
        <f t="array" ref="P79">if($C79="","",_xlfn.xlookup($C79,'Hiker Food'!$C:$C,'Hiker Food'!T:T))</f>
        <v/>
      </c>
      <c r="Q79" s="82" t="str">
        <f t="array" ref="Q79">if($C79="","",_xlfn.xlookup($C79,'Hiker Food'!$C:$C,'Hiker Food'!U:U))</f>
        <v/>
      </c>
      <c r="R79" s="82" t="str">
        <f t="array" ref="R79">if($C79="","",_xlfn.xlookup($C79,'Hiker Food'!$C:$C,'Hiker Food'!V:V))</f>
        <v/>
      </c>
      <c r="S79" s="83" t="str">
        <f t="array" ref="S79">if($C79="","",_xlfn.xlookup($C79,'Hiker Food'!$C:$C,'Hiker Food'!W:W))</f>
        <v/>
      </c>
      <c r="T79" s="65"/>
      <c r="U79" s="66"/>
      <c r="V79" s="66"/>
      <c r="W79" s="66"/>
      <c r="X79" s="66"/>
      <c r="Y79" s="66"/>
      <c r="Z79" s="66"/>
      <c r="AA79" s="66"/>
      <c r="AB79" s="66"/>
      <c r="AC79" s="67"/>
    </row>
    <row r="80">
      <c r="A80" s="52"/>
      <c r="B80" s="68" t="s">
        <v>366</v>
      </c>
      <c r="C80" s="90"/>
      <c r="D80" s="70">
        <v>1.0</v>
      </c>
      <c r="E80" s="71" t="str">
        <f t="array" ref="E80">if(C80="","",_xlfn.xlookup(C80,'Hiker Food'!$C:$C,'Hiker Food'!G:G)*D80)</f>
        <v/>
      </c>
      <c r="F80" s="42" t="str">
        <f t="array" ref="F80">if(C80="","",_xlfn.xlookup(C80,'Hiker Food'!$C:$C,'Hiker Food'!H:H)*D80)</f>
        <v/>
      </c>
      <c r="G80" s="72" t="str">
        <f t="array" ref="G80">if($C80="","",_xlfn.xlookup($C80,'Hiker Food'!$C:$C,'Hiker Food'!J:J)*$D80)</f>
        <v/>
      </c>
      <c r="H80" s="72" t="str">
        <f t="array" ref="H80">if($C80="","",_xlfn.xlookup($C80,'Hiker Food'!$C:$C,'Hiker Food'!K:K)*$D80)</f>
        <v/>
      </c>
      <c r="I80" s="72" t="str">
        <f t="array" ref="I80">if($C80="","",_xlfn.xlookup($C80,'Hiker Food'!$C:$C,'Hiker Food'!L:L)*$D80)</f>
        <v/>
      </c>
      <c r="J80" s="72" t="str">
        <f t="array" ref="J80">if($C80="","",_xlfn.xlookup($C80,'Hiker Food'!$C:$C,'Hiker Food'!M:M)*$D80)</f>
        <v/>
      </c>
      <c r="K80" s="72" t="str">
        <f t="array" ref="K80">if($C80="","",_xlfn.xlookup($C80,'Hiker Food'!$C:$C,'Hiker Food'!N:N)*$D80)</f>
        <v/>
      </c>
      <c r="L80" s="72" t="str">
        <f t="array" ref="L80">if($C80="","",_xlfn.xlookup($C80,'Hiker Food'!$C:$C,'Hiker Food'!O:O)*$D80)</f>
        <v/>
      </c>
      <c r="M80" s="72" t="str">
        <f t="array" ref="M80">if($C80="","",_xlfn.xlookup($C80,'Hiker Food'!$C:$C,'Hiker Food'!P:P)*$D80)</f>
        <v/>
      </c>
      <c r="N80" s="72" t="str">
        <f t="array" ref="N80">if($C80="","",_xlfn.xlookup($C80,'Hiker Food'!$C:$C,'Hiker Food'!Q:Q)*$D80)</f>
        <v/>
      </c>
      <c r="O80" s="72" t="str">
        <f t="array" ref="O80">if($C80="","",_xlfn.xlookup($C80,'Hiker Food'!$C:$C,'Hiker Food'!I:I)*$D80)</f>
        <v/>
      </c>
      <c r="P80" s="71" t="str">
        <f t="array" ref="P80">if($C80="","",_xlfn.xlookup($C80,'Hiker Food'!$C:$C,'Hiker Food'!T:T))</f>
        <v/>
      </c>
      <c r="Q80" s="73" t="str">
        <f t="array" ref="Q80">if($C80="","",_xlfn.xlookup($C80,'Hiker Food'!$C:$C,'Hiker Food'!U:U))</f>
        <v/>
      </c>
      <c r="R80" s="73" t="str">
        <f t="array" ref="R80">if($C80="","",_xlfn.xlookup($C80,'Hiker Food'!$C:$C,'Hiker Food'!V:V))</f>
        <v/>
      </c>
      <c r="S80" s="74" t="str">
        <f t="array" ref="S80">if($C80="","",_xlfn.xlookup($C80,'Hiker Food'!$C:$C,'Hiker Food'!W:W))</f>
        <v/>
      </c>
      <c r="T80" s="87" t="s">
        <v>366</v>
      </c>
      <c r="U80" s="76" t="str">
        <f>if(C80="","",Y80/V80)</f>
        <v/>
      </c>
      <c r="V80" s="96" t="str">
        <f>if($C80="","",sum(E80:E82))</f>
        <v/>
      </c>
      <c r="W80" s="77" t="str">
        <f>if($C80="","",$Y80/X80)</f>
        <v/>
      </c>
      <c r="X80" s="96" t="str">
        <f>if($C80="","",sum(F80:F82))</f>
        <v/>
      </c>
      <c r="Y80" s="96" t="str">
        <f>if($C80="","",sum(O80:O82))</f>
        <v/>
      </c>
      <c r="Z80" s="77" t="str">
        <f>if($C80="","",(sum(J80:J82)/sum(N80:N82)))</f>
        <v/>
      </c>
      <c r="AA80" s="78" t="str">
        <f>if($C80="","",sum(G80:G82)*9/sum(sum(G80:G82)*9+sum(J80:J82)*4+sum(N80:N82)*4))</f>
        <v/>
      </c>
      <c r="AB80" s="78" t="str">
        <f>if($C80="","",sum(L80:L82)*4/sum(sum(G80:G82)*9+sum(J80:J82)*4+sum(N80:N82)*4))</f>
        <v/>
      </c>
      <c r="AC80" s="79" t="str">
        <f>if($C80="","",(sum(H80:H82)/sum(O80:O82)))</f>
        <v/>
      </c>
    </row>
    <row r="81">
      <c r="A81" s="52"/>
      <c r="B81" s="53"/>
      <c r="C81" s="93"/>
      <c r="D81" s="55">
        <v>1.0</v>
      </c>
      <c r="E81" s="56" t="str">
        <f t="array" ref="E81">if(C81="","",_xlfn.xlookup(C81,'Hiker Food'!$C:$C,'Hiker Food'!G:G)*D81)</f>
        <v/>
      </c>
      <c r="F81" s="42" t="str">
        <f t="array" ref="F81">if(C81="","",_xlfn.xlookup(C81,'Hiker Food'!$C:$C,'Hiker Food'!H:H)*D81)</f>
        <v/>
      </c>
      <c r="G81" s="42" t="str">
        <f t="array" ref="G81">if($C81="","",_xlfn.xlookup($C81,'Hiker Food'!$C:$C,'Hiker Food'!J:J)*$D81)</f>
        <v/>
      </c>
      <c r="H81" s="42" t="str">
        <f t="array" ref="H81">if($C81="","",_xlfn.xlookup($C81,'Hiker Food'!$C:$C,'Hiker Food'!K:K)*$D81)</f>
        <v/>
      </c>
      <c r="I81" s="42" t="str">
        <f t="array" ref="I81">if($C81="","",_xlfn.xlookup($C81,'Hiker Food'!$C:$C,'Hiker Food'!L:L)*$D81)</f>
        <v/>
      </c>
      <c r="J81" s="42" t="str">
        <f t="array" ref="J81">if($C81="","",_xlfn.xlookup($C81,'Hiker Food'!$C:$C,'Hiker Food'!M:M)*$D81)</f>
        <v/>
      </c>
      <c r="K81" s="42" t="str">
        <f t="array" ref="K81">if($C81="","",_xlfn.xlookup($C81,'Hiker Food'!$C:$C,'Hiker Food'!N:N)*$D81)</f>
        <v/>
      </c>
      <c r="L81" s="42" t="str">
        <f t="array" ref="L81">if($C81="","",_xlfn.xlookup($C81,'Hiker Food'!$C:$C,'Hiker Food'!O:O)*$D81)</f>
        <v/>
      </c>
      <c r="M81" s="42" t="str">
        <f t="array" ref="M81">if($C81="","",_xlfn.xlookup($C81,'Hiker Food'!$C:$C,'Hiker Food'!P:P)*$D81)</f>
        <v/>
      </c>
      <c r="N81" s="42" t="str">
        <f t="array" ref="N81">if($C81="","",_xlfn.xlookup($C81,'Hiker Food'!$C:$C,'Hiker Food'!Q:Q)*$D81)</f>
        <v/>
      </c>
      <c r="O81" s="42" t="str">
        <f t="array" ref="O81">if($C81="","",_xlfn.xlookup($C81,'Hiker Food'!$C:$C,'Hiker Food'!I:I)*$D81)</f>
        <v/>
      </c>
      <c r="P81" s="56" t="str">
        <f t="array" ref="P81">if($C81="","",_xlfn.xlookup($C81,'Hiker Food'!$C:$C,'Hiker Food'!T:T))</f>
        <v/>
      </c>
      <c r="Q81" s="57" t="str">
        <f t="array" ref="Q81">if($C81="","",_xlfn.xlookup($C81,'Hiker Food'!$C:$C,'Hiker Food'!U:U))</f>
        <v/>
      </c>
      <c r="R81" s="57" t="str">
        <f t="array" ref="R81">if($C81="","",_xlfn.xlookup($C81,'Hiker Food'!$C:$C,'Hiker Food'!V:V))</f>
        <v/>
      </c>
      <c r="S81" s="58" t="str">
        <f t="array" ref="S81">if($C81="","",_xlfn.xlookup($C81,'Hiker Food'!$C:$C,'Hiker Food'!W:W))</f>
        <v/>
      </c>
      <c r="T81" s="59"/>
      <c r="AC81" s="60"/>
    </row>
    <row r="82">
      <c r="A82" s="52"/>
      <c r="B82" s="61"/>
      <c r="C82" s="54"/>
      <c r="D82" s="63">
        <v>1.0</v>
      </c>
      <c r="E82" s="81" t="str">
        <f t="array" ref="E82">if(C82="","",_xlfn.xlookup(C82,'Hiker Food'!$C:$C,'Hiker Food'!G:G)*D82)</f>
        <v/>
      </c>
      <c r="F82" s="64" t="str">
        <f t="array" ref="F82">if(C82="","",_xlfn.xlookup(C82,'Hiker Food'!$C:$C,'Hiker Food'!H:H)*D82)</f>
        <v/>
      </c>
      <c r="G82" s="64" t="str">
        <f t="array" ref="G82">if($C82="","",_xlfn.xlookup($C82,'Hiker Food'!$C:$C,'Hiker Food'!J:J)*$D82)</f>
        <v/>
      </c>
      <c r="H82" s="64" t="str">
        <f t="array" ref="H82">if($C82="","",_xlfn.xlookup($C82,'Hiker Food'!$C:$C,'Hiker Food'!K:K)*$D82)</f>
        <v/>
      </c>
      <c r="I82" s="64" t="str">
        <f t="array" ref="I82">if($C82="","",_xlfn.xlookup($C82,'Hiker Food'!$C:$C,'Hiker Food'!L:L)*$D82)</f>
        <v/>
      </c>
      <c r="J82" s="64" t="str">
        <f t="array" ref="J82">if($C82="","",_xlfn.xlookup($C82,'Hiker Food'!$C:$C,'Hiker Food'!M:M)*$D82)</f>
        <v/>
      </c>
      <c r="K82" s="64" t="str">
        <f t="array" ref="K82">if($C82="","",_xlfn.xlookup($C82,'Hiker Food'!$C:$C,'Hiker Food'!N:N)*$D82)</f>
        <v/>
      </c>
      <c r="L82" s="64" t="str">
        <f t="array" ref="L82">if($C82="","",_xlfn.xlookup($C82,'Hiker Food'!$C:$C,'Hiker Food'!O:O)*$D82)</f>
        <v/>
      </c>
      <c r="M82" s="64" t="str">
        <f t="array" ref="M82">if($C82="","",_xlfn.xlookup($C82,'Hiker Food'!$C:$C,'Hiker Food'!P:P)*$D82)</f>
        <v/>
      </c>
      <c r="N82" s="64" t="str">
        <f t="array" ref="N82">if($C82="","",_xlfn.xlookup($C82,'Hiker Food'!$C:$C,'Hiker Food'!Q:Q)*$D82)</f>
        <v/>
      </c>
      <c r="O82" s="64" t="str">
        <f t="array" ref="O82">if($C82="","",_xlfn.xlookup($C82,'Hiker Food'!$C:$C,'Hiker Food'!I:I)*$D82)</f>
        <v/>
      </c>
      <c r="P82" s="81" t="str">
        <f t="array" ref="P82">if($C82="","",_xlfn.xlookup($C82,'Hiker Food'!$C:$C,'Hiker Food'!T:T))</f>
        <v/>
      </c>
      <c r="Q82" s="82" t="str">
        <f t="array" ref="Q82">if($C82="","",_xlfn.xlookup($C82,'Hiker Food'!$C:$C,'Hiker Food'!U:U))</f>
        <v/>
      </c>
      <c r="R82" s="82" t="str">
        <f t="array" ref="R82">if($C82="","",_xlfn.xlookup($C82,'Hiker Food'!$C:$C,'Hiker Food'!V:V))</f>
        <v/>
      </c>
      <c r="S82" s="83" t="str">
        <f t="array" ref="S82">if($C82="","",_xlfn.xlookup($C82,'Hiker Food'!$C:$C,'Hiker Food'!W:W))</f>
        <v/>
      </c>
      <c r="T82" s="65"/>
      <c r="U82" s="66"/>
      <c r="V82" s="66"/>
      <c r="W82" s="66"/>
      <c r="X82" s="66"/>
      <c r="Y82" s="66"/>
      <c r="Z82" s="66"/>
      <c r="AA82" s="66"/>
      <c r="AB82" s="66"/>
      <c r="AC82" s="67"/>
    </row>
    <row r="83">
      <c r="A83" s="52"/>
      <c r="B83" s="94" t="s">
        <v>424</v>
      </c>
      <c r="C83" s="90"/>
      <c r="D83" s="70">
        <v>1.0</v>
      </c>
      <c r="E83" s="71" t="str">
        <f t="array" ref="E83">if(C83="","",_xlfn.xlookup(C83,'Hiker Food'!$C:$C,'Hiker Food'!G:G)*D83)</f>
        <v/>
      </c>
      <c r="F83" s="42" t="str">
        <f t="array" ref="F83">if(C83="","",_xlfn.xlookup(C83,'Hiker Food'!$C:$C,'Hiker Food'!H:H)*D83)</f>
        <v/>
      </c>
      <c r="G83" s="72" t="str">
        <f t="array" ref="G83">if($C83="","",_xlfn.xlookup($C83,'Hiker Food'!$C:$C,'Hiker Food'!J:J)*$D83)</f>
        <v/>
      </c>
      <c r="H83" s="72" t="str">
        <f t="array" ref="H83">if($C83="","",_xlfn.xlookup($C83,'Hiker Food'!$C:$C,'Hiker Food'!K:K)*$D83)</f>
        <v/>
      </c>
      <c r="I83" s="72" t="str">
        <f t="array" ref="I83">if($C83="","",_xlfn.xlookup($C83,'Hiker Food'!$C:$C,'Hiker Food'!L:L)*$D83)</f>
        <v/>
      </c>
      <c r="J83" s="72" t="str">
        <f t="array" ref="J83">if($C83="","",_xlfn.xlookup($C83,'Hiker Food'!$C:$C,'Hiker Food'!M:M)*$D83)</f>
        <v/>
      </c>
      <c r="K83" s="72" t="str">
        <f t="array" ref="K83">if($C83="","",_xlfn.xlookup($C83,'Hiker Food'!$C:$C,'Hiker Food'!N:N)*$D83)</f>
        <v/>
      </c>
      <c r="L83" s="72" t="str">
        <f t="array" ref="L83">if($C83="","",_xlfn.xlookup($C83,'Hiker Food'!$C:$C,'Hiker Food'!O:O)*$D83)</f>
        <v/>
      </c>
      <c r="M83" s="72" t="str">
        <f t="array" ref="M83">if($C83="","",_xlfn.xlookup($C83,'Hiker Food'!$C:$C,'Hiker Food'!P:P)*$D83)</f>
        <v/>
      </c>
      <c r="N83" s="72" t="str">
        <f t="array" ref="N83">if($C83="","",_xlfn.xlookup($C83,'Hiker Food'!$C:$C,'Hiker Food'!Q:Q)*$D83)</f>
        <v/>
      </c>
      <c r="O83" s="72" t="str">
        <f t="array" ref="O83">if($C83="","",_xlfn.xlookup($C83,'Hiker Food'!$C:$C,'Hiker Food'!I:I)*$D83)</f>
        <v/>
      </c>
      <c r="P83" s="71" t="str">
        <f t="array" ref="P83">if($C83="","",_xlfn.xlookup($C83,'Hiker Food'!$C:$C,'Hiker Food'!T:T))</f>
        <v/>
      </c>
      <c r="Q83" s="73" t="str">
        <f t="array" ref="Q83">if($C83="","",_xlfn.xlookup($C83,'Hiker Food'!$C:$C,'Hiker Food'!U:U))</f>
        <v/>
      </c>
      <c r="R83" s="73" t="str">
        <f t="array" ref="R83">if($C83="","",_xlfn.xlookup($C83,'Hiker Food'!$C:$C,'Hiker Food'!V:V))</f>
        <v/>
      </c>
      <c r="S83" s="74" t="str">
        <f t="array" ref="S83">if($C83="","",_xlfn.xlookup($C83,'Hiker Food'!$C:$C,'Hiker Food'!W:W))</f>
        <v/>
      </c>
      <c r="T83" s="95" t="s">
        <v>424</v>
      </c>
      <c r="U83" s="76" t="str">
        <f>if(C83="","",Y83/V83)</f>
        <v/>
      </c>
      <c r="V83" s="96" t="str">
        <f>if($C83="","",sum(E83:E85))</f>
        <v/>
      </c>
      <c r="W83" s="77" t="str">
        <f>if($C83="","",$Y83/X83)</f>
        <v/>
      </c>
      <c r="X83" s="96" t="str">
        <f>if($C83="","",sum(F83:F85))</f>
        <v/>
      </c>
      <c r="Y83" s="96" t="str">
        <f>if($C83="","",sum(O83:O85))</f>
        <v/>
      </c>
      <c r="Z83" s="77" t="str">
        <f>if($C83="","",(sum(J83:J85)/sum(N83:N85)))</f>
        <v/>
      </c>
      <c r="AA83" s="78" t="str">
        <f>if($C83="","",sum(G83:G85)*9/sum(sum(G83:G85)*9+sum(J83:J85)*4+sum(N83:N85)*4))</f>
        <v/>
      </c>
      <c r="AB83" s="78" t="str">
        <f>if($C83="","",sum(L83:L85)*4/sum(sum(G83:G85)*9+sum(J83:J85)*4+sum(N83:N85)*4))</f>
        <v/>
      </c>
      <c r="AC83" s="79" t="str">
        <f>if($C83="","",(sum(H83:H85)/sum(O83:O85)))</f>
        <v/>
      </c>
    </row>
    <row r="84">
      <c r="A84" s="52"/>
      <c r="B84" s="53"/>
      <c r="C84" s="54"/>
      <c r="D84" s="55">
        <v>1.0</v>
      </c>
      <c r="E84" s="56" t="str">
        <f t="array" ref="E84">if(C84="","",_xlfn.xlookup(C84,'Hiker Food'!$C:$C,'Hiker Food'!G:G)*D84)</f>
        <v/>
      </c>
      <c r="F84" s="42" t="str">
        <f t="array" ref="F84">if(C84="","",_xlfn.xlookup(C84,'Hiker Food'!$C:$C,'Hiker Food'!H:H)*D84)</f>
        <v/>
      </c>
      <c r="G84" s="42" t="str">
        <f t="array" ref="G84">if($C84="","",_xlfn.xlookup($C84,'Hiker Food'!$C:$C,'Hiker Food'!J:J)*$D84)</f>
        <v/>
      </c>
      <c r="H84" s="42" t="str">
        <f t="array" ref="H84">if($C84="","",_xlfn.xlookup($C84,'Hiker Food'!$C:$C,'Hiker Food'!K:K)*$D84)</f>
        <v/>
      </c>
      <c r="I84" s="42" t="str">
        <f t="array" ref="I84">if($C84="","",_xlfn.xlookup($C84,'Hiker Food'!$C:$C,'Hiker Food'!L:L)*$D84)</f>
        <v/>
      </c>
      <c r="J84" s="42" t="str">
        <f t="array" ref="J84">if($C84="","",_xlfn.xlookup($C84,'Hiker Food'!$C:$C,'Hiker Food'!M:M)*$D84)</f>
        <v/>
      </c>
      <c r="K84" s="42" t="str">
        <f t="array" ref="K84">if($C84="","",_xlfn.xlookup($C84,'Hiker Food'!$C:$C,'Hiker Food'!N:N)*$D84)</f>
        <v/>
      </c>
      <c r="L84" s="42" t="str">
        <f t="array" ref="L84">if($C84="","",_xlfn.xlookup($C84,'Hiker Food'!$C:$C,'Hiker Food'!O:O)*$D84)</f>
        <v/>
      </c>
      <c r="M84" s="42" t="str">
        <f t="array" ref="M84">if($C84="","",_xlfn.xlookup($C84,'Hiker Food'!$C:$C,'Hiker Food'!P:P)*$D84)</f>
        <v/>
      </c>
      <c r="N84" s="42" t="str">
        <f t="array" ref="N84">if($C84="","",_xlfn.xlookup($C84,'Hiker Food'!$C:$C,'Hiker Food'!Q:Q)*$D84)</f>
        <v/>
      </c>
      <c r="O84" s="42" t="str">
        <f t="array" ref="O84">if($C84="","",_xlfn.xlookup($C84,'Hiker Food'!$C:$C,'Hiker Food'!I:I)*$D84)</f>
        <v/>
      </c>
      <c r="P84" s="56" t="str">
        <f t="array" ref="P84">if($C84="","",_xlfn.xlookup($C84,'Hiker Food'!$C:$C,'Hiker Food'!T:T))</f>
        <v/>
      </c>
      <c r="Q84" s="57" t="str">
        <f t="array" ref="Q84">if($C84="","",_xlfn.xlookup($C84,'Hiker Food'!$C:$C,'Hiker Food'!U:U))</f>
        <v/>
      </c>
      <c r="R84" s="57" t="str">
        <f t="array" ref="R84">if($C84="","",_xlfn.xlookup($C84,'Hiker Food'!$C:$C,'Hiker Food'!V:V))</f>
        <v/>
      </c>
      <c r="S84" s="58" t="str">
        <f t="array" ref="S84">if($C84="","",_xlfn.xlookup($C84,'Hiker Food'!$C:$C,'Hiker Food'!W:W))</f>
        <v/>
      </c>
      <c r="T84" s="59"/>
      <c r="AC84" s="60"/>
    </row>
    <row r="85">
      <c r="A85" s="52"/>
      <c r="B85" s="61"/>
      <c r="C85" s="54"/>
      <c r="D85" s="63">
        <v>1.0</v>
      </c>
      <c r="E85" s="81" t="str">
        <f t="array" ref="E85">if(C85="","",_xlfn.xlookup(C85,'Hiker Food'!$C:$C,'Hiker Food'!G:G)*D85)</f>
        <v/>
      </c>
      <c r="F85" s="64" t="str">
        <f t="array" ref="F85">if(C85="","",_xlfn.xlookup(C85,'Hiker Food'!$C:$C,'Hiker Food'!H:H)*D85)</f>
        <v/>
      </c>
      <c r="G85" s="64" t="str">
        <f t="array" ref="G85">if($C85="","",_xlfn.xlookup($C85,'Hiker Food'!$C:$C,'Hiker Food'!J:J)*$D85)</f>
        <v/>
      </c>
      <c r="H85" s="64" t="str">
        <f t="array" ref="H85">if($C85="","",_xlfn.xlookup($C85,'Hiker Food'!$C:$C,'Hiker Food'!K:K)*$D85)</f>
        <v/>
      </c>
      <c r="I85" s="64" t="str">
        <f t="array" ref="I85">if($C85="","",_xlfn.xlookup($C85,'Hiker Food'!$C:$C,'Hiker Food'!L:L)*$D85)</f>
        <v/>
      </c>
      <c r="J85" s="64" t="str">
        <f t="array" ref="J85">if($C85="","",_xlfn.xlookup($C85,'Hiker Food'!$C:$C,'Hiker Food'!M:M)*$D85)</f>
        <v/>
      </c>
      <c r="K85" s="64" t="str">
        <f t="array" ref="K85">if($C85="","",_xlfn.xlookup($C85,'Hiker Food'!$C:$C,'Hiker Food'!N:N)*$D85)</f>
        <v/>
      </c>
      <c r="L85" s="64" t="str">
        <f t="array" ref="L85">if($C85="","",_xlfn.xlookup($C85,'Hiker Food'!$C:$C,'Hiker Food'!O:O)*$D85)</f>
        <v/>
      </c>
      <c r="M85" s="64" t="str">
        <f t="array" ref="M85">if($C85="","",_xlfn.xlookup($C85,'Hiker Food'!$C:$C,'Hiker Food'!P:P)*$D85)</f>
        <v/>
      </c>
      <c r="N85" s="64" t="str">
        <f t="array" ref="N85">if($C85="","",_xlfn.xlookup($C85,'Hiker Food'!$C:$C,'Hiker Food'!Q:Q)*$D85)</f>
        <v/>
      </c>
      <c r="O85" s="64" t="str">
        <f t="array" ref="O85">if($C85="","",_xlfn.xlookup($C85,'Hiker Food'!$C:$C,'Hiker Food'!I:I)*$D85)</f>
        <v/>
      </c>
      <c r="P85" s="81" t="str">
        <f t="array" ref="P85">if($C85="","",_xlfn.xlookup($C85,'Hiker Food'!$C:$C,'Hiker Food'!T:T))</f>
        <v/>
      </c>
      <c r="Q85" s="82" t="str">
        <f t="array" ref="Q85">if($C85="","",_xlfn.xlookup($C85,'Hiker Food'!$C:$C,'Hiker Food'!U:U))</f>
        <v/>
      </c>
      <c r="R85" s="82" t="str">
        <f t="array" ref="R85">if($C85="","",_xlfn.xlookup($C85,'Hiker Food'!$C:$C,'Hiker Food'!V:V))</f>
        <v/>
      </c>
      <c r="S85" s="83" t="str">
        <f t="array" ref="S85">if($C85="","",_xlfn.xlookup($C85,'Hiker Food'!$C:$C,'Hiker Food'!W:W))</f>
        <v/>
      </c>
      <c r="T85" s="65"/>
      <c r="U85" s="66"/>
      <c r="V85" s="66"/>
      <c r="W85" s="66"/>
      <c r="X85" s="66"/>
      <c r="Y85" s="66"/>
      <c r="Z85" s="66"/>
      <c r="AA85" s="66"/>
      <c r="AB85" s="66"/>
      <c r="AC85" s="67"/>
    </row>
    <row r="86">
      <c r="A86" s="52"/>
      <c r="B86" s="94" t="s">
        <v>478</v>
      </c>
      <c r="C86" s="90"/>
      <c r="D86" s="70">
        <v>1.0</v>
      </c>
      <c r="E86" s="71" t="str">
        <f t="array" ref="E86">if(C86="","",_xlfn.xlookup(C86,'Hiker Food'!$C:$C,'Hiker Food'!G:G)*D86)</f>
        <v/>
      </c>
      <c r="F86" s="42" t="str">
        <f t="array" ref="F86">if(C86="","",_xlfn.xlookup(C86,'Hiker Food'!$C:$C,'Hiker Food'!H:H)*D86)</f>
        <v/>
      </c>
      <c r="G86" s="72" t="str">
        <f t="array" ref="G86">if($C86="","",_xlfn.xlookup($C86,'Hiker Food'!$C:$C,'Hiker Food'!J:J)*$D86)</f>
        <v/>
      </c>
      <c r="H86" s="72" t="str">
        <f t="array" ref="H86">if($C86="","",_xlfn.xlookup($C86,'Hiker Food'!$C:$C,'Hiker Food'!K:K)*$D86)</f>
        <v/>
      </c>
      <c r="I86" s="72" t="str">
        <f t="array" ref="I86">if($C86="","",_xlfn.xlookup($C86,'Hiker Food'!$C:$C,'Hiker Food'!L:L)*$D86)</f>
        <v/>
      </c>
      <c r="J86" s="72" t="str">
        <f t="array" ref="J86">if($C86="","",_xlfn.xlookup($C86,'Hiker Food'!$C:$C,'Hiker Food'!M:M)*$D86)</f>
        <v/>
      </c>
      <c r="K86" s="72" t="str">
        <f t="array" ref="K86">if($C86="","",_xlfn.xlookup($C86,'Hiker Food'!$C:$C,'Hiker Food'!N:N)*$D86)</f>
        <v/>
      </c>
      <c r="L86" s="72" t="str">
        <f t="array" ref="L86">if($C86="","",_xlfn.xlookup($C86,'Hiker Food'!$C:$C,'Hiker Food'!O:O)*$D86)</f>
        <v/>
      </c>
      <c r="M86" s="72" t="str">
        <f t="array" ref="M86">if($C86="","",_xlfn.xlookup($C86,'Hiker Food'!$C:$C,'Hiker Food'!P:P)*$D86)</f>
        <v/>
      </c>
      <c r="N86" s="72" t="str">
        <f t="array" ref="N86">if($C86="","",_xlfn.xlookup($C86,'Hiker Food'!$C:$C,'Hiker Food'!Q:Q)*$D86)</f>
        <v/>
      </c>
      <c r="O86" s="72" t="str">
        <f t="array" ref="O86">if($C86="","",_xlfn.xlookup($C86,'Hiker Food'!$C:$C,'Hiker Food'!I:I)*$D86)</f>
        <v/>
      </c>
      <c r="P86" s="71" t="str">
        <f t="array" ref="P86">if($C86="","",_xlfn.xlookup($C86,'Hiker Food'!$C:$C,'Hiker Food'!T:T))</f>
        <v/>
      </c>
      <c r="Q86" s="73" t="str">
        <f t="array" ref="Q86">if($C86="","",_xlfn.xlookup($C86,'Hiker Food'!$C:$C,'Hiker Food'!U:U))</f>
        <v/>
      </c>
      <c r="R86" s="73" t="str">
        <f t="array" ref="R86">if($C86="","",_xlfn.xlookup($C86,'Hiker Food'!$C:$C,'Hiker Food'!V:V))</f>
        <v/>
      </c>
      <c r="S86" s="74" t="str">
        <f t="array" ref="S86">if($C86="","",_xlfn.xlookup($C86,'Hiker Food'!$C:$C,'Hiker Food'!W:W))</f>
        <v/>
      </c>
      <c r="T86" s="95" t="s">
        <v>478</v>
      </c>
      <c r="U86" s="76" t="str">
        <f>if(C86="","",Y86/V86)</f>
        <v/>
      </c>
      <c r="V86" s="96" t="str">
        <f>if($C86="","",sum(E86:E88))</f>
        <v/>
      </c>
      <c r="W86" s="77" t="str">
        <f>if($C86="","",$Y86/X86)</f>
        <v/>
      </c>
      <c r="X86" s="96" t="str">
        <f>if($C86="","",sum(F86:F88))</f>
        <v/>
      </c>
      <c r="Y86" s="96" t="str">
        <f>if($C86="","",sum(O86:O88))</f>
        <v/>
      </c>
      <c r="Z86" s="77" t="str">
        <f>if($C86="","",(sum(J86:J88)/sum(N86:N88)))</f>
        <v/>
      </c>
      <c r="AA86" s="78" t="str">
        <f>if($C86="","",sum(G86:G88)*9/sum(sum(G86:G88)*9+sum(J86:J88)*4+sum(N86:N88)*4))</f>
        <v/>
      </c>
      <c r="AB86" s="78" t="str">
        <f>if($C86="","",sum(L86:L88)*4/sum(sum(G86:G88)*9+sum(J86:J88)*4+sum(N86:N88)*4))</f>
        <v/>
      </c>
      <c r="AC86" s="79" t="str">
        <f>if($C86="","",(sum(H86:H88)/sum(O86:O88)))</f>
        <v/>
      </c>
    </row>
    <row r="87">
      <c r="A87" s="52"/>
      <c r="B87" s="53"/>
      <c r="C87" s="93"/>
      <c r="D87" s="55">
        <v>1.0</v>
      </c>
      <c r="E87" s="56" t="str">
        <f t="array" ref="E87">if(C87="","",_xlfn.xlookup(C87,'Hiker Food'!$C:$C,'Hiker Food'!G:G)*D87)</f>
        <v/>
      </c>
      <c r="F87" s="42" t="str">
        <f t="array" ref="F87">if(C87="","",_xlfn.xlookup(C87,'Hiker Food'!$C:$C,'Hiker Food'!H:H)*D87)</f>
        <v/>
      </c>
      <c r="G87" s="42" t="str">
        <f t="array" ref="G87">if($C87="","",_xlfn.xlookup($C87,'Hiker Food'!$C:$C,'Hiker Food'!J:J)*$D87)</f>
        <v/>
      </c>
      <c r="H87" s="42" t="str">
        <f t="array" ref="H87">if($C87="","",_xlfn.xlookup($C87,'Hiker Food'!$C:$C,'Hiker Food'!K:K)*$D87)</f>
        <v/>
      </c>
      <c r="I87" s="42" t="str">
        <f t="array" ref="I87">if($C87="","",_xlfn.xlookup($C87,'Hiker Food'!$C:$C,'Hiker Food'!L:L)*$D87)</f>
        <v/>
      </c>
      <c r="J87" s="42" t="str">
        <f t="array" ref="J87">if($C87="","",_xlfn.xlookup($C87,'Hiker Food'!$C:$C,'Hiker Food'!M:M)*$D87)</f>
        <v/>
      </c>
      <c r="K87" s="42" t="str">
        <f t="array" ref="K87">if($C87="","",_xlfn.xlookup($C87,'Hiker Food'!$C:$C,'Hiker Food'!N:N)*$D87)</f>
        <v/>
      </c>
      <c r="L87" s="42" t="str">
        <f t="array" ref="L87">if($C87="","",_xlfn.xlookup($C87,'Hiker Food'!$C:$C,'Hiker Food'!O:O)*$D87)</f>
        <v/>
      </c>
      <c r="M87" s="42" t="str">
        <f t="array" ref="M87">if($C87="","",_xlfn.xlookup($C87,'Hiker Food'!$C:$C,'Hiker Food'!P:P)*$D87)</f>
        <v/>
      </c>
      <c r="N87" s="42" t="str">
        <f t="array" ref="N87">if($C87="","",_xlfn.xlookup($C87,'Hiker Food'!$C:$C,'Hiker Food'!Q:Q)*$D87)</f>
        <v/>
      </c>
      <c r="O87" s="42" t="str">
        <f t="array" ref="O87">if($C87="","",_xlfn.xlookup($C87,'Hiker Food'!$C:$C,'Hiker Food'!I:I)*$D87)</f>
        <v/>
      </c>
      <c r="P87" s="56" t="str">
        <f t="array" ref="P87">if($C87="","",_xlfn.xlookup($C87,'Hiker Food'!$C:$C,'Hiker Food'!T:T))</f>
        <v/>
      </c>
      <c r="Q87" s="57" t="str">
        <f t="array" ref="Q87">if($C87="","",_xlfn.xlookup($C87,'Hiker Food'!$C:$C,'Hiker Food'!U:U))</f>
        <v/>
      </c>
      <c r="R87" s="57" t="str">
        <f t="array" ref="R87">if($C87="","",_xlfn.xlookup($C87,'Hiker Food'!$C:$C,'Hiker Food'!V:V))</f>
        <v/>
      </c>
      <c r="S87" s="58" t="str">
        <f t="array" ref="S87">if($C87="","",_xlfn.xlookup($C87,'Hiker Food'!$C:$C,'Hiker Food'!W:W))</f>
        <v/>
      </c>
      <c r="T87" s="59"/>
      <c r="AC87" s="60"/>
    </row>
    <row r="88">
      <c r="A88" s="52"/>
      <c r="B88" s="61"/>
      <c r="C88" s="62"/>
      <c r="D88" s="63">
        <v>1.0</v>
      </c>
      <c r="E88" s="81" t="str">
        <f t="array" ref="E88">if(C88="","",_xlfn.xlookup(C88,'Hiker Food'!$C:$C,'Hiker Food'!G:G)*D88)</f>
        <v/>
      </c>
      <c r="F88" s="64" t="str">
        <f t="array" ref="F88">if(C88="","",_xlfn.xlookup(C88,'Hiker Food'!$C:$C,'Hiker Food'!H:H)*D88)</f>
        <v/>
      </c>
      <c r="G88" s="64" t="str">
        <f t="array" ref="G88">if($C88="","",_xlfn.xlookup($C88,'Hiker Food'!$C:$C,'Hiker Food'!J:J)*$D88)</f>
        <v/>
      </c>
      <c r="H88" s="64" t="str">
        <f t="array" ref="H88">if($C88="","",_xlfn.xlookup($C88,'Hiker Food'!$C:$C,'Hiker Food'!K:K)*$D88)</f>
        <v/>
      </c>
      <c r="I88" s="64" t="str">
        <f t="array" ref="I88">if($C88="","",_xlfn.xlookup($C88,'Hiker Food'!$C:$C,'Hiker Food'!L:L)*$D88)</f>
        <v/>
      </c>
      <c r="J88" s="64" t="str">
        <f t="array" ref="J88">if($C88="","",_xlfn.xlookup($C88,'Hiker Food'!$C:$C,'Hiker Food'!M:M)*$D88)</f>
        <v/>
      </c>
      <c r="K88" s="64" t="str">
        <f t="array" ref="K88">if($C88="","",_xlfn.xlookup($C88,'Hiker Food'!$C:$C,'Hiker Food'!N:N)*$D88)</f>
        <v/>
      </c>
      <c r="L88" s="64" t="str">
        <f t="array" ref="L88">if($C88="","",_xlfn.xlookup($C88,'Hiker Food'!$C:$C,'Hiker Food'!O:O)*$D88)</f>
        <v/>
      </c>
      <c r="M88" s="64" t="str">
        <f t="array" ref="M88">if($C88="","",_xlfn.xlookup($C88,'Hiker Food'!$C:$C,'Hiker Food'!P:P)*$D88)</f>
        <v/>
      </c>
      <c r="N88" s="64" t="str">
        <f t="array" ref="N88">if($C88="","",_xlfn.xlookup($C88,'Hiker Food'!$C:$C,'Hiker Food'!Q:Q)*$D88)</f>
        <v/>
      </c>
      <c r="O88" s="64" t="str">
        <f t="array" ref="O88">if($C88="","",_xlfn.xlookup($C88,'Hiker Food'!$C:$C,'Hiker Food'!I:I)*$D88)</f>
        <v/>
      </c>
      <c r="P88" s="81" t="str">
        <f t="array" ref="P88">if($C88="","",_xlfn.xlookup($C88,'Hiker Food'!$C:$C,'Hiker Food'!T:T))</f>
        <v/>
      </c>
      <c r="Q88" s="82" t="str">
        <f t="array" ref="Q88">if($C88="","",_xlfn.xlookup($C88,'Hiker Food'!$C:$C,'Hiker Food'!U:U))</f>
        <v/>
      </c>
      <c r="R88" s="82" t="str">
        <f t="array" ref="R88">if($C88="","",_xlfn.xlookup($C88,'Hiker Food'!$C:$C,'Hiker Food'!V:V))</f>
        <v/>
      </c>
      <c r="S88" s="83" t="str">
        <f t="array" ref="S88">if($C88="","",_xlfn.xlookup($C88,'Hiker Food'!$C:$C,'Hiker Food'!W:W))</f>
        <v/>
      </c>
      <c r="T88" s="65"/>
      <c r="U88" s="66"/>
      <c r="V88" s="66"/>
      <c r="W88" s="66"/>
      <c r="X88" s="66"/>
      <c r="Y88" s="66"/>
      <c r="Z88" s="66"/>
      <c r="AA88" s="66"/>
      <c r="AB88" s="66"/>
      <c r="AC88" s="67"/>
    </row>
    <row r="89">
      <c r="A89" s="97"/>
      <c r="B89" s="98" t="s">
        <v>532</v>
      </c>
      <c r="C89" s="99" t="str">
        <f>IF(COUNTIF(C68:C88,"")=COUNTA(C68:C88), "", "zzzz - subtotal line - ignore")</f>
        <v>zzzz - subtotal line - ignore</v>
      </c>
      <c r="D89" s="99"/>
      <c r="E89" s="100" t="str">
        <f t="shared" ref="E89:O89" si="4">if(counta($C68:$C88)=0,"",SUM(E68:E88))</f>
        <v/>
      </c>
      <c r="F89" s="101" t="str">
        <f t="shared" si="4"/>
        <v/>
      </c>
      <c r="G89" s="101" t="str">
        <f t="shared" si="4"/>
        <v/>
      </c>
      <c r="H89" s="101" t="str">
        <f t="shared" si="4"/>
        <v/>
      </c>
      <c r="I89" s="101" t="str">
        <f t="shared" si="4"/>
        <v/>
      </c>
      <c r="J89" s="101" t="str">
        <f t="shared" si="4"/>
        <v/>
      </c>
      <c r="K89" s="101" t="str">
        <f t="shared" si="4"/>
        <v/>
      </c>
      <c r="L89" s="101" t="str">
        <f t="shared" si="4"/>
        <v/>
      </c>
      <c r="M89" s="101" t="str">
        <f t="shared" si="4"/>
        <v/>
      </c>
      <c r="N89" s="101" t="str">
        <f t="shared" si="4"/>
        <v/>
      </c>
      <c r="O89" s="101" t="str">
        <f t="shared" si="4"/>
        <v/>
      </c>
      <c r="P89" s="102"/>
      <c r="Q89" s="102"/>
      <c r="R89" s="102"/>
      <c r="S89" s="102"/>
      <c r="T89" s="98" t="s">
        <v>532</v>
      </c>
      <c r="U89" s="100"/>
      <c r="V89" s="100" t="str">
        <f>if(counta($C68:$C88)=0,"",SUM(E68:E88))</f>
        <v/>
      </c>
      <c r="W89" s="101"/>
      <c r="X89" s="101" t="str">
        <f>if(counta($C68:$C88)=0,"",SUM(F68:F88))</f>
        <v/>
      </c>
      <c r="Y89" s="101" t="str">
        <f>if(counta($C68:$C88)=0,"",SUM(O68:O88))</f>
        <v/>
      </c>
      <c r="Z89" s="103" t="str">
        <f>if($V89="","",sum(J68:J88)/sum(N68:N88))</f>
        <v/>
      </c>
      <c r="AA89" s="104" t="str">
        <f>if($V89="","",sum(G68:G88)*9/sum(sum(G68:G88)*9+sum(J68:J88)*4+sum(N68:N88)*4))</f>
        <v/>
      </c>
      <c r="AB89" s="104" t="str">
        <f>if($V89="","",sum(L68:L88)*4/sum(sum(G68:G88)*9+sum(J68:J88)*4+sum(N68:N88)*4))</f>
        <v/>
      </c>
      <c r="AC89" s="105" t="str">
        <f>if($V89="","",sum(H68:H88)/sum(O68:O88))</f>
        <v/>
      </c>
    </row>
    <row r="90">
      <c r="A90" s="37">
        <v>5.0</v>
      </c>
      <c r="B90" s="38" t="s">
        <v>92</v>
      </c>
      <c r="C90" s="39"/>
      <c r="D90" s="40">
        <v>1.0</v>
      </c>
      <c r="E90" s="41" t="str">
        <f t="array" ref="E90">if(C90="","",_xlfn.xlookup(C90,'Hiker Food'!$C:$C,'Hiker Food'!G:G)*D90)</f>
        <v/>
      </c>
      <c r="F90" s="42" t="str">
        <f t="array" ref="F90">if(C90="","",_xlfn.xlookup(C90,'Hiker Food'!$C:$C,'Hiker Food'!H:H)*D90)</f>
        <v/>
      </c>
      <c r="G90" s="43" t="str">
        <f t="array" ref="G90">if($C90="","",_xlfn.xlookup($C90,'Hiker Food'!$C:$C,'Hiker Food'!J:J)*$D90)</f>
        <v/>
      </c>
      <c r="H90" s="43" t="str">
        <f t="array" ref="H90">if($C90="","",_xlfn.xlookup($C90,'Hiker Food'!$C:$C,'Hiker Food'!K:K)*$D90)</f>
        <v/>
      </c>
      <c r="I90" s="43" t="str">
        <f t="array" ref="I90">if($C90="","",_xlfn.xlookup($C90,'Hiker Food'!$C:$C,'Hiker Food'!L:L)*$D90)</f>
        <v/>
      </c>
      <c r="J90" s="43" t="str">
        <f t="array" ref="J90">if($C90="","",_xlfn.xlookup($C90,'Hiker Food'!$C:$C,'Hiker Food'!M:M)*$D90)</f>
        <v/>
      </c>
      <c r="K90" s="43" t="str">
        <f t="array" ref="K90">if($C90="","",_xlfn.xlookup($C90,'Hiker Food'!$C:$C,'Hiker Food'!N:N)*$D90)</f>
        <v/>
      </c>
      <c r="L90" s="43" t="str">
        <f t="array" ref="L90">if($C90="","",_xlfn.xlookup($C90,'Hiker Food'!$C:$C,'Hiker Food'!O:O)*$D90)</f>
        <v/>
      </c>
      <c r="M90" s="43" t="str">
        <f t="array" ref="M90">if($C90="","",_xlfn.xlookup($C90,'Hiker Food'!$C:$C,'Hiker Food'!P:P)*$D90)</f>
        <v/>
      </c>
      <c r="N90" s="43" t="str">
        <f t="array" ref="N90">if($C90="","",_xlfn.xlookup($C90,'Hiker Food'!$C:$C,'Hiker Food'!Q:Q)*$D90)</f>
        <v/>
      </c>
      <c r="O90" s="43" t="str">
        <f t="array" ref="O90">if($C90="","",_xlfn.xlookup($C90,'Hiker Food'!$C:$C,'Hiker Food'!I:I)*$D90)</f>
        <v/>
      </c>
      <c r="P90" s="41" t="str">
        <f t="array" ref="P90">if($C90="","",_xlfn.xlookup($C90,'Hiker Food'!$C:$C,'Hiker Food'!T:T))</f>
        <v/>
      </c>
      <c r="Q90" s="44" t="str">
        <f t="array" ref="Q90">if($C90="","",_xlfn.xlookup($C90,'Hiker Food'!$C:$C,'Hiker Food'!U:U))</f>
        <v/>
      </c>
      <c r="R90" s="44" t="str">
        <f t="array" ref="R90">if($C90="","",_xlfn.xlookup($C90,'Hiker Food'!$C:$C,'Hiker Food'!V:V))</f>
        <v/>
      </c>
      <c r="S90" s="45" t="str">
        <f t="array" ref="S90">if($C90="","",_xlfn.xlookup($C90,'Hiker Food'!$C:$C,'Hiker Food'!W:W))</f>
        <v/>
      </c>
      <c r="T90" s="46" t="s">
        <v>92</v>
      </c>
      <c r="U90" s="47" t="str">
        <f>if($C90="","",$Y90/V90)</f>
        <v/>
      </c>
      <c r="V90" s="114" t="str">
        <f>if($C90="","",sum(E90:E92))</f>
        <v/>
      </c>
      <c r="W90" s="48" t="str">
        <f>if($C90="","",$Y90/X90)</f>
        <v/>
      </c>
      <c r="X90" s="114" t="str">
        <f>if($C90="","",sum(F90:F92))</f>
        <v/>
      </c>
      <c r="Y90" s="114" t="str">
        <f>if($C90="","",sum(O90:O92))</f>
        <v/>
      </c>
      <c r="Z90" s="49" t="str">
        <f>if($C90="","",(sum(J90:J92)/sum(N90:N92)))</f>
        <v/>
      </c>
      <c r="AA90" s="50" t="str">
        <f>if($C90="","",sum(G90:G92)*9/sum(sum(G90:G92)*9+sum(J90:J92)*4+sum(N90:N92)*4))</f>
        <v/>
      </c>
      <c r="AB90" s="50" t="str">
        <f>if($C90="","",sum(L90:L92)*4/sum(sum(G90:G92)*9+sum(J90:J92)*4+sum(N90:N92)*4))</f>
        <v/>
      </c>
      <c r="AC90" s="51" t="str">
        <f>if($C90="","",(sum(H90:H92)/sum(O90:O92)))</f>
        <v/>
      </c>
    </row>
    <row r="91">
      <c r="A91" s="52"/>
      <c r="B91" s="53"/>
      <c r="C91" s="54"/>
      <c r="D91" s="55">
        <v>1.0</v>
      </c>
      <c r="E91" s="56" t="str">
        <f t="array" ref="E91">if(C91="","",_xlfn.xlookup(C91,'Hiker Food'!$C:$C,'Hiker Food'!G:G)*D91)</f>
        <v/>
      </c>
      <c r="F91" s="42" t="str">
        <f t="array" ref="F91">if(C91="","",_xlfn.xlookup(C91,'Hiker Food'!$C:$C,'Hiker Food'!H:H)*D91)</f>
        <v/>
      </c>
      <c r="G91" s="42" t="str">
        <f t="array" ref="G91">if($C91="","",_xlfn.xlookup($C91,'Hiker Food'!$C:$C,'Hiker Food'!J:J)*$D91)</f>
        <v/>
      </c>
      <c r="H91" s="42" t="str">
        <f t="array" ref="H91">if($C91="","",_xlfn.xlookup($C91,'Hiker Food'!$C:$C,'Hiker Food'!K:K)*$D91)</f>
        <v/>
      </c>
      <c r="I91" s="42" t="str">
        <f t="array" ref="I91">if($C91="","",_xlfn.xlookup($C91,'Hiker Food'!$C:$C,'Hiker Food'!L:L)*$D91)</f>
        <v/>
      </c>
      <c r="J91" s="42" t="str">
        <f t="array" ref="J91">if($C91="","",_xlfn.xlookup($C91,'Hiker Food'!$C:$C,'Hiker Food'!M:M)*$D91)</f>
        <v/>
      </c>
      <c r="K91" s="42" t="str">
        <f t="array" ref="K91">if($C91="","",_xlfn.xlookup($C91,'Hiker Food'!$C:$C,'Hiker Food'!N:N)*$D91)</f>
        <v/>
      </c>
      <c r="L91" s="42" t="str">
        <f t="array" ref="L91">if($C91="","",_xlfn.xlookup($C91,'Hiker Food'!$C:$C,'Hiker Food'!O:O)*$D91)</f>
        <v/>
      </c>
      <c r="M91" s="42" t="str">
        <f t="array" ref="M91">if($C91="","",_xlfn.xlookup($C91,'Hiker Food'!$C:$C,'Hiker Food'!P:P)*$D91)</f>
        <v/>
      </c>
      <c r="N91" s="42" t="str">
        <f t="array" ref="N91">if($C91="","",_xlfn.xlookup($C91,'Hiker Food'!$C:$C,'Hiker Food'!Q:Q)*$D91)</f>
        <v/>
      </c>
      <c r="O91" s="42" t="str">
        <f t="array" ref="O91">if($C91="","",_xlfn.xlookup($C91,'Hiker Food'!$C:$C,'Hiker Food'!I:I)*$D91)</f>
        <v/>
      </c>
      <c r="P91" s="56" t="str">
        <f t="array" ref="P91">if($C91="","",_xlfn.xlookup($C91,'Hiker Food'!$C:$C,'Hiker Food'!T:T))</f>
        <v/>
      </c>
      <c r="Q91" s="57" t="str">
        <f t="array" ref="Q91">if($C91="","",_xlfn.xlookup($C91,'Hiker Food'!$C:$C,'Hiker Food'!U:U))</f>
        <v/>
      </c>
      <c r="R91" s="57" t="str">
        <f t="array" ref="R91">if($C91="","",_xlfn.xlookup($C91,'Hiker Food'!$C:$C,'Hiker Food'!V:V))</f>
        <v/>
      </c>
      <c r="S91" s="58" t="str">
        <f t="array" ref="S91">if($C91="","",_xlfn.xlookup($C91,'Hiker Food'!$C:$C,'Hiker Food'!W:W))</f>
        <v/>
      </c>
      <c r="T91" s="59"/>
      <c r="AC91" s="60"/>
    </row>
    <row r="92">
      <c r="A92" s="52"/>
      <c r="B92" s="61"/>
      <c r="C92" s="62"/>
      <c r="D92" s="63">
        <v>1.0</v>
      </c>
      <c r="E92" s="56" t="str">
        <f t="array" ref="E92">if(C92="","",_xlfn.xlookup(C92,'Hiker Food'!$C:$C,'Hiker Food'!G:G)*D92)</f>
        <v/>
      </c>
      <c r="F92" s="64" t="str">
        <f t="array" ref="F92">if(C92="","",_xlfn.xlookup(C92,'Hiker Food'!$C:$C,'Hiker Food'!H:H)*D92)</f>
        <v/>
      </c>
      <c r="G92" s="64" t="str">
        <f t="array" ref="G92">if($C92="","",_xlfn.xlookup($C92,'Hiker Food'!$C:$C,'Hiker Food'!J:J)*$D92)</f>
        <v/>
      </c>
      <c r="H92" s="64" t="str">
        <f t="array" ref="H92">if($C92="","",_xlfn.xlookup($C92,'Hiker Food'!$C:$C,'Hiker Food'!K:K)*$D92)</f>
        <v/>
      </c>
      <c r="I92" s="64" t="str">
        <f t="array" ref="I92">if($C92="","",_xlfn.xlookup($C92,'Hiker Food'!$C:$C,'Hiker Food'!L:L)*$D92)</f>
        <v/>
      </c>
      <c r="J92" s="64" t="str">
        <f t="array" ref="J92">if($C92="","",_xlfn.xlookup($C92,'Hiker Food'!$C:$C,'Hiker Food'!M:M)*$D92)</f>
        <v/>
      </c>
      <c r="K92" s="64" t="str">
        <f t="array" ref="K92">if($C92="","",_xlfn.xlookup($C92,'Hiker Food'!$C:$C,'Hiker Food'!N:N)*$D92)</f>
        <v/>
      </c>
      <c r="L92" s="64" t="str">
        <f t="array" ref="L92">if($C92="","",_xlfn.xlookup($C92,'Hiker Food'!$C:$C,'Hiker Food'!O:O)*$D92)</f>
        <v/>
      </c>
      <c r="M92" s="64" t="str">
        <f t="array" ref="M92">if($C92="","",_xlfn.xlookup($C92,'Hiker Food'!$C:$C,'Hiker Food'!P:P)*$D92)</f>
        <v/>
      </c>
      <c r="N92" s="64" t="str">
        <f t="array" ref="N92">if($C92="","",_xlfn.xlookup($C92,'Hiker Food'!$C:$C,'Hiker Food'!Q:Q)*$D92)</f>
        <v/>
      </c>
      <c r="O92" s="42" t="str">
        <f t="array" ref="O92">if($C92="","",_xlfn.xlookup($C92,'Hiker Food'!$C:$C,'Hiker Food'!I:I)*$D92)</f>
        <v/>
      </c>
      <c r="P92" s="56" t="str">
        <f t="array" ref="P92">if($C92="","",_xlfn.xlookup($C92,'Hiker Food'!$C:$C,'Hiker Food'!T:T))</f>
        <v/>
      </c>
      <c r="Q92" s="57" t="str">
        <f t="array" ref="Q92">if($C92="","",_xlfn.xlookup($C92,'Hiker Food'!$C:$C,'Hiker Food'!U:U))</f>
        <v/>
      </c>
      <c r="R92" s="57" t="str">
        <f t="array" ref="R92">if($C92="","",_xlfn.xlookup($C92,'Hiker Food'!$C:$C,'Hiker Food'!V:V))</f>
        <v/>
      </c>
      <c r="S92" s="58" t="str">
        <f t="array" ref="S92">if($C92="","",_xlfn.xlookup($C92,'Hiker Food'!$C:$C,'Hiker Food'!W:W))</f>
        <v/>
      </c>
      <c r="T92" s="65"/>
      <c r="U92" s="66"/>
      <c r="V92" s="66"/>
      <c r="W92" s="66"/>
      <c r="X92" s="66"/>
      <c r="Y92" s="66"/>
      <c r="Z92" s="66"/>
      <c r="AA92" s="66"/>
      <c r="AB92" s="66"/>
      <c r="AC92" s="67"/>
    </row>
    <row r="93">
      <c r="A93" s="52"/>
      <c r="B93" s="68" t="s">
        <v>179</v>
      </c>
      <c r="C93" s="69"/>
      <c r="D93" s="70">
        <v>2.0</v>
      </c>
      <c r="E93" s="71" t="str">
        <f t="array" ref="E93">if(C93="","",_xlfn.xlookup(C93,'Hiker Food'!$C:$C,'Hiker Food'!G:G)*D93)</f>
        <v/>
      </c>
      <c r="F93" s="42" t="str">
        <f t="array" ref="F93">if(C93="","",_xlfn.xlookup(C93,'Hiker Food'!$C:$C,'Hiker Food'!H:H)*D93)</f>
        <v/>
      </c>
      <c r="G93" s="72" t="str">
        <f t="array" ref="G93">if($C93="","",_xlfn.xlookup($C93,'Hiker Food'!$C:$C,'Hiker Food'!J:J)*$D93)</f>
        <v/>
      </c>
      <c r="H93" s="72" t="str">
        <f t="array" ref="H93">if($C93="","",_xlfn.xlookup($C93,'Hiker Food'!$C:$C,'Hiker Food'!K:K)*$D93)</f>
        <v/>
      </c>
      <c r="I93" s="72" t="str">
        <f t="array" ref="I93">if($C93="","",_xlfn.xlookup($C93,'Hiker Food'!$C:$C,'Hiker Food'!L:L)*$D93)</f>
        <v/>
      </c>
      <c r="J93" s="72" t="str">
        <f t="array" ref="J93">if($C93="","",_xlfn.xlookup($C93,'Hiker Food'!$C:$C,'Hiker Food'!M:M)*$D93)</f>
        <v/>
      </c>
      <c r="K93" s="72" t="str">
        <f t="array" ref="K93">if($C93="","",_xlfn.xlookup($C93,'Hiker Food'!$C:$C,'Hiker Food'!N:N)*$D93)</f>
        <v/>
      </c>
      <c r="L93" s="72" t="str">
        <f t="array" ref="L93">if($C93="","",_xlfn.xlookup($C93,'Hiker Food'!$C:$C,'Hiker Food'!O:O)*$D93)</f>
        <v/>
      </c>
      <c r="M93" s="72" t="str">
        <f t="array" ref="M93">if($C93="","",_xlfn.xlookup($C93,'Hiker Food'!$C:$C,'Hiker Food'!P:P)*$D93)</f>
        <v/>
      </c>
      <c r="N93" s="72" t="str">
        <f t="array" ref="N93">if($C93="","",_xlfn.xlookup($C93,'Hiker Food'!$C:$C,'Hiker Food'!Q:Q)*$D93)</f>
        <v/>
      </c>
      <c r="O93" s="72" t="str">
        <f t="array" ref="O93">if($C93="","",_xlfn.xlookup($C93,'Hiker Food'!$C:$C,'Hiker Food'!I:I)*$D93)</f>
        <v/>
      </c>
      <c r="P93" s="71" t="str">
        <f t="array" ref="P93">if($C93="","",_xlfn.xlookup($C93,'Hiker Food'!$C:$C,'Hiker Food'!T:T))</f>
        <v/>
      </c>
      <c r="Q93" s="73" t="str">
        <f t="array" ref="Q93">if($C93="","",_xlfn.xlookup($C93,'Hiker Food'!$C:$C,'Hiker Food'!U:U))</f>
        <v/>
      </c>
      <c r="R93" s="73" t="str">
        <f t="array" ref="R93">if($C93="","",_xlfn.xlookup($C93,'Hiker Food'!$C:$C,'Hiker Food'!V:V))</f>
        <v/>
      </c>
      <c r="S93" s="74" t="str">
        <f t="array" ref="S93">if($C93="","",_xlfn.xlookup($C93,'Hiker Food'!$C:$C,'Hiker Food'!W:W))</f>
        <v/>
      </c>
      <c r="T93" s="75" t="s">
        <v>179</v>
      </c>
      <c r="U93" s="76" t="str">
        <f>if(C93="","",Y93/V93)</f>
        <v/>
      </c>
      <c r="V93" s="96" t="str">
        <f>if($C93="","",sum(E93:E95))</f>
        <v/>
      </c>
      <c r="W93" s="77" t="str">
        <f>if($C93="","",$Y93/X93)</f>
        <v/>
      </c>
      <c r="X93" s="96" t="str">
        <f>if($C93="","",sum(F93:F95))</f>
        <v/>
      </c>
      <c r="Y93" s="96" t="str">
        <f>if($C93="","",sum(O93:O95))</f>
        <v/>
      </c>
      <c r="Z93" s="77" t="str">
        <f>if($C93="","",(sum(J93:J95)/sum(N93:N95)))</f>
        <v/>
      </c>
      <c r="AA93" s="78" t="str">
        <f>if($C93="","",sum(G93:G95)*9/sum(sum(G93:G95)*9+sum(J93:J95)*4+sum(N93:N95)*4))</f>
        <v/>
      </c>
      <c r="AB93" s="78" t="str">
        <f>if($C93="","",sum(L93:L95)*4/sum(sum(G93:G95)*9+sum(J93:J95)*4+sum(N93:N95)*4))</f>
        <v/>
      </c>
      <c r="AC93" s="79" t="str">
        <f>if($C93="","",(sum(H93:H95)/sum(O93:O95)))</f>
        <v/>
      </c>
    </row>
    <row r="94">
      <c r="A94" s="52"/>
      <c r="B94" s="53"/>
      <c r="C94" s="54"/>
      <c r="D94" s="55">
        <v>2.0</v>
      </c>
      <c r="E94" s="56" t="str">
        <f t="array" ref="E94">if(C94="","",_xlfn.xlookup(C94,'Hiker Food'!$C:$C,'Hiker Food'!G:G)*D94)</f>
        <v/>
      </c>
      <c r="F94" s="42" t="str">
        <f t="array" ref="F94">if(C94="","",_xlfn.xlookup(C94,'Hiker Food'!$C:$C,'Hiker Food'!H:H)*D94)</f>
        <v/>
      </c>
      <c r="G94" s="42" t="str">
        <f t="array" ref="G94">if($C94="","",_xlfn.xlookup($C94,'Hiker Food'!$C:$C,'Hiker Food'!J:J)*$D94)</f>
        <v/>
      </c>
      <c r="H94" s="42" t="str">
        <f t="array" ref="H94">if($C94="","",_xlfn.xlookup($C94,'Hiker Food'!$C:$C,'Hiker Food'!K:K)*$D94)</f>
        <v/>
      </c>
      <c r="I94" s="42" t="str">
        <f t="array" ref="I94">if($C94="","",_xlfn.xlookup($C94,'Hiker Food'!$C:$C,'Hiker Food'!L:L)*$D94)</f>
        <v/>
      </c>
      <c r="J94" s="42" t="str">
        <f t="array" ref="J94">if($C94="","",_xlfn.xlookup($C94,'Hiker Food'!$C:$C,'Hiker Food'!M:M)*$D94)</f>
        <v/>
      </c>
      <c r="K94" s="42" t="str">
        <f t="array" ref="K94">if($C94="","",_xlfn.xlookup($C94,'Hiker Food'!$C:$C,'Hiker Food'!N:N)*$D94)</f>
        <v/>
      </c>
      <c r="L94" s="42" t="str">
        <f t="array" ref="L94">if($C94="","",_xlfn.xlookup($C94,'Hiker Food'!$C:$C,'Hiker Food'!O:O)*$D94)</f>
        <v/>
      </c>
      <c r="M94" s="42" t="str">
        <f t="array" ref="M94">if($C94="","",_xlfn.xlookup($C94,'Hiker Food'!$C:$C,'Hiker Food'!P:P)*$D94)</f>
        <v/>
      </c>
      <c r="N94" s="42" t="str">
        <f t="array" ref="N94">if($C94="","",_xlfn.xlookup($C94,'Hiker Food'!$C:$C,'Hiker Food'!Q:Q)*$D94)</f>
        <v/>
      </c>
      <c r="O94" s="42" t="str">
        <f t="array" ref="O94">if($C94="","",_xlfn.xlookup($C94,'Hiker Food'!$C:$C,'Hiker Food'!I:I)*$D94)</f>
        <v/>
      </c>
      <c r="P94" s="56" t="str">
        <f t="array" ref="P94">if($C94="","",_xlfn.xlookup($C94,'Hiker Food'!$C:$C,'Hiker Food'!T:T))</f>
        <v/>
      </c>
      <c r="Q94" s="57" t="str">
        <f t="array" ref="Q94">if($C94="","",_xlfn.xlookup($C94,'Hiker Food'!$C:$C,'Hiker Food'!U:U))</f>
        <v/>
      </c>
      <c r="R94" s="57" t="str">
        <f t="array" ref="R94">if($C94="","",_xlfn.xlookup($C94,'Hiker Food'!$C:$C,'Hiker Food'!V:V))</f>
        <v/>
      </c>
      <c r="S94" s="58" t="str">
        <f t="array" ref="S94">if($C94="","",_xlfn.xlookup($C94,'Hiker Food'!$C:$C,'Hiker Food'!W:W))</f>
        <v/>
      </c>
      <c r="T94" s="80"/>
      <c r="AC94" s="60"/>
    </row>
    <row r="95">
      <c r="A95" s="52"/>
      <c r="B95" s="61"/>
      <c r="C95" s="54"/>
      <c r="D95" s="63">
        <v>1.0</v>
      </c>
      <c r="E95" s="81" t="str">
        <f t="array" ref="E95">if(C95="","",_xlfn.xlookup(C95,'Hiker Food'!$C:$C,'Hiker Food'!G:G)*D95)</f>
        <v/>
      </c>
      <c r="F95" s="64" t="str">
        <f t="array" ref="F95">if(C95="","",_xlfn.xlookup(C95,'Hiker Food'!$C:$C,'Hiker Food'!H:H)*D95)</f>
        <v/>
      </c>
      <c r="G95" s="64" t="str">
        <f t="array" ref="G95">if($C95="","",_xlfn.xlookup($C95,'Hiker Food'!$C:$C,'Hiker Food'!J:J)*$D95)</f>
        <v/>
      </c>
      <c r="H95" s="64" t="str">
        <f t="array" ref="H95">if($C95="","",_xlfn.xlookup($C95,'Hiker Food'!$C:$C,'Hiker Food'!K:K)*$D95)</f>
        <v/>
      </c>
      <c r="I95" s="64" t="str">
        <f t="array" ref="I95">if($C95="","",_xlfn.xlookup($C95,'Hiker Food'!$C:$C,'Hiker Food'!L:L)*$D95)</f>
        <v/>
      </c>
      <c r="J95" s="64" t="str">
        <f t="array" ref="J95">if($C95="","",_xlfn.xlookup($C95,'Hiker Food'!$C:$C,'Hiker Food'!M:M)*$D95)</f>
        <v/>
      </c>
      <c r="K95" s="64" t="str">
        <f t="array" ref="K95">if($C95="","",_xlfn.xlookup($C95,'Hiker Food'!$C:$C,'Hiker Food'!N:N)*$D95)</f>
        <v/>
      </c>
      <c r="L95" s="64" t="str">
        <f t="array" ref="L95">if($C95="","",_xlfn.xlookup($C95,'Hiker Food'!$C:$C,'Hiker Food'!O:O)*$D95)</f>
        <v/>
      </c>
      <c r="M95" s="64" t="str">
        <f t="array" ref="M95">if($C95="","",_xlfn.xlookup($C95,'Hiker Food'!$C:$C,'Hiker Food'!P:P)*$D95)</f>
        <v/>
      </c>
      <c r="N95" s="64" t="str">
        <f t="array" ref="N95">if($C95="","",_xlfn.xlookup($C95,'Hiker Food'!$C:$C,'Hiker Food'!Q:Q)*$D95)</f>
        <v/>
      </c>
      <c r="O95" s="64" t="str">
        <f t="array" ref="O95">if($C95="","",_xlfn.xlookup($C95,'Hiker Food'!$C:$C,'Hiker Food'!I:I)*$D95)</f>
        <v/>
      </c>
      <c r="P95" s="81" t="str">
        <f t="array" ref="P95">if($C95="","",_xlfn.xlookup($C95,'Hiker Food'!$C:$C,'Hiker Food'!T:T))</f>
        <v/>
      </c>
      <c r="Q95" s="82" t="str">
        <f t="array" ref="Q95">if($C95="","",_xlfn.xlookup($C95,'Hiker Food'!$C:$C,'Hiker Food'!U:U))</f>
        <v/>
      </c>
      <c r="R95" s="82" t="str">
        <f t="array" ref="R95">if($C95="","",_xlfn.xlookup($C95,'Hiker Food'!$C:$C,'Hiker Food'!V:V))</f>
        <v/>
      </c>
      <c r="S95" s="83" t="str">
        <f t="array" ref="S95">if($C95="","",_xlfn.xlookup($C95,'Hiker Food'!$C:$C,'Hiker Food'!W:W))</f>
        <v/>
      </c>
      <c r="T95" s="84"/>
      <c r="U95" s="66"/>
      <c r="V95" s="66"/>
      <c r="W95" s="66"/>
      <c r="X95" s="66"/>
      <c r="Y95" s="66"/>
      <c r="Z95" s="66"/>
      <c r="AA95" s="66"/>
      <c r="AB95" s="66"/>
      <c r="AC95" s="67"/>
    </row>
    <row r="96">
      <c r="A96" s="52"/>
      <c r="B96" s="68" t="s">
        <v>257</v>
      </c>
      <c r="C96" s="85"/>
      <c r="D96" s="70">
        <v>3.0</v>
      </c>
      <c r="E96" s="56" t="str">
        <f t="array" ref="E96">if(C96="","",_xlfn.xlookup(C96,'Hiker Food'!$C:$C,'Hiker Food'!G:G)*D96)</f>
        <v/>
      </c>
      <c r="F96" s="86" t="str">
        <f t="array" ref="F96">if(C96="","",_xlfn.xlookup(C96,'Hiker Food'!$C:$C,'Hiker Food'!H:H)*D96)</f>
        <v/>
      </c>
      <c r="G96" s="72" t="str">
        <f t="array" ref="G96">if($C96="","",_xlfn.xlookup($C96,'Hiker Food'!$C:$C,'Hiker Food'!J:J)*$D96)</f>
        <v/>
      </c>
      <c r="H96" s="72" t="str">
        <f t="array" ref="H96">if($C96="","",_xlfn.xlookup($C96,'Hiker Food'!$C:$C,'Hiker Food'!K:K)*$D96)</f>
        <v/>
      </c>
      <c r="I96" s="72" t="str">
        <f t="array" ref="I96">if($C96="","",_xlfn.xlookup($C96,'Hiker Food'!$C:$C,'Hiker Food'!L:L)*$D96)</f>
        <v/>
      </c>
      <c r="J96" s="72" t="str">
        <f t="array" ref="J96">if($C96="","",_xlfn.xlookup($C96,'Hiker Food'!$C:$C,'Hiker Food'!M:M)*$D96)</f>
        <v/>
      </c>
      <c r="K96" s="72" t="str">
        <f t="array" ref="K96">if($C96="","",_xlfn.xlookup($C96,'Hiker Food'!$C:$C,'Hiker Food'!N:N)*$D96)</f>
        <v/>
      </c>
      <c r="L96" s="72" t="str">
        <f t="array" ref="L96">if($C96="","",_xlfn.xlookup($C96,'Hiker Food'!$C:$C,'Hiker Food'!O:O)*$D96)</f>
        <v/>
      </c>
      <c r="M96" s="72" t="str">
        <f t="array" ref="M96">if($C96="","",_xlfn.xlookup($C96,'Hiker Food'!$C:$C,'Hiker Food'!P:P)*$D96)</f>
        <v/>
      </c>
      <c r="N96" s="72" t="str">
        <f t="array" ref="N96">if($C96="","",_xlfn.xlookup($C96,'Hiker Food'!$C:$C,'Hiker Food'!Q:Q)*$D96)</f>
        <v/>
      </c>
      <c r="O96" s="42" t="str">
        <f t="array" ref="O96">if($C96="","",_xlfn.xlookup($C96,'Hiker Food'!$C:$C,'Hiker Food'!I:I)*$D96)</f>
        <v/>
      </c>
      <c r="P96" s="56" t="str">
        <f t="array" ref="P96">if($C96="","",_xlfn.xlookup($C96,'Hiker Food'!$C:$C,'Hiker Food'!T:T))</f>
        <v/>
      </c>
      <c r="Q96" s="57" t="str">
        <f t="array" ref="Q96">if($C96="","",_xlfn.xlookup($C96,'Hiker Food'!$C:$C,'Hiker Food'!U:U))</f>
        <v/>
      </c>
      <c r="R96" s="57" t="str">
        <f t="array" ref="R96">if($C96="","",_xlfn.xlookup($C96,'Hiker Food'!$C:$C,'Hiker Food'!V:V))</f>
        <v/>
      </c>
      <c r="S96" s="58" t="str">
        <f t="array" ref="S96">if($C96="","",_xlfn.xlookup($C96,'Hiker Food'!$C:$C,'Hiker Food'!W:W))</f>
        <v/>
      </c>
      <c r="T96" s="87" t="s">
        <v>257</v>
      </c>
      <c r="U96" s="76" t="str">
        <f>if(C96="","",Y96/V96)</f>
        <v/>
      </c>
      <c r="V96" s="96" t="str">
        <f>if($C96="","",sum(E96:E98))</f>
        <v/>
      </c>
      <c r="W96" s="77" t="str">
        <f>if($C96="","",$Y96/X96)</f>
        <v/>
      </c>
      <c r="X96" s="96" t="str">
        <f>if($C96="","",sum(F96:F98))</f>
        <v/>
      </c>
      <c r="Y96" s="96" t="str">
        <f>if($C96="","",sum(O96:O98))</f>
        <v/>
      </c>
      <c r="Z96" s="77" t="str">
        <f>if($C96="","",(sum(J96:J98)/sum(N96:N98)))</f>
        <v/>
      </c>
      <c r="AA96" s="78" t="str">
        <f>if($C96="","",sum(G96:G98)*9/sum(sum(G96:G98)*9+sum(J96:J98)*4+sum(N96:N98)*4))</f>
        <v/>
      </c>
      <c r="AB96" s="78" t="str">
        <f>if($C96="","",sum(L96:L98)*4/sum(sum(G96:G98)*9+sum(J96:J98)*4+sum(N96:N98)*4))</f>
        <v/>
      </c>
      <c r="AC96" s="79" t="str">
        <f>if($C96="","",(sum(H96:H98)/sum(O96:O98)))</f>
        <v/>
      </c>
    </row>
    <row r="97">
      <c r="A97" s="52"/>
      <c r="B97" s="53"/>
      <c r="C97" s="88"/>
      <c r="D97" s="55">
        <v>3.0</v>
      </c>
      <c r="E97" s="56" t="str">
        <f t="array" ref="E97">if(C97="","",_xlfn.xlookup(C97,'Hiker Food'!$C:$C,'Hiker Food'!G:G)*D97)</f>
        <v/>
      </c>
      <c r="F97" s="86" t="str">
        <f t="array" ref="F97">if(C97="","",_xlfn.xlookup(C97,'Hiker Food'!$C:$C,'Hiker Food'!H:H)*D97)</f>
        <v/>
      </c>
      <c r="G97" s="42" t="str">
        <f t="array" ref="G97">if($C97="","",_xlfn.xlookup($C97,'Hiker Food'!$C:$C,'Hiker Food'!J:J)*$D97)</f>
        <v/>
      </c>
      <c r="H97" s="42" t="str">
        <f t="array" ref="H97">if($C97="","",_xlfn.xlookup($C97,'Hiker Food'!$C:$C,'Hiker Food'!K:K)*$D97)</f>
        <v/>
      </c>
      <c r="I97" s="42" t="str">
        <f t="array" ref="I97">if($C97="","",_xlfn.xlookup($C97,'Hiker Food'!$C:$C,'Hiker Food'!L:L)*$D97)</f>
        <v/>
      </c>
      <c r="J97" s="42" t="str">
        <f t="array" ref="J97">if($C97="","",_xlfn.xlookup($C97,'Hiker Food'!$C:$C,'Hiker Food'!M:M)*$D97)</f>
        <v/>
      </c>
      <c r="K97" s="42" t="str">
        <f t="array" ref="K97">if($C97="","",_xlfn.xlookup($C97,'Hiker Food'!$C:$C,'Hiker Food'!N:N)*$D97)</f>
        <v/>
      </c>
      <c r="L97" s="42" t="str">
        <f t="array" ref="L97">if($C97="","",_xlfn.xlookup($C97,'Hiker Food'!$C:$C,'Hiker Food'!O:O)*$D97)</f>
        <v/>
      </c>
      <c r="M97" s="42" t="str">
        <f t="array" ref="M97">if($C97="","",_xlfn.xlookup($C97,'Hiker Food'!$C:$C,'Hiker Food'!P:P)*$D97)</f>
        <v/>
      </c>
      <c r="N97" s="42" t="str">
        <f t="array" ref="N97">if($C97="","",_xlfn.xlookup($C97,'Hiker Food'!$C:$C,'Hiker Food'!Q:Q)*$D97)</f>
        <v/>
      </c>
      <c r="O97" s="42" t="str">
        <f t="array" ref="O97">if($C97="","",_xlfn.xlookup($C97,'Hiker Food'!$C:$C,'Hiker Food'!I:I)*$D97)</f>
        <v/>
      </c>
      <c r="P97" s="56" t="str">
        <f t="array" ref="P97">if($C97="","",_xlfn.xlookup($C97,'Hiker Food'!$C:$C,'Hiker Food'!T:T))</f>
        <v/>
      </c>
      <c r="Q97" s="57" t="str">
        <f t="array" ref="Q97">if($C97="","",_xlfn.xlookup($C97,'Hiker Food'!$C:$C,'Hiker Food'!U:U))</f>
        <v/>
      </c>
      <c r="R97" s="57" t="str">
        <f t="array" ref="R97">if($C97="","",_xlfn.xlookup($C97,'Hiker Food'!$C:$C,'Hiker Food'!V:V))</f>
        <v/>
      </c>
      <c r="S97" s="58" t="str">
        <f t="array" ref="S97">if($C97="","",_xlfn.xlookup($C97,'Hiker Food'!$C:$C,'Hiker Food'!W:W))</f>
        <v/>
      </c>
      <c r="T97" s="59"/>
      <c r="AC97" s="60"/>
    </row>
    <row r="98">
      <c r="A98" s="52"/>
      <c r="B98" s="61"/>
      <c r="C98" s="62"/>
      <c r="D98" s="63">
        <v>1.0</v>
      </c>
      <c r="E98" s="81" t="str">
        <f t="array" ref="E98">if(C98="","",_xlfn.xlookup(C98,'Hiker Food'!$C:$C,'Hiker Food'!G:G)*D98)</f>
        <v/>
      </c>
      <c r="F98" s="89" t="str">
        <f t="array" ref="F98">if(C98="","",_xlfn.xlookup(C98,'Hiker Food'!$C:$C,'Hiker Food'!H:H)*D98)</f>
        <v/>
      </c>
      <c r="G98" s="64" t="str">
        <f t="array" ref="G98">if($C98="","",_xlfn.xlookup($C98,'Hiker Food'!$C:$C,'Hiker Food'!J:J)*$D98)</f>
        <v/>
      </c>
      <c r="H98" s="64" t="str">
        <f t="array" ref="H98">if($C98="","",_xlfn.xlookup($C98,'Hiker Food'!$C:$C,'Hiker Food'!K:K)*$D98)</f>
        <v/>
      </c>
      <c r="I98" s="64" t="str">
        <f t="array" ref="I98">if($C98="","",_xlfn.xlookup($C98,'Hiker Food'!$C:$C,'Hiker Food'!L:L)*$D98)</f>
        <v/>
      </c>
      <c r="J98" s="64" t="str">
        <f t="array" ref="J98">if($C98="","",_xlfn.xlookup($C98,'Hiker Food'!$C:$C,'Hiker Food'!M:M)*$D98)</f>
        <v/>
      </c>
      <c r="K98" s="64" t="str">
        <f t="array" ref="K98">if($C98="","",_xlfn.xlookup($C98,'Hiker Food'!$C:$C,'Hiker Food'!N:N)*$D98)</f>
        <v/>
      </c>
      <c r="L98" s="64" t="str">
        <f t="array" ref="L98">if($C98="","",_xlfn.xlookup($C98,'Hiker Food'!$C:$C,'Hiker Food'!O:O)*$D98)</f>
        <v/>
      </c>
      <c r="M98" s="64" t="str">
        <f t="array" ref="M98">if($C98="","",_xlfn.xlookup($C98,'Hiker Food'!$C:$C,'Hiker Food'!P:P)*$D98)</f>
        <v/>
      </c>
      <c r="N98" s="64" t="str">
        <f t="array" ref="N98">if($C98="","",_xlfn.xlookup($C98,'Hiker Food'!$C:$C,'Hiker Food'!Q:Q)*$D98)</f>
        <v/>
      </c>
      <c r="O98" s="64" t="str">
        <f t="array" ref="O98">if($C98="","",_xlfn.xlookup($C98,'Hiker Food'!$C:$C,'Hiker Food'!I:I)*$D98)</f>
        <v/>
      </c>
      <c r="P98" s="81" t="str">
        <f t="array" ref="P98">if($C98="","",_xlfn.xlookup($C98,'Hiker Food'!$C:$C,'Hiker Food'!T:T))</f>
        <v/>
      </c>
      <c r="Q98" s="82" t="str">
        <f t="array" ref="Q98">if($C98="","",_xlfn.xlookup($C98,'Hiker Food'!$C:$C,'Hiker Food'!U:U))</f>
        <v/>
      </c>
      <c r="R98" s="82" t="str">
        <f t="array" ref="R98">if($C98="","",_xlfn.xlookup($C98,'Hiker Food'!$C:$C,'Hiker Food'!V:V))</f>
        <v/>
      </c>
      <c r="S98" s="83" t="str">
        <f t="array" ref="S98">if($C98="","",_xlfn.xlookup($C98,'Hiker Food'!$C:$C,'Hiker Food'!W:W))</f>
        <v/>
      </c>
      <c r="T98" s="65"/>
      <c r="U98" s="66"/>
      <c r="V98" s="66"/>
      <c r="W98" s="66"/>
      <c r="X98" s="66"/>
      <c r="Y98" s="66"/>
      <c r="Z98" s="66"/>
      <c r="AA98" s="66"/>
      <c r="AB98" s="66"/>
      <c r="AC98" s="67"/>
    </row>
    <row r="99">
      <c r="A99" s="52"/>
      <c r="B99" s="68" t="s">
        <v>314</v>
      </c>
      <c r="C99" s="90"/>
      <c r="D99" s="70">
        <v>1.0</v>
      </c>
      <c r="E99" s="71" t="str">
        <f t="array" ref="E99">if(C99="","",_xlfn.xlookup(C99,'Hiker Food'!$C:$C,'Hiker Food'!G:G)*D99)</f>
        <v/>
      </c>
      <c r="F99" s="42" t="str">
        <f t="array" ref="F99">if(C99="","",_xlfn.xlookup(C99,'Hiker Food'!$C:$C,'Hiker Food'!H:H)*D99)</f>
        <v/>
      </c>
      <c r="G99" s="72" t="str">
        <f t="array" ref="G99">if($C99="","",_xlfn.xlookup($C99,'Hiker Food'!$C:$C,'Hiker Food'!J:J)*$D99)</f>
        <v/>
      </c>
      <c r="H99" s="72" t="str">
        <f t="array" ref="H99">if($C99="","",_xlfn.xlookup($C99,'Hiker Food'!$C:$C,'Hiker Food'!K:K)*$D99)</f>
        <v/>
      </c>
      <c r="I99" s="72" t="str">
        <f t="array" ref="I99">if($C99="","",_xlfn.xlookup($C99,'Hiker Food'!$C:$C,'Hiker Food'!L:L)*$D99)</f>
        <v/>
      </c>
      <c r="J99" s="72" t="str">
        <f t="array" ref="J99">if($C99="","",_xlfn.xlookup($C99,'Hiker Food'!$C:$C,'Hiker Food'!M:M)*$D99)</f>
        <v/>
      </c>
      <c r="K99" s="72" t="str">
        <f t="array" ref="K99">if($C99="","",_xlfn.xlookup($C99,'Hiker Food'!$C:$C,'Hiker Food'!N:N)*$D99)</f>
        <v/>
      </c>
      <c r="L99" s="72" t="str">
        <f t="array" ref="L99">if($C99="","",_xlfn.xlookup($C99,'Hiker Food'!$C:$C,'Hiker Food'!O:O)*$D99)</f>
        <v/>
      </c>
      <c r="M99" s="72" t="str">
        <f t="array" ref="M99">if($C99="","",_xlfn.xlookup($C99,'Hiker Food'!$C:$C,'Hiker Food'!P:P)*$D99)</f>
        <v/>
      </c>
      <c r="N99" s="72" t="str">
        <f t="array" ref="N99">if($C99="","",_xlfn.xlookup($C99,'Hiker Food'!$C:$C,'Hiker Food'!Q:Q)*$D99)</f>
        <v/>
      </c>
      <c r="O99" s="72" t="str">
        <f t="array" ref="O99">if($C99="","",_xlfn.xlookup($C99,'Hiker Food'!$C:$C,'Hiker Food'!I:I)*$D99)</f>
        <v/>
      </c>
      <c r="P99" s="71" t="str">
        <f t="array" ref="P99">if($C99="","",_xlfn.xlookup($C99,'Hiker Food'!$C:$C,'Hiker Food'!T:T))</f>
        <v/>
      </c>
      <c r="Q99" s="73" t="str">
        <f t="array" ref="Q99">if($C99="","",_xlfn.xlookup($C99,'Hiker Food'!$C:$C,'Hiker Food'!U:U))</f>
        <v/>
      </c>
      <c r="R99" s="73" t="str">
        <f t="array" ref="R99">if($C99="","",_xlfn.xlookup($C99,'Hiker Food'!$C:$C,'Hiker Food'!V:V))</f>
        <v/>
      </c>
      <c r="S99" s="74" t="str">
        <f t="array" ref="S99">if($C99="","",_xlfn.xlookup($C99,'Hiker Food'!$C:$C,'Hiker Food'!W:W))</f>
        <v/>
      </c>
      <c r="T99" s="91" t="s">
        <v>314</v>
      </c>
      <c r="U99" s="76" t="str">
        <f>if(C99="","",Y99/V99)</f>
        <v/>
      </c>
      <c r="V99" s="96" t="str">
        <f>if($C99="","",sum(E99:E101))</f>
        <v/>
      </c>
      <c r="W99" s="77" t="str">
        <f>if($C99="","",$Y99/X99)</f>
        <v/>
      </c>
      <c r="X99" s="96" t="str">
        <f>if($C99="","",sum(F99:F101))</f>
        <v/>
      </c>
      <c r="Y99" s="96" t="str">
        <f>if($C99="","",sum(O99:O101))</f>
        <v/>
      </c>
      <c r="Z99" s="77" t="str">
        <f>if($C99="","",(sum(J99:J101)/sum(N99:N101)))</f>
        <v/>
      </c>
      <c r="AA99" s="78" t="str">
        <f>if($C99="","",sum(G99:G101)*9/sum(sum(G99:G101)*9+sum(J99:J101)*4+sum(N99:N101)*4))</f>
        <v/>
      </c>
      <c r="AB99" s="78" t="str">
        <f>if($C99="","",sum(L99:L101)*4/sum(sum(G99:G101)*9+sum(J99:J101)*4+sum(N99:N101)*4))</f>
        <v/>
      </c>
      <c r="AC99" s="79" t="str">
        <f>if($C99="","",(sum(H99:H101)/sum(O99:O101)))</f>
        <v/>
      </c>
    </row>
    <row r="100">
      <c r="A100" s="52"/>
      <c r="B100" s="53"/>
      <c r="C100" s="54"/>
      <c r="D100" s="55">
        <v>1.0</v>
      </c>
      <c r="E100" s="56" t="str">
        <f t="array" ref="E100">if(C100="","",_xlfn.xlookup(C100,'Hiker Food'!$C:$C,'Hiker Food'!G:G)*D100)</f>
        <v/>
      </c>
      <c r="F100" s="42" t="str">
        <f t="array" ref="F100">if(C100="","",_xlfn.xlookup(C100,'Hiker Food'!$C:$C,'Hiker Food'!H:H)*D100)</f>
        <v/>
      </c>
      <c r="G100" s="42" t="str">
        <f t="array" ref="G100">if($C100="","",_xlfn.xlookup($C100,'Hiker Food'!$C:$C,'Hiker Food'!J:J)*$D100)</f>
        <v/>
      </c>
      <c r="H100" s="42" t="str">
        <f t="array" ref="H100">if($C100="","",_xlfn.xlookup($C100,'Hiker Food'!$C:$C,'Hiker Food'!K:K)*$D100)</f>
        <v/>
      </c>
      <c r="I100" s="42" t="str">
        <f t="array" ref="I100">if($C100="","",_xlfn.xlookup($C100,'Hiker Food'!$C:$C,'Hiker Food'!L:L)*$D100)</f>
        <v/>
      </c>
      <c r="J100" s="42" t="str">
        <f t="array" ref="J100">if($C100="","",_xlfn.xlookup($C100,'Hiker Food'!$C:$C,'Hiker Food'!M:M)*$D100)</f>
        <v/>
      </c>
      <c r="K100" s="42" t="str">
        <f t="array" ref="K100">if($C100="","",_xlfn.xlookup($C100,'Hiker Food'!$C:$C,'Hiker Food'!N:N)*$D100)</f>
        <v/>
      </c>
      <c r="L100" s="42" t="str">
        <f t="array" ref="L100">if($C100="","",_xlfn.xlookup($C100,'Hiker Food'!$C:$C,'Hiker Food'!O:O)*$D100)</f>
        <v/>
      </c>
      <c r="M100" s="42" t="str">
        <f t="array" ref="M100">if($C100="","",_xlfn.xlookup($C100,'Hiker Food'!$C:$C,'Hiker Food'!P:P)*$D100)</f>
        <v/>
      </c>
      <c r="N100" s="42" t="str">
        <f t="array" ref="N100">if($C100="","",_xlfn.xlookup($C100,'Hiker Food'!$C:$C,'Hiker Food'!Q:Q)*$D100)</f>
        <v/>
      </c>
      <c r="O100" s="42" t="str">
        <f t="array" ref="O100">if($C100="","",_xlfn.xlookup($C100,'Hiker Food'!$C:$C,'Hiker Food'!I:I)*$D100)</f>
        <v/>
      </c>
      <c r="P100" s="56" t="str">
        <f t="array" ref="P100">if($C100="","",_xlfn.xlookup($C100,'Hiker Food'!$C:$C,'Hiker Food'!T:T))</f>
        <v/>
      </c>
      <c r="Q100" s="57" t="str">
        <f t="array" ref="Q100">if($C100="","",_xlfn.xlookup($C100,'Hiker Food'!$C:$C,'Hiker Food'!U:U))</f>
        <v/>
      </c>
      <c r="R100" s="57" t="str">
        <f t="array" ref="R100">if($C100="","",_xlfn.xlookup($C100,'Hiker Food'!$C:$C,'Hiker Food'!V:V))</f>
        <v/>
      </c>
      <c r="S100" s="58" t="str">
        <f t="array" ref="S100">if($C100="","",_xlfn.xlookup($C100,'Hiker Food'!$C:$C,'Hiker Food'!W:W))</f>
        <v/>
      </c>
      <c r="T100" s="59"/>
      <c r="AC100" s="60"/>
    </row>
    <row r="101">
      <c r="A101" s="52"/>
      <c r="B101" s="61"/>
      <c r="C101" s="62"/>
      <c r="D101" s="63">
        <v>1.0</v>
      </c>
      <c r="E101" s="81" t="str">
        <f t="array" ref="E101">if(C101="","",_xlfn.xlookup(C101,'Hiker Food'!$C:$C,'Hiker Food'!G:G)*D101)</f>
        <v/>
      </c>
      <c r="F101" s="64" t="str">
        <f t="array" ref="F101">if(C101="","",_xlfn.xlookup(C101,'Hiker Food'!$C:$C,'Hiker Food'!H:H)*D101)</f>
        <v/>
      </c>
      <c r="G101" s="64" t="str">
        <f t="array" ref="G101">if($C101="","",_xlfn.xlookup($C101,'Hiker Food'!$C:$C,'Hiker Food'!J:J)*$D101)</f>
        <v/>
      </c>
      <c r="H101" s="64" t="str">
        <f t="array" ref="H101">if($C101="","",_xlfn.xlookup($C101,'Hiker Food'!$C:$C,'Hiker Food'!K:K)*$D101)</f>
        <v/>
      </c>
      <c r="I101" s="64" t="str">
        <f t="array" ref="I101">if($C101="","",_xlfn.xlookup($C101,'Hiker Food'!$C:$C,'Hiker Food'!L:L)*$D101)</f>
        <v/>
      </c>
      <c r="J101" s="64" t="str">
        <f t="array" ref="J101">if($C101="","",_xlfn.xlookup($C101,'Hiker Food'!$C:$C,'Hiker Food'!M:M)*$D101)</f>
        <v/>
      </c>
      <c r="K101" s="64" t="str">
        <f t="array" ref="K101">if($C101="","",_xlfn.xlookup($C101,'Hiker Food'!$C:$C,'Hiker Food'!N:N)*$D101)</f>
        <v/>
      </c>
      <c r="L101" s="64" t="str">
        <f t="array" ref="L101">if($C101="","",_xlfn.xlookup($C101,'Hiker Food'!$C:$C,'Hiker Food'!O:O)*$D101)</f>
        <v/>
      </c>
      <c r="M101" s="64" t="str">
        <f t="array" ref="M101">if($C101="","",_xlfn.xlookup($C101,'Hiker Food'!$C:$C,'Hiker Food'!P:P)*$D101)</f>
        <v/>
      </c>
      <c r="N101" s="64" t="str">
        <f t="array" ref="N101">if($C101="","",_xlfn.xlookup($C101,'Hiker Food'!$C:$C,'Hiker Food'!Q:Q)*$D101)</f>
        <v/>
      </c>
      <c r="O101" s="64" t="str">
        <f t="array" ref="O101">if($C101="","",_xlfn.xlookup($C101,'Hiker Food'!$C:$C,'Hiker Food'!I:I)*$D101)</f>
        <v/>
      </c>
      <c r="P101" s="81" t="str">
        <f t="array" ref="P101">if($C101="","",_xlfn.xlookup($C101,'Hiker Food'!$C:$C,'Hiker Food'!T:T))</f>
        <v/>
      </c>
      <c r="Q101" s="82" t="str">
        <f t="array" ref="Q101">if($C101="","",_xlfn.xlookup($C101,'Hiker Food'!$C:$C,'Hiker Food'!U:U))</f>
        <v/>
      </c>
      <c r="R101" s="82" t="str">
        <f t="array" ref="R101">if($C101="","",_xlfn.xlookup($C101,'Hiker Food'!$C:$C,'Hiker Food'!V:V))</f>
        <v/>
      </c>
      <c r="S101" s="83" t="str">
        <f t="array" ref="S101">if($C101="","",_xlfn.xlookup($C101,'Hiker Food'!$C:$C,'Hiker Food'!W:W))</f>
        <v/>
      </c>
      <c r="T101" s="65"/>
      <c r="U101" s="66"/>
      <c r="V101" s="66"/>
      <c r="W101" s="66"/>
      <c r="X101" s="66"/>
      <c r="Y101" s="66"/>
      <c r="Z101" s="66"/>
      <c r="AA101" s="66"/>
      <c r="AB101" s="66"/>
      <c r="AC101" s="67"/>
    </row>
    <row r="102">
      <c r="A102" s="52"/>
      <c r="B102" s="68" t="s">
        <v>366</v>
      </c>
      <c r="C102" s="90"/>
      <c r="D102" s="70">
        <v>1.0</v>
      </c>
      <c r="E102" s="71" t="str">
        <f t="array" ref="E102">if(C102="","",_xlfn.xlookup(C102,'Hiker Food'!$C:$C,'Hiker Food'!G:G)*D102)</f>
        <v/>
      </c>
      <c r="F102" s="42" t="str">
        <f t="array" ref="F102">if(C102="","",_xlfn.xlookup(C102,'Hiker Food'!$C:$C,'Hiker Food'!H:H)*D102)</f>
        <v/>
      </c>
      <c r="G102" s="72" t="str">
        <f t="array" ref="G102">if($C102="","",_xlfn.xlookup($C102,'Hiker Food'!$C:$C,'Hiker Food'!J:J)*$D102)</f>
        <v/>
      </c>
      <c r="H102" s="72" t="str">
        <f t="array" ref="H102">if($C102="","",_xlfn.xlookup($C102,'Hiker Food'!$C:$C,'Hiker Food'!K:K)*$D102)</f>
        <v/>
      </c>
      <c r="I102" s="72" t="str">
        <f t="array" ref="I102">if($C102="","",_xlfn.xlookup($C102,'Hiker Food'!$C:$C,'Hiker Food'!L:L)*$D102)</f>
        <v/>
      </c>
      <c r="J102" s="72" t="str">
        <f t="array" ref="J102">if($C102="","",_xlfn.xlookup($C102,'Hiker Food'!$C:$C,'Hiker Food'!M:M)*$D102)</f>
        <v/>
      </c>
      <c r="K102" s="72" t="str">
        <f t="array" ref="K102">if($C102="","",_xlfn.xlookup($C102,'Hiker Food'!$C:$C,'Hiker Food'!N:N)*$D102)</f>
        <v/>
      </c>
      <c r="L102" s="72" t="str">
        <f t="array" ref="L102">if($C102="","",_xlfn.xlookup($C102,'Hiker Food'!$C:$C,'Hiker Food'!O:O)*$D102)</f>
        <v/>
      </c>
      <c r="M102" s="72" t="str">
        <f t="array" ref="M102">if($C102="","",_xlfn.xlookup($C102,'Hiker Food'!$C:$C,'Hiker Food'!P:P)*$D102)</f>
        <v/>
      </c>
      <c r="N102" s="72" t="str">
        <f t="array" ref="N102">if($C102="","",_xlfn.xlookup($C102,'Hiker Food'!$C:$C,'Hiker Food'!Q:Q)*$D102)</f>
        <v/>
      </c>
      <c r="O102" s="72" t="str">
        <f t="array" ref="O102">if($C102="","",_xlfn.xlookup($C102,'Hiker Food'!$C:$C,'Hiker Food'!I:I)*$D102)</f>
        <v/>
      </c>
      <c r="P102" s="71" t="str">
        <f t="array" ref="P102">if($C102="","",_xlfn.xlookup($C102,'Hiker Food'!$C:$C,'Hiker Food'!T:T))</f>
        <v/>
      </c>
      <c r="Q102" s="73" t="str">
        <f t="array" ref="Q102">if($C102="","",_xlfn.xlookup($C102,'Hiker Food'!$C:$C,'Hiker Food'!U:U))</f>
        <v/>
      </c>
      <c r="R102" s="73" t="str">
        <f t="array" ref="R102">if($C102="","",_xlfn.xlookup($C102,'Hiker Food'!$C:$C,'Hiker Food'!V:V))</f>
        <v/>
      </c>
      <c r="S102" s="74" t="str">
        <f t="array" ref="S102">if($C102="","",_xlfn.xlookup($C102,'Hiker Food'!$C:$C,'Hiker Food'!W:W))</f>
        <v/>
      </c>
      <c r="T102" s="87" t="s">
        <v>366</v>
      </c>
      <c r="U102" s="76" t="str">
        <f>if(C102="","",Y102/V102)</f>
        <v/>
      </c>
      <c r="V102" s="96" t="str">
        <f>if($C102="","",sum(E102:E104))</f>
        <v/>
      </c>
      <c r="W102" s="77" t="str">
        <f>if($C102="","",$Y102/X102)</f>
        <v/>
      </c>
      <c r="X102" s="96" t="str">
        <f>if($C102="","",sum(F102:F104))</f>
        <v/>
      </c>
      <c r="Y102" s="96" t="str">
        <f>if($C102="","",sum(O102:O104))</f>
        <v/>
      </c>
      <c r="Z102" s="77" t="str">
        <f>if($C102="","",(sum(J102:J104)/sum(N102:N104)))</f>
        <v/>
      </c>
      <c r="AA102" s="78" t="str">
        <f>if($C102="","",sum(G102:G104)*9/sum(sum(G102:G104)*9+sum(J102:J104)*4+sum(N102:N104)*4))</f>
        <v/>
      </c>
      <c r="AB102" s="78" t="str">
        <f>if($C102="","",sum(L102:L104)*4/sum(sum(G102:G104)*9+sum(J102:J104)*4+sum(N102:N104)*4))</f>
        <v/>
      </c>
      <c r="AC102" s="79" t="str">
        <f>if($C102="","",(sum(H102:H104)/sum(O102:O104)))</f>
        <v/>
      </c>
    </row>
    <row r="103">
      <c r="A103" s="52"/>
      <c r="B103" s="53"/>
      <c r="C103" s="93"/>
      <c r="D103" s="55">
        <v>1.0</v>
      </c>
      <c r="E103" s="56" t="str">
        <f t="array" ref="E103">if(C103="","",_xlfn.xlookup(C103,'Hiker Food'!$C:$C,'Hiker Food'!G:G)*D103)</f>
        <v/>
      </c>
      <c r="F103" s="42" t="str">
        <f t="array" ref="F103">if(C103="","",_xlfn.xlookup(C103,'Hiker Food'!$C:$C,'Hiker Food'!H:H)*D103)</f>
        <v/>
      </c>
      <c r="G103" s="42" t="str">
        <f t="array" ref="G103">if($C103="","",_xlfn.xlookup($C103,'Hiker Food'!$C:$C,'Hiker Food'!J:J)*$D103)</f>
        <v/>
      </c>
      <c r="H103" s="42" t="str">
        <f t="array" ref="H103">if($C103="","",_xlfn.xlookup($C103,'Hiker Food'!$C:$C,'Hiker Food'!K:K)*$D103)</f>
        <v/>
      </c>
      <c r="I103" s="42" t="str">
        <f t="array" ref="I103">if($C103="","",_xlfn.xlookup($C103,'Hiker Food'!$C:$C,'Hiker Food'!L:L)*$D103)</f>
        <v/>
      </c>
      <c r="J103" s="42" t="str">
        <f t="array" ref="J103">if($C103="","",_xlfn.xlookup($C103,'Hiker Food'!$C:$C,'Hiker Food'!M:M)*$D103)</f>
        <v/>
      </c>
      <c r="K103" s="42" t="str">
        <f t="array" ref="K103">if($C103="","",_xlfn.xlookup($C103,'Hiker Food'!$C:$C,'Hiker Food'!N:N)*$D103)</f>
        <v/>
      </c>
      <c r="L103" s="42" t="str">
        <f t="array" ref="L103">if($C103="","",_xlfn.xlookup($C103,'Hiker Food'!$C:$C,'Hiker Food'!O:O)*$D103)</f>
        <v/>
      </c>
      <c r="M103" s="42" t="str">
        <f t="array" ref="M103">if($C103="","",_xlfn.xlookup($C103,'Hiker Food'!$C:$C,'Hiker Food'!P:P)*$D103)</f>
        <v/>
      </c>
      <c r="N103" s="42" t="str">
        <f t="array" ref="N103">if($C103="","",_xlfn.xlookup($C103,'Hiker Food'!$C:$C,'Hiker Food'!Q:Q)*$D103)</f>
        <v/>
      </c>
      <c r="O103" s="42" t="str">
        <f t="array" ref="O103">if($C103="","",_xlfn.xlookup($C103,'Hiker Food'!$C:$C,'Hiker Food'!I:I)*$D103)</f>
        <v/>
      </c>
      <c r="P103" s="56" t="str">
        <f t="array" ref="P103">if($C103="","",_xlfn.xlookup($C103,'Hiker Food'!$C:$C,'Hiker Food'!T:T))</f>
        <v/>
      </c>
      <c r="Q103" s="57" t="str">
        <f t="array" ref="Q103">if($C103="","",_xlfn.xlookup($C103,'Hiker Food'!$C:$C,'Hiker Food'!U:U))</f>
        <v/>
      </c>
      <c r="R103" s="57" t="str">
        <f t="array" ref="R103">if($C103="","",_xlfn.xlookup($C103,'Hiker Food'!$C:$C,'Hiker Food'!V:V))</f>
        <v/>
      </c>
      <c r="S103" s="58" t="str">
        <f t="array" ref="S103">if($C103="","",_xlfn.xlookup($C103,'Hiker Food'!$C:$C,'Hiker Food'!W:W))</f>
        <v/>
      </c>
      <c r="T103" s="59"/>
      <c r="AC103" s="60"/>
    </row>
    <row r="104">
      <c r="A104" s="52"/>
      <c r="B104" s="61"/>
      <c r="C104" s="54"/>
      <c r="D104" s="63">
        <v>1.0</v>
      </c>
      <c r="E104" s="81" t="str">
        <f t="array" ref="E104">if(C104="","",_xlfn.xlookup(C104,'Hiker Food'!$C:$C,'Hiker Food'!G:G)*D104)</f>
        <v/>
      </c>
      <c r="F104" s="64" t="str">
        <f t="array" ref="F104">if(C104="","",_xlfn.xlookup(C104,'Hiker Food'!$C:$C,'Hiker Food'!H:H)*D104)</f>
        <v/>
      </c>
      <c r="G104" s="64" t="str">
        <f t="array" ref="G104">if($C104="","",_xlfn.xlookup($C104,'Hiker Food'!$C:$C,'Hiker Food'!J:J)*$D104)</f>
        <v/>
      </c>
      <c r="H104" s="64" t="str">
        <f t="array" ref="H104">if($C104="","",_xlfn.xlookup($C104,'Hiker Food'!$C:$C,'Hiker Food'!K:K)*$D104)</f>
        <v/>
      </c>
      <c r="I104" s="64" t="str">
        <f t="array" ref="I104">if($C104="","",_xlfn.xlookup($C104,'Hiker Food'!$C:$C,'Hiker Food'!L:L)*$D104)</f>
        <v/>
      </c>
      <c r="J104" s="64" t="str">
        <f t="array" ref="J104">if($C104="","",_xlfn.xlookup($C104,'Hiker Food'!$C:$C,'Hiker Food'!M:M)*$D104)</f>
        <v/>
      </c>
      <c r="K104" s="64" t="str">
        <f t="array" ref="K104">if($C104="","",_xlfn.xlookup($C104,'Hiker Food'!$C:$C,'Hiker Food'!N:N)*$D104)</f>
        <v/>
      </c>
      <c r="L104" s="64" t="str">
        <f t="array" ref="L104">if($C104="","",_xlfn.xlookup($C104,'Hiker Food'!$C:$C,'Hiker Food'!O:O)*$D104)</f>
        <v/>
      </c>
      <c r="M104" s="64" t="str">
        <f t="array" ref="M104">if($C104="","",_xlfn.xlookup($C104,'Hiker Food'!$C:$C,'Hiker Food'!P:P)*$D104)</f>
        <v/>
      </c>
      <c r="N104" s="64" t="str">
        <f t="array" ref="N104">if($C104="","",_xlfn.xlookup($C104,'Hiker Food'!$C:$C,'Hiker Food'!Q:Q)*$D104)</f>
        <v/>
      </c>
      <c r="O104" s="64" t="str">
        <f t="array" ref="O104">if($C104="","",_xlfn.xlookup($C104,'Hiker Food'!$C:$C,'Hiker Food'!I:I)*$D104)</f>
        <v/>
      </c>
      <c r="P104" s="81" t="str">
        <f t="array" ref="P104">if($C104="","",_xlfn.xlookup($C104,'Hiker Food'!$C:$C,'Hiker Food'!T:T))</f>
        <v/>
      </c>
      <c r="Q104" s="82" t="str">
        <f t="array" ref="Q104">if($C104="","",_xlfn.xlookup($C104,'Hiker Food'!$C:$C,'Hiker Food'!U:U))</f>
        <v/>
      </c>
      <c r="R104" s="82" t="str">
        <f t="array" ref="R104">if($C104="","",_xlfn.xlookup($C104,'Hiker Food'!$C:$C,'Hiker Food'!V:V))</f>
        <v/>
      </c>
      <c r="S104" s="83" t="str">
        <f t="array" ref="S104">if($C104="","",_xlfn.xlookup($C104,'Hiker Food'!$C:$C,'Hiker Food'!W:W))</f>
        <v/>
      </c>
      <c r="T104" s="65"/>
      <c r="U104" s="66"/>
      <c r="V104" s="66"/>
      <c r="W104" s="66"/>
      <c r="X104" s="66"/>
      <c r="Y104" s="66"/>
      <c r="Z104" s="66"/>
      <c r="AA104" s="66"/>
      <c r="AB104" s="66"/>
      <c r="AC104" s="67"/>
    </row>
    <row r="105">
      <c r="A105" s="52"/>
      <c r="B105" s="94" t="s">
        <v>424</v>
      </c>
      <c r="C105" s="90"/>
      <c r="D105" s="70">
        <v>1.0</v>
      </c>
      <c r="E105" s="71" t="str">
        <f t="array" ref="E105">if(C105="","",_xlfn.xlookup(C105,'Hiker Food'!$C:$C,'Hiker Food'!G:G)*D105)</f>
        <v/>
      </c>
      <c r="F105" s="42" t="str">
        <f t="array" ref="F105">if(C105="","",_xlfn.xlookup(C105,'Hiker Food'!$C:$C,'Hiker Food'!H:H)*D105)</f>
        <v/>
      </c>
      <c r="G105" s="72" t="str">
        <f t="array" ref="G105">if($C105="","",_xlfn.xlookup($C105,'Hiker Food'!$C:$C,'Hiker Food'!J:J)*$D105)</f>
        <v/>
      </c>
      <c r="H105" s="72" t="str">
        <f t="array" ref="H105">if($C105="","",_xlfn.xlookup($C105,'Hiker Food'!$C:$C,'Hiker Food'!K:K)*$D105)</f>
        <v/>
      </c>
      <c r="I105" s="72" t="str">
        <f t="array" ref="I105">if($C105="","",_xlfn.xlookup($C105,'Hiker Food'!$C:$C,'Hiker Food'!L:L)*$D105)</f>
        <v/>
      </c>
      <c r="J105" s="72" t="str">
        <f t="array" ref="J105">if($C105="","",_xlfn.xlookup($C105,'Hiker Food'!$C:$C,'Hiker Food'!M:M)*$D105)</f>
        <v/>
      </c>
      <c r="K105" s="72" t="str">
        <f t="array" ref="K105">if($C105="","",_xlfn.xlookup($C105,'Hiker Food'!$C:$C,'Hiker Food'!N:N)*$D105)</f>
        <v/>
      </c>
      <c r="L105" s="72" t="str">
        <f t="array" ref="L105">if($C105="","",_xlfn.xlookup($C105,'Hiker Food'!$C:$C,'Hiker Food'!O:O)*$D105)</f>
        <v/>
      </c>
      <c r="M105" s="72" t="str">
        <f t="array" ref="M105">if($C105="","",_xlfn.xlookup($C105,'Hiker Food'!$C:$C,'Hiker Food'!P:P)*$D105)</f>
        <v/>
      </c>
      <c r="N105" s="72" t="str">
        <f t="array" ref="N105">if($C105="","",_xlfn.xlookup($C105,'Hiker Food'!$C:$C,'Hiker Food'!Q:Q)*$D105)</f>
        <v/>
      </c>
      <c r="O105" s="72" t="str">
        <f t="array" ref="O105">if($C105="","",_xlfn.xlookup($C105,'Hiker Food'!$C:$C,'Hiker Food'!I:I)*$D105)</f>
        <v/>
      </c>
      <c r="P105" s="71" t="str">
        <f t="array" ref="P105">if($C105="","",_xlfn.xlookup($C105,'Hiker Food'!$C:$C,'Hiker Food'!T:T))</f>
        <v/>
      </c>
      <c r="Q105" s="73" t="str">
        <f t="array" ref="Q105">if($C105="","",_xlfn.xlookup($C105,'Hiker Food'!$C:$C,'Hiker Food'!U:U))</f>
        <v/>
      </c>
      <c r="R105" s="73" t="str">
        <f t="array" ref="R105">if($C105="","",_xlfn.xlookup($C105,'Hiker Food'!$C:$C,'Hiker Food'!V:V))</f>
        <v/>
      </c>
      <c r="S105" s="74" t="str">
        <f t="array" ref="S105">if($C105="","",_xlfn.xlookup($C105,'Hiker Food'!$C:$C,'Hiker Food'!W:W))</f>
        <v/>
      </c>
      <c r="T105" s="95" t="s">
        <v>424</v>
      </c>
      <c r="U105" s="76" t="str">
        <f>if(C105="","",Y105/V105)</f>
        <v/>
      </c>
      <c r="V105" s="96" t="str">
        <f>if($C105="","",sum(E105:E107))</f>
        <v/>
      </c>
      <c r="W105" s="77" t="str">
        <f>if($C105="","",$Y105/X105)</f>
        <v/>
      </c>
      <c r="X105" s="96" t="str">
        <f>if($C105="","",sum(F105:F107))</f>
        <v/>
      </c>
      <c r="Y105" s="96" t="str">
        <f>if($C105="","",sum(O105:O107))</f>
        <v/>
      </c>
      <c r="Z105" s="77" t="str">
        <f>if($C105="","",(sum(J105:J107)/sum(N105:N107)))</f>
        <v/>
      </c>
      <c r="AA105" s="78" t="str">
        <f>if($C105="","",sum(G105:G107)*9/sum(sum(G105:G107)*9+sum(J105:J107)*4+sum(N105:N107)*4))</f>
        <v/>
      </c>
      <c r="AB105" s="78" t="str">
        <f>if($C105="","",sum(L105:L107)*4/sum(sum(G105:G107)*9+sum(J105:J107)*4+sum(N105:N107)*4))</f>
        <v/>
      </c>
      <c r="AC105" s="79" t="str">
        <f>if($C105="","",(sum(H105:H107)/sum(O105:O107)))</f>
        <v/>
      </c>
    </row>
    <row r="106">
      <c r="A106" s="52"/>
      <c r="B106" s="53"/>
      <c r="C106" s="54"/>
      <c r="D106" s="55">
        <v>1.0</v>
      </c>
      <c r="E106" s="56" t="str">
        <f t="array" ref="E106">if(C106="","",_xlfn.xlookup(C106,'Hiker Food'!$C:$C,'Hiker Food'!G:G)*D106)</f>
        <v/>
      </c>
      <c r="F106" s="42" t="str">
        <f t="array" ref="F106">if(C106="","",_xlfn.xlookup(C106,'Hiker Food'!$C:$C,'Hiker Food'!H:H)*D106)</f>
        <v/>
      </c>
      <c r="G106" s="42" t="str">
        <f t="array" ref="G106">if($C106="","",_xlfn.xlookup($C106,'Hiker Food'!$C:$C,'Hiker Food'!J:J)*$D106)</f>
        <v/>
      </c>
      <c r="H106" s="42" t="str">
        <f t="array" ref="H106">if($C106="","",_xlfn.xlookup($C106,'Hiker Food'!$C:$C,'Hiker Food'!K:K)*$D106)</f>
        <v/>
      </c>
      <c r="I106" s="42" t="str">
        <f t="array" ref="I106">if($C106="","",_xlfn.xlookup($C106,'Hiker Food'!$C:$C,'Hiker Food'!L:L)*$D106)</f>
        <v/>
      </c>
      <c r="J106" s="42" t="str">
        <f t="array" ref="J106">if($C106="","",_xlfn.xlookup($C106,'Hiker Food'!$C:$C,'Hiker Food'!M:M)*$D106)</f>
        <v/>
      </c>
      <c r="K106" s="42" t="str">
        <f t="array" ref="K106">if($C106="","",_xlfn.xlookup($C106,'Hiker Food'!$C:$C,'Hiker Food'!N:N)*$D106)</f>
        <v/>
      </c>
      <c r="L106" s="42" t="str">
        <f t="array" ref="L106">if($C106="","",_xlfn.xlookup($C106,'Hiker Food'!$C:$C,'Hiker Food'!O:O)*$D106)</f>
        <v/>
      </c>
      <c r="M106" s="42" t="str">
        <f t="array" ref="M106">if($C106="","",_xlfn.xlookup($C106,'Hiker Food'!$C:$C,'Hiker Food'!P:P)*$D106)</f>
        <v/>
      </c>
      <c r="N106" s="42" t="str">
        <f t="array" ref="N106">if($C106="","",_xlfn.xlookup($C106,'Hiker Food'!$C:$C,'Hiker Food'!Q:Q)*$D106)</f>
        <v/>
      </c>
      <c r="O106" s="42" t="str">
        <f t="array" ref="O106">if($C106="","",_xlfn.xlookup($C106,'Hiker Food'!$C:$C,'Hiker Food'!I:I)*$D106)</f>
        <v/>
      </c>
      <c r="P106" s="56" t="str">
        <f t="array" ref="P106">if($C106="","",_xlfn.xlookup($C106,'Hiker Food'!$C:$C,'Hiker Food'!T:T))</f>
        <v/>
      </c>
      <c r="Q106" s="57" t="str">
        <f t="array" ref="Q106">if($C106="","",_xlfn.xlookup($C106,'Hiker Food'!$C:$C,'Hiker Food'!U:U))</f>
        <v/>
      </c>
      <c r="R106" s="57" t="str">
        <f t="array" ref="R106">if($C106="","",_xlfn.xlookup($C106,'Hiker Food'!$C:$C,'Hiker Food'!V:V))</f>
        <v/>
      </c>
      <c r="S106" s="58" t="str">
        <f t="array" ref="S106">if($C106="","",_xlfn.xlookup($C106,'Hiker Food'!$C:$C,'Hiker Food'!W:W))</f>
        <v/>
      </c>
      <c r="T106" s="59"/>
      <c r="AC106" s="60"/>
    </row>
    <row r="107">
      <c r="A107" s="52"/>
      <c r="B107" s="61"/>
      <c r="C107" s="54"/>
      <c r="D107" s="63">
        <v>1.0</v>
      </c>
      <c r="E107" s="81" t="str">
        <f t="array" ref="E107">if(C107="","",_xlfn.xlookup(C107,'Hiker Food'!$C:$C,'Hiker Food'!G:G)*D107)</f>
        <v/>
      </c>
      <c r="F107" s="64" t="str">
        <f t="array" ref="F107">if(C107="","",_xlfn.xlookup(C107,'Hiker Food'!$C:$C,'Hiker Food'!H:H)*D107)</f>
        <v/>
      </c>
      <c r="G107" s="64" t="str">
        <f t="array" ref="G107">if($C107="","",_xlfn.xlookup($C107,'Hiker Food'!$C:$C,'Hiker Food'!J:J)*$D107)</f>
        <v/>
      </c>
      <c r="H107" s="64" t="str">
        <f t="array" ref="H107">if($C107="","",_xlfn.xlookup($C107,'Hiker Food'!$C:$C,'Hiker Food'!K:K)*$D107)</f>
        <v/>
      </c>
      <c r="I107" s="64" t="str">
        <f t="array" ref="I107">if($C107="","",_xlfn.xlookup($C107,'Hiker Food'!$C:$C,'Hiker Food'!L:L)*$D107)</f>
        <v/>
      </c>
      <c r="J107" s="64" t="str">
        <f t="array" ref="J107">if($C107="","",_xlfn.xlookup($C107,'Hiker Food'!$C:$C,'Hiker Food'!M:M)*$D107)</f>
        <v/>
      </c>
      <c r="K107" s="64" t="str">
        <f t="array" ref="K107">if($C107="","",_xlfn.xlookup($C107,'Hiker Food'!$C:$C,'Hiker Food'!N:N)*$D107)</f>
        <v/>
      </c>
      <c r="L107" s="64" t="str">
        <f t="array" ref="L107">if($C107="","",_xlfn.xlookup($C107,'Hiker Food'!$C:$C,'Hiker Food'!O:O)*$D107)</f>
        <v/>
      </c>
      <c r="M107" s="64" t="str">
        <f t="array" ref="M107">if($C107="","",_xlfn.xlookup($C107,'Hiker Food'!$C:$C,'Hiker Food'!P:P)*$D107)</f>
        <v/>
      </c>
      <c r="N107" s="64" t="str">
        <f t="array" ref="N107">if($C107="","",_xlfn.xlookup($C107,'Hiker Food'!$C:$C,'Hiker Food'!Q:Q)*$D107)</f>
        <v/>
      </c>
      <c r="O107" s="64" t="str">
        <f t="array" ref="O107">if($C107="","",_xlfn.xlookup($C107,'Hiker Food'!$C:$C,'Hiker Food'!I:I)*$D107)</f>
        <v/>
      </c>
      <c r="P107" s="81" t="str">
        <f t="array" ref="P107">if($C107="","",_xlfn.xlookup($C107,'Hiker Food'!$C:$C,'Hiker Food'!T:T))</f>
        <v/>
      </c>
      <c r="Q107" s="82" t="str">
        <f t="array" ref="Q107">if($C107="","",_xlfn.xlookup($C107,'Hiker Food'!$C:$C,'Hiker Food'!U:U))</f>
        <v/>
      </c>
      <c r="R107" s="82" t="str">
        <f t="array" ref="R107">if($C107="","",_xlfn.xlookup($C107,'Hiker Food'!$C:$C,'Hiker Food'!V:V))</f>
        <v/>
      </c>
      <c r="S107" s="83" t="str">
        <f t="array" ref="S107">if($C107="","",_xlfn.xlookup($C107,'Hiker Food'!$C:$C,'Hiker Food'!W:W))</f>
        <v/>
      </c>
      <c r="T107" s="65"/>
      <c r="U107" s="66"/>
      <c r="V107" s="66"/>
      <c r="W107" s="66"/>
      <c r="X107" s="66"/>
      <c r="Y107" s="66"/>
      <c r="Z107" s="66"/>
      <c r="AA107" s="66"/>
      <c r="AB107" s="66"/>
      <c r="AC107" s="67"/>
    </row>
    <row r="108">
      <c r="A108" s="52"/>
      <c r="B108" s="94" t="s">
        <v>478</v>
      </c>
      <c r="C108" s="90"/>
      <c r="D108" s="70">
        <v>1.0</v>
      </c>
      <c r="E108" s="71" t="str">
        <f t="array" ref="E108">if(C108="","",_xlfn.xlookup(C108,'Hiker Food'!$C:$C,'Hiker Food'!G:G)*D108)</f>
        <v/>
      </c>
      <c r="F108" s="42" t="str">
        <f t="array" ref="F108">if(C108="","",_xlfn.xlookup(C108,'Hiker Food'!$C:$C,'Hiker Food'!H:H)*D108)</f>
        <v/>
      </c>
      <c r="G108" s="72" t="str">
        <f t="array" ref="G108">if($C108="","",_xlfn.xlookup($C108,'Hiker Food'!$C:$C,'Hiker Food'!J:J)*$D108)</f>
        <v/>
      </c>
      <c r="H108" s="72" t="str">
        <f t="array" ref="H108">if($C108="","",_xlfn.xlookup($C108,'Hiker Food'!$C:$C,'Hiker Food'!K:K)*$D108)</f>
        <v/>
      </c>
      <c r="I108" s="72" t="str">
        <f t="array" ref="I108">if($C108="","",_xlfn.xlookup($C108,'Hiker Food'!$C:$C,'Hiker Food'!L:L)*$D108)</f>
        <v/>
      </c>
      <c r="J108" s="72" t="str">
        <f t="array" ref="J108">if($C108="","",_xlfn.xlookup($C108,'Hiker Food'!$C:$C,'Hiker Food'!M:M)*$D108)</f>
        <v/>
      </c>
      <c r="K108" s="72" t="str">
        <f t="array" ref="K108">if($C108="","",_xlfn.xlookup($C108,'Hiker Food'!$C:$C,'Hiker Food'!N:N)*$D108)</f>
        <v/>
      </c>
      <c r="L108" s="72" t="str">
        <f t="array" ref="L108">if($C108="","",_xlfn.xlookup($C108,'Hiker Food'!$C:$C,'Hiker Food'!O:O)*$D108)</f>
        <v/>
      </c>
      <c r="M108" s="72" t="str">
        <f t="array" ref="M108">if($C108="","",_xlfn.xlookup($C108,'Hiker Food'!$C:$C,'Hiker Food'!P:P)*$D108)</f>
        <v/>
      </c>
      <c r="N108" s="72" t="str">
        <f t="array" ref="N108">if($C108="","",_xlfn.xlookup($C108,'Hiker Food'!$C:$C,'Hiker Food'!Q:Q)*$D108)</f>
        <v/>
      </c>
      <c r="O108" s="72" t="str">
        <f t="array" ref="O108">if($C108="","",_xlfn.xlookup($C108,'Hiker Food'!$C:$C,'Hiker Food'!I:I)*$D108)</f>
        <v/>
      </c>
      <c r="P108" s="71" t="str">
        <f t="array" ref="P108">if($C108="","",_xlfn.xlookup($C108,'Hiker Food'!$C:$C,'Hiker Food'!T:T))</f>
        <v/>
      </c>
      <c r="Q108" s="73" t="str">
        <f t="array" ref="Q108">if($C108="","",_xlfn.xlookup($C108,'Hiker Food'!$C:$C,'Hiker Food'!U:U))</f>
        <v/>
      </c>
      <c r="R108" s="73" t="str">
        <f t="array" ref="R108">if($C108="","",_xlfn.xlookup($C108,'Hiker Food'!$C:$C,'Hiker Food'!V:V))</f>
        <v/>
      </c>
      <c r="S108" s="74" t="str">
        <f t="array" ref="S108">if($C108="","",_xlfn.xlookup($C108,'Hiker Food'!$C:$C,'Hiker Food'!W:W))</f>
        <v/>
      </c>
      <c r="T108" s="95" t="s">
        <v>478</v>
      </c>
      <c r="U108" s="76" t="str">
        <f>if(C108="","",Y108/V108)</f>
        <v/>
      </c>
      <c r="V108" s="96" t="str">
        <f>if($C108="","",sum(E108:E110))</f>
        <v/>
      </c>
      <c r="W108" s="77" t="str">
        <f>if($C108="","",$Y108/X108)</f>
        <v/>
      </c>
      <c r="X108" s="96" t="str">
        <f>if($C108="","",sum(F108:F110))</f>
        <v/>
      </c>
      <c r="Y108" s="96" t="str">
        <f>if($C108="","",sum(O108:O110))</f>
        <v/>
      </c>
      <c r="Z108" s="77" t="str">
        <f>if($C108="","",(sum(J108:J110)/sum(N108:N110)))</f>
        <v/>
      </c>
      <c r="AA108" s="78" t="str">
        <f>if($C108="","",sum(G108:G110)*9/sum(sum(G108:G110)*9+sum(J108:J110)*4+sum(N108:N110)*4))</f>
        <v/>
      </c>
      <c r="AB108" s="78" t="str">
        <f>if($C108="","",sum(L108:L110)*4/sum(sum(G108:G110)*9+sum(J108:J110)*4+sum(N108:N110)*4))</f>
        <v/>
      </c>
      <c r="AC108" s="79" t="str">
        <f>if($C108="","",(sum(H108:H110)/sum(O108:O110)))</f>
        <v/>
      </c>
    </row>
    <row r="109">
      <c r="A109" s="52"/>
      <c r="B109" s="53"/>
      <c r="C109" s="93"/>
      <c r="D109" s="55">
        <v>1.0</v>
      </c>
      <c r="E109" s="56" t="str">
        <f t="array" ref="E109">if(C109="","",_xlfn.xlookup(C109,'Hiker Food'!$C:$C,'Hiker Food'!G:G)*D109)</f>
        <v/>
      </c>
      <c r="F109" s="42" t="str">
        <f t="array" ref="F109">if(C109="","",_xlfn.xlookup(C109,'Hiker Food'!$C:$C,'Hiker Food'!H:H)*D109)</f>
        <v/>
      </c>
      <c r="G109" s="42" t="str">
        <f t="array" ref="G109">if($C109="","",_xlfn.xlookup($C109,'Hiker Food'!$C:$C,'Hiker Food'!J:J)*$D109)</f>
        <v/>
      </c>
      <c r="H109" s="42" t="str">
        <f t="array" ref="H109">if($C109="","",_xlfn.xlookup($C109,'Hiker Food'!$C:$C,'Hiker Food'!K:K)*$D109)</f>
        <v/>
      </c>
      <c r="I109" s="42" t="str">
        <f t="array" ref="I109">if($C109="","",_xlfn.xlookup($C109,'Hiker Food'!$C:$C,'Hiker Food'!L:L)*$D109)</f>
        <v/>
      </c>
      <c r="J109" s="42" t="str">
        <f t="array" ref="J109">if($C109="","",_xlfn.xlookup($C109,'Hiker Food'!$C:$C,'Hiker Food'!M:M)*$D109)</f>
        <v/>
      </c>
      <c r="K109" s="42" t="str">
        <f t="array" ref="K109">if($C109="","",_xlfn.xlookup($C109,'Hiker Food'!$C:$C,'Hiker Food'!N:N)*$D109)</f>
        <v/>
      </c>
      <c r="L109" s="42" t="str">
        <f t="array" ref="L109">if($C109="","",_xlfn.xlookup($C109,'Hiker Food'!$C:$C,'Hiker Food'!O:O)*$D109)</f>
        <v/>
      </c>
      <c r="M109" s="42" t="str">
        <f t="array" ref="M109">if($C109="","",_xlfn.xlookup($C109,'Hiker Food'!$C:$C,'Hiker Food'!P:P)*$D109)</f>
        <v/>
      </c>
      <c r="N109" s="42" t="str">
        <f t="array" ref="N109">if($C109="","",_xlfn.xlookup($C109,'Hiker Food'!$C:$C,'Hiker Food'!Q:Q)*$D109)</f>
        <v/>
      </c>
      <c r="O109" s="42" t="str">
        <f t="array" ref="O109">if($C109="","",_xlfn.xlookup($C109,'Hiker Food'!$C:$C,'Hiker Food'!I:I)*$D109)</f>
        <v/>
      </c>
      <c r="P109" s="56" t="str">
        <f t="array" ref="P109">if($C109="","",_xlfn.xlookup($C109,'Hiker Food'!$C:$C,'Hiker Food'!T:T))</f>
        <v/>
      </c>
      <c r="Q109" s="57" t="str">
        <f t="array" ref="Q109">if($C109="","",_xlfn.xlookup($C109,'Hiker Food'!$C:$C,'Hiker Food'!U:U))</f>
        <v/>
      </c>
      <c r="R109" s="57" t="str">
        <f t="array" ref="R109">if($C109="","",_xlfn.xlookup($C109,'Hiker Food'!$C:$C,'Hiker Food'!V:V))</f>
        <v/>
      </c>
      <c r="S109" s="58" t="str">
        <f t="array" ref="S109">if($C109="","",_xlfn.xlookup($C109,'Hiker Food'!$C:$C,'Hiker Food'!W:W))</f>
        <v/>
      </c>
      <c r="T109" s="59"/>
      <c r="AC109" s="60"/>
    </row>
    <row r="110">
      <c r="A110" s="52"/>
      <c r="B110" s="61"/>
      <c r="C110" s="62"/>
      <c r="D110" s="63">
        <v>1.0</v>
      </c>
      <c r="E110" s="81" t="str">
        <f t="array" ref="E110">if(C110="","",_xlfn.xlookup(C110,'Hiker Food'!$C:$C,'Hiker Food'!G:G)*D110)</f>
        <v/>
      </c>
      <c r="F110" s="64" t="str">
        <f t="array" ref="F110">if(C110="","",_xlfn.xlookup(C110,'Hiker Food'!$C:$C,'Hiker Food'!H:H)*D110)</f>
        <v/>
      </c>
      <c r="G110" s="64" t="str">
        <f t="array" ref="G110">if($C110="","",_xlfn.xlookup($C110,'Hiker Food'!$C:$C,'Hiker Food'!J:J)*$D110)</f>
        <v/>
      </c>
      <c r="H110" s="64" t="str">
        <f t="array" ref="H110">if($C110="","",_xlfn.xlookup($C110,'Hiker Food'!$C:$C,'Hiker Food'!K:K)*$D110)</f>
        <v/>
      </c>
      <c r="I110" s="64" t="str">
        <f t="array" ref="I110">if($C110="","",_xlfn.xlookup($C110,'Hiker Food'!$C:$C,'Hiker Food'!L:L)*$D110)</f>
        <v/>
      </c>
      <c r="J110" s="64" t="str">
        <f t="array" ref="J110">if($C110="","",_xlfn.xlookup($C110,'Hiker Food'!$C:$C,'Hiker Food'!M:M)*$D110)</f>
        <v/>
      </c>
      <c r="K110" s="64" t="str">
        <f t="array" ref="K110">if($C110="","",_xlfn.xlookup($C110,'Hiker Food'!$C:$C,'Hiker Food'!N:N)*$D110)</f>
        <v/>
      </c>
      <c r="L110" s="64" t="str">
        <f t="array" ref="L110">if($C110="","",_xlfn.xlookup($C110,'Hiker Food'!$C:$C,'Hiker Food'!O:O)*$D110)</f>
        <v/>
      </c>
      <c r="M110" s="64" t="str">
        <f t="array" ref="M110">if($C110="","",_xlfn.xlookup($C110,'Hiker Food'!$C:$C,'Hiker Food'!P:P)*$D110)</f>
        <v/>
      </c>
      <c r="N110" s="64" t="str">
        <f t="array" ref="N110">if($C110="","",_xlfn.xlookup($C110,'Hiker Food'!$C:$C,'Hiker Food'!Q:Q)*$D110)</f>
        <v/>
      </c>
      <c r="O110" s="64" t="str">
        <f t="array" ref="O110">if($C110="","",_xlfn.xlookup($C110,'Hiker Food'!$C:$C,'Hiker Food'!I:I)*$D110)</f>
        <v/>
      </c>
      <c r="P110" s="81" t="str">
        <f t="array" ref="P110">if($C110="","",_xlfn.xlookup($C110,'Hiker Food'!$C:$C,'Hiker Food'!T:T))</f>
        <v/>
      </c>
      <c r="Q110" s="82" t="str">
        <f t="array" ref="Q110">if($C110="","",_xlfn.xlookup($C110,'Hiker Food'!$C:$C,'Hiker Food'!U:U))</f>
        <v/>
      </c>
      <c r="R110" s="82" t="str">
        <f t="array" ref="R110">if($C110="","",_xlfn.xlookup($C110,'Hiker Food'!$C:$C,'Hiker Food'!V:V))</f>
        <v/>
      </c>
      <c r="S110" s="83" t="str">
        <f t="array" ref="S110">if($C110="","",_xlfn.xlookup($C110,'Hiker Food'!$C:$C,'Hiker Food'!W:W))</f>
        <v/>
      </c>
      <c r="T110" s="65"/>
      <c r="U110" s="66"/>
      <c r="V110" s="66"/>
      <c r="W110" s="66"/>
      <c r="X110" s="66"/>
      <c r="Y110" s="66"/>
      <c r="Z110" s="66"/>
      <c r="AA110" s="66"/>
      <c r="AB110" s="66"/>
      <c r="AC110" s="67"/>
    </row>
    <row r="111">
      <c r="A111" s="97"/>
      <c r="B111" s="98" t="s">
        <v>532</v>
      </c>
      <c r="C111" s="99" t="str">
        <f>IF(COUNTIF(C90:C110,"")=COUNTA(C90:C110), "", "zzzz - subtotal line - ignore")</f>
        <v>zzzz - subtotal line - ignore</v>
      </c>
      <c r="D111" s="99"/>
      <c r="E111" s="100" t="str">
        <f t="shared" ref="E111:O111" si="5">if(counta($C90:$C110)=0,"",SUM(E90:E110))</f>
        <v/>
      </c>
      <c r="F111" s="101" t="str">
        <f t="shared" si="5"/>
        <v/>
      </c>
      <c r="G111" s="101" t="str">
        <f t="shared" si="5"/>
        <v/>
      </c>
      <c r="H111" s="101" t="str">
        <f t="shared" si="5"/>
        <v/>
      </c>
      <c r="I111" s="101" t="str">
        <f t="shared" si="5"/>
        <v/>
      </c>
      <c r="J111" s="101" t="str">
        <f t="shared" si="5"/>
        <v/>
      </c>
      <c r="K111" s="101" t="str">
        <f t="shared" si="5"/>
        <v/>
      </c>
      <c r="L111" s="101" t="str">
        <f t="shared" si="5"/>
        <v/>
      </c>
      <c r="M111" s="101" t="str">
        <f t="shared" si="5"/>
        <v/>
      </c>
      <c r="N111" s="101" t="str">
        <f t="shared" si="5"/>
        <v/>
      </c>
      <c r="O111" s="101" t="str">
        <f t="shared" si="5"/>
        <v/>
      </c>
      <c r="P111" s="102"/>
      <c r="Q111" s="102"/>
      <c r="R111" s="102"/>
      <c r="S111" s="102"/>
      <c r="T111" s="98" t="s">
        <v>532</v>
      </c>
      <c r="U111" s="100"/>
      <c r="V111" s="100" t="str">
        <f>if(counta($C90:$C110)=0,"",SUM(E90:E110))</f>
        <v/>
      </c>
      <c r="W111" s="101"/>
      <c r="X111" s="101" t="str">
        <f>if(counta($C90:$C110)=0,"",SUM(F90:F110))</f>
        <v/>
      </c>
      <c r="Y111" s="101" t="str">
        <f>if(counta($C90:$C110)=0,"",SUM(O90:O110))</f>
        <v/>
      </c>
      <c r="Z111" s="103" t="str">
        <f>if($V111="","",sum(J90:J110)/sum(N90:N110))</f>
        <v/>
      </c>
      <c r="AA111" s="104" t="str">
        <f>if($V111="","",sum(G90:G110)*9/sum(sum(G90:G110)*9+sum(J90:J110)*4+sum(N90:N110)*4))</f>
        <v/>
      </c>
      <c r="AB111" s="104" t="str">
        <f>if($V111="","",sum(L90:L110)*4/sum(sum(G90:G110)*9+sum(J90:J110)*4+sum(N90:N110)*4))</f>
        <v/>
      </c>
      <c r="AC111" s="105" t="str">
        <f>if($V111="","",sum(H90:H110)/sum(O90:O110))</f>
        <v/>
      </c>
    </row>
    <row r="112">
      <c r="A112" s="37">
        <v>6.0</v>
      </c>
      <c r="B112" s="38" t="s">
        <v>92</v>
      </c>
      <c r="C112" s="39"/>
      <c r="D112" s="40">
        <v>1.0</v>
      </c>
      <c r="E112" s="41" t="str">
        <f t="array" ref="E112">if(C112="","",_xlfn.xlookup(C112,'Hiker Food'!$C:$C,'Hiker Food'!G:G)*D112)</f>
        <v/>
      </c>
      <c r="F112" s="42" t="str">
        <f t="array" ref="F112">if(C112="","",_xlfn.xlookup(C112,'Hiker Food'!$C:$C,'Hiker Food'!H:H)*D112)</f>
        <v/>
      </c>
      <c r="G112" s="43" t="str">
        <f t="array" ref="G112">if($C112="","",_xlfn.xlookup($C112,'Hiker Food'!$C:$C,'Hiker Food'!J:J)*$D112)</f>
        <v/>
      </c>
      <c r="H112" s="43" t="str">
        <f t="array" ref="H112">if($C112="","",_xlfn.xlookup($C112,'Hiker Food'!$C:$C,'Hiker Food'!K:K)*$D112)</f>
        <v/>
      </c>
      <c r="I112" s="43" t="str">
        <f t="array" ref="I112">if($C112="","",_xlfn.xlookup($C112,'Hiker Food'!$C:$C,'Hiker Food'!L:L)*$D112)</f>
        <v/>
      </c>
      <c r="J112" s="43" t="str">
        <f t="array" ref="J112">if($C112="","",_xlfn.xlookup($C112,'Hiker Food'!$C:$C,'Hiker Food'!M:M)*$D112)</f>
        <v/>
      </c>
      <c r="K112" s="43" t="str">
        <f t="array" ref="K112">if($C112="","",_xlfn.xlookup($C112,'Hiker Food'!$C:$C,'Hiker Food'!N:N)*$D112)</f>
        <v/>
      </c>
      <c r="L112" s="43" t="str">
        <f t="array" ref="L112">if($C112="","",_xlfn.xlookup($C112,'Hiker Food'!$C:$C,'Hiker Food'!O:O)*$D112)</f>
        <v/>
      </c>
      <c r="M112" s="43" t="str">
        <f t="array" ref="M112">if($C112="","",_xlfn.xlookup($C112,'Hiker Food'!$C:$C,'Hiker Food'!P:P)*$D112)</f>
        <v/>
      </c>
      <c r="N112" s="43" t="str">
        <f t="array" ref="N112">if($C112="","",_xlfn.xlookup($C112,'Hiker Food'!$C:$C,'Hiker Food'!Q:Q)*$D112)</f>
        <v/>
      </c>
      <c r="O112" s="43" t="str">
        <f t="array" ref="O112">if($C112="","",_xlfn.xlookup($C112,'Hiker Food'!$C:$C,'Hiker Food'!I:I)*$D112)</f>
        <v/>
      </c>
      <c r="P112" s="41" t="str">
        <f t="array" ref="P112">if($C112="","",_xlfn.xlookup($C112,'Hiker Food'!$C:$C,'Hiker Food'!T:T))</f>
        <v/>
      </c>
      <c r="Q112" s="44" t="str">
        <f t="array" ref="Q112">if($C112="","",_xlfn.xlookup($C112,'Hiker Food'!$C:$C,'Hiker Food'!U:U))</f>
        <v/>
      </c>
      <c r="R112" s="44" t="str">
        <f t="array" ref="R112">if($C112="","",_xlfn.xlookup($C112,'Hiker Food'!$C:$C,'Hiker Food'!V:V))</f>
        <v/>
      </c>
      <c r="S112" s="45" t="str">
        <f t="array" ref="S112">if($C112="","",_xlfn.xlookup($C112,'Hiker Food'!$C:$C,'Hiker Food'!W:W))</f>
        <v/>
      </c>
      <c r="T112" s="46" t="s">
        <v>92</v>
      </c>
      <c r="U112" s="47" t="str">
        <f>if($C112="","",$Y112/V112)</f>
        <v/>
      </c>
      <c r="V112" s="114" t="str">
        <f>if($C112="","",sum(E112:E114))</f>
        <v/>
      </c>
      <c r="W112" s="48" t="str">
        <f>if($C112="","",$Y112/X112)</f>
        <v/>
      </c>
      <c r="X112" s="114" t="str">
        <f>if($C112="","",sum(F112:F114))</f>
        <v/>
      </c>
      <c r="Y112" s="114" t="str">
        <f>if($C112="","",sum(O112:O114))</f>
        <v/>
      </c>
      <c r="Z112" s="49" t="str">
        <f>if($C112="","",(sum(J112:J114)/sum(N112:N114)))</f>
        <v/>
      </c>
      <c r="AA112" s="50" t="str">
        <f>if($C112="","",sum(G112:G114)*9/sum(sum(G112:G114)*9+sum(J112:J114)*4+sum(N112:N114)*4))</f>
        <v/>
      </c>
      <c r="AB112" s="50" t="str">
        <f>if($C112="","",sum(L112:L114)*4/sum(sum(G112:G114)*9+sum(J112:J114)*4+sum(N112:N114)*4))</f>
        <v/>
      </c>
      <c r="AC112" s="51" t="str">
        <f>if($C112="","",(sum(H112:H114)/sum(O112:O114)))</f>
        <v/>
      </c>
    </row>
    <row r="113">
      <c r="A113" s="52"/>
      <c r="B113" s="53"/>
      <c r="C113" s="54"/>
      <c r="D113" s="55">
        <v>1.0</v>
      </c>
      <c r="E113" s="56" t="str">
        <f t="array" ref="E113">if(C113="","",_xlfn.xlookup(C113,'Hiker Food'!$C:$C,'Hiker Food'!G:G)*D113)</f>
        <v/>
      </c>
      <c r="F113" s="42" t="str">
        <f t="array" ref="F113">if(C113="","",_xlfn.xlookup(C113,'Hiker Food'!$C:$C,'Hiker Food'!H:H)*D113)</f>
        <v/>
      </c>
      <c r="G113" s="42" t="str">
        <f t="array" ref="G113">if($C113="","",_xlfn.xlookup($C113,'Hiker Food'!$C:$C,'Hiker Food'!J:J)*$D113)</f>
        <v/>
      </c>
      <c r="H113" s="42" t="str">
        <f t="array" ref="H113">if($C113="","",_xlfn.xlookup($C113,'Hiker Food'!$C:$C,'Hiker Food'!K:K)*$D113)</f>
        <v/>
      </c>
      <c r="I113" s="42" t="str">
        <f t="array" ref="I113">if($C113="","",_xlfn.xlookup($C113,'Hiker Food'!$C:$C,'Hiker Food'!L:L)*$D113)</f>
        <v/>
      </c>
      <c r="J113" s="42" t="str">
        <f t="array" ref="J113">if($C113="","",_xlfn.xlookup($C113,'Hiker Food'!$C:$C,'Hiker Food'!M:M)*$D113)</f>
        <v/>
      </c>
      <c r="K113" s="42" t="str">
        <f t="array" ref="K113">if($C113="","",_xlfn.xlookup($C113,'Hiker Food'!$C:$C,'Hiker Food'!N:N)*$D113)</f>
        <v/>
      </c>
      <c r="L113" s="42" t="str">
        <f t="array" ref="L113">if($C113="","",_xlfn.xlookup($C113,'Hiker Food'!$C:$C,'Hiker Food'!O:O)*$D113)</f>
        <v/>
      </c>
      <c r="M113" s="42" t="str">
        <f t="array" ref="M113">if($C113="","",_xlfn.xlookup($C113,'Hiker Food'!$C:$C,'Hiker Food'!P:P)*$D113)</f>
        <v/>
      </c>
      <c r="N113" s="42" t="str">
        <f t="array" ref="N113">if($C113="","",_xlfn.xlookup($C113,'Hiker Food'!$C:$C,'Hiker Food'!Q:Q)*$D113)</f>
        <v/>
      </c>
      <c r="O113" s="42" t="str">
        <f t="array" ref="O113">if($C113="","",_xlfn.xlookup($C113,'Hiker Food'!$C:$C,'Hiker Food'!I:I)*$D113)</f>
        <v/>
      </c>
      <c r="P113" s="56" t="str">
        <f t="array" ref="P113">if($C113="","",_xlfn.xlookup($C113,'Hiker Food'!$C:$C,'Hiker Food'!T:T))</f>
        <v/>
      </c>
      <c r="Q113" s="57" t="str">
        <f t="array" ref="Q113">if($C113="","",_xlfn.xlookup($C113,'Hiker Food'!$C:$C,'Hiker Food'!U:U))</f>
        <v/>
      </c>
      <c r="R113" s="57" t="str">
        <f t="array" ref="R113">if($C113="","",_xlfn.xlookup($C113,'Hiker Food'!$C:$C,'Hiker Food'!V:V))</f>
        <v/>
      </c>
      <c r="S113" s="58" t="str">
        <f t="array" ref="S113">if($C113="","",_xlfn.xlookup($C113,'Hiker Food'!$C:$C,'Hiker Food'!W:W))</f>
        <v/>
      </c>
      <c r="T113" s="59"/>
      <c r="AC113" s="60"/>
    </row>
    <row r="114">
      <c r="A114" s="52"/>
      <c r="B114" s="61"/>
      <c r="C114" s="62"/>
      <c r="D114" s="63">
        <v>1.0</v>
      </c>
      <c r="E114" s="56" t="str">
        <f t="array" ref="E114">if(C114="","",_xlfn.xlookup(C114,'Hiker Food'!$C:$C,'Hiker Food'!G:G)*D114)</f>
        <v/>
      </c>
      <c r="F114" s="64" t="str">
        <f t="array" ref="F114">if(C114="","",_xlfn.xlookup(C114,'Hiker Food'!$C:$C,'Hiker Food'!H:H)*D114)</f>
        <v/>
      </c>
      <c r="G114" s="64" t="str">
        <f t="array" ref="G114">if($C114="","",_xlfn.xlookup($C114,'Hiker Food'!$C:$C,'Hiker Food'!J:J)*$D114)</f>
        <v/>
      </c>
      <c r="H114" s="64" t="str">
        <f t="array" ref="H114">if($C114="","",_xlfn.xlookup($C114,'Hiker Food'!$C:$C,'Hiker Food'!K:K)*$D114)</f>
        <v/>
      </c>
      <c r="I114" s="64" t="str">
        <f t="array" ref="I114">if($C114="","",_xlfn.xlookup($C114,'Hiker Food'!$C:$C,'Hiker Food'!L:L)*$D114)</f>
        <v/>
      </c>
      <c r="J114" s="64" t="str">
        <f t="array" ref="J114">if($C114="","",_xlfn.xlookup($C114,'Hiker Food'!$C:$C,'Hiker Food'!M:M)*$D114)</f>
        <v/>
      </c>
      <c r="K114" s="64" t="str">
        <f t="array" ref="K114">if($C114="","",_xlfn.xlookup($C114,'Hiker Food'!$C:$C,'Hiker Food'!N:N)*$D114)</f>
        <v/>
      </c>
      <c r="L114" s="64" t="str">
        <f t="array" ref="L114">if($C114="","",_xlfn.xlookup($C114,'Hiker Food'!$C:$C,'Hiker Food'!O:O)*$D114)</f>
        <v/>
      </c>
      <c r="M114" s="64" t="str">
        <f t="array" ref="M114">if($C114="","",_xlfn.xlookup($C114,'Hiker Food'!$C:$C,'Hiker Food'!P:P)*$D114)</f>
        <v/>
      </c>
      <c r="N114" s="64" t="str">
        <f t="array" ref="N114">if($C114="","",_xlfn.xlookup($C114,'Hiker Food'!$C:$C,'Hiker Food'!Q:Q)*$D114)</f>
        <v/>
      </c>
      <c r="O114" s="42" t="str">
        <f t="array" ref="O114">if($C114="","",_xlfn.xlookup($C114,'Hiker Food'!$C:$C,'Hiker Food'!I:I)*$D114)</f>
        <v/>
      </c>
      <c r="P114" s="56" t="str">
        <f t="array" ref="P114">if($C114="","",_xlfn.xlookup($C114,'Hiker Food'!$C:$C,'Hiker Food'!T:T))</f>
        <v/>
      </c>
      <c r="Q114" s="57" t="str">
        <f t="array" ref="Q114">if($C114="","",_xlfn.xlookup($C114,'Hiker Food'!$C:$C,'Hiker Food'!U:U))</f>
        <v/>
      </c>
      <c r="R114" s="57" t="str">
        <f t="array" ref="R114">if($C114="","",_xlfn.xlookup($C114,'Hiker Food'!$C:$C,'Hiker Food'!V:V))</f>
        <v/>
      </c>
      <c r="S114" s="58" t="str">
        <f t="array" ref="S114">if($C114="","",_xlfn.xlookup($C114,'Hiker Food'!$C:$C,'Hiker Food'!W:W))</f>
        <v/>
      </c>
      <c r="T114" s="65"/>
      <c r="U114" s="66"/>
      <c r="V114" s="66"/>
      <c r="W114" s="66"/>
      <c r="X114" s="66"/>
      <c r="Y114" s="66"/>
      <c r="Z114" s="66"/>
      <c r="AA114" s="66"/>
      <c r="AB114" s="66"/>
      <c r="AC114" s="67"/>
    </row>
    <row r="115">
      <c r="A115" s="52"/>
      <c r="B115" s="68" t="s">
        <v>179</v>
      </c>
      <c r="C115" s="69"/>
      <c r="D115" s="70">
        <v>2.0</v>
      </c>
      <c r="E115" s="71" t="str">
        <f t="array" ref="E115">if(C115="","",_xlfn.xlookup(C115,'Hiker Food'!$C:$C,'Hiker Food'!G:G)*D115)</f>
        <v/>
      </c>
      <c r="F115" s="42" t="str">
        <f t="array" ref="F115">if(C115="","",_xlfn.xlookup(C115,'Hiker Food'!$C:$C,'Hiker Food'!H:H)*D115)</f>
        <v/>
      </c>
      <c r="G115" s="72" t="str">
        <f t="array" ref="G115">if($C115="","",_xlfn.xlookup($C115,'Hiker Food'!$C:$C,'Hiker Food'!J:J)*$D115)</f>
        <v/>
      </c>
      <c r="H115" s="72" t="str">
        <f t="array" ref="H115">if($C115="","",_xlfn.xlookup($C115,'Hiker Food'!$C:$C,'Hiker Food'!K:K)*$D115)</f>
        <v/>
      </c>
      <c r="I115" s="72" t="str">
        <f t="array" ref="I115">if($C115="","",_xlfn.xlookup($C115,'Hiker Food'!$C:$C,'Hiker Food'!L:L)*$D115)</f>
        <v/>
      </c>
      <c r="J115" s="72" t="str">
        <f t="array" ref="J115">if($C115="","",_xlfn.xlookup($C115,'Hiker Food'!$C:$C,'Hiker Food'!M:M)*$D115)</f>
        <v/>
      </c>
      <c r="K115" s="72" t="str">
        <f t="array" ref="K115">if($C115="","",_xlfn.xlookup($C115,'Hiker Food'!$C:$C,'Hiker Food'!N:N)*$D115)</f>
        <v/>
      </c>
      <c r="L115" s="72" t="str">
        <f t="array" ref="L115">if($C115="","",_xlfn.xlookup($C115,'Hiker Food'!$C:$C,'Hiker Food'!O:O)*$D115)</f>
        <v/>
      </c>
      <c r="M115" s="72" t="str">
        <f t="array" ref="M115">if($C115="","",_xlfn.xlookup($C115,'Hiker Food'!$C:$C,'Hiker Food'!P:P)*$D115)</f>
        <v/>
      </c>
      <c r="N115" s="72" t="str">
        <f t="array" ref="N115">if($C115="","",_xlfn.xlookup($C115,'Hiker Food'!$C:$C,'Hiker Food'!Q:Q)*$D115)</f>
        <v/>
      </c>
      <c r="O115" s="72" t="str">
        <f t="array" ref="O115">if($C115="","",_xlfn.xlookup($C115,'Hiker Food'!$C:$C,'Hiker Food'!I:I)*$D115)</f>
        <v/>
      </c>
      <c r="P115" s="71" t="str">
        <f t="array" ref="P115">if($C115="","",_xlfn.xlookup($C115,'Hiker Food'!$C:$C,'Hiker Food'!T:T))</f>
        <v/>
      </c>
      <c r="Q115" s="73" t="str">
        <f t="array" ref="Q115">if($C115="","",_xlfn.xlookup($C115,'Hiker Food'!$C:$C,'Hiker Food'!U:U))</f>
        <v/>
      </c>
      <c r="R115" s="73" t="str">
        <f t="array" ref="R115">if($C115="","",_xlfn.xlookup($C115,'Hiker Food'!$C:$C,'Hiker Food'!V:V))</f>
        <v/>
      </c>
      <c r="S115" s="74" t="str">
        <f t="array" ref="S115">if($C115="","",_xlfn.xlookup($C115,'Hiker Food'!$C:$C,'Hiker Food'!W:W))</f>
        <v/>
      </c>
      <c r="T115" s="75" t="s">
        <v>179</v>
      </c>
      <c r="U115" s="76" t="str">
        <f>if(C115="","",Y115/V115)</f>
        <v/>
      </c>
      <c r="V115" s="96" t="str">
        <f>if($C115="","",sum(E115:E117))</f>
        <v/>
      </c>
      <c r="W115" s="77" t="str">
        <f>if($C115="","",$Y115/X115)</f>
        <v/>
      </c>
      <c r="X115" s="96" t="str">
        <f>if($C115="","",sum(F115:F117))</f>
        <v/>
      </c>
      <c r="Y115" s="96" t="str">
        <f>if($C115="","",sum(O115:O117))</f>
        <v/>
      </c>
      <c r="Z115" s="77" t="str">
        <f>if($C115="","",(sum(J115:J117)/sum(N115:N117)))</f>
        <v/>
      </c>
      <c r="AA115" s="78" t="str">
        <f>if($C115="","",sum(G115:G117)*9/sum(sum(G115:G117)*9+sum(J115:J117)*4+sum(N115:N117)*4))</f>
        <v/>
      </c>
      <c r="AB115" s="78" t="str">
        <f>if($C115="","",sum(L115:L117)*4/sum(sum(G115:G117)*9+sum(J115:J117)*4+sum(N115:N117)*4))</f>
        <v/>
      </c>
      <c r="AC115" s="79" t="str">
        <f>if($C115="","",(sum(H115:H117)/sum(O115:O117)))</f>
        <v/>
      </c>
    </row>
    <row r="116">
      <c r="A116" s="52"/>
      <c r="B116" s="53"/>
      <c r="C116" s="54"/>
      <c r="D116" s="55">
        <v>2.0</v>
      </c>
      <c r="E116" s="56" t="str">
        <f t="array" ref="E116">if(C116="","",_xlfn.xlookup(C116,'Hiker Food'!$C:$C,'Hiker Food'!G:G)*D116)</f>
        <v/>
      </c>
      <c r="F116" s="42" t="str">
        <f t="array" ref="F116">if(C116="","",_xlfn.xlookup(C116,'Hiker Food'!$C:$C,'Hiker Food'!H:H)*D116)</f>
        <v/>
      </c>
      <c r="G116" s="42" t="str">
        <f t="array" ref="G116">if($C116="","",_xlfn.xlookup($C116,'Hiker Food'!$C:$C,'Hiker Food'!J:J)*$D116)</f>
        <v/>
      </c>
      <c r="H116" s="42" t="str">
        <f t="array" ref="H116">if($C116="","",_xlfn.xlookup($C116,'Hiker Food'!$C:$C,'Hiker Food'!K:K)*$D116)</f>
        <v/>
      </c>
      <c r="I116" s="42" t="str">
        <f t="array" ref="I116">if($C116="","",_xlfn.xlookup($C116,'Hiker Food'!$C:$C,'Hiker Food'!L:L)*$D116)</f>
        <v/>
      </c>
      <c r="J116" s="42" t="str">
        <f t="array" ref="J116">if($C116="","",_xlfn.xlookup($C116,'Hiker Food'!$C:$C,'Hiker Food'!M:M)*$D116)</f>
        <v/>
      </c>
      <c r="K116" s="42" t="str">
        <f t="array" ref="K116">if($C116="","",_xlfn.xlookup($C116,'Hiker Food'!$C:$C,'Hiker Food'!N:N)*$D116)</f>
        <v/>
      </c>
      <c r="L116" s="42" t="str">
        <f t="array" ref="L116">if($C116="","",_xlfn.xlookup($C116,'Hiker Food'!$C:$C,'Hiker Food'!O:O)*$D116)</f>
        <v/>
      </c>
      <c r="M116" s="42" t="str">
        <f t="array" ref="M116">if($C116="","",_xlfn.xlookup($C116,'Hiker Food'!$C:$C,'Hiker Food'!P:P)*$D116)</f>
        <v/>
      </c>
      <c r="N116" s="42" t="str">
        <f t="array" ref="N116">if($C116="","",_xlfn.xlookup($C116,'Hiker Food'!$C:$C,'Hiker Food'!Q:Q)*$D116)</f>
        <v/>
      </c>
      <c r="O116" s="42" t="str">
        <f t="array" ref="O116">if($C116="","",_xlfn.xlookup($C116,'Hiker Food'!$C:$C,'Hiker Food'!I:I)*$D116)</f>
        <v/>
      </c>
      <c r="P116" s="56" t="str">
        <f t="array" ref="P116">if($C116="","",_xlfn.xlookup($C116,'Hiker Food'!$C:$C,'Hiker Food'!T:T))</f>
        <v/>
      </c>
      <c r="Q116" s="57" t="str">
        <f t="array" ref="Q116">if($C116="","",_xlfn.xlookup($C116,'Hiker Food'!$C:$C,'Hiker Food'!U:U))</f>
        <v/>
      </c>
      <c r="R116" s="57" t="str">
        <f t="array" ref="R116">if($C116="","",_xlfn.xlookup($C116,'Hiker Food'!$C:$C,'Hiker Food'!V:V))</f>
        <v/>
      </c>
      <c r="S116" s="58" t="str">
        <f t="array" ref="S116">if($C116="","",_xlfn.xlookup($C116,'Hiker Food'!$C:$C,'Hiker Food'!W:W))</f>
        <v/>
      </c>
      <c r="T116" s="80"/>
      <c r="AC116" s="60"/>
    </row>
    <row r="117">
      <c r="A117" s="52"/>
      <c r="B117" s="61"/>
      <c r="C117" s="54"/>
      <c r="D117" s="63">
        <v>1.0</v>
      </c>
      <c r="E117" s="81" t="str">
        <f t="array" ref="E117">if(C117="","",_xlfn.xlookup(C117,'Hiker Food'!$C:$C,'Hiker Food'!G:G)*D117)</f>
        <v/>
      </c>
      <c r="F117" s="64" t="str">
        <f t="array" ref="F117">if(C117="","",_xlfn.xlookup(C117,'Hiker Food'!$C:$C,'Hiker Food'!H:H)*D117)</f>
        <v/>
      </c>
      <c r="G117" s="64" t="str">
        <f t="array" ref="G117">if($C117="","",_xlfn.xlookup($C117,'Hiker Food'!$C:$C,'Hiker Food'!J:J)*$D117)</f>
        <v/>
      </c>
      <c r="H117" s="64" t="str">
        <f t="array" ref="H117">if($C117="","",_xlfn.xlookup($C117,'Hiker Food'!$C:$C,'Hiker Food'!K:K)*$D117)</f>
        <v/>
      </c>
      <c r="I117" s="64" t="str">
        <f t="array" ref="I117">if($C117="","",_xlfn.xlookup($C117,'Hiker Food'!$C:$C,'Hiker Food'!L:L)*$D117)</f>
        <v/>
      </c>
      <c r="J117" s="64" t="str">
        <f t="array" ref="J117">if($C117="","",_xlfn.xlookup($C117,'Hiker Food'!$C:$C,'Hiker Food'!M:M)*$D117)</f>
        <v/>
      </c>
      <c r="K117" s="64" t="str">
        <f t="array" ref="K117">if($C117="","",_xlfn.xlookup($C117,'Hiker Food'!$C:$C,'Hiker Food'!N:N)*$D117)</f>
        <v/>
      </c>
      <c r="L117" s="64" t="str">
        <f t="array" ref="L117">if($C117="","",_xlfn.xlookup($C117,'Hiker Food'!$C:$C,'Hiker Food'!O:O)*$D117)</f>
        <v/>
      </c>
      <c r="M117" s="64" t="str">
        <f t="array" ref="M117">if($C117="","",_xlfn.xlookup($C117,'Hiker Food'!$C:$C,'Hiker Food'!P:P)*$D117)</f>
        <v/>
      </c>
      <c r="N117" s="64" t="str">
        <f t="array" ref="N117">if($C117="","",_xlfn.xlookup($C117,'Hiker Food'!$C:$C,'Hiker Food'!Q:Q)*$D117)</f>
        <v/>
      </c>
      <c r="O117" s="64" t="str">
        <f t="array" ref="O117">if($C117="","",_xlfn.xlookup($C117,'Hiker Food'!$C:$C,'Hiker Food'!I:I)*$D117)</f>
        <v/>
      </c>
      <c r="P117" s="81" t="str">
        <f t="array" ref="P117">if($C117="","",_xlfn.xlookup($C117,'Hiker Food'!$C:$C,'Hiker Food'!T:T))</f>
        <v/>
      </c>
      <c r="Q117" s="82" t="str">
        <f t="array" ref="Q117">if($C117="","",_xlfn.xlookup($C117,'Hiker Food'!$C:$C,'Hiker Food'!U:U))</f>
        <v/>
      </c>
      <c r="R117" s="82" t="str">
        <f t="array" ref="R117">if($C117="","",_xlfn.xlookup($C117,'Hiker Food'!$C:$C,'Hiker Food'!V:V))</f>
        <v/>
      </c>
      <c r="S117" s="83" t="str">
        <f t="array" ref="S117">if($C117="","",_xlfn.xlookup($C117,'Hiker Food'!$C:$C,'Hiker Food'!W:W))</f>
        <v/>
      </c>
      <c r="T117" s="84"/>
      <c r="U117" s="66"/>
      <c r="V117" s="66"/>
      <c r="W117" s="66"/>
      <c r="X117" s="66"/>
      <c r="Y117" s="66"/>
      <c r="Z117" s="66"/>
      <c r="AA117" s="66"/>
      <c r="AB117" s="66"/>
      <c r="AC117" s="67"/>
    </row>
    <row r="118">
      <c r="A118" s="52"/>
      <c r="B118" s="68" t="s">
        <v>257</v>
      </c>
      <c r="C118" s="85"/>
      <c r="D118" s="70">
        <v>3.0</v>
      </c>
      <c r="E118" s="56" t="str">
        <f t="array" ref="E118">if(C118="","",_xlfn.xlookup(C118,'Hiker Food'!$C:$C,'Hiker Food'!G:G)*D118)</f>
        <v/>
      </c>
      <c r="F118" s="86" t="str">
        <f t="array" ref="F118">if(C118="","",_xlfn.xlookup(C118,'Hiker Food'!$C:$C,'Hiker Food'!H:H)*D118)</f>
        <v/>
      </c>
      <c r="G118" s="72" t="str">
        <f t="array" ref="G118">if($C118="","",_xlfn.xlookup($C118,'Hiker Food'!$C:$C,'Hiker Food'!J:J)*$D118)</f>
        <v/>
      </c>
      <c r="H118" s="72" t="str">
        <f t="array" ref="H118">if($C118="","",_xlfn.xlookup($C118,'Hiker Food'!$C:$C,'Hiker Food'!K:K)*$D118)</f>
        <v/>
      </c>
      <c r="I118" s="72" t="str">
        <f t="array" ref="I118">if($C118="","",_xlfn.xlookup($C118,'Hiker Food'!$C:$C,'Hiker Food'!L:L)*$D118)</f>
        <v/>
      </c>
      <c r="J118" s="72" t="str">
        <f t="array" ref="J118">if($C118="","",_xlfn.xlookup($C118,'Hiker Food'!$C:$C,'Hiker Food'!M:M)*$D118)</f>
        <v/>
      </c>
      <c r="K118" s="72" t="str">
        <f t="array" ref="K118">if($C118="","",_xlfn.xlookup($C118,'Hiker Food'!$C:$C,'Hiker Food'!N:N)*$D118)</f>
        <v/>
      </c>
      <c r="L118" s="72" t="str">
        <f t="array" ref="L118">if($C118="","",_xlfn.xlookup($C118,'Hiker Food'!$C:$C,'Hiker Food'!O:O)*$D118)</f>
        <v/>
      </c>
      <c r="M118" s="72" t="str">
        <f t="array" ref="M118">if($C118="","",_xlfn.xlookup($C118,'Hiker Food'!$C:$C,'Hiker Food'!P:P)*$D118)</f>
        <v/>
      </c>
      <c r="N118" s="72" t="str">
        <f t="array" ref="N118">if($C118="","",_xlfn.xlookup($C118,'Hiker Food'!$C:$C,'Hiker Food'!Q:Q)*$D118)</f>
        <v/>
      </c>
      <c r="O118" s="42" t="str">
        <f t="array" ref="O118">if($C118="","",_xlfn.xlookup($C118,'Hiker Food'!$C:$C,'Hiker Food'!I:I)*$D118)</f>
        <v/>
      </c>
      <c r="P118" s="56" t="str">
        <f t="array" ref="P118">if($C118="","",_xlfn.xlookup($C118,'Hiker Food'!$C:$C,'Hiker Food'!T:T))</f>
        <v/>
      </c>
      <c r="Q118" s="57" t="str">
        <f t="array" ref="Q118">if($C118="","",_xlfn.xlookup($C118,'Hiker Food'!$C:$C,'Hiker Food'!U:U))</f>
        <v/>
      </c>
      <c r="R118" s="57" t="str">
        <f t="array" ref="R118">if($C118="","",_xlfn.xlookup($C118,'Hiker Food'!$C:$C,'Hiker Food'!V:V))</f>
        <v/>
      </c>
      <c r="S118" s="58" t="str">
        <f t="array" ref="S118">if($C118="","",_xlfn.xlookup($C118,'Hiker Food'!$C:$C,'Hiker Food'!W:W))</f>
        <v/>
      </c>
      <c r="T118" s="87" t="s">
        <v>257</v>
      </c>
      <c r="U118" s="76" t="str">
        <f>if(C118="","",Y118/V118)</f>
        <v/>
      </c>
      <c r="V118" s="96" t="str">
        <f>if($C118="","",sum(E118:E120))</f>
        <v/>
      </c>
      <c r="W118" s="77" t="str">
        <f>if($C118="","",$Y118/X118)</f>
        <v/>
      </c>
      <c r="X118" s="96" t="str">
        <f>if($C118="","",sum(F118:F120))</f>
        <v/>
      </c>
      <c r="Y118" s="96" t="str">
        <f>if($C118="","",sum(O118:O120))</f>
        <v/>
      </c>
      <c r="Z118" s="77" t="str">
        <f>if($C118="","",(sum(J118:J120)/sum(N118:N120)))</f>
        <v/>
      </c>
      <c r="AA118" s="78" t="str">
        <f>if($C118="","",sum(G118:G120)*9/sum(sum(G118:G120)*9+sum(J118:J120)*4+sum(N118:N120)*4))</f>
        <v/>
      </c>
      <c r="AB118" s="78" t="str">
        <f>if($C118="","",sum(L118:L120)*4/sum(sum(G118:G120)*9+sum(J118:J120)*4+sum(N118:N120)*4))</f>
        <v/>
      </c>
      <c r="AC118" s="79" t="str">
        <f>if($C118="","",(sum(H118:H120)/sum(O118:O120)))</f>
        <v/>
      </c>
    </row>
    <row r="119">
      <c r="A119" s="52"/>
      <c r="B119" s="53"/>
      <c r="C119" s="88"/>
      <c r="D119" s="55">
        <v>3.0</v>
      </c>
      <c r="E119" s="56" t="str">
        <f t="array" ref="E119">if(C119="","",_xlfn.xlookup(C119,'Hiker Food'!$C:$C,'Hiker Food'!G:G)*D119)</f>
        <v/>
      </c>
      <c r="F119" s="86" t="str">
        <f t="array" ref="F119">if(C119="","",_xlfn.xlookup(C119,'Hiker Food'!$C:$C,'Hiker Food'!H:H)*D119)</f>
        <v/>
      </c>
      <c r="G119" s="42" t="str">
        <f t="array" ref="G119">if($C119="","",_xlfn.xlookup($C119,'Hiker Food'!$C:$C,'Hiker Food'!J:J)*$D119)</f>
        <v/>
      </c>
      <c r="H119" s="42" t="str">
        <f t="array" ref="H119">if($C119="","",_xlfn.xlookup($C119,'Hiker Food'!$C:$C,'Hiker Food'!K:K)*$D119)</f>
        <v/>
      </c>
      <c r="I119" s="42" t="str">
        <f t="array" ref="I119">if($C119="","",_xlfn.xlookup($C119,'Hiker Food'!$C:$C,'Hiker Food'!L:L)*$D119)</f>
        <v/>
      </c>
      <c r="J119" s="42" t="str">
        <f t="array" ref="J119">if($C119="","",_xlfn.xlookup($C119,'Hiker Food'!$C:$C,'Hiker Food'!M:M)*$D119)</f>
        <v/>
      </c>
      <c r="K119" s="42" t="str">
        <f t="array" ref="K119">if($C119="","",_xlfn.xlookup($C119,'Hiker Food'!$C:$C,'Hiker Food'!N:N)*$D119)</f>
        <v/>
      </c>
      <c r="L119" s="42" t="str">
        <f t="array" ref="L119">if($C119="","",_xlfn.xlookup($C119,'Hiker Food'!$C:$C,'Hiker Food'!O:O)*$D119)</f>
        <v/>
      </c>
      <c r="M119" s="42" t="str">
        <f t="array" ref="M119">if($C119="","",_xlfn.xlookup($C119,'Hiker Food'!$C:$C,'Hiker Food'!P:P)*$D119)</f>
        <v/>
      </c>
      <c r="N119" s="42" t="str">
        <f t="array" ref="N119">if($C119="","",_xlfn.xlookup($C119,'Hiker Food'!$C:$C,'Hiker Food'!Q:Q)*$D119)</f>
        <v/>
      </c>
      <c r="O119" s="42" t="str">
        <f t="array" ref="O119">if($C119="","",_xlfn.xlookup($C119,'Hiker Food'!$C:$C,'Hiker Food'!I:I)*$D119)</f>
        <v/>
      </c>
      <c r="P119" s="56" t="str">
        <f t="array" ref="P119">if($C119="","",_xlfn.xlookup($C119,'Hiker Food'!$C:$C,'Hiker Food'!T:T))</f>
        <v/>
      </c>
      <c r="Q119" s="57" t="str">
        <f t="array" ref="Q119">if($C119="","",_xlfn.xlookup($C119,'Hiker Food'!$C:$C,'Hiker Food'!U:U))</f>
        <v/>
      </c>
      <c r="R119" s="57" t="str">
        <f t="array" ref="R119">if($C119="","",_xlfn.xlookup($C119,'Hiker Food'!$C:$C,'Hiker Food'!V:V))</f>
        <v/>
      </c>
      <c r="S119" s="58" t="str">
        <f t="array" ref="S119">if($C119="","",_xlfn.xlookup($C119,'Hiker Food'!$C:$C,'Hiker Food'!W:W))</f>
        <v/>
      </c>
      <c r="T119" s="59"/>
      <c r="AC119" s="60"/>
    </row>
    <row r="120">
      <c r="A120" s="52"/>
      <c r="B120" s="61"/>
      <c r="C120" s="62"/>
      <c r="D120" s="63">
        <v>1.0</v>
      </c>
      <c r="E120" s="81" t="str">
        <f t="array" ref="E120">if(C120="","",_xlfn.xlookup(C120,'Hiker Food'!$C:$C,'Hiker Food'!G:G)*D120)</f>
        <v/>
      </c>
      <c r="F120" s="89" t="str">
        <f t="array" ref="F120">if(C120="","",_xlfn.xlookup(C120,'Hiker Food'!$C:$C,'Hiker Food'!H:H)*D120)</f>
        <v/>
      </c>
      <c r="G120" s="64" t="str">
        <f t="array" ref="G120">if($C120="","",_xlfn.xlookup($C120,'Hiker Food'!$C:$C,'Hiker Food'!J:J)*$D120)</f>
        <v/>
      </c>
      <c r="H120" s="64" t="str">
        <f t="array" ref="H120">if($C120="","",_xlfn.xlookup($C120,'Hiker Food'!$C:$C,'Hiker Food'!K:K)*$D120)</f>
        <v/>
      </c>
      <c r="I120" s="64" t="str">
        <f t="array" ref="I120">if($C120="","",_xlfn.xlookup($C120,'Hiker Food'!$C:$C,'Hiker Food'!L:L)*$D120)</f>
        <v/>
      </c>
      <c r="J120" s="64" t="str">
        <f t="array" ref="J120">if($C120="","",_xlfn.xlookup($C120,'Hiker Food'!$C:$C,'Hiker Food'!M:M)*$D120)</f>
        <v/>
      </c>
      <c r="K120" s="64" t="str">
        <f t="array" ref="K120">if($C120="","",_xlfn.xlookup($C120,'Hiker Food'!$C:$C,'Hiker Food'!N:N)*$D120)</f>
        <v/>
      </c>
      <c r="L120" s="64" t="str">
        <f t="array" ref="L120">if($C120="","",_xlfn.xlookup($C120,'Hiker Food'!$C:$C,'Hiker Food'!O:O)*$D120)</f>
        <v/>
      </c>
      <c r="M120" s="64" t="str">
        <f t="array" ref="M120">if($C120="","",_xlfn.xlookup($C120,'Hiker Food'!$C:$C,'Hiker Food'!P:P)*$D120)</f>
        <v/>
      </c>
      <c r="N120" s="64" t="str">
        <f t="array" ref="N120">if($C120="","",_xlfn.xlookup($C120,'Hiker Food'!$C:$C,'Hiker Food'!Q:Q)*$D120)</f>
        <v/>
      </c>
      <c r="O120" s="64" t="str">
        <f t="array" ref="O120">if($C120="","",_xlfn.xlookup($C120,'Hiker Food'!$C:$C,'Hiker Food'!I:I)*$D120)</f>
        <v/>
      </c>
      <c r="P120" s="81" t="str">
        <f t="array" ref="P120">if($C120="","",_xlfn.xlookup($C120,'Hiker Food'!$C:$C,'Hiker Food'!T:T))</f>
        <v/>
      </c>
      <c r="Q120" s="82" t="str">
        <f t="array" ref="Q120">if($C120="","",_xlfn.xlookup($C120,'Hiker Food'!$C:$C,'Hiker Food'!U:U))</f>
        <v/>
      </c>
      <c r="R120" s="82" t="str">
        <f t="array" ref="R120">if($C120="","",_xlfn.xlookup($C120,'Hiker Food'!$C:$C,'Hiker Food'!V:V))</f>
        <v/>
      </c>
      <c r="S120" s="83" t="str">
        <f t="array" ref="S120">if($C120="","",_xlfn.xlookup($C120,'Hiker Food'!$C:$C,'Hiker Food'!W:W))</f>
        <v/>
      </c>
      <c r="T120" s="65"/>
      <c r="U120" s="66"/>
      <c r="V120" s="66"/>
      <c r="W120" s="66"/>
      <c r="X120" s="66"/>
      <c r="Y120" s="66"/>
      <c r="Z120" s="66"/>
      <c r="AA120" s="66"/>
      <c r="AB120" s="66"/>
      <c r="AC120" s="67"/>
    </row>
    <row r="121">
      <c r="A121" s="52"/>
      <c r="B121" s="68" t="s">
        <v>314</v>
      </c>
      <c r="C121" s="90"/>
      <c r="D121" s="70">
        <v>1.0</v>
      </c>
      <c r="E121" s="71" t="str">
        <f t="array" ref="E121">if(C121="","",_xlfn.xlookup(C121,'Hiker Food'!$C:$C,'Hiker Food'!G:G)*D121)</f>
        <v/>
      </c>
      <c r="F121" s="42" t="str">
        <f t="array" ref="F121">if(C121="","",_xlfn.xlookup(C121,'Hiker Food'!$C:$C,'Hiker Food'!H:H)*D121)</f>
        <v/>
      </c>
      <c r="G121" s="72" t="str">
        <f t="array" ref="G121">if($C121="","",_xlfn.xlookup($C121,'Hiker Food'!$C:$C,'Hiker Food'!J:J)*$D121)</f>
        <v/>
      </c>
      <c r="H121" s="72" t="str">
        <f t="array" ref="H121">if($C121="","",_xlfn.xlookup($C121,'Hiker Food'!$C:$C,'Hiker Food'!K:K)*$D121)</f>
        <v/>
      </c>
      <c r="I121" s="72" t="str">
        <f t="array" ref="I121">if($C121="","",_xlfn.xlookup($C121,'Hiker Food'!$C:$C,'Hiker Food'!L:L)*$D121)</f>
        <v/>
      </c>
      <c r="J121" s="72" t="str">
        <f t="array" ref="J121">if($C121="","",_xlfn.xlookup($C121,'Hiker Food'!$C:$C,'Hiker Food'!M:M)*$D121)</f>
        <v/>
      </c>
      <c r="K121" s="72" t="str">
        <f t="array" ref="K121">if($C121="","",_xlfn.xlookup($C121,'Hiker Food'!$C:$C,'Hiker Food'!N:N)*$D121)</f>
        <v/>
      </c>
      <c r="L121" s="72" t="str">
        <f t="array" ref="L121">if($C121="","",_xlfn.xlookup($C121,'Hiker Food'!$C:$C,'Hiker Food'!O:O)*$D121)</f>
        <v/>
      </c>
      <c r="M121" s="72" t="str">
        <f t="array" ref="M121">if($C121="","",_xlfn.xlookup($C121,'Hiker Food'!$C:$C,'Hiker Food'!P:P)*$D121)</f>
        <v/>
      </c>
      <c r="N121" s="72" t="str">
        <f t="array" ref="N121">if($C121="","",_xlfn.xlookup($C121,'Hiker Food'!$C:$C,'Hiker Food'!Q:Q)*$D121)</f>
        <v/>
      </c>
      <c r="O121" s="72" t="str">
        <f t="array" ref="O121">if($C121="","",_xlfn.xlookup($C121,'Hiker Food'!$C:$C,'Hiker Food'!I:I)*$D121)</f>
        <v/>
      </c>
      <c r="P121" s="71" t="str">
        <f t="array" ref="P121">if($C121="","",_xlfn.xlookup($C121,'Hiker Food'!$C:$C,'Hiker Food'!T:T))</f>
        <v/>
      </c>
      <c r="Q121" s="73" t="str">
        <f t="array" ref="Q121">if($C121="","",_xlfn.xlookup($C121,'Hiker Food'!$C:$C,'Hiker Food'!U:U))</f>
        <v/>
      </c>
      <c r="R121" s="73" t="str">
        <f t="array" ref="R121">if($C121="","",_xlfn.xlookup($C121,'Hiker Food'!$C:$C,'Hiker Food'!V:V))</f>
        <v/>
      </c>
      <c r="S121" s="74" t="str">
        <f t="array" ref="S121">if($C121="","",_xlfn.xlookup($C121,'Hiker Food'!$C:$C,'Hiker Food'!W:W))</f>
        <v/>
      </c>
      <c r="T121" s="91" t="s">
        <v>314</v>
      </c>
      <c r="U121" s="76" t="str">
        <f>if(C121="","",Y121/V121)</f>
        <v/>
      </c>
      <c r="V121" s="96" t="str">
        <f>if($C121="","",sum(E121:E123))</f>
        <v/>
      </c>
      <c r="W121" s="77" t="str">
        <f>if($C121="","",$Y121/X121)</f>
        <v/>
      </c>
      <c r="X121" s="96" t="str">
        <f>if($C121="","",sum(F121:F123))</f>
        <v/>
      </c>
      <c r="Y121" s="96" t="str">
        <f>if($C121="","",sum(O121:O123))</f>
        <v/>
      </c>
      <c r="Z121" s="77" t="str">
        <f>if($C121="","",(sum(J121:J123)/sum(N121:N123)))</f>
        <v/>
      </c>
      <c r="AA121" s="78" t="str">
        <f>if($C121="","",sum(G121:G123)*9/sum(sum(G121:G123)*9+sum(J121:J123)*4+sum(N121:N123)*4))</f>
        <v/>
      </c>
      <c r="AB121" s="78" t="str">
        <f>if($C121="","",sum(L121:L123)*4/sum(sum(G121:G123)*9+sum(J121:J123)*4+sum(N121:N123)*4))</f>
        <v/>
      </c>
      <c r="AC121" s="79" t="str">
        <f>if($C121="","",(sum(H121:H123)/sum(O121:O123)))</f>
        <v/>
      </c>
    </row>
    <row r="122">
      <c r="A122" s="52"/>
      <c r="B122" s="53"/>
      <c r="C122" s="54"/>
      <c r="D122" s="55">
        <v>1.0</v>
      </c>
      <c r="E122" s="56" t="str">
        <f t="array" ref="E122">if(C122="","",_xlfn.xlookup(C122,'Hiker Food'!$C:$C,'Hiker Food'!G:G)*D122)</f>
        <v/>
      </c>
      <c r="F122" s="42" t="str">
        <f t="array" ref="F122">if(C122="","",_xlfn.xlookup(C122,'Hiker Food'!$C:$C,'Hiker Food'!H:H)*D122)</f>
        <v/>
      </c>
      <c r="G122" s="42" t="str">
        <f t="array" ref="G122">if($C122="","",_xlfn.xlookup($C122,'Hiker Food'!$C:$C,'Hiker Food'!J:J)*$D122)</f>
        <v/>
      </c>
      <c r="H122" s="42" t="str">
        <f t="array" ref="H122">if($C122="","",_xlfn.xlookup($C122,'Hiker Food'!$C:$C,'Hiker Food'!K:K)*$D122)</f>
        <v/>
      </c>
      <c r="I122" s="42" t="str">
        <f t="array" ref="I122">if($C122="","",_xlfn.xlookup($C122,'Hiker Food'!$C:$C,'Hiker Food'!L:L)*$D122)</f>
        <v/>
      </c>
      <c r="J122" s="42" t="str">
        <f t="array" ref="J122">if($C122="","",_xlfn.xlookup($C122,'Hiker Food'!$C:$C,'Hiker Food'!M:M)*$D122)</f>
        <v/>
      </c>
      <c r="K122" s="42" t="str">
        <f t="array" ref="K122">if($C122="","",_xlfn.xlookup($C122,'Hiker Food'!$C:$C,'Hiker Food'!N:N)*$D122)</f>
        <v/>
      </c>
      <c r="L122" s="42" t="str">
        <f t="array" ref="L122">if($C122="","",_xlfn.xlookup($C122,'Hiker Food'!$C:$C,'Hiker Food'!O:O)*$D122)</f>
        <v/>
      </c>
      <c r="M122" s="42" t="str">
        <f t="array" ref="M122">if($C122="","",_xlfn.xlookup($C122,'Hiker Food'!$C:$C,'Hiker Food'!P:P)*$D122)</f>
        <v/>
      </c>
      <c r="N122" s="42" t="str">
        <f t="array" ref="N122">if($C122="","",_xlfn.xlookup($C122,'Hiker Food'!$C:$C,'Hiker Food'!Q:Q)*$D122)</f>
        <v/>
      </c>
      <c r="O122" s="42" t="str">
        <f t="array" ref="O122">if($C122="","",_xlfn.xlookup($C122,'Hiker Food'!$C:$C,'Hiker Food'!I:I)*$D122)</f>
        <v/>
      </c>
      <c r="P122" s="56" t="str">
        <f t="array" ref="P122">if($C122="","",_xlfn.xlookup($C122,'Hiker Food'!$C:$C,'Hiker Food'!T:T))</f>
        <v/>
      </c>
      <c r="Q122" s="57" t="str">
        <f t="array" ref="Q122">if($C122="","",_xlfn.xlookup($C122,'Hiker Food'!$C:$C,'Hiker Food'!U:U))</f>
        <v/>
      </c>
      <c r="R122" s="57" t="str">
        <f t="array" ref="R122">if($C122="","",_xlfn.xlookup($C122,'Hiker Food'!$C:$C,'Hiker Food'!V:V))</f>
        <v/>
      </c>
      <c r="S122" s="58" t="str">
        <f t="array" ref="S122">if($C122="","",_xlfn.xlookup($C122,'Hiker Food'!$C:$C,'Hiker Food'!W:W))</f>
        <v/>
      </c>
      <c r="T122" s="59"/>
      <c r="AC122" s="60"/>
    </row>
    <row r="123">
      <c r="A123" s="52"/>
      <c r="B123" s="61"/>
      <c r="C123" s="62"/>
      <c r="D123" s="63">
        <v>1.0</v>
      </c>
      <c r="E123" s="81" t="str">
        <f t="array" ref="E123">if(C123="","",_xlfn.xlookup(C123,'Hiker Food'!$C:$C,'Hiker Food'!G:G)*D123)</f>
        <v/>
      </c>
      <c r="F123" s="64" t="str">
        <f t="array" ref="F123">if(C123="","",_xlfn.xlookup(C123,'Hiker Food'!$C:$C,'Hiker Food'!H:H)*D123)</f>
        <v/>
      </c>
      <c r="G123" s="64" t="str">
        <f t="array" ref="G123">if($C123="","",_xlfn.xlookup($C123,'Hiker Food'!$C:$C,'Hiker Food'!J:J)*$D123)</f>
        <v/>
      </c>
      <c r="H123" s="64" t="str">
        <f t="array" ref="H123">if($C123="","",_xlfn.xlookup($C123,'Hiker Food'!$C:$C,'Hiker Food'!K:K)*$D123)</f>
        <v/>
      </c>
      <c r="I123" s="64" t="str">
        <f t="array" ref="I123">if($C123="","",_xlfn.xlookup($C123,'Hiker Food'!$C:$C,'Hiker Food'!L:L)*$D123)</f>
        <v/>
      </c>
      <c r="J123" s="64" t="str">
        <f t="array" ref="J123">if($C123="","",_xlfn.xlookup($C123,'Hiker Food'!$C:$C,'Hiker Food'!M:M)*$D123)</f>
        <v/>
      </c>
      <c r="K123" s="64" t="str">
        <f t="array" ref="K123">if($C123="","",_xlfn.xlookup($C123,'Hiker Food'!$C:$C,'Hiker Food'!N:N)*$D123)</f>
        <v/>
      </c>
      <c r="L123" s="64" t="str">
        <f t="array" ref="L123">if($C123="","",_xlfn.xlookup($C123,'Hiker Food'!$C:$C,'Hiker Food'!O:O)*$D123)</f>
        <v/>
      </c>
      <c r="M123" s="64" t="str">
        <f t="array" ref="M123">if($C123="","",_xlfn.xlookup($C123,'Hiker Food'!$C:$C,'Hiker Food'!P:P)*$D123)</f>
        <v/>
      </c>
      <c r="N123" s="64" t="str">
        <f t="array" ref="N123">if($C123="","",_xlfn.xlookup($C123,'Hiker Food'!$C:$C,'Hiker Food'!Q:Q)*$D123)</f>
        <v/>
      </c>
      <c r="O123" s="64" t="str">
        <f t="array" ref="O123">if($C123="","",_xlfn.xlookup($C123,'Hiker Food'!$C:$C,'Hiker Food'!I:I)*$D123)</f>
        <v/>
      </c>
      <c r="P123" s="81" t="str">
        <f t="array" ref="P123">if($C123="","",_xlfn.xlookup($C123,'Hiker Food'!$C:$C,'Hiker Food'!T:T))</f>
        <v/>
      </c>
      <c r="Q123" s="82" t="str">
        <f t="array" ref="Q123">if($C123="","",_xlfn.xlookup($C123,'Hiker Food'!$C:$C,'Hiker Food'!U:U))</f>
        <v/>
      </c>
      <c r="R123" s="82" t="str">
        <f t="array" ref="R123">if($C123="","",_xlfn.xlookup($C123,'Hiker Food'!$C:$C,'Hiker Food'!V:V))</f>
        <v/>
      </c>
      <c r="S123" s="83" t="str">
        <f t="array" ref="S123">if($C123="","",_xlfn.xlookup($C123,'Hiker Food'!$C:$C,'Hiker Food'!W:W))</f>
        <v/>
      </c>
      <c r="T123" s="65"/>
      <c r="U123" s="66"/>
      <c r="V123" s="66"/>
      <c r="W123" s="66"/>
      <c r="X123" s="66"/>
      <c r="Y123" s="66"/>
      <c r="Z123" s="66"/>
      <c r="AA123" s="66"/>
      <c r="AB123" s="66"/>
      <c r="AC123" s="67"/>
    </row>
    <row r="124">
      <c r="A124" s="52"/>
      <c r="B124" s="68" t="s">
        <v>366</v>
      </c>
      <c r="C124" s="90"/>
      <c r="D124" s="70">
        <v>1.0</v>
      </c>
      <c r="E124" s="71" t="str">
        <f t="array" ref="E124">if(C124="","",_xlfn.xlookup(C124,'Hiker Food'!$C:$C,'Hiker Food'!G:G)*D124)</f>
        <v/>
      </c>
      <c r="F124" s="42" t="str">
        <f t="array" ref="F124">if(C124="","",_xlfn.xlookup(C124,'Hiker Food'!$C:$C,'Hiker Food'!H:H)*D124)</f>
        <v/>
      </c>
      <c r="G124" s="72" t="str">
        <f t="array" ref="G124">if($C124="","",_xlfn.xlookup($C124,'Hiker Food'!$C:$C,'Hiker Food'!J:J)*$D124)</f>
        <v/>
      </c>
      <c r="H124" s="72" t="str">
        <f t="array" ref="H124">if($C124="","",_xlfn.xlookup($C124,'Hiker Food'!$C:$C,'Hiker Food'!K:K)*$D124)</f>
        <v/>
      </c>
      <c r="I124" s="72" t="str">
        <f t="array" ref="I124">if($C124="","",_xlfn.xlookup($C124,'Hiker Food'!$C:$C,'Hiker Food'!L:L)*$D124)</f>
        <v/>
      </c>
      <c r="J124" s="72" t="str">
        <f t="array" ref="J124">if($C124="","",_xlfn.xlookup($C124,'Hiker Food'!$C:$C,'Hiker Food'!M:M)*$D124)</f>
        <v/>
      </c>
      <c r="K124" s="72" t="str">
        <f t="array" ref="K124">if($C124="","",_xlfn.xlookup($C124,'Hiker Food'!$C:$C,'Hiker Food'!N:N)*$D124)</f>
        <v/>
      </c>
      <c r="L124" s="72" t="str">
        <f t="array" ref="L124">if($C124="","",_xlfn.xlookup($C124,'Hiker Food'!$C:$C,'Hiker Food'!O:O)*$D124)</f>
        <v/>
      </c>
      <c r="M124" s="72" t="str">
        <f t="array" ref="M124">if($C124="","",_xlfn.xlookup($C124,'Hiker Food'!$C:$C,'Hiker Food'!P:P)*$D124)</f>
        <v/>
      </c>
      <c r="N124" s="72" t="str">
        <f t="array" ref="N124">if($C124="","",_xlfn.xlookup($C124,'Hiker Food'!$C:$C,'Hiker Food'!Q:Q)*$D124)</f>
        <v/>
      </c>
      <c r="O124" s="72" t="str">
        <f t="array" ref="O124">if($C124="","",_xlfn.xlookup($C124,'Hiker Food'!$C:$C,'Hiker Food'!I:I)*$D124)</f>
        <v/>
      </c>
      <c r="P124" s="71" t="str">
        <f t="array" ref="P124">if($C124="","",_xlfn.xlookup($C124,'Hiker Food'!$C:$C,'Hiker Food'!T:T))</f>
        <v/>
      </c>
      <c r="Q124" s="73" t="str">
        <f t="array" ref="Q124">if($C124="","",_xlfn.xlookup($C124,'Hiker Food'!$C:$C,'Hiker Food'!U:U))</f>
        <v/>
      </c>
      <c r="R124" s="73" t="str">
        <f t="array" ref="R124">if($C124="","",_xlfn.xlookup($C124,'Hiker Food'!$C:$C,'Hiker Food'!V:V))</f>
        <v/>
      </c>
      <c r="S124" s="74" t="str">
        <f t="array" ref="S124">if($C124="","",_xlfn.xlookup($C124,'Hiker Food'!$C:$C,'Hiker Food'!W:W))</f>
        <v/>
      </c>
      <c r="T124" s="87" t="s">
        <v>366</v>
      </c>
      <c r="U124" s="76" t="str">
        <f>if(C124="","",Y124/V124)</f>
        <v/>
      </c>
      <c r="V124" s="96" t="str">
        <f>if($C124="","",sum(E124:E126))</f>
        <v/>
      </c>
      <c r="W124" s="77" t="str">
        <f>if($C124="","",$Y124/X124)</f>
        <v/>
      </c>
      <c r="X124" s="96" t="str">
        <f>if($C124="","",sum(F124:F126))</f>
        <v/>
      </c>
      <c r="Y124" s="96" t="str">
        <f>if($C124="","",sum(O124:O126))</f>
        <v/>
      </c>
      <c r="Z124" s="77" t="str">
        <f>if($C124="","",(sum(J124:J126)/sum(N124:N126)))</f>
        <v/>
      </c>
      <c r="AA124" s="78" t="str">
        <f>if($C124="","",sum(G124:G126)*9/sum(sum(G124:G126)*9+sum(J124:J126)*4+sum(N124:N126)*4))</f>
        <v/>
      </c>
      <c r="AB124" s="78" t="str">
        <f>if($C124="","",sum(L124:L126)*4/sum(sum(G124:G126)*9+sum(J124:J126)*4+sum(N124:N126)*4))</f>
        <v/>
      </c>
      <c r="AC124" s="79" t="str">
        <f>if($C124="","",(sum(H124:H126)/sum(O124:O126)))</f>
        <v/>
      </c>
    </row>
    <row r="125">
      <c r="A125" s="52"/>
      <c r="B125" s="53"/>
      <c r="C125" s="93"/>
      <c r="D125" s="55">
        <v>1.0</v>
      </c>
      <c r="E125" s="56" t="str">
        <f t="array" ref="E125">if(C125="","",_xlfn.xlookup(C125,'Hiker Food'!$C:$C,'Hiker Food'!G:G)*D125)</f>
        <v/>
      </c>
      <c r="F125" s="42" t="str">
        <f t="array" ref="F125">if(C125="","",_xlfn.xlookup(C125,'Hiker Food'!$C:$C,'Hiker Food'!H:H)*D125)</f>
        <v/>
      </c>
      <c r="G125" s="42" t="str">
        <f t="array" ref="G125">if($C125="","",_xlfn.xlookup($C125,'Hiker Food'!$C:$C,'Hiker Food'!J:J)*$D125)</f>
        <v/>
      </c>
      <c r="H125" s="42" t="str">
        <f t="array" ref="H125">if($C125="","",_xlfn.xlookup($C125,'Hiker Food'!$C:$C,'Hiker Food'!K:K)*$D125)</f>
        <v/>
      </c>
      <c r="I125" s="42" t="str">
        <f t="array" ref="I125">if($C125="","",_xlfn.xlookup($C125,'Hiker Food'!$C:$C,'Hiker Food'!L:L)*$D125)</f>
        <v/>
      </c>
      <c r="J125" s="42" t="str">
        <f t="array" ref="J125">if($C125="","",_xlfn.xlookup($C125,'Hiker Food'!$C:$C,'Hiker Food'!M:M)*$D125)</f>
        <v/>
      </c>
      <c r="K125" s="42" t="str">
        <f t="array" ref="K125">if($C125="","",_xlfn.xlookup($C125,'Hiker Food'!$C:$C,'Hiker Food'!N:N)*$D125)</f>
        <v/>
      </c>
      <c r="L125" s="42" t="str">
        <f t="array" ref="L125">if($C125="","",_xlfn.xlookup($C125,'Hiker Food'!$C:$C,'Hiker Food'!O:O)*$D125)</f>
        <v/>
      </c>
      <c r="M125" s="42" t="str">
        <f t="array" ref="M125">if($C125="","",_xlfn.xlookup($C125,'Hiker Food'!$C:$C,'Hiker Food'!P:P)*$D125)</f>
        <v/>
      </c>
      <c r="N125" s="42" t="str">
        <f t="array" ref="N125">if($C125="","",_xlfn.xlookup($C125,'Hiker Food'!$C:$C,'Hiker Food'!Q:Q)*$D125)</f>
        <v/>
      </c>
      <c r="O125" s="42" t="str">
        <f t="array" ref="O125">if($C125="","",_xlfn.xlookup($C125,'Hiker Food'!$C:$C,'Hiker Food'!I:I)*$D125)</f>
        <v/>
      </c>
      <c r="P125" s="56" t="str">
        <f t="array" ref="P125">if($C125="","",_xlfn.xlookup($C125,'Hiker Food'!$C:$C,'Hiker Food'!T:T))</f>
        <v/>
      </c>
      <c r="Q125" s="57" t="str">
        <f t="array" ref="Q125">if($C125="","",_xlfn.xlookup($C125,'Hiker Food'!$C:$C,'Hiker Food'!U:U))</f>
        <v/>
      </c>
      <c r="R125" s="57" t="str">
        <f t="array" ref="R125">if($C125="","",_xlfn.xlookup($C125,'Hiker Food'!$C:$C,'Hiker Food'!V:V))</f>
        <v/>
      </c>
      <c r="S125" s="58" t="str">
        <f t="array" ref="S125">if($C125="","",_xlfn.xlookup($C125,'Hiker Food'!$C:$C,'Hiker Food'!W:W))</f>
        <v/>
      </c>
      <c r="T125" s="59"/>
      <c r="AC125" s="60"/>
    </row>
    <row r="126">
      <c r="A126" s="52"/>
      <c r="B126" s="61"/>
      <c r="C126" s="54"/>
      <c r="D126" s="63">
        <v>1.0</v>
      </c>
      <c r="E126" s="81" t="str">
        <f t="array" ref="E126">if(C126="","",_xlfn.xlookup(C126,'Hiker Food'!$C:$C,'Hiker Food'!G:G)*D126)</f>
        <v/>
      </c>
      <c r="F126" s="64" t="str">
        <f t="array" ref="F126">if(C126="","",_xlfn.xlookup(C126,'Hiker Food'!$C:$C,'Hiker Food'!H:H)*D126)</f>
        <v/>
      </c>
      <c r="G126" s="64" t="str">
        <f t="array" ref="G126">if($C126="","",_xlfn.xlookup($C126,'Hiker Food'!$C:$C,'Hiker Food'!J:J)*$D126)</f>
        <v/>
      </c>
      <c r="H126" s="64" t="str">
        <f t="array" ref="H126">if($C126="","",_xlfn.xlookup($C126,'Hiker Food'!$C:$C,'Hiker Food'!K:K)*$D126)</f>
        <v/>
      </c>
      <c r="I126" s="64" t="str">
        <f t="array" ref="I126">if($C126="","",_xlfn.xlookup($C126,'Hiker Food'!$C:$C,'Hiker Food'!L:L)*$D126)</f>
        <v/>
      </c>
      <c r="J126" s="64" t="str">
        <f t="array" ref="J126">if($C126="","",_xlfn.xlookup($C126,'Hiker Food'!$C:$C,'Hiker Food'!M:M)*$D126)</f>
        <v/>
      </c>
      <c r="K126" s="64" t="str">
        <f t="array" ref="K126">if($C126="","",_xlfn.xlookup($C126,'Hiker Food'!$C:$C,'Hiker Food'!N:N)*$D126)</f>
        <v/>
      </c>
      <c r="L126" s="64" t="str">
        <f t="array" ref="L126">if($C126="","",_xlfn.xlookup($C126,'Hiker Food'!$C:$C,'Hiker Food'!O:O)*$D126)</f>
        <v/>
      </c>
      <c r="M126" s="64" t="str">
        <f t="array" ref="M126">if($C126="","",_xlfn.xlookup($C126,'Hiker Food'!$C:$C,'Hiker Food'!P:P)*$D126)</f>
        <v/>
      </c>
      <c r="N126" s="64" t="str">
        <f t="array" ref="N126">if($C126="","",_xlfn.xlookup($C126,'Hiker Food'!$C:$C,'Hiker Food'!Q:Q)*$D126)</f>
        <v/>
      </c>
      <c r="O126" s="64" t="str">
        <f t="array" ref="O126">if($C126="","",_xlfn.xlookup($C126,'Hiker Food'!$C:$C,'Hiker Food'!I:I)*$D126)</f>
        <v/>
      </c>
      <c r="P126" s="81" t="str">
        <f t="array" ref="P126">if($C126="","",_xlfn.xlookup($C126,'Hiker Food'!$C:$C,'Hiker Food'!T:T))</f>
        <v/>
      </c>
      <c r="Q126" s="82" t="str">
        <f t="array" ref="Q126">if($C126="","",_xlfn.xlookup($C126,'Hiker Food'!$C:$C,'Hiker Food'!U:U))</f>
        <v/>
      </c>
      <c r="R126" s="82" t="str">
        <f t="array" ref="R126">if($C126="","",_xlfn.xlookup($C126,'Hiker Food'!$C:$C,'Hiker Food'!V:V))</f>
        <v/>
      </c>
      <c r="S126" s="83" t="str">
        <f t="array" ref="S126">if($C126="","",_xlfn.xlookup($C126,'Hiker Food'!$C:$C,'Hiker Food'!W:W))</f>
        <v/>
      </c>
      <c r="T126" s="65"/>
      <c r="U126" s="66"/>
      <c r="V126" s="66"/>
      <c r="W126" s="66"/>
      <c r="X126" s="66"/>
      <c r="Y126" s="66"/>
      <c r="Z126" s="66"/>
      <c r="AA126" s="66"/>
      <c r="AB126" s="66"/>
      <c r="AC126" s="67"/>
    </row>
    <row r="127">
      <c r="A127" s="52"/>
      <c r="B127" s="94" t="s">
        <v>424</v>
      </c>
      <c r="C127" s="90"/>
      <c r="D127" s="70">
        <v>1.0</v>
      </c>
      <c r="E127" s="71" t="str">
        <f t="array" ref="E127">if(C127="","",_xlfn.xlookup(C127,'Hiker Food'!$C:$C,'Hiker Food'!G:G)*D127)</f>
        <v/>
      </c>
      <c r="F127" s="42" t="str">
        <f t="array" ref="F127">if(C127="","",_xlfn.xlookup(C127,'Hiker Food'!$C:$C,'Hiker Food'!H:H)*D127)</f>
        <v/>
      </c>
      <c r="G127" s="72" t="str">
        <f t="array" ref="G127">if($C127="","",_xlfn.xlookup($C127,'Hiker Food'!$C:$C,'Hiker Food'!J:J)*$D127)</f>
        <v/>
      </c>
      <c r="H127" s="72" t="str">
        <f t="array" ref="H127">if($C127="","",_xlfn.xlookup($C127,'Hiker Food'!$C:$C,'Hiker Food'!K:K)*$D127)</f>
        <v/>
      </c>
      <c r="I127" s="72" t="str">
        <f t="array" ref="I127">if($C127="","",_xlfn.xlookup($C127,'Hiker Food'!$C:$C,'Hiker Food'!L:L)*$D127)</f>
        <v/>
      </c>
      <c r="J127" s="72" t="str">
        <f t="array" ref="J127">if($C127="","",_xlfn.xlookup($C127,'Hiker Food'!$C:$C,'Hiker Food'!M:M)*$D127)</f>
        <v/>
      </c>
      <c r="K127" s="72" t="str">
        <f t="array" ref="K127">if($C127="","",_xlfn.xlookup($C127,'Hiker Food'!$C:$C,'Hiker Food'!N:N)*$D127)</f>
        <v/>
      </c>
      <c r="L127" s="72" t="str">
        <f t="array" ref="L127">if($C127="","",_xlfn.xlookup($C127,'Hiker Food'!$C:$C,'Hiker Food'!O:O)*$D127)</f>
        <v/>
      </c>
      <c r="M127" s="72" t="str">
        <f t="array" ref="M127">if($C127="","",_xlfn.xlookup($C127,'Hiker Food'!$C:$C,'Hiker Food'!P:P)*$D127)</f>
        <v/>
      </c>
      <c r="N127" s="72" t="str">
        <f t="array" ref="N127">if($C127="","",_xlfn.xlookup($C127,'Hiker Food'!$C:$C,'Hiker Food'!Q:Q)*$D127)</f>
        <v/>
      </c>
      <c r="O127" s="72" t="str">
        <f t="array" ref="O127">if($C127="","",_xlfn.xlookup($C127,'Hiker Food'!$C:$C,'Hiker Food'!I:I)*$D127)</f>
        <v/>
      </c>
      <c r="P127" s="71" t="str">
        <f t="array" ref="P127">if($C127="","",_xlfn.xlookup($C127,'Hiker Food'!$C:$C,'Hiker Food'!T:T))</f>
        <v/>
      </c>
      <c r="Q127" s="73" t="str">
        <f t="array" ref="Q127">if($C127="","",_xlfn.xlookup($C127,'Hiker Food'!$C:$C,'Hiker Food'!U:U))</f>
        <v/>
      </c>
      <c r="R127" s="73" t="str">
        <f t="array" ref="R127">if($C127="","",_xlfn.xlookup($C127,'Hiker Food'!$C:$C,'Hiker Food'!V:V))</f>
        <v/>
      </c>
      <c r="S127" s="74" t="str">
        <f t="array" ref="S127">if($C127="","",_xlfn.xlookup($C127,'Hiker Food'!$C:$C,'Hiker Food'!W:W))</f>
        <v/>
      </c>
      <c r="T127" s="95" t="s">
        <v>424</v>
      </c>
      <c r="U127" s="76" t="str">
        <f>if(C127="","",Y127/V127)</f>
        <v/>
      </c>
      <c r="V127" s="96" t="str">
        <f>if($C127="","",sum(E127:E129))</f>
        <v/>
      </c>
      <c r="W127" s="77" t="str">
        <f>if($C127="","",$Y127/X127)</f>
        <v/>
      </c>
      <c r="X127" s="96" t="str">
        <f>if($C127="","",sum(F127:F129))</f>
        <v/>
      </c>
      <c r="Y127" s="96" t="str">
        <f>if($C127="","",sum(O127:O129))</f>
        <v/>
      </c>
      <c r="Z127" s="77" t="str">
        <f>if($C127="","",(sum(J127:J129)/sum(N127:N129)))</f>
        <v/>
      </c>
      <c r="AA127" s="78" t="str">
        <f>if($C127="","",sum(G127:G129)*9/sum(sum(G127:G129)*9+sum(J127:J129)*4+sum(N127:N129)*4))</f>
        <v/>
      </c>
      <c r="AB127" s="78" t="str">
        <f>if($C127="","",sum(L127:L129)*4/sum(sum(G127:G129)*9+sum(J127:J129)*4+sum(N127:N129)*4))</f>
        <v/>
      </c>
      <c r="AC127" s="79" t="str">
        <f>if($C127="","",(sum(H127:H129)/sum(O127:O129)))</f>
        <v/>
      </c>
    </row>
    <row r="128">
      <c r="A128" s="52"/>
      <c r="B128" s="53"/>
      <c r="C128" s="54"/>
      <c r="D128" s="55">
        <v>1.0</v>
      </c>
      <c r="E128" s="56" t="str">
        <f t="array" ref="E128">if(C128="","",_xlfn.xlookup(C128,'Hiker Food'!$C:$C,'Hiker Food'!G:G)*D128)</f>
        <v/>
      </c>
      <c r="F128" s="42" t="str">
        <f t="array" ref="F128">if(C128="","",_xlfn.xlookup(C128,'Hiker Food'!$C:$C,'Hiker Food'!H:H)*D128)</f>
        <v/>
      </c>
      <c r="G128" s="42" t="str">
        <f t="array" ref="G128">if($C128="","",_xlfn.xlookup($C128,'Hiker Food'!$C:$C,'Hiker Food'!J:J)*$D128)</f>
        <v/>
      </c>
      <c r="H128" s="42" t="str">
        <f t="array" ref="H128">if($C128="","",_xlfn.xlookup($C128,'Hiker Food'!$C:$C,'Hiker Food'!K:K)*$D128)</f>
        <v/>
      </c>
      <c r="I128" s="42" t="str">
        <f t="array" ref="I128">if($C128="","",_xlfn.xlookup($C128,'Hiker Food'!$C:$C,'Hiker Food'!L:L)*$D128)</f>
        <v/>
      </c>
      <c r="J128" s="42" t="str">
        <f t="array" ref="J128">if($C128="","",_xlfn.xlookup($C128,'Hiker Food'!$C:$C,'Hiker Food'!M:M)*$D128)</f>
        <v/>
      </c>
      <c r="K128" s="42" t="str">
        <f t="array" ref="K128">if($C128="","",_xlfn.xlookup($C128,'Hiker Food'!$C:$C,'Hiker Food'!N:N)*$D128)</f>
        <v/>
      </c>
      <c r="L128" s="42" t="str">
        <f t="array" ref="L128">if($C128="","",_xlfn.xlookup($C128,'Hiker Food'!$C:$C,'Hiker Food'!O:O)*$D128)</f>
        <v/>
      </c>
      <c r="M128" s="42" t="str">
        <f t="array" ref="M128">if($C128="","",_xlfn.xlookup($C128,'Hiker Food'!$C:$C,'Hiker Food'!P:P)*$D128)</f>
        <v/>
      </c>
      <c r="N128" s="42" t="str">
        <f t="array" ref="N128">if($C128="","",_xlfn.xlookup($C128,'Hiker Food'!$C:$C,'Hiker Food'!Q:Q)*$D128)</f>
        <v/>
      </c>
      <c r="O128" s="42" t="str">
        <f t="array" ref="O128">if($C128="","",_xlfn.xlookup($C128,'Hiker Food'!$C:$C,'Hiker Food'!I:I)*$D128)</f>
        <v/>
      </c>
      <c r="P128" s="56" t="str">
        <f t="array" ref="P128">if($C128="","",_xlfn.xlookup($C128,'Hiker Food'!$C:$C,'Hiker Food'!T:T))</f>
        <v/>
      </c>
      <c r="Q128" s="57" t="str">
        <f t="array" ref="Q128">if($C128="","",_xlfn.xlookup($C128,'Hiker Food'!$C:$C,'Hiker Food'!U:U))</f>
        <v/>
      </c>
      <c r="R128" s="57" t="str">
        <f t="array" ref="R128">if($C128="","",_xlfn.xlookup($C128,'Hiker Food'!$C:$C,'Hiker Food'!V:V))</f>
        <v/>
      </c>
      <c r="S128" s="58" t="str">
        <f t="array" ref="S128">if($C128="","",_xlfn.xlookup($C128,'Hiker Food'!$C:$C,'Hiker Food'!W:W))</f>
        <v/>
      </c>
      <c r="T128" s="59"/>
      <c r="AC128" s="60"/>
    </row>
    <row r="129">
      <c r="A129" s="52"/>
      <c r="B129" s="61"/>
      <c r="C129" s="54"/>
      <c r="D129" s="63">
        <v>1.0</v>
      </c>
      <c r="E129" s="81" t="str">
        <f t="array" ref="E129">if(C129="","",_xlfn.xlookup(C129,'Hiker Food'!$C:$C,'Hiker Food'!G:G)*D129)</f>
        <v/>
      </c>
      <c r="F129" s="64" t="str">
        <f t="array" ref="F129">if(C129="","",_xlfn.xlookup(C129,'Hiker Food'!$C:$C,'Hiker Food'!H:H)*D129)</f>
        <v/>
      </c>
      <c r="G129" s="64" t="str">
        <f t="array" ref="G129">if($C129="","",_xlfn.xlookup($C129,'Hiker Food'!$C:$C,'Hiker Food'!J:J)*$D129)</f>
        <v/>
      </c>
      <c r="H129" s="64" t="str">
        <f t="array" ref="H129">if($C129="","",_xlfn.xlookup($C129,'Hiker Food'!$C:$C,'Hiker Food'!K:K)*$D129)</f>
        <v/>
      </c>
      <c r="I129" s="64" t="str">
        <f t="array" ref="I129">if($C129="","",_xlfn.xlookup($C129,'Hiker Food'!$C:$C,'Hiker Food'!L:L)*$D129)</f>
        <v/>
      </c>
      <c r="J129" s="64" t="str">
        <f t="array" ref="J129">if($C129="","",_xlfn.xlookup($C129,'Hiker Food'!$C:$C,'Hiker Food'!M:M)*$D129)</f>
        <v/>
      </c>
      <c r="K129" s="64" t="str">
        <f t="array" ref="K129">if($C129="","",_xlfn.xlookup($C129,'Hiker Food'!$C:$C,'Hiker Food'!N:N)*$D129)</f>
        <v/>
      </c>
      <c r="L129" s="64" t="str">
        <f t="array" ref="L129">if($C129="","",_xlfn.xlookup($C129,'Hiker Food'!$C:$C,'Hiker Food'!O:O)*$D129)</f>
        <v/>
      </c>
      <c r="M129" s="64" t="str">
        <f t="array" ref="M129">if($C129="","",_xlfn.xlookup($C129,'Hiker Food'!$C:$C,'Hiker Food'!P:P)*$D129)</f>
        <v/>
      </c>
      <c r="N129" s="64" t="str">
        <f t="array" ref="N129">if($C129="","",_xlfn.xlookup($C129,'Hiker Food'!$C:$C,'Hiker Food'!Q:Q)*$D129)</f>
        <v/>
      </c>
      <c r="O129" s="64" t="str">
        <f t="array" ref="O129">if($C129="","",_xlfn.xlookup($C129,'Hiker Food'!$C:$C,'Hiker Food'!I:I)*$D129)</f>
        <v/>
      </c>
      <c r="P129" s="81" t="str">
        <f t="array" ref="P129">if($C129="","",_xlfn.xlookup($C129,'Hiker Food'!$C:$C,'Hiker Food'!T:T))</f>
        <v/>
      </c>
      <c r="Q129" s="82" t="str">
        <f t="array" ref="Q129">if($C129="","",_xlfn.xlookup($C129,'Hiker Food'!$C:$C,'Hiker Food'!U:U))</f>
        <v/>
      </c>
      <c r="R129" s="82" t="str">
        <f t="array" ref="R129">if($C129="","",_xlfn.xlookup($C129,'Hiker Food'!$C:$C,'Hiker Food'!V:V))</f>
        <v/>
      </c>
      <c r="S129" s="83" t="str">
        <f t="array" ref="S129">if($C129="","",_xlfn.xlookup($C129,'Hiker Food'!$C:$C,'Hiker Food'!W:W))</f>
        <v/>
      </c>
      <c r="T129" s="65"/>
      <c r="U129" s="66"/>
      <c r="V129" s="66"/>
      <c r="W129" s="66"/>
      <c r="X129" s="66"/>
      <c r="Y129" s="66"/>
      <c r="Z129" s="66"/>
      <c r="AA129" s="66"/>
      <c r="AB129" s="66"/>
      <c r="AC129" s="67"/>
    </row>
    <row r="130">
      <c r="A130" s="52"/>
      <c r="B130" s="94" t="s">
        <v>478</v>
      </c>
      <c r="C130" s="90"/>
      <c r="D130" s="70">
        <v>1.0</v>
      </c>
      <c r="E130" s="71" t="str">
        <f t="array" ref="E130">if(C130="","",_xlfn.xlookup(C130,'Hiker Food'!$C:$C,'Hiker Food'!G:G)*D130)</f>
        <v/>
      </c>
      <c r="F130" s="42" t="str">
        <f t="array" ref="F130">if(C130="","",_xlfn.xlookup(C130,'Hiker Food'!$C:$C,'Hiker Food'!H:H)*D130)</f>
        <v/>
      </c>
      <c r="G130" s="72" t="str">
        <f t="array" ref="G130">if($C130="","",_xlfn.xlookup($C130,'Hiker Food'!$C:$C,'Hiker Food'!J:J)*$D130)</f>
        <v/>
      </c>
      <c r="H130" s="72" t="str">
        <f t="array" ref="H130">if($C130="","",_xlfn.xlookup($C130,'Hiker Food'!$C:$C,'Hiker Food'!K:K)*$D130)</f>
        <v/>
      </c>
      <c r="I130" s="72" t="str">
        <f t="array" ref="I130">if($C130="","",_xlfn.xlookup($C130,'Hiker Food'!$C:$C,'Hiker Food'!L:L)*$D130)</f>
        <v/>
      </c>
      <c r="J130" s="72" t="str">
        <f t="array" ref="J130">if($C130="","",_xlfn.xlookup($C130,'Hiker Food'!$C:$C,'Hiker Food'!M:M)*$D130)</f>
        <v/>
      </c>
      <c r="K130" s="72" t="str">
        <f t="array" ref="K130">if($C130="","",_xlfn.xlookup($C130,'Hiker Food'!$C:$C,'Hiker Food'!N:N)*$D130)</f>
        <v/>
      </c>
      <c r="L130" s="72" t="str">
        <f t="array" ref="L130">if($C130="","",_xlfn.xlookup($C130,'Hiker Food'!$C:$C,'Hiker Food'!O:O)*$D130)</f>
        <v/>
      </c>
      <c r="M130" s="72" t="str">
        <f t="array" ref="M130">if($C130="","",_xlfn.xlookup($C130,'Hiker Food'!$C:$C,'Hiker Food'!P:P)*$D130)</f>
        <v/>
      </c>
      <c r="N130" s="72" t="str">
        <f t="array" ref="N130">if($C130="","",_xlfn.xlookup($C130,'Hiker Food'!$C:$C,'Hiker Food'!Q:Q)*$D130)</f>
        <v/>
      </c>
      <c r="O130" s="72" t="str">
        <f t="array" ref="O130">if($C130="","",_xlfn.xlookup($C130,'Hiker Food'!$C:$C,'Hiker Food'!I:I)*$D130)</f>
        <v/>
      </c>
      <c r="P130" s="71" t="str">
        <f t="array" ref="P130">if($C130="","",_xlfn.xlookup($C130,'Hiker Food'!$C:$C,'Hiker Food'!T:T))</f>
        <v/>
      </c>
      <c r="Q130" s="73" t="str">
        <f t="array" ref="Q130">if($C130="","",_xlfn.xlookup($C130,'Hiker Food'!$C:$C,'Hiker Food'!U:U))</f>
        <v/>
      </c>
      <c r="R130" s="73" t="str">
        <f t="array" ref="R130">if($C130="","",_xlfn.xlookup($C130,'Hiker Food'!$C:$C,'Hiker Food'!V:V))</f>
        <v/>
      </c>
      <c r="S130" s="74" t="str">
        <f t="array" ref="S130">if($C130="","",_xlfn.xlookup($C130,'Hiker Food'!$C:$C,'Hiker Food'!W:W))</f>
        <v/>
      </c>
      <c r="T130" s="95" t="s">
        <v>478</v>
      </c>
      <c r="U130" s="76" t="str">
        <f>if(C130="","",Y130/V130)</f>
        <v/>
      </c>
      <c r="V130" s="96" t="str">
        <f>if($C130="","",sum(E130:E132))</f>
        <v/>
      </c>
      <c r="W130" s="77" t="str">
        <f>if($C130="","",$Y130/X130)</f>
        <v/>
      </c>
      <c r="X130" s="96" t="str">
        <f>if($C130="","",sum(F130:F132))</f>
        <v/>
      </c>
      <c r="Y130" s="96" t="str">
        <f>if($C130="","",sum(O130:O132))</f>
        <v/>
      </c>
      <c r="Z130" s="77" t="str">
        <f>if($C130="","",(sum(J130:J132)/sum(N130:N132)))</f>
        <v/>
      </c>
      <c r="AA130" s="78" t="str">
        <f>if($C130="","",sum(G130:G132)*9/sum(sum(G130:G132)*9+sum(J130:J132)*4+sum(N130:N132)*4))</f>
        <v/>
      </c>
      <c r="AB130" s="78" t="str">
        <f>if($C130="","",sum(L130:L132)*4/sum(sum(G130:G132)*9+sum(J130:J132)*4+sum(N130:N132)*4))</f>
        <v/>
      </c>
      <c r="AC130" s="79" t="str">
        <f>if($C130="","",(sum(H130:H132)/sum(O130:O132)))</f>
        <v/>
      </c>
    </row>
    <row r="131">
      <c r="A131" s="52"/>
      <c r="B131" s="53"/>
      <c r="C131" s="93"/>
      <c r="D131" s="55">
        <v>1.0</v>
      </c>
      <c r="E131" s="56" t="str">
        <f t="array" ref="E131">if(C131="","",_xlfn.xlookup(C131,'Hiker Food'!$C:$C,'Hiker Food'!G:G)*D131)</f>
        <v/>
      </c>
      <c r="F131" s="42" t="str">
        <f t="array" ref="F131">if(C131="","",_xlfn.xlookup(C131,'Hiker Food'!$C:$C,'Hiker Food'!H:H)*D131)</f>
        <v/>
      </c>
      <c r="G131" s="42" t="str">
        <f t="array" ref="G131">if($C131="","",_xlfn.xlookup($C131,'Hiker Food'!$C:$C,'Hiker Food'!J:J)*$D131)</f>
        <v/>
      </c>
      <c r="H131" s="42" t="str">
        <f t="array" ref="H131">if($C131="","",_xlfn.xlookup($C131,'Hiker Food'!$C:$C,'Hiker Food'!K:K)*$D131)</f>
        <v/>
      </c>
      <c r="I131" s="42" t="str">
        <f t="array" ref="I131">if($C131="","",_xlfn.xlookup($C131,'Hiker Food'!$C:$C,'Hiker Food'!L:L)*$D131)</f>
        <v/>
      </c>
      <c r="J131" s="42" t="str">
        <f t="array" ref="J131">if($C131="","",_xlfn.xlookup($C131,'Hiker Food'!$C:$C,'Hiker Food'!M:M)*$D131)</f>
        <v/>
      </c>
      <c r="K131" s="42" t="str">
        <f t="array" ref="K131">if($C131="","",_xlfn.xlookup($C131,'Hiker Food'!$C:$C,'Hiker Food'!N:N)*$D131)</f>
        <v/>
      </c>
      <c r="L131" s="42" t="str">
        <f t="array" ref="L131">if($C131="","",_xlfn.xlookup($C131,'Hiker Food'!$C:$C,'Hiker Food'!O:O)*$D131)</f>
        <v/>
      </c>
      <c r="M131" s="42" t="str">
        <f t="array" ref="M131">if($C131="","",_xlfn.xlookup($C131,'Hiker Food'!$C:$C,'Hiker Food'!P:P)*$D131)</f>
        <v/>
      </c>
      <c r="N131" s="42" t="str">
        <f t="array" ref="N131">if($C131="","",_xlfn.xlookup($C131,'Hiker Food'!$C:$C,'Hiker Food'!Q:Q)*$D131)</f>
        <v/>
      </c>
      <c r="O131" s="42" t="str">
        <f t="array" ref="O131">if($C131="","",_xlfn.xlookup($C131,'Hiker Food'!$C:$C,'Hiker Food'!I:I)*$D131)</f>
        <v/>
      </c>
      <c r="P131" s="56" t="str">
        <f t="array" ref="P131">if($C131="","",_xlfn.xlookup($C131,'Hiker Food'!$C:$C,'Hiker Food'!T:T))</f>
        <v/>
      </c>
      <c r="Q131" s="57" t="str">
        <f t="array" ref="Q131">if($C131="","",_xlfn.xlookup($C131,'Hiker Food'!$C:$C,'Hiker Food'!U:U))</f>
        <v/>
      </c>
      <c r="R131" s="57" t="str">
        <f t="array" ref="R131">if($C131="","",_xlfn.xlookup($C131,'Hiker Food'!$C:$C,'Hiker Food'!V:V))</f>
        <v/>
      </c>
      <c r="S131" s="58" t="str">
        <f t="array" ref="S131">if($C131="","",_xlfn.xlookup($C131,'Hiker Food'!$C:$C,'Hiker Food'!W:W))</f>
        <v/>
      </c>
      <c r="T131" s="59"/>
      <c r="AC131" s="60"/>
    </row>
    <row r="132">
      <c r="A132" s="52"/>
      <c r="B132" s="61"/>
      <c r="C132" s="62"/>
      <c r="D132" s="63">
        <v>1.0</v>
      </c>
      <c r="E132" s="81" t="str">
        <f t="array" ref="E132">if(C132="","",_xlfn.xlookup(C132,'Hiker Food'!$C:$C,'Hiker Food'!G:G)*D132)</f>
        <v/>
      </c>
      <c r="F132" s="64" t="str">
        <f t="array" ref="F132">if(C132="","",_xlfn.xlookup(C132,'Hiker Food'!$C:$C,'Hiker Food'!H:H)*D132)</f>
        <v/>
      </c>
      <c r="G132" s="64" t="str">
        <f t="array" ref="G132">if($C132="","",_xlfn.xlookup($C132,'Hiker Food'!$C:$C,'Hiker Food'!J:J)*$D132)</f>
        <v/>
      </c>
      <c r="H132" s="64" t="str">
        <f t="array" ref="H132">if($C132="","",_xlfn.xlookup($C132,'Hiker Food'!$C:$C,'Hiker Food'!K:K)*$D132)</f>
        <v/>
      </c>
      <c r="I132" s="64" t="str">
        <f t="array" ref="I132">if($C132="","",_xlfn.xlookup($C132,'Hiker Food'!$C:$C,'Hiker Food'!L:L)*$D132)</f>
        <v/>
      </c>
      <c r="J132" s="64" t="str">
        <f t="array" ref="J132">if($C132="","",_xlfn.xlookup($C132,'Hiker Food'!$C:$C,'Hiker Food'!M:M)*$D132)</f>
        <v/>
      </c>
      <c r="K132" s="64" t="str">
        <f t="array" ref="K132">if($C132="","",_xlfn.xlookup($C132,'Hiker Food'!$C:$C,'Hiker Food'!N:N)*$D132)</f>
        <v/>
      </c>
      <c r="L132" s="64" t="str">
        <f t="array" ref="L132">if($C132="","",_xlfn.xlookup($C132,'Hiker Food'!$C:$C,'Hiker Food'!O:O)*$D132)</f>
        <v/>
      </c>
      <c r="M132" s="64" t="str">
        <f t="array" ref="M132">if($C132="","",_xlfn.xlookup($C132,'Hiker Food'!$C:$C,'Hiker Food'!P:P)*$D132)</f>
        <v/>
      </c>
      <c r="N132" s="64" t="str">
        <f t="array" ref="N132">if($C132="","",_xlfn.xlookup($C132,'Hiker Food'!$C:$C,'Hiker Food'!Q:Q)*$D132)</f>
        <v/>
      </c>
      <c r="O132" s="64" t="str">
        <f t="array" ref="O132">if($C132="","",_xlfn.xlookup($C132,'Hiker Food'!$C:$C,'Hiker Food'!I:I)*$D132)</f>
        <v/>
      </c>
      <c r="P132" s="81" t="str">
        <f t="array" ref="P132">if($C132="","",_xlfn.xlookup($C132,'Hiker Food'!$C:$C,'Hiker Food'!T:T))</f>
        <v/>
      </c>
      <c r="Q132" s="82" t="str">
        <f t="array" ref="Q132">if($C132="","",_xlfn.xlookup($C132,'Hiker Food'!$C:$C,'Hiker Food'!U:U))</f>
        <v/>
      </c>
      <c r="R132" s="82" t="str">
        <f t="array" ref="R132">if($C132="","",_xlfn.xlookup($C132,'Hiker Food'!$C:$C,'Hiker Food'!V:V))</f>
        <v/>
      </c>
      <c r="S132" s="83" t="str">
        <f t="array" ref="S132">if($C132="","",_xlfn.xlookup($C132,'Hiker Food'!$C:$C,'Hiker Food'!W:W))</f>
        <v/>
      </c>
      <c r="T132" s="65"/>
      <c r="U132" s="66"/>
      <c r="V132" s="66"/>
      <c r="W132" s="66"/>
      <c r="X132" s="66"/>
      <c r="Y132" s="66"/>
      <c r="Z132" s="66"/>
      <c r="AA132" s="66"/>
      <c r="AB132" s="66"/>
      <c r="AC132" s="67"/>
    </row>
    <row r="133">
      <c r="A133" s="97"/>
      <c r="B133" s="98" t="s">
        <v>532</v>
      </c>
      <c r="C133" s="99" t="str">
        <f>IF(COUNTIF(C112:C132,"")=COUNTA(C112:C132), "", "zzzz - subtotal line - ignore")</f>
        <v>zzzz - subtotal line - ignore</v>
      </c>
      <c r="D133" s="99"/>
      <c r="E133" s="100" t="str">
        <f t="shared" ref="E133:O133" si="6">if(counta($C112:$C132)=0,"",SUM(E112:E132))</f>
        <v/>
      </c>
      <c r="F133" s="101" t="str">
        <f t="shared" si="6"/>
        <v/>
      </c>
      <c r="G133" s="101" t="str">
        <f t="shared" si="6"/>
        <v/>
      </c>
      <c r="H133" s="101" t="str">
        <f t="shared" si="6"/>
        <v/>
      </c>
      <c r="I133" s="101" t="str">
        <f t="shared" si="6"/>
        <v/>
      </c>
      <c r="J133" s="101" t="str">
        <f t="shared" si="6"/>
        <v/>
      </c>
      <c r="K133" s="101" t="str">
        <f t="shared" si="6"/>
        <v/>
      </c>
      <c r="L133" s="101" t="str">
        <f t="shared" si="6"/>
        <v/>
      </c>
      <c r="M133" s="101" t="str">
        <f t="shared" si="6"/>
        <v/>
      </c>
      <c r="N133" s="101" t="str">
        <f t="shared" si="6"/>
        <v/>
      </c>
      <c r="O133" s="101" t="str">
        <f t="shared" si="6"/>
        <v/>
      </c>
      <c r="P133" s="102"/>
      <c r="Q133" s="102"/>
      <c r="R133" s="102"/>
      <c r="S133" s="102"/>
      <c r="T133" s="98" t="s">
        <v>532</v>
      </c>
      <c r="U133" s="100"/>
      <c r="V133" s="100" t="str">
        <f>if(counta($C112:$C132)=0,"",SUM(E112:E132))</f>
        <v/>
      </c>
      <c r="W133" s="101"/>
      <c r="X133" s="101" t="str">
        <f>if(counta($C112:$C132)=0,"",SUM(F112:F132))</f>
        <v/>
      </c>
      <c r="Y133" s="101" t="str">
        <f>if(counta($C112:$C132)=0,"",SUM(O112:O132))</f>
        <v/>
      </c>
      <c r="Z133" s="103" t="str">
        <f>if($V133="","",sum(J112:J132)/sum(N112:N132))</f>
        <v/>
      </c>
      <c r="AA133" s="104" t="str">
        <f>if($V133="","",sum(G112:G132)*9/sum(sum(G112:G132)*9+sum(J112:J132)*4+sum(N112:N132)*4))</f>
        <v/>
      </c>
      <c r="AB133" s="104" t="str">
        <f>if($V133="","",sum(L112:L132)*4/sum(sum(G112:G132)*9+sum(J112:J132)*4+sum(N112:N132)*4))</f>
        <v/>
      </c>
      <c r="AC133" s="105" t="str">
        <f>if($V133="","",sum(H112:H132)/sum(O112:O132))</f>
        <v/>
      </c>
    </row>
    <row r="134">
      <c r="A134" s="37">
        <v>7.0</v>
      </c>
      <c r="B134" s="38" t="s">
        <v>92</v>
      </c>
      <c r="C134" s="39"/>
      <c r="D134" s="40">
        <v>1.0</v>
      </c>
      <c r="E134" s="41" t="str">
        <f t="array" ref="E134">if(C134="","",_xlfn.xlookup(C134,'Hiker Food'!$C:$C,'Hiker Food'!G:G)*D134)</f>
        <v/>
      </c>
      <c r="F134" s="42" t="str">
        <f t="array" ref="F134">if(C134="","",_xlfn.xlookup(C134,'Hiker Food'!$C:$C,'Hiker Food'!H:H)*D134)</f>
        <v/>
      </c>
      <c r="G134" s="43" t="str">
        <f t="array" ref="G134">if($C134="","",_xlfn.xlookup($C134,'Hiker Food'!$C:$C,'Hiker Food'!J:J)*$D134)</f>
        <v/>
      </c>
      <c r="H134" s="43" t="str">
        <f t="array" ref="H134">if($C134="","",_xlfn.xlookup($C134,'Hiker Food'!$C:$C,'Hiker Food'!K:K)*$D134)</f>
        <v/>
      </c>
      <c r="I134" s="43" t="str">
        <f t="array" ref="I134">if($C134="","",_xlfn.xlookup($C134,'Hiker Food'!$C:$C,'Hiker Food'!L:L)*$D134)</f>
        <v/>
      </c>
      <c r="J134" s="43" t="str">
        <f t="array" ref="J134">if($C134="","",_xlfn.xlookup($C134,'Hiker Food'!$C:$C,'Hiker Food'!M:M)*$D134)</f>
        <v/>
      </c>
      <c r="K134" s="43" t="str">
        <f t="array" ref="K134">if($C134="","",_xlfn.xlookup($C134,'Hiker Food'!$C:$C,'Hiker Food'!N:N)*$D134)</f>
        <v/>
      </c>
      <c r="L134" s="43" t="str">
        <f t="array" ref="L134">if($C134="","",_xlfn.xlookup($C134,'Hiker Food'!$C:$C,'Hiker Food'!O:O)*$D134)</f>
        <v/>
      </c>
      <c r="M134" s="43" t="str">
        <f t="array" ref="M134">if($C134="","",_xlfn.xlookup($C134,'Hiker Food'!$C:$C,'Hiker Food'!P:P)*$D134)</f>
        <v/>
      </c>
      <c r="N134" s="43" t="str">
        <f t="array" ref="N134">if($C134="","",_xlfn.xlookup($C134,'Hiker Food'!$C:$C,'Hiker Food'!Q:Q)*$D134)</f>
        <v/>
      </c>
      <c r="O134" s="43" t="str">
        <f t="array" ref="O134">if($C134="","",_xlfn.xlookup($C134,'Hiker Food'!$C:$C,'Hiker Food'!I:I)*$D134)</f>
        <v/>
      </c>
      <c r="P134" s="41" t="str">
        <f t="array" ref="P134">if($C134="","",_xlfn.xlookup($C134,'Hiker Food'!$C:$C,'Hiker Food'!T:T))</f>
        <v/>
      </c>
      <c r="Q134" s="44" t="str">
        <f t="array" ref="Q134">if($C134="","",_xlfn.xlookup($C134,'Hiker Food'!$C:$C,'Hiker Food'!U:U))</f>
        <v/>
      </c>
      <c r="R134" s="44" t="str">
        <f t="array" ref="R134">if($C134="","",_xlfn.xlookup($C134,'Hiker Food'!$C:$C,'Hiker Food'!V:V))</f>
        <v/>
      </c>
      <c r="S134" s="45" t="str">
        <f t="array" ref="S134">if($C134="","",_xlfn.xlookup($C134,'Hiker Food'!$C:$C,'Hiker Food'!W:W))</f>
        <v/>
      </c>
      <c r="T134" s="46" t="s">
        <v>92</v>
      </c>
      <c r="U134" s="47" t="str">
        <f>if($C134="","",$Y134/V134)</f>
        <v/>
      </c>
      <c r="V134" s="114" t="str">
        <f>if($C134="","",sum(E134:E136))</f>
        <v/>
      </c>
      <c r="W134" s="48" t="str">
        <f>if($C134="","",$Y134/X134)</f>
        <v/>
      </c>
      <c r="X134" s="114" t="str">
        <f>if($C134="","",sum(F134:F136))</f>
        <v/>
      </c>
      <c r="Y134" s="114" t="str">
        <f>if($C134="","",sum(O134:O136))</f>
        <v/>
      </c>
      <c r="Z134" s="49" t="str">
        <f>if($C134="","",(sum(J134:J136)/sum(N134:N136)))</f>
        <v/>
      </c>
      <c r="AA134" s="50" t="str">
        <f>if($C134="","",sum(G134:G136)*9/sum(sum(G134:G136)*9+sum(J134:J136)*4+sum(N134:N136)*4))</f>
        <v/>
      </c>
      <c r="AB134" s="50" t="str">
        <f>if($C134="","",sum(L134:L136)*4/sum(sum(G134:G136)*9+sum(J134:J136)*4+sum(N134:N136)*4))</f>
        <v/>
      </c>
      <c r="AC134" s="51" t="str">
        <f>if($C134="","",(sum(H134:H136)/sum(O134:O136)))</f>
        <v/>
      </c>
    </row>
    <row r="135">
      <c r="A135" s="52"/>
      <c r="B135" s="53"/>
      <c r="C135" s="54"/>
      <c r="D135" s="55">
        <v>1.0</v>
      </c>
      <c r="E135" s="56" t="str">
        <f t="array" ref="E135">if(C135="","",_xlfn.xlookup(C135,'Hiker Food'!$C:$C,'Hiker Food'!G:G)*D135)</f>
        <v/>
      </c>
      <c r="F135" s="42" t="str">
        <f t="array" ref="F135">if(C135="","",_xlfn.xlookup(C135,'Hiker Food'!$C:$C,'Hiker Food'!H:H)*D135)</f>
        <v/>
      </c>
      <c r="G135" s="42" t="str">
        <f t="array" ref="G135">if($C135="","",_xlfn.xlookup($C135,'Hiker Food'!$C:$C,'Hiker Food'!J:J)*$D135)</f>
        <v/>
      </c>
      <c r="H135" s="42" t="str">
        <f t="array" ref="H135">if($C135="","",_xlfn.xlookup($C135,'Hiker Food'!$C:$C,'Hiker Food'!K:K)*$D135)</f>
        <v/>
      </c>
      <c r="I135" s="42" t="str">
        <f t="array" ref="I135">if($C135="","",_xlfn.xlookup($C135,'Hiker Food'!$C:$C,'Hiker Food'!L:L)*$D135)</f>
        <v/>
      </c>
      <c r="J135" s="42" t="str">
        <f t="array" ref="J135">if($C135="","",_xlfn.xlookup($C135,'Hiker Food'!$C:$C,'Hiker Food'!M:M)*$D135)</f>
        <v/>
      </c>
      <c r="K135" s="42" t="str">
        <f t="array" ref="K135">if($C135="","",_xlfn.xlookup($C135,'Hiker Food'!$C:$C,'Hiker Food'!N:N)*$D135)</f>
        <v/>
      </c>
      <c r="L135" s="42" t="str">
        <f t="array" ref="L135">if($C135="","",_xlfn.xlookup($C135,'Hiker Food'!$C:$C,'Hiker Food'!O:O)*$D135)</f>
        <v/>
      </c>
      <c r="M135" s="42" t="str">
        <f t="array" ref="M135">if($C135="","",_xlfn.xlookup($C135,'Hiker Food'!$C:$C,'Hiker Food'!P:P)*$D135)</f>
        <v/>
      </c>
      <c r="N135" s="42" t="str">
        <f t="array" ref="N135">if($C135="","",_xlfn.xlookup($C135,'Hiker Food'!$C:$C,'Hiker Food'!Q:Q)*$D135)</f>
        <v/>
      </c>
      <c r="O135" s="42" t="str">
        <f t="array" ref="O135">if($C135="","",_xlfn.xlookup($C135,'Hiker Food'!$C:$C,'Hiker Food'!I:I)*$D135)</f>
        <v/>
      </c>
      <c r="P135" s="56" t="str">
        <f t="array" ref="P135">if($C135="","",_xlfn.xlookup($C135,'Hiker Food'!$C:$C,'Hiker Food'!T:T))</f>
        <v/>
      </c>
      <c r="Q135" s="57" t="str">
        <f t="array" ref="Q135">if($C135="","",_xlfn.xlookup($C135,'Hiker Food'!$C:$C,'Hiker Food'!U:U))</f>
        <v/>
      </c>
      <c r="R135" s="57" t="str">
        <f t="array" ref="R135">if($C135="","",_xlfn.xlookup($C135,'Hiker Food'!$C:$C,'Hiker Food'!V:V))</f>
        <v/>
      </c>
      <c r="S135" s="58" t="str">
        <f t="array" ref="S135">if($C135="","",_xlfn.xlookup($C135,'Hiker Food'!$C:$C,'Hiker Food'!W:W))</f>
        <v/>
      </c>
      <c r="T135" s="59"/>
      <c r="AC135" s="60"/>
    </row>
    <row r="136">
      <c r="A136" s="52"/>
      <c r="B136" s="61"/>
      <c r="C136" s="62"/>
      <c r="D136" s="63">
        <v>1.0</v>
      </c>
      <c r="E136" s="56" t="str">
        <f t="array" ref="E136">if(C136="","",_xlfn.xlookup(C136,'Hiker Food'!$C:$C,'Hiker Food'!G:G)*D136)</f>
        <v/>
      </c>
      <c r="F136" s="64" t="str">
        <f t="array" ref="F136">if(C136="","",_xlfn.xlookup(C136,'Hiker Food'!$C:$C,'Hiker Food'!H:H)*D136)</f>
        <v/>
      </c>
      <c r="G136" s="64" t="str">
        <f t="array" ref="G136">if($C136="","",_xlfn.xlookup($C136,'Hiker Food'!$C:$C,'Hiker Food'!J:J)*$D136)</f>
        <v/>
      </c>
      <c r="H136" s="64" t="str">
        <f t="array" ref="H136">if($C136="","",_xlfn.xlookup($C136,'Hiker Food'!$C:$C,'Hiker Food'!K:K)*$D136)</f>
        <v/>
      </c>
      <c r="I136" s="64" t="str">
        <f t="array" ref="I136">if($C136="","",_xlfn.xlookup($C136,'Hiker Food'!$C:$C,'Hiker Food'!L:L)*$D136)</f>
        <v/>
      </c>
      <c r="J136" s="64" t="str">
        <f t="array" ref="J136">if($C136="","",_xlfn.xlookup($C136,'Hiker Food'!$C:$C,'Hiker Food'!M:M)*$D136)</f>
        <v/>
      </c>
      <c r="K136" s="64" t="str">
        <f t="array" ref="K136">if($C136="","",_xlfn.xlookup($C136,'Hiker Food'!$C:$C,'Hiker Food'!N:N)*$D136)</f>
        <v/>
      </c>
      <c r="L136" s="64" t="str">
        <f t="array" ref="L136">if($C136="","",_xlfn.xlookup($C136,'Hiker Food'!$C:$C,'Hiker Food'!O:O)*$D136)</f>
        <v/>
      </c>
      <c r="M136" s="64" t="str">
        <f t="array" ref="M136">if($C136="","",_xlfn.xlookup($C136,'Hiker Food'!$C:$C,'Hiker Food'!P:P)*$D136)</f>
        <v/>
      </c>
      <c r="N136" s="64" t="str">
        <f t="array" ref="N136">if($C136="","",_xlfn.xlookup($C136,'Hiker Food'!$C:$C,'Hiker Food'!Q:Q)*$D136)</f>
        <v/>
      </c>
      <c r="O136" s="42" t="str">
        <f t="array" ref="O136">if($C136="","",_xlfn.xlookup($C136,'Hiker Food'!$C:$C,'Hiker Food'!I:I)*$D136)</f>
        <v/>
      </c>
      <c r="P136" s="56" t="str">
        <f t="array" ref="P136">if($C136="","",_xlfn.xlookup($C136,'Hiker Food'!$C:$C,'Hiker Food'!T:T))</f>
        <v/>
      </c>
      <c r="Q136" s="57" t="str">
        <f t="array" ref="Q136">if($C136="","",_xlfn.xlookup($C136,'Hiker Food'!$C:$C,'Hiker Food'!U:U))</f>
        <v/>
      </c>
      <c r="R136" s="57" t="str">
        <f t="array" ref="R136">if($C136="","",_xlfn.xlookup($C136,'Hiker Food'!$C:$C,'Hiker Food'!V:V))</f>
        <v/>
      </c>
      <c r="S136" s="58" t="str">
        <f t="array" ref="S136">if($C136="","",_xlfn.xlookup($C136,'Hiker Food'!$C:$C,'Hiker Food'!W:W))</f>
        <v/>
      </c>
      <c r="T136" s="65"/>
      <c r="U136" s="66"/>
      <c r="V136" s="66"/>
      <c r="W136" s="66"/>
      <c r="X136" s="66"/>
      <c r="Y136" s="66"/>
      <c r="Z136" s="66"/>
      <c r="AA136" s="66"/>
      <c r="AB136" s="66"/>
      <c r="AC136" s="67"/>
    </row>
    <row r="137">
      <c r="A137" s="52"/>
      <c r="B137" s="68" t="s">
        <v>179</v>
      </c>
      <c r="C137" s="69"/>
      <c r="D137" s="70">
        <v>2.0</v>
      </c>
      <c r="E137" s="71" t="str">
        <f t="array" ref="E137">if(C137="","",_xlfn.xlookup(C137,'Hiker Food'!$C:$C,'Hiker Food'!G:G)*D137)</f>
        <v/>
      </c>
      <c r="F137" s="42" t="str">
        <f t="array" ref="F137">if(C137="","",_xlfn.xlookup(C137,'Hiker Food'!$C:$C,'Hiker Food'!H:H)*D137)</f>
        <v/>
      </c>
      <c r="G137" s="72" t="str">
        <f t="array" ref="G137">if($C137="","",_xlfn.xlookup($C137,'Hiker Food'!$C:$C,'Hiker Food'!J:J)*$D137)</f>
        <v/>
      </c>
      <c r="H137" s="72" t="str">
        <f t="array" ref="H137">if($C137="","",_xlfn.xlookup($C137,'Hiker Food'!$C:$C,'Hiker Food'!K:K)*$D137)</f>
        <v/>
      </c>
      <c r="I137" s="72" t="str">
        <f t="array" ref="I137">if($C137="","",_xlfn.xlookup($C137,'Hiker Food'!$C:$C,'Hiker Food'!L:L)*$D137)</f>
        <v/>
      </c>
      <c r="J137" s="72" t="str">
        <f t="array" ref="J137">if($C137="","",_xlfn.xlookup($C137,'Hiker Food'!$C:$C,'Hiker Food'!M:M)*$D137)</f>
        <v/>
      </c>
      <c r="K137" s="72" t="str">
        <f t="array" ref="K137">if($C137="","",_xlfn.xlookup($C137,'Hiker Food'!$C:$C,'Hiker Food'!N:N)*$D137)</f>
        <v/>
      </c>
      <c r="L137" s="72" t="str">
        <f t="array" ref="L137">if($C137="","",_xlfn.xlookup($C137,'Hiker Food'!$C:$C,'Hiker Food'!O:O)*$D137)</f>
        <v/>
      </c>
      <c r="M137" s="72" t="str">
        <f t="array" ref="M137">if($C137="","",_xlfn.xlookup($C137,'Hiker Food'!$C:$C,'Hiker Food'!P:P)*$D137)</f>
        <v/>
      </c>
      <c r="N137" s="72" t="str">
        <f t="array" ref="N137">if($C137="","",_xlfn.xlookup($C137,'Hiker Food'!$C:$C,'Hiker Food'!Q:Q)*$D137)</f>
        <v/>
      </c>
      <c r="O137" s="72" t="str">
        <f t="array" ref="O137">if($C137="","",_xlfn.xlookup($C137,'Hiker Food'!$C:$C,'Hiker Food'!I:I)*$D137)</f>
        <v/>
      </c>
      <c r="P137" s="71" t="str">
        <f t="array" ref="P137">if($C137="","",_xlfn.xlookup($C137,'Hiker Food'!$C:$C,'Hiker Food'!T:T))</f>
        <v/>
      </c>
      <c r="Q137" s="73" t="str">
        <f t="array" ref="Q137">if($C137="","",_xlfn.xlookup($C137,'Hiker Food'!$C:$C,'Hiker Food'!U:U))</f>
        <v/>
      </c>
      <c r="R137" s="73" t="str">
        <f t="array" ref="R137">if($C137="","",_xlfn.xlookup($C137,'Hiker Food'!$C:$C,'Hiker Food'!V:V))</f>
        <v/>
      </c>
      <c r="S137" s="74" t="str">
        <f t="array" ref="S137">if($C137="","",_xlfn.xlookup($C137,'Hiker Food'!$C:$C,'Hiker Food'!W:W))</f>
        <v/>
      </c>
      <c r="T137" s="75" t="s">
        <v>179</v>
      </c>
      <c r="U137" s="76" t="str">
        <f>if(C137="","",Y137/V137)</f>
        <v/>
      </c>
      <c r="V137" s="96" t="str">
        <f>if($C137="","",sum(E137:E139))</f>
        <v/>
      </c>
      <c r="W137" s="77" t="str">
        <f>if($C137="","",$Y137/X137)</f>
        <v/>
      </c>
      <c r="X137" s="96" t="str">
        <f>if($C137="","",sum(F137:F139))</f>
        <v/>
      </c>
      <c r="Y137" s="96" t="str">
        <f>if($C137="","",sum(O137:O139))</f>
        <v/>
      </c>
      <c r="Z137" s="77" t="str">
        <f>if($C137="","",(sum(J137:J139)/sum(N137:N139)))</f>
        <v/>
      </c>
      <c r="AA137" s="78" t="str">
        <f>if($C137="","",sum(G137:G139)*9/sum(sum(G137:G139)*9+sum(J137:J139)*4+sum(N137:N139)*4))</f>
        <v/>
      </c>
      <c r="AB137" s="78" t="str">
        <f>if($C137="","",sum(L137:L139)*4/sum(sum(G137:G139)*9+sum(J137:J139)*4+sum(N137:N139)*4))</f>
        <v/>
      </c>
      <c r="AC137" s="79" t="str">
        <f>if($C137="","",(sum(H137:H139)/sum(O137:O139)))</f>
        <v/>
      </c>
    </row>
    <row r="138">
      <c r="A138" s="52"/>
      <c r="B138" s="53"/>
      <c r="C138" s="54"/>
      <c r="D138" s="55">
        <v>2.0</v>
      </c>
      <c r="E138" s="56" t="str">
        <f t="array" ref="E138">if(C138="","",_xlfn.xlookup(C138,'Hiker Food'!$C:$C,'Hiker Food'!G:G)*D138)</f>
        <v/>
      </c>
      <c r="F138" s="42" t="str">
        <f t="array" ref="F138">if(C138="","",_xlfn.xlookup(C138,'Hiker Food'!$C:$C,'Hiker Food'!H:H)*D138)</f>
        <v/>
      </c>
      <c r="G138" s="42" t="str">
        <f t="array" ref="G138">if($C138="","",_xlfn.xlookup($C138,'Hiker Food'!$C:$C,'Hiker Food'!J:J)*$D138)</f>
        <v/>
      </c>
      <c r="H138" s="42" t="str">
        <f t="array" ref="H138">if($C138="","",_xlfn.xlookup($C138,'Hiker Food'!$C:$C,'Hiker Food'!K:K)*$D138)</f>
        <v/>
      </c>
      <c r="I138" s="42" t="str">
        <f t="array" ref="I138">if($C138="","",_xlfn.xlookup($C138,'Hiker Food'!$C:$C,'Hiker Food'!L:L)*$D138)</f>
        <v/>
      </c>
      <c r="J138" s="42" t="str">
        <f t="array" ref="J138">if($C138="","",_xlfn.xlookup($C138,'Hiker Food'!$C:$C,'Hiker Food'!M:M)*$D138)</f>
        <v/>
      </c>
      <c r="K138" s="42" t="str">
        <f t="array" ref="K138">if($C138="","",_xlfn.xlookup($C138,'Hiker Food'!$C:$C,'Hiker Food'!N:N)*$D138)</f>
        <v/>
      </c>
      <c r="L138" s="42" t="str">
        <f t="array" ref="L138">if($C138="","",_xlfn.xlookup($C138,'Hiker Food'!$C:$C,'Hiker Food'!O:O)*$D138)</f>
        <v/>
      </c>
      <c r="M138" s="42" t="str">
        <f t="array" ref="M138">if($C138="","",_xlfn.xlookup($C138,'Hiker Food'!$C:$C,'Hiker Food'!P:P)*$D138)</f>
        <v/>
      </c>
      <c r="N138" s="42" t="str">
        <f t="array" ref="N138">if($C138="","",_xlfn.xlookup($C138,'Hiker Food'!$C:$C,'Hiker Food'!Q:Q)*$D138)</f>
        <v/>
      </c>
      <c r="O138" s="42" t="str">
        <f t="array" ref="O138">if($C138="","",_xlfn.xlookup($C138,'Hiker Food'!$C:$C,'Hiker Food'!I:I)*$D138)</f>
        <v/>
      </c>
      <c r="P138" s="56" t="str">
        <f t="array" ref="P138">if($C138="","",_xlfn.xlookup($C138,'Hiker Food'!$C:$C,'Hiker Food'!T:T))</f>
        <v/>
      </c>
      <c r="Q138" s="57" t="str">
        <f t="array" ref="Q138">if($C138="","",_xlfn.xlookup($C138,'Hiker Food'!$C:$C,'Hiker Food'!U:U))</f>
        <v/>
      </c>
      <c r="R138" s="57" t="str">
        <f t="array" ref="R138">if($C138="","",_xlfn.xlookup($C138,'Hiker Food'!$C:$C,'Hiker Food'!V:V))</f>
        <v/>
      </c>
      <c r="S138" s="58" t="str">
        <f t="array" ref="S138">if($C138="","",_xlfn.xlookup($C138,'Hiker Food'!$C:$C,'Hiker Food'!W:W))</f>
        <v/>
      </c>
      <c r="T138" s="80"/>
      <c r="AC138" s="60"/>
    </row>
    <row r="139">
      <c r="A139" s="52"/>
      <c r="B139" s="61"/>
      <c r="C139" s="54"/>
      <c r="D139" s="63">
        <v>1.0</v>
      </c>
      <c r="E139" s="81" t="str">
        <f t="array" ref="E139">if(C139="","",_xlfn.xlookup(C139,'Hiker Food'!$C:$C,'Hiker Food'!G:G)*D139)</f>
        <v/>
      </c>
      <c r="F139" s="64" t="str">
        <f t="array" ref="F139">if(C139="","",_xlfn.xlookup(C139,'Hiker Food'!$C:$C,'Hiker Food'!H:H)*D139)</f>
        <v/>
      </c>
      <c r="G139" s="64" t="str">
        <f t="array" ref="G139">if($C139="","",_xlfn.xlookup($C139,'Hiker Food'!$C:$C,'Hiker Food'!J:J)*$D139)</f>
        <v/>
      </c>
      <c r="H139" s="64" t="str">
        <f t="array" ref="H139">if($C139="","",_xlfn.xlookup($C139,'Hiker Food'!$C:$C,'Hiker Food'!K:K)*$D139)</f>
        <v/>
      </c>
      <c r="I139" s="64" t="str">
        <f t="array" ref="I139">if($C139="","",_xlfn.xlookup($C139,'Hiker Food'!$C:$C,'Hiker Food'!L:L)*$D139)</f>
        <v/>
      </c>
      <c r="J139" s="64" t="str">
        <f t="array" ref="J139">if($C139="","",_xlfn.xlookup($C139,'Hiker Food'!$C:$C,'Hiker Food'!M:M)*$D139)</f>
        <v/>
      </c>
      <c r="K139" s="64" t="str">
        <f t="array" ref="K139">if($C139="","",_xlfn.xlookup($C139,'Hiker Food'!$C:$C,'Hiker Food'!N:N)*$D139)</f>
        <v/>
      </c>
      <c r="L139" s="64" t="str">
        <f t="array" ref="L139">if($C139="","",_xlfn.xlookup($C139,'Hiker Food'!$C:$C,'Hiker Food'!O:O)*$D139)</f>
        <v/>
      </c>
      <c r="M139" s="64" t="str">
        <f t="array" ref="M139">if($C139="","",_xlfn.xlookup($C139,'Hiker Food'!$C:$C,'Hiker Food'!P:P)*$D139)</f>
        <v/>
      </c>
      <c r="N139" s="64" t="str">
        <f t="array" ref="N139">if($C139="","",_xlfn.xlookup($C139,'Hiker Food'!$C:$C,'Hiker Food'!Q:Q)*$D139)</f>
        <v/>
      </c>
      <c r="O139" s="64" t="str">
        <f t="array" ref="O139">if($C139="","",_xlfn.xlookup($C139,'Hiker Food'!$C:$C,'Hiker Food'!I:I)*$D139)</f>
        <v/>
      </c>
      <c r="P139" s="81" t="str">
        <f t="array" ref="P139">if($C139="","",_xlfn.xlookup($C139,'Hiker Food'!$C:$C,'Hiker Food'!T:T))</f>
        <v/>
      </c>
      <c r="Q139" s="82" t="str">
        <f t="array" ref="Q139">if($C139="","",_xlfn.xlookup($C139,'Hiker Food'!$C:$C,'Hiker Food'!U:U))</f>
        <v/>
      </c>
      <c r="R139" s="82" t="str">
        <f t="array" ref="R139">if($C139="","",_xlfn.xlookup($C139,'Hiker Food'!$C:$C,'Hiker Food'!V:V))</f>
        <v/>
      </c>
      <c r="S139" s="83" t="str">
        <f t="array" ref="S139">if($C139="","",_xlfn.xlookup($C139,'Hiker Food'!$C:$C,'Hiker Food'!W:W))</f>
        <v/>
      </c>
      <c r="T139" s="84"/>
      <c r="U139" s="66"/>
      <c r="V139" s="66"/>
      <c r="W139" s="66"/>
      <c r="X139" s="66"/>
      <c r="Y139" s="66"/>
      <c r="Z139" s="66"/>
      <c r="AA139" s="66"/>
      <c r="AB139" s="66"/>
      <c r="AC139" s="67"/>
    </row>
    <row r="140">
      <c r="A140" s="52"/>
      <c r="B140" s="68" t="s">
        <v>257</v>
      </c>
      <c r="C140" s="85"/>
      <c r="D140" s="70">
        <v>3.0</v>
      </c>
      <c r="E140" s="56" t="str">
        <f t="array" ref="E140">if(C140="","",_xlfn.xlookup(C140,'Hiker Food'!$C:$C,'Hiker Food'!G:G)*D140)</f>
        <v/>
      </c>
      <c r="F140" s="86" t="str">
        <f t="array" ref="F140">if(C140="","",_xlfn.xlookup(C140,'Hiker Food'!$C:$C,'Hiker Food'!H:H)*D140)</f>
        <v/>
      </c>
      <c r="G140" s="72" t="str">
        <f t="array" ref="G140">if($C140="","",_xlfn.xlookup($C140,'Hiker Food'!$C:$C,'Hiker Food'!J:J)*$D140)</f>
        <v/>
      </c>
      <c r="H140" s="72" t="str">
        <f t="array" ref="H140">if($C140="","",_xlfn.xlookup($C140,'Hiker Food'!$C:$C,'Hiker Food'!K:K)*$D140)</f>
        <v/>
      </c>
      <c r="I140" s="72" t="str">
        <f t="array" ref="I140">if($C140="","",_xlfn.xlookup($C140,'Hiker Food'!$C:$C,'Hiker Food'!L:L)*$D140)</f>
        <v/>
      </c>
      <c r="J140" s="72" t="str">
        <f t="array" ref="J140">if($C140="","",_xlfn.xlookup($C140,'Hiker Food'!$C:$C,'Hiker Food'!M:M)*$D140)</f>
        <v/>
      </c>
      <c r="K140" s="72" t="str">
        <f t="array" ref="K140">if($C140="","",_xlfn.xlookup($C140,'Hiker Food'!$C:$C,'Hiker Food'!N:N)*$D140)</f>
        <v/>
      </c>
      <c r="L140" s="72" t="str">
        <f t="array" ref="L140">if($C140="","",_xlfn.xlookup($C140,'Hiker Food'!$C:$C,'Hiker Food'!O:O)*$D140)</f>
        <v/>
      </c>
      <c r="M140" s="72" t="str">
        <f t="array" ref="M140">if($C140="","",_xlfn.xlookup($C140,'Hiker Food'!$C:$C,'Hiker Food'!P:P)*$D140)</f>
        <v/>
      </c>
      <c r="N140" s="72" t="str">
        <f t="array" ref="N140">if($C140="","",_xlfn.xlookup($C140,'Hiker Food'!$C:$C,'Hiker Food'!Q:Q)*$D140)</f>
        <v/>
      </c>
      <c r="O140" s="42" t="str">
        <f t="array" ref="O140">if($C140="","",_xlfn.xlookup($C140,'Hiker Food'!$C:$C,'Hiker Food'!I:I)*$D140)</f>
        <v/>
      </c>
      <c r="P140" s="56" t="str">
        <f t="array" ref="P140">if($C140="","",_xlfn.xlookup($C140,'Hiker Food'!$C:$C,'Hiker Food'!T:T))</f>
        <v/>
      </c>
      <c r="Q140" s="57" t="str">
        <f t="array" ref="Q140">if($C140="","",_xlfn.xlookup($C140,'Hiker Food'!$C:$C,'Hiker Food'!U:U))</f>
        <v/>
      </c>
      <c r="R140" s="57" t="str">
        <f t="array" ref="R140">if($C140="","",_xlfn.xlookup($C140,'Hiker Food'!$C:$C,'Hiker Food'!V:V))</f>
        <v/>
      </c>
      <c r="S140" s="58" t="str">
        <f t="array" ref="S140">if($C140="","",_xlfn.xlookup($C140,'Hiker Food'!$C:$C,'Hiker Food'!W:W))</f>
        <v/>
      </c>
      <c r="T140" s="87" t="s">
        <v>257</v>
      </c>
      <c r="U140" s="76" t="str">
        <f>if(C140="","",Y140/V140)</f>
        <v/>
      </c>
      <c r="V140" s="96" t="str">
        <f>if($C140="","",sum(E140:E142))</f>
        <v/>
      </c>
      <c r="W140" s="77" t="str">
        <f>if($C140="","",$Y140/X140)</f>
        <v/>
      </c>
      <c r="X140" s="96" t="str">
        <f>if($C140="","",sum(F140:F142))</f>
        <v/>
      </c>
      <c r="Y140" s="96" t="str">
        <f>if($C140="","",sum(O140:O142))</f>
        <v/>
      </c>
      <c r="Z140" s="77" t="str">
        <f>if($C140="","",(sum(J140:J142)/sum(N140:N142)))</f>
        <v/>
      </c>
      <c r="AA140" s="78" t="str">
        <f>if($C140="","",sum(G140:G142)*9/sum(sum(G140:G142)*9+sum(J140:J142)*4+sum(N140:N142)*4))</f>
        <v/>
      </c>
      <c r="AB140" s="78" t="str">
        <f>if($C140="","",sum(L140:L142)*4/sum(sum(G140:G142)*9+sum(J140:J142)*4+sum(N140:N142)*4))</f>
        <v/>
      </c>
      <c r="AC140" s="79" t="str">
        <f>if($C140="","",(sum(H140:H142)/sum(O140:O142)))</f>
        <v/>
      </c>
    </row>
    <row r="141">
      <c r="A141" s="52"/>
      <c r="B141" s="53"/>
      <c r="C141" s="88"/>
      <c r="D141" s="55">
        <v>3.0</v>
      </c>
      <c r="E141" s="56" t="str">
        <f t="array" ref="E141">if(C141="","",_xlfn.xlookup(C141,'Hiker Food'!$C:$C,'Hiker Food'!G:G)*D141)</f>
        <v/>
      </c>
      <c r="F141" s="86" t="str">
        <f t="array" ref="F141">if(C141="","",_xlfn.xlookup(C141,'Hiker Food'!$C:$C,'Hiker Food'!H:H)*D141)</f>
        <v/>
      </c>
      <c r="G141" s="42" t="str">
        <f t="array" ref="G141">if($C141="","",_xlfn.xlookup($C141,'Hiker Food'!$C:$C,'Hiker Food'!J:J)*$D141)</f>
        <v/>
      </c>
      <c r="H141" s="42" t="str">
        <f t="array" ref="H141">if($C141="","",_xlfn.xlookup($C141,'Hiker Food'!$C:$C,'Hiker Food'!K:K)*$D141)</f>
        <v/>
      </c>
      <c r="I141" s="42" t="str">
        <f t="array" ref="I141">if($C141="","",_xlfn.xlookup($C141,'Hiker Food'!$C:$C,'Hiker Food'!L:L)*$D141)</f>
        <v/>
      </c>
      <c r="J141" s="42" t="str">
        <f t="array" ref="J141">if($C141="","",_xlfn.xlookup($C141,'Hiker Food'!$C:$C,'Hiker Food'!M:M)*$D141)</f>
        <v/>
      </c>
      <c r="K141" s="42" t="str">
        <f t="array" ref="K141">if($C141="","",_xlfn.xlookup($C141,'Hiker Food'!$C:$C,'Hiker Food'!N:N)*$D141)</f>
        <v/>
      </c>
      <c r="L141" s="42" t="str">
        <f t="array" ref="L141">if($C141="","",_xlfn.xlookup($C141,'Hiker Food'!$C:$C,'Hiker Food'!O:O)*$D141)</f>
        <v/>
      </c>
      <c r="M141" s="42" t="str">
        <f t="array" ref="M141">if($C141="","",_xlfn.xlookup($C141,'Hiker Food'!$C:$C,'Hiker Food'!P:P)*$D141)</f>
        <v/>
      </c>
      <c r="N141" s="42" t="str">
        <f t="array" ref="N141">if($C141="","",_xlfn.xlookup($C141,'Hiker Food'!$C:$C,'Hiker Food'!Q:Q)*$D141)</f>
        <v/>
      </c>
      <c r="O141" s="42" t="str">
        <f t="array" ref="O141">if($C141="","",_xlfn.xlookup($C141,'Hiker Food'!$C:$C,'Hiker Food'!I:I)*$D141)</f>
        <v/>
      </c>
      <c r="P141" s="56" t="str">
        <f t="array" ref="P141">if($C141="","",_xlfn.xlookup($C141,'Hiker Food'!$C:$C,'Hiker Food'!T:T))</f>
        <v/>
      </c>
      <c r="Q141" s="57" t="str">
        <f t="array" ref="Q141">if($C141="","",_xlfn.xlookup($C141,'Hiker Food'!$C:$C,'Hiker Food'!U:U))</f>
        <v/>
      </c>
      <c r="R141" s="57" t="str">
        <f t="array" ref="R141">if($C141="","",_xlfn.xlookup($C141,'Hiker Food'!$C:$C,'Hiker Food'!V:V))</f>
        <v/>
      </c>
      <c r="S141" s="58" t="str">
        <f t="array" ref="S141">if($C141="","",_xlfn.xlookup($C141,'Hiker Food'!$C:$C,'Hiker Food'!W:W))</f>
        <v/>
      </c>
      <c r="T141" s="59"/>
      <c r="AC141" s="60"/>
    </row>
    <row r="142">
      <c r="A142" s="52"/>
      <c r="B142" s="61"/>
      <c r="C142" s="62"/>
      <c r="D142" s="63">
        <v>1.0</v>
      </c>
      <c r="E142" s="81" t="str">
        <f t="array" ref="E142">if(C142="","",_xlfn.xlookup(C142,'Hiker Food'!$C:$C,'Hiker Food'!G:G)*D142)</f>
        <v/>
      </c>
      <c r="F142" s="89" t="str">
        <f t="array" ref="F142">if(C142="","",_xlfn.xlookup(C142,'Hiker Food'!$C:$C,'Hiker Food'!H:H)*D142)</f>
        <v/>
      </c>
      <c r="G142" s="64" t="str">
        <f t="array" ref="G142">if($C142="","",_xlfn.xlookup($C142,'Hiker Food'!$C:$C,'Hiker Food'!J:J)*$D142)</f>
        <v/>
      </c>
      <c r="H142" s="64" t="str">
        <f t="array" ref="H142">if($C142="","",_xlfn.xlookup($C142,'Hiker Food'!$C:$C,'Hiker Food'!K:K)*$D142)</f>
        <v/>
      </c>
      <c r="I142" s="64" t="str">
        <f t="array" ref="I142">if($C142="","",_xlfn.xlookup($C142,'Hiker Food'!$C:$C,'Hiker Food'!L:L)*$D142)</f>
        <v/>
      </c>
      <c r="J142" s="64" t="str">
        <f t="array" ref="J142">if($C142="","",_xlfn.xlookup($C142,'Hiker Food'!$C:$C,'Hiker Food'!M:M)*$D142)</f>
        <v/>
      </c>
      <c r="K142" s="64" t="str">
        <f t="array" ref="K142">if($C142="","",_xlfn.xlookup($C142,'Hiker Food'!$C:$C,'Hiker Food'!N:N)*$D142)</f>
        <v/>
      </c>
      <c r="L142" s="64" t="str">
        <f t="array" ref="L142">if($C142="","",_xlfn.xlookup($C142,'Hiker Food'!$C:$C,'Hiker Food'!O:O)*$D142)</f>
        <v/>
      </c>
      <c r="M142" s="64" t="str">
        <f t="array" ref="M142">if($C142="","",_xlfn.xlookup($C142,'Hiker Food'!$C:$C,'Hiker Food'!P:P)*$D142)</f>
        <v/>
      </c>
      <c r="N142" s="64" t="str">
        <f t="array" ref="N142">if($C142="","",_xlfn.xlookup($C142,'Hiker Food'!$C:$C,'Hiker Food'!Q:Q)*$D142)</f>
        <v/>
      </c>
      <c r="O142" s="64" t="str">
        <f t="array" ref="O142">if($C142="","",_xlfn.xlookup($C142,'Hiker Food'!$C:$C,'Hiker Food'!I:I)*$D142)</f>
        <v/>
      </c>
      <c r="P142" s="81" t="str">
        <f t="array" ref="P142">if($C142="","",_xlfn.xlookup($C142,'Hiker Food'!$C:$C,'Hiker Food'!T:T))</f>
        <v/>
      </c>
      <c r="Q142" s="82" t="str">
        <f t="array" ref="Q142">if($C142="","",_xlfn.xlookup($C142,'Hiker Food'!$C:$C,'Hiker Food'!U:U))</f>
        <v/>
      </c>
      <c r="R142" s="82" t="str">
        <f t="array" ref="R142">if($C142="","",_xlfn.xlookup($C142,'Hiker Food'!$C:$C,'Hiker Food'!V:V))</f>
        <v/>
      </c>
      <c r="S142" s="83" t="str">
        <f t="array" ref="S142">if($C142="","",_xlfn.xlookup($C142,'Hiker Food'!$C:$C,'Hiker Food'!W:W))</f>
        <v/>
      </c>
      <c r="T142" s="65"/>
      <c r="U142" s="66"/>
      <c r="V142" s="66"/>
      <c r="W142" s="66"/>
      <c r="X142" s="66"/>
      <c r="Y142" s="66"/>
      <c r="Z142" s="66"/>
      <c r="AA142" s="66"/>
      <c r="AB142" s="66"/>
      <c r="AC142" s="67"/>
    </row>
    <row r="143">
      <c r="A143" s="52"/>
      <c r="B143" s="68" t="s">
        <v>314</v>
      </c>
      <c r="C143" s="90"/>
      <c r="D143" s="70">
        <v>1.0</v>
      </c>
      <c r="E143" s="71" t="str">
        <f t="array" ref="E143">if(C143="","",_xlfn.xlookup(C143,'Hiker Food'!$C:$C,'Hiker Food'!G:G)*D143)</f>
        <v/>
      </c>
      <c r="F143" s="42" t="str">
        <f t="array" ref="F143">if(C143="","",_xlfn.xlookup(C143,'Hiker Food'!$C:$C,'Hiker Food'!H:H)*D143)</f>
        <v/>
      </c>
      <c r="G143" s="72" t="str">
        <f t="array" ref="G143">if($C143="","",_xlfn.xlookup($C143,'Hiker Food'!$C:$C,'Hiker Food'!J:J)*$D143)</f>
        <v/>
      </c>
      <c r="H143" s="72" t="str">
        <f t="array" ref="H143">if($C143="","",_xlfn.xlookup($C143,'Hiker Food'!$C:$C,'Hiker Food'!K:K)*$D143)</f>
        <v/>
      </c>
      <c r="I143" s="72" t="str">
        <f t="array" ref="I143">if($C143="","",_xlfn.xlookup($C143,'Hiker Food'!$C:$C,'Hiker Food'!L:L)*$D143)</f>
        <v/>
      </c>
      <c r="J143" s="72" t="str">
        <f t="array" ref="J143">if($C143="","",_xlfn.xlookup($C143,'Hiker Food'!$C:$C,'Hiker Food'!M:M)*$D143)</f>
        <v/>
      </c>
      <c r="K143" s="72" t="str">
        <f t="array" ref="K143">if($C143="","",_xlfn.xlookup($C143,'Hiker Food'!$C:$C,'Hiker Food'!N:N)*$D143)</f>
        <v/>
      </c>
      <c r="L143" s="72" t="str">
        <f t="array" ref="L143">if($C143="","",_xlfn.xlookup($C143,'Hiker Food'!$C:$C,'Hiker Food'!O:O)*$D143)</f>
        <v/>
      </c>
      <c r="M143" s="72" t="str">
        <f t="array" ref="M143">if($C143="","",_xlfn.xlookup($C143,'Hiker Food'!$C:$C,'Hiker Food'!P:P)*$D143)</f>
        <v/>
      </c>
      <c r="N143" s="72" t="str">
        <f t="array" ref="N143">if($C143="","",_xlfn.xlookup($C143,'Hiker Food'!$C:$C,'Hiker Food'!Q:Q)*$D143)</f>
        <v/>
      </c>
      <c r="O143" s="72" t="str">
        <f t="array" ref="O143">if($C143="","",_xlfn.xlookup($C143,'Hiker Food'!$C:$C,'Hiker Food'!I:I)*$D143)</f>
        <v/>
      </c>
      <c r="P143" s="71" t="str">
        <f t="array" ref="P143">if($C143="","",_xlfn.xlookup($C143,'Hiker Food'!$C:$C,'Hiker Food'!T:T))</f>
        <v/>
      </c>
      <c r="Q143" s="73" t="str">
        <f t="array" ref="Q143">if($C143="","",_xlfn.xlookup($C143,'Hiker Food'!$C:$C,'Hiker Food'!U:U))</f>
        <v/>
      </c>
      <c r="R143" s="73" t="str">
        <f t="array" ref="R143">if($C143="","",_xlfn.xlookup($C143,'Hiker Food'!$C:$C,'Hiker Food'!V:V))</f>
        <v/>
      </c>
      <c r="S143" s="74" t="str">
        <f t="array" ref="S143">if($C143="","",_xlfn.xlookup($C143,'Hiker Food'!$C:$C,'Hiker Food'!W:W))</f>
        <v/>
      </c>
      <c r="T143" s="91" t="s">
        <v>314</v>
      </c>
      <c r="U143" s="76" t="str">
        <f>if(C143="","",Y143/V143)</f>
        <v/>
      </c>
      <c r="V143" s="96" t="str">
        <f>if($C143="","",sum(E143:E145))</f>
        <v/>
      </c>
      <c r="W143" s="77" t="str">
        <f>if($C143="","",$Y143/X143)</f>
        <v/>
      </c>
      <c r="X143" s="96" t="str">
        <f>if($C143="","",sum(F143:F145))</f>
        <v/>
      </c>
      <c r="Y143" s="96" t="str">
        <f>if($C143="","",sum(O143:O145))</f>
        <v/>
      </c>
      <c r="Z143" s="77" t="str">
        <f>if($C143="","",(sum(J143:J145)/sum(N143:N145)))</f>
        <v/>
      </c>
      <c r="AA143" s="78" t="str">
        <f>if($C143="","",sum(G143:G145)*9/sum(sum(G143:G145)*9+sum(J143:J145)*4+sum(N143:N145)*4))</f>
        <v/>
      </c>
      <c r="AB143" s="78" t="str">
        <f>if($C143="","",sum(L143:L145)*4/sum(sum(G143:G145)*9+sum(J143:J145)*4+sum(N143:N145)*4))</f>
        <v/>
      </c>
      <c r="AC143" s="79" t="str">
        <f>if($C143="","",(sum(H143:H145)/sum(O143:O145)))</f>
        <v/>
      </c>
    </row>
    <row r="144">
      <c r="A144" s="52"/>
      <c r="B144" s="53"/>
      <c r="C144" s="54"/>
      <c r="D144" s="55">
        <v>1.0</v>
      </c>
      <c r="E144" s="56" t="str">
        <f t="array" ref="E144">if(C144="","",_xlfn.xlookup(C144,'Hiker Food'!$C:$C,'Hiker Food'!G:G)*D144)</f>
        <v/>
      </c>
      <c r="F144" s="42" t="str">
        <f t="array" ref="F144">if(C144="","",_xlfn.xlookup(C144,'Hiker Food'!$C:$C,'Hiker Food'!H:H)*D144)</f>
        <v/>
      </c>
      <c r="G144" s="42" t="str">
        <f t="array" ref="G144">if($C144="","",_xlfn.xlookup($C144,'Hiker Food'!$C:$C,'Hiker Food'!J:J)*$D144)</f>
        <v/>
      </c>
      <c r="H144" s="42" t="str">
        <f t="array" ref="H144">if($C144="","",_xlfn.xlookup($C144,'Hiker Food'!$C:$C,'Hiker Food'!K:K)*$D144)</f>
        <v/>
      </c>
      <c r="I144" s="42" t="str">
        <f t="array" ref="I144">if($C144="","",_xlfn.xlookup($C144,'Hiker Food'!$C:$C,'Hiker Food'!L:L)*$D144)</f>
        <v/>
      </c>
      <c r="J144" s="42" t="str">
        <f t="array" ref="J144">if($C144="","",_xlfn.xlookup($C144,'Hiker Food'!$C:$C,'Hiker Food'!M:M)*$D144)</f>
        <v/>
      </c>
      <c r="K144" s="42" t="str">
        <f t="array" ref="K144">if($C144="","",_xlfn.xlookup($C144,'Hiker Food'!$C:$C,'Hiker Food'!N:N)*$D144)</f>
        <v/>
      </c>
      <c r="L144" s="42" t="str">
        <f t="array" ref="L144">if($C144="","",_xlfn.xlookup($C144,'Hiker Food'!$C:$C,'Hiker Food'!O:O)*$D144)</f>
        <v/>
      </c>
      <c r="M144" s="42" t="str">
        <f t="array" ref="M144">if($C144="","",_xlfn.xlookup($C144,'Hiker Food'!$C:$C,'Hiker Food'!P:P)*$D144)</f>
        <v/>
      </c>
      <c r="N144" s="42" t="str">
        <f t="array" ref="N144">if($C144="","",_xlfn.xlookup($C144,'Hiker Food'!$C:$C,'Hiker Food'!Q:Q)*$D144)</f>
        <v/>
      </c>
      <c r="O144" s="42" t="str">
        <f t="array" ref="O144">if($C144="","",_xlfn.xlookup($C144,'Hiker Food'!$C:$C,'Hiker Food'!I:I)*$D144)</f>
        <v/>
      </c>
      <c r="P144" s="56" t="str">
        <f t="array" ref="P144">if($C144="","",_xlfn.xlookup($C144,'Hiker Food'!$C:$C,'Hiker Food'!T:T))</f>
        <v/>
      </c>
      <c r="Q144" s="57" t="str">
        <f t="array" ref="Q144">if($C144="","",_xlfn.xlookup($C144,'Hiker Food'!$C:$C,'Hiker Food'!U:U))</f>
        <v/>
      </c>
      <c r="R144" s="57" t="str">
        <f t="array" ref="R144">if($C144="","",_xlfn.xlookup($C144,'Hiker Food'!$C:$C,'Hiker Food'!V:V))</f>
        <v/>
      </c>
      <c r="S144" s="58" t="str">
        <f t="array" ref="S144">if($C144="","",_xlfn.xlookup($C144,'Hiker Food'!$C:$C,'Hiker Food'!W:W))</f>
        <v/>
      </c>
      <c r="T144" s="59"/>
      <c r="AC144" s="60"/>
    </row>
    <row r="145">
      <c r="A145" s="52"/>
      <c r="B145" s="61"/>
      <c r="C145" s="62"/>
      <c r="D145" s="63">
        <v>1.0</v>
      </c>
      <c r="E145" s="81" t="str">
        <f t="array" ref="E145">if(C145="","",_xlfn.xlookup(C145,'Hiker Food'!$C:$C,'Hiker Food'!G:G)*D145)</f>
        <v/>
      </c>
      <c r="F145" s="64" t="str">
        <f t="array" ref="F145">if(C145="","",_xlfn.xlookup(C145,'Hiker Food'!$C:$C,'Hiker Food'!H:H)*D145)</f>
        <v/>
      </c>
      <c r="G145" s="64" t="str">
        <f t="array" ref="G145">if($C145="","",_xlfn.xlookup($C145,'Hiker Food'!$C:$C,'Hiker Food'!J:J)*$D145)</f>
        <v/>
      </c>
      <c r="H145" s="64" t="str">
        <f t="array" ref="H145">if($C145="","",_xlfn.xlookup($C145,'Hiker Food'!$C:$C,'Hiker Food'!K:K)*$D145)</f>
        <v/>
      </c>
      <c r="I145" s="64" t="str">
        <f t="array" ref="I145">if($C145="","",_xlfn.xlookup($C145,'Hiker Food'!$C:$C,'Hiker Food'!L:L)*$D145)</f>
        <v/>
      </c>
      <c r="J145" s="64" t="str">
        <f t="array" ref="J145">if($C145="","",_xlfn.xlookup($C145,'Hiker Food'!$C:$C,'Hiker Food'!M:M)*$D145)</f>
        <v/>
      </c>
      <c r="K145" s="64" t="str">
        <f t="array" ref="K145">if($C145="","",_xlfn.xlookup($C145,'Hiker Food'!$C:$C,'Hiker Food'!N:N)*$D145)</f>
        <v/>
      </c>
      <c r="L145" s="64" t="str">
        <f t="array" ref="L145">if($C145="","",_xlfn.xlookup($C145,'Hiker Food'!$C:$C,'Hiker Food'!O:O)*$D145)</f>
        <v/>
      </c>
      <c r="M145" s="64" t="str">
        <f t="array" ref="M145">if($C145="","",_xlfn.xlookup($C145,'Hiker Food'!$C:$C,'Hiker Food'!P:P)*$D145)</f>
        <v/>
      </c>
      <c r="N145" s="64" t="str">
        <f t="array" ref="N145">if($C145="","",_xlfn.xlookup($C145,'Hiker Food'!$C:$C,'Hiker Food'!Q:Q)*$D145)</f>
        <v/>
      </c>
      <c r="O145" s="64" t="str">
        <f t="array" ref="O145">if($C145="","",_xlfn.xlookup($C145,'Hiker Food'!$C:$C,'Hiker Food'!I:I)*$D145)</f>
        <v/>
      </c>
      <c r="P145" s="81" t="str">
        <f t="array" ref="P145">if($C145="","",_xlfn.xlookup($C145,'Hiker Food'!$C:$C,'Hiker Food'!T:T))</f>
        <v/>
      </c>
      <c r="Q145" s="82" t="str">
        <f t="array" ref="Q145">if($C145="","",_xlfn.xlookup($C145,'Hiker Food'!$C:$C,'Hiker Food'!U:U))</f>
        <v/>
      </c>
      <c r="R145" s="82" t="str">
        <f t="array" ref="R145">if($C145="","",_xlfn.xlookup($C145,'Hiker Food'!$C:$C,'Hiker Food'!V:V))</f>
        <v/>
      </c>
      <c r="S145" s="83" t="str">
        <f t="array" ref="S145">if($C145="","",_xlfn.xlookup($C145,'Hiker Food'!$C:$C,'Hiker Food'!W:W))</f>
        <v/>
      </c>
      <c r="T145" s="65"/>
      <c r="U145" s="66"/>
      <c r="V145" s="66"/>
      <c r="W145" s="66"/>
      <c r="X145" s="66"/>
      <c r="Y145" s="66"/>
      <c r="Z145" s="66"/>
      <c r="AA145" s="66"/>
      <c r="AB145" s="66"/>
      <c r="AC145" s="67"/>
    </row>
    <row r="146">
      <c r="A146" s="52"/>
      <c r="B146" s="68" t="s">
        <v>366</v>
      </c>
      <c r="C146" s="90"/>
      <c r="D146" s="70">
        <v>1.0</v>
      </c>
      <c r="E146" s="71" t="str">
        <f t="array" ref="E146">if(C146="","",_xlfn.xlookup(C146,'Hiker Food'!$C:$C,'Hiker Food'!G:G)*D146)</f>
        <v/>
      </c>
      <c r="F146" s="42" t="str">
        <f t="array" ref="F146">if(C146="","",_xlfn.xlookup(C146,'Hiker Food'!$C:$C,'Hiker Food'!H:H)*D146)</f>
        <v/>
      </c>
      <c r="G146" s="72" t="str">
        <f t="array" ref="G146">if($C146="","",_xlfn.xlookup($C146,'Hiker Food'!$C:$C,'Hiker Food'!J:J)*$D146)</f>
        <v/>
      </c>
      <c r="H146" s="72" t="str">
        <f t="array" ref="H146">if($C146="","",_xlfn.xlookup($C146,'Hiker Food'!$C:$C,'Hiker Food'!K:K)*$D146)</f>
        <v/>
      </c>
      <c r="I146" s="72" t="str">
        <f t="array" ref="I146">if($C146="","",_xlfn.xlookup($C146,'Hiker Food'!$C:$C,'Hiker Food'!L:L)*$D146)</f>
        <v/>
      </c>
      <c r="J146" s="72" t="str">
        <f t="array" ref="J146">if($C146="","",_xlfn.xlookup($C146,'Hiker Food'!$C:$C,'Hiker Food'!M:M)*$D146)</f>
        <v/>
      </c>
      <c r="K146" s="72" t="str">
        <f t="array" ref="K146">if($C146="","",_xlfn.xlookup($C146,'Hiker Food'!$C:$C,'Hiker Food'!N:N)*$D146)</f>
        <v/>
      </c>
      <c r="L146" s="72" t="str">
        <f t="array" ref="L146">if($C146="","",_xlfn.xlookup($C146,'Hiker Food'!$C:$C,'Hiker Food'!O:O)*$D146)</f>
        <v/>
      </c>
      <c r="M146" s="72" t="str">
        <f t="array" ref="M146">if($C146="","",_xlfn.xlookup($C146,'Hiker Food'!$C:$C,'Hiker Food'!P:P)*$D146)</f>
        <v/>
      </c>
      <c r="N146" s="72" t="str">
        <f t="array" ref="N146">if($C146="","",_xlfn.xlookup($C146,'Hiker Food'!$C:$C,'Hiker Food'!Q:Q)*$D146)</f>
        <v/>
      </c>
      <c r="O146" s="72" t="str">
        <f t="array" ref="O146">if($C146="","",_xlfn.xlookup($C146,'Hiker Food'!$C:$C,'Hiker Food'!I:I)*$D146)</f>
        <v/>
      </c>
      <c r="P146" s="71" t="str">
        <f t="array" ref="P146">if($C146="","",_xlfn.xlookup($C146,'Hiker Food'!$C:$C,'Hiker Food'!T:T))</f>
        <v/>
      </c>
      <c r="Q146" s="73" t="str">
        <f t="array" ref="Q146">if($C146="","",_xlfn.xlookup($C146,'Hiker Food'!$C:$C,'Hiker Food'!U:U))</f>
        <v/>
      </c>
      <c r="R146" s="73" t="str">
        <f t="array" ref="R146">if($C146="","",_xlfn.xlookup($C146,'Hiker Food'!$C:$C,'Hiker Food'!V:V))</f>
        <v/>
      </c>
      <c r="S146" s="74" t="str">
        <f t="array" ref="S146">if($C146="","",_xlfn.xlookup($C146,'Hiker Food'!$C:$C,'Hiker Food'!W:W))</f>
        <v/>
      </c>
      <c r="T146" s="87" t="s">
        <v>366</v>
      </c>
      <c r="U146" s="76" t="str">
        <f>if(C146="","",Y146/V146)</f>
        <v/>
      </c>
      <c r="V146" s="96" t="str">
        <f>if($C146="","",sum(E146:E148))</f>
        <v/>
      </c>
      <c r="W146" s="77" t="str">
        <f>if($C146="","",$Y146/X146)</f>
        <v/>
      </c>
      <c r="X146" s="96" t="str">
        <f>if($C146="","",sum(F146:F148))</f>
        <v/>
      </c>
      <c r="Y146" s="96" t="str">
        <f>if($C146="","",sum(O146:O148))</f>
        <v/>
      </c>
      <c r="Z146" s="77" t="str">
        <f>if($C146="","",(sum(J146:J148)/sum(N146:N148)))</f>
        <v/>
      </c>
      <c r="AA146" s="78" t="str">
        <f>if($C146="","",sum(G146:G148)*9/sum(sum(G146:G148)*9+sum(J146:J148)*4+sum(N146:N148)*4))</f>
        <v/>
      </c>
      <c r="AB146" s="78" t="str">
        <f>if($C146="","",sum(L146:L148)*4/sum(sum(G146:G148)*9+sum(J146:J148)*4+sum(N146:N148)*4))</f>
        <v/>
      </c>
      <c r="AC146" s="79" t="str">
        <f>if($C146="","",(sum(H146:H148)/sum(O146:O148)))</f>
        <v/>
      </c>
    </row>
    <row r="147">
      <c r="A147" s="52"/>
      <c r="B147" s="53"/>
      <c r="C147" s="93"/>
      <c r="D147" s="55">
        <v>1.0</v>
      </c>
      <c r="E147" s="56" t="str">
        <f t="array" ref="E147">if(C147="","",_xlfn.xlookup(C147,'Hiker Food'!$C:$C,'Hiker Food'!G:G)*D147)</f>
        <v/>
      </c>
      <c r="F147" s="42" t="str">
        <f t="array" ref="F147">if(C147="","",_xlfn.xlookup(C147,'Hiker Food'!$C:$C,'Hiker Food'!H:H)*D147)</f>
        <v/>
      </c>
      <c r="G147" s="42" t="str">
        <f t="array" ref="G147">if($C147="","",_xlfn.xlookup($C147,'Hiker Food'!$C:$C,'Hiker Food'!J:J)*$D147)</f>
        <v/>
      </c>
      <c r="H147" s="42" t="str">
        <f t="array" ref="H147">if($C147="","",_xlfn.xlookup($C147,'Hiker Food'!$C:$C,'Hiker Food'!K:K)*$D147)</f>
        <v/>
      </c>
      <c r="I147" s="42" t="str">
        <f t="array" ref="I147">if($C147="","",_xlfn.xlookup($C147,'Hiker Food'!$C:$C,'Hiker Food'!L:L)*$D147)</f>
        <v/>
      </c>
      <c r="J147" s="42" t="str">
        <f t="array" ref="J147">if($C147="","",_xlfn.xlookup($C147,'Hiker Food'!$C:$C,'Hiker Food'!M:M)*$D147)</f>
        <v/>
      </c>
      <c r="K147" s="42" t="str">
        <f t="array" ref="K147">if($C147="","",_xlfn.xlookup($C147,'Hiker Food'!$C:$C,'Hiker Food'!N:N)*$D147)</f>
        <v/>
      </c>
      <c r="L147" s="42" t="str">
        <f t="array" ref="L147">if($C147="","",_xlfn.xlookup($C147,'Hiker Food'!$C:$C,'Hiker Food'!O:O)*$D147)</f>
        <v/>
      </c>
      <c r="M147" s="42" t="str">
        <f t="array" ref="M147">if($C147="","",_xlfn.xlookup($C147,'Hiker Food'!$C:$C,'Hiker Food'!P:P)*$D147)</f>
        <v/>
      </c>
      <c r="N147" s="42" t="str">
        <f t="array" ref="N147">if($C147="","",_xlfn.xlookup($C147,'Hiker Food'!$C:$C,'Hiker Food'!Q:Q)*$D147)</f>
        <v/>
      </c>
      <c r="O147" s="42" t="str">
        <f t="array" ref="O147">if($C147="","",_xlfn.xlookup($C147,'Hiker Food'!$C:$C,'Hiker Food'!I:I)*$D147)</f>
        <v/>
      </c>
      <c r="P147" s="56" t="str">
        <f t="array" ref="P147">if($C147="","",_xlfn.xlookup($C147,'Hiker Food'!$C:$C,'Hiker Food'!T:T))</f>
        <v/>
      </c>
      <c r="Q147" s="57" t="str">
        <f t="array" ref="Q147">if($C147="","",_xlfn.xlookup($C147,'Hiker Food'!$C:$C,'Hiker Food'!U:U))</f>
        <v/>
      </c>
      <c r="R147" s="57" t="str">
        <f t="array" ref="R147">if($C147="","",_xlfn.xlookup($C147,'Hiker Food'!$C:$C,'Hiker Food'!V:V))</f>
        <v/>
      </c>
      <c r="S147" s="58" t="str">
        <f t="array" ref="S147">if($C147="","",_xlfn.xlookup($C147,'Hiker Food'!$C:$C,'Hiker Food'!W:W))</f>
        <v/>
      </c>
      <c r="T147" s="59"/>
      <c r="AC147" s="60"/>
    </row>
    <row r="148">
      <c r="A148" s="52"/>
      <c r="B148" s="61"/>
      <c r="C148" s="54"/>
      <c r="D148" s="63">
        <v>1.0</v>
      </c>
      <c r="E148" s="81" t="str">
        <f t="array" ref="E148">if(C148="","",_xlfn.xlookup(C148,'Hiker Food'!$C:$C,'Hiker Food'!G:G)*D148)</f>
        <v/>
      </c>
      <c r="F148" s="64" t="str">
        <f t="array" ref="F148">if(C148="","",_xlfn.xlookup(C148,'Hiker Food'!$C:$C,'Hiker Food'!H:H)*D148)</f>
        <v/>
      </c>
      <c r="G148" s="64" t="str">
        <f t="array" ref="G148">if($C148="","",_xlfn.xlookup($C148,'Hiker Food'!$C:$C,'Hiker Food'!J:J)*$D148)</f>
        <v/>
      </c>
      <c r="H148" s="64" t="str">
        <f t="array" ref="H148">if($C148="","",_xlfn.xlookup($C148,'Hiker Food'!$C:$C,'Hiker Food'!K:K)*$D148)</f>
        <v/>
      </c>
      <c r="I148" s="64" t="str">
        <f t="array" ref="I148">if($C148="","",_xlfn.xlookup($C148,'Hiker Food'!$C:$C,'Hiker Food'!L:L)*$D148)</f>
        <v/>
      </c>
      <c r="J148" s="64" t="str">
        <f t="array" ref="J148">if($C148="","",_xlfn.xlookup($C148,'Hiker Food'!$C:$C,'Hiker Food'!M:M)*$D148)</f>
        <v/>
      </c>
      <c r="K148" s="64" t="str">
        <f t="array" ref="K148">if($C148="","",_xlfn.xlookup($C148,'Hiker Food'!$C:$C,'Hiker Food'!N:N)*$D148)</f>
        <v/>
      </c>
      <c r="L148" s="64" t="str">
        <f t="array" ref="L148">if($C148="","",_xlfn.xlookup($C148,'Hiker Food'!$C:$C,'Hiker Food'!O:O)*$D148)</f>
        <v/>
      </c>
      <c r="M148" s="64" t="str">
        <f t="array" ref="M148">if($C148="","",_xlfn.xlookup($C148,'Hiker Food'!$C:$C,'Hiker Food'!P:P)*$D148)</f>
        <v/>
      </c>
      <c r="N148" s="64" t="str">
        <f t="array" ref="N148">if($C148="","",_xlfn.xlookup($C148,'Hiker Food'!$C:$C,'Hiker Food'!Q:Q)*$D148)</f>
        <v/>
      </c>
      <c r="O148" s="64" t="str">
        <f t="array" ref="O148">if($C148="","",_xlfn.xlookup($C148,'Hiker Food'!$C:$C,'Hiker Food'!I:I)*$D148)</f>
        <v/>
      </c>
      <c r="P148" s="81" t="str">
        <f t="array" ref="P148">if($C148="","",_xlfn.xlookup($C148,'Hiker Food'!$C:$C,'Hiker Food'!T:T))</f>
        <v/>
      </c>
      <c r="Q148" s="82" t="str">
        <f t="array" ref="Q148">if($C148="","",_xlfn.xlookup($C148,'Hiker Food'!$C:$C,'Hiker Food'!U:U))</f>
        <v/>
      </c>
      <c r="R148" s="82" t="str">
        <f t="array" ref="R148">if($C148="","",_xlfn.xlookup($C148,'Hiker Food'!$C:$C,'Hiker Food'!V:V))</f>
        <v/>
      </c>
      <c r="S148" s="83" t="str">
        <f t="array" ref="S148">if($C148="","",_xlfn.xlookup($C148,'Hiker Food'!$C:$C,'Hiker Food'!W:W))</f>
        <v/>
      </c>
      <c r="T148" s="65"/>
      <c r="U148" s="66"/>
      <c r="V148" s="66"/>
      <c r="W148" s="66"/>
      <c r="X148" s="66"/>
      <c r="Y148" s="66"/>
      <c r="Z148" s="66"/>
      <c r="AA148" s="66"/>
      <c r="AB148" s="66"/>
      <c r="AC148" s="67"/>
    </row>
    <row r="149">
      <c r="A149" s="52"/>
      <c r="B149" s="94" t="s">
        <v>424</v>
      </c>
      <c r="C149" s="90"/>
      <c r="D149" s="70">
        <v>1.0</v>
      </c>
      <c r="E149" s="71" t="str">
        <f t="array" ref="E149">if(C149="","",_xlfn.xlookup(C149,'Hiker Food'!$C:$C,'Hiker Food'!G:G)*D149)</f>
        <v/>
      </c>
      <c r="F149" s="42" t="str">
        <f t="array" ref="F149">if(C149="","",_xlfn.xlookup(C149,'Hiker Food'!$C:$C,'Hiker Food'!H:H)*D149)</f>
        <v/>
      </c>
      <c r="G149" s="72" t="str">
        <f t="array" ref="G149">if($C149="","",_xlfn.xlookup($C149,'Hiker Food'!$C:$C,'Hiker Food'!J:J)*$D149)</f>
        <v/>
      </c>
      <c r="H149" s="72" t="str">
        <f t="array" ref="H149">if($C149="","",_xlfn.xlookup($C149,'Hiker Food'!$C:$C,'Hiker Food'!K:K)*$D149)</f>
        <v/>
      </c>
      <c r="I149" s="72" t="str">
        <f t="array" ref="I149">if($C149="","",_xlfn.xlookup($C149,'Hiker Food'!$C:$C,'Hiker Food'!L:L)*$D149)</f>
        <v/>
      </c>
      <c r="J149" s="72" t="str">
        <f t="array" ref="J149">if($C149="","",_xlfn.xlookup($C149,'Hiker Food'!$C:$C,'Hiker Food'!M:M)*$D149)</f>
        <v/>
      </c>
      <c r="K149" s="72" t="str">
        <f t="array" ref="K149">if($C149="","",_xlfn.xlookup($C149,'Hiker Food'!$C:$C,'Hiker Food'!N:N)*$D149)</f>
        <v/>
      </c>
      <c r="L149" s="72" t="str">
        <f t="array" ref="L149">if($C149="","",_xlfn.xlookup($C149,'Hiker Food'!$C:$C,'Hiker Food'!O:O)*$D149)</f>
        <v/>
      </c>
      <c r="M149" s="72" t="str">
        <f t="array" ref="M149">if($C149="","",_xlfn.xlookup($C149,'Hiker Food'!$C:$C,'Hiker Food'!P:P)*$D149)</f>
        <v/>
      </c>
      <c r="N149" s="72" t="str">
        <f t="array" ref="N149">if($C149="","",_xlfn.xlookup($C149,'Hiker Food'!$C:$C,'Hiker Food'!Q:Q)*$D149)</f>
        <v/>
      </c>
      <c r="O149" s="72" t="str">
        <f t="array" ref="O149">if($C149="","",_xlfn.xlookup($C149,'Hiker Food'!$C:$C,'Hiker Food'!I:I)*$D149)</f>
        <v/>
      </c>
      <c r="P149" s="71" t="str">
        <f t="array" ref="P149">if($C149="","",_xlfn.xlookup($C149,'Hiker Food'!$C:$C,'Hiker Food'!T:T))</f>
        <v/>
      </c>
      <c r="Q149" s="73" t="str">
        <f t="array" ref="Q149">if($C149="","",_xlfn.xlookup($C149,'Hiker Food'!$C:$C,'Hiker Food'!U:U))</f>
        <v/>
      </c>
      <c r="R149" s="73" t="str">
        <f t="array" ref="R149">if($C149="","",_xlfn.xlookup($C149,'Hiker Food'!$C:$C,'Hiker Food'!V:V))</f>
        <v/>
      </c>
      <c r="S149" s="74" t="str">
        <f t="array" ref="S149">if($C149="","",_xlfn.xlookup($C149,'Hiker Food'!$C:$C,'Hiker Food'!W:W))</f>
        <v/>
      </c>
      <c r="T149" s="95" t="s">
        <v>424</v>
      </c>
      <c r="U149" s="76" t="str">
        <f>if(C149="","",Y149/V149)</f>
        <v/>
      </c>
      <c r="V149" s="96" t="str">
        <f>if($C149="","",sum(E149:E151))</f>
        <v/>
      </c>
      <c r="W149" s="77" t="str">
        <f>if($C149="","",$Y149/X149)</f>
        <v/>
      </c>
      <c r="X149" s="96" t="str">
        <f>if($C149="","",sum(F149:F151))</f>
        <v/>
      </c>
      <c r="Y149" s="96" t="str">
        <f>if($C149="","",sum(O149:O151))</f>
        <v/>
      </c>
      <c r="Z149" s="77" t="str">
        <f>if($C149="","",(sum(J149:J151)/sum(N149:N151)))</f>
        <v/>
      </c>
      <c r="AA149" s="78" t="str">
        <f>if($C149="","",sum(G149:G151)*9/sum(sum(G149:G151)*9+sum(J149:J151)*4+sum(N149:N151)*4))</f>
        <v/>
      </c>
      <c r="AB149" s="78" t="str">
        <f>if($C149="","",sum(L149:L151)*4/sum(sum(G149:G151)*9+sum(J149:J151)*4+sum(N149:N151)*4))</f>
        <v/>
      </c>
      <c r="AC149" s="79" t="str">
        <f>if($C149="","",(sum(H149:H151)/sum(O149:O151)))</f>
        <v/>
      </c>
    </row>
    <row r="150">
      <c r="A150" s="52"/>
      <c r="B150" s="53"/>
      <c r="C150" s="54"/>
      <c r="D150" s="55">
        <v>1.0</v>
      </c>
      <c r="E150" s="56" t="str">
        <f t="array" ref="E150">if(C150="","",_xlfn.xlookup(C150,'Hiker Food'!$C:$C,'Hiker Food'!G:G)*D150)</f>
        <v/>
      </c>
      <c r="F150" s="42" t="str">
        <f t="array" ref="F150">if(C150="","",_xlfn.xlookup(C150,'Hiker Food'!$C:$C,'Hiker Food'!H:H)*D150)</f>
        <v/>
      </c>
      <c r="G150" s="42" t="str">
        <f t="array" ref="G150">if($C150="","",_xlfn.xlookup($C150,'Hiker Food'!$C:$C,'Hiker Food'!J:J)*$D150)</f>
        <v/>
      </c>
      <c r="H150" s="42" t="str">
        <f t="array" ref="H150">if($C150="","",_xlfn.xlookup($C150,'Hiker Food'!$C:$C,'Hiker Food'!K:K)*$D150)</f>
        <v/>
      </c>
      <c r="I150" s="42" t="str">
        <f t="array" ref="I150">if($C150="","",_xlfn.xlookup($C150,'Hiker Food'!$C:$C,'Hiker Food'!L:L)*$D150)</f>
        <v/>
      </c>
      <c r="J150" s="42" t="str">
        <f t="array" ref="J150">if($C150="","",_xlfn.xlookup($C150,'Hiker Food'!$C:$C,'Hiker Food'!M:M)*$D150)</f>
        <v/>
      </c>
      <c r="K150" s="42" t="str">
        <f t="array" ref="K150">if($C150="","",_xlfn.xlookup($C150,'Hiker Food'!$C:$C,'Hiker Food'!N:N)*$D150)</f>
        <v/>
      </c>
      <c r="L150" s="42" t="str">
        <f t="array" ref="L150">if($C150="","",_xlfn.xlookup($C150,'Hiker Food'!$C:$C,'Hiker Food'!O:O)*$D150)</f>
        <v/>
      </c>
      <c r="M150" s="42" t="str">
        <f t="array" ref="M150">if($C150="","",_xlfn.xlookup($C150,'Hiker Food'!$C:$C,'Hiker Food'!P:P)*$D150)</f>
        <v/>
      </c>
      <c r="N150" s="42" t="str">
        <f t="array" ref="N150">if($C150="","",_xlfn.xlookup($C150,'Hiker Food'!$C:$C,'Hiker Food'!Q:Q)*$D150)</f>
        <v/>
      </c>
      <c r="O150" s="42" t="str">
        <f t="array" ref="O150">if($C150="","",_xlfn.xlookup($C150,'Hiker Food'!$C:$C,'Hiker Food'!I:I)*$D150)</f>
        <v/>
      </c>
      <c r="P150" s="56" t="str">
        <f t="array" ref="P150">if($C150="","",_xlfn.xlookup($C150,'Hiker Food'!$C:$C,'Hiker Food'!T:T))</f>
        <v/>
      </c>
      <c r="Q150" s="57" t="str">
        <f t="array" ref="Q150">if($C150="","",_xlfn.xlookup($C150,'Hiker Food'!$C:$C,'Hiker Food'!U:U))</f>
        <v/>
      </c>
      <c r="R150" s="57" t="str">
        <f t="array" ref="R150">if($C150="","",_xlfn.xlookup($C150,'Hiker Food'!$C:$C,'Hiker Food'!V:V))</f>
        <v/>
      </c>
      <c r="S150" s="58" t="str">
        <f t="array" ref="S150">if($C150="","",_xlfn.xlookup($C150,'Hiker Food'!$C:$C,'Hiker Food'!W:W))</f>
        <v/>
      </c>
      <c r="T150" s="59"/>
      <c r="AC150" s="60"/>
    </row>
    <row r="151">
      <c r="A151" s="52"/>
      <c r="B151" s="61"/>
      <c r="C151" s="54"/>
      <c r="D151" s="63">
        <v>1.0</v>
      </c>
      <c r="E151" s="81" t="str">
        <f t="array" ref="E151">if(C151="","",_xlfn.xlookup(C151,'Hiker Food'!$C:$C,'Hiker Food'!G:G)*D151)</f>
        <v/>
      </c>
      <c r="F151" s="64" t="str">
        <f t="array" ref="F151">if(C151="","",_xlfn.xlookup(C151,'Hiker Food'!$C:$C,'Hiker Food'!H:H)*D151)</f>
        <v/>
      </c>
      <c r="G151" s="64" t="str">
        <f t="array" ref="G151">if($C151="","",_xlfn.xlookup($C151,'Hiker Food'!$C:$C,'Hiker Food'!J:J)*$D151)</f>
        <v/>
      </c>
      <c r="H151" s="64" t="str">
        <f t="array" ref="H151">if($C151="","",_xlfn.xlookup($C151,'Hiker Food'!$C:$C,'Hiker Food'!K:K)*$D151)</f>
        <v/>
      </c>
      <c r="I151" s="64" t="str">
        <f t="array" ref="I151">if($C151="","",_xlfn.xlookup($C151,'Hiker Food'!$C:$C,'Hiker Food'!L:L)*$D151)</f>
        <v/>
      </c>
      <c r="J151" s="64" t="str">
        <f t="array" ref="J151">if($C151="","",_xlfn.xlookup($C151,'Hiker Food'!$C:$C,'Hiker Food'!M:M)*$D151)</f>
        <v/>
      </c>
      <c r="K151" s="64" t="str">
        <f t="array" ref="K151">if($C151="","",_xlfn.xlookup($C151,'Hiker Food'!$C:$C,'Hiker Food'!N:N)*$D151)</f>
        <v/>
      </c>
      <c r="L151" s="64" t="str">
        <f t="array" ref="L151">if($C151="","",_xlfn.xlookup($C151,'Hiker Food'!$C:$C,'Hiker Food'!O:O)*$D151)</f>
        <v/>
      </c>
      <c r="M151" s="64" t="str">
        <f t="array" ref="M151">if($C151="","",_xlfn.xlookup($C151,'Hiker Food'!$C:$C,'Hiker Food'!P:P)*$D151)</f>
        <v/>
      </c>
      <c r="N151" s="64" t="str">
        <f t="array" ref="N151">if($C151="","",_xlfn.xlookup($C151,'Hiker Food'!$C:$C,'Hiker Food'!Q:Q)*$D151)</f>
        <v/>
      </c>
      <c r="O151" s="64" t="str">
        <f t="array" ref="O151">if($C151="","",_xlfn.xlookup($C151,'Hiker Food'!$C:$C,'Hiker Food'!I:I)*$D151)</f>
        <v/>
      </c>
      <c r="P151" s="81" t="str">
        <f t="array" ref="P151">if($C151="","",_xlfn.xlookup($C151,'Hiker Food'!$C:$C,'Hiker Food'!T:T))</f>
        <v/>
      </c>
      <c r="Q151" s="82" t="str">
        <f t="array" ref="Q151">if($C151="","",_xlfn.xlookup($C151,'Hiker Food'!$C:$C,'Hiker Food'!U:U))</f>
        <v/>
      </c>
      <c r="R151" s="82" t="str">
        <f t="array" ref="R151">if($C151="","",_xlfn.xlookup($C151,'Hiker Food'!$C:$C,'Hiker Food'!V:V))</f>
        <v/>
      </c>
      <c r="S151" s="83" t="str">
        <f t="array" ref="S151">if($C151="","",_xlfn.xlookup($C151,'Hiker Food'!$C:$C,'Hiker Food'!W:W))</f>
        <v/>
      </c>
      <c r="T151" s="65"/>
      <c r="U151" s="66"/>
      <c r="V151" s="66"/>
      <c r="W151" s="66"/>
      <c r="X151" s="66"/>
      <c r="Y151" s="66"/>
      <c r="Z151" s="66"/>
      <c r="AA151" s="66"/>
      <c r="AB151" s="66"/>
      <c r="AC151" s="67"/>
    </row>
    <row r="152">
      <c r="A152" s="52"/>
      <c r="B152" s="94" t="s">
        <v>478</v>
      </c>
      <c r="C152" s="90"/>
      <c r="D152" s="70">
        <v>1.0</v>
      </c>
      <c r="E152" s="71" t="str">
        <f t="array" ref="E152">if(C152="","",_xlfn.xlookup(C152,'Hiker Food'!$C:$C,'Hiker Food'!G:G)*D152)</f>
        <v/>
      </c>
      <c r="F152" s="42" t="str">
        <f t="array" ref="F152">if(C152="","",_xlfn.xlookup(C152,'Hiker Food'!$C:$C,'Hiker Food'!H:H)*D152)</f>
        <v/>
      </c>
      <c r="G152" s="72" t="str">
        <f t="array" ref="G152">if($C152="","",_xlfn.xlookup($C152,'Hiker Food'!$C:$C,'Hiker Food'!J:J)*$D152)</f>
        <v/>
      </c>
      <c r="H152" s="72" t="str">
        <f t="array" ref="H152">if($C152="","",_xlfn.xlookup($C152,'Hiker Food'!$C:$C,'Hiker Food'!K:K)*$D152)</f>
        <v/>
      </c>
      <c r="I152" s="72" t="str">
        <f t="array" ref="I152">if($C152="","",_xlfn.xlookup($C152,'Hiker Food'!$C:$C,'Hiker Food'!L:L)*$D152)</f>
        <v/>
      </c>
      <c r="J152" s="72" t="str">
        <f t="array" ref="J152">if($C152="","",_xlfn.xlookup($C152,'Hiker Food'!$C:$C,'Hiker Food'!M:M)*$D152)</f>
        <v/>
      </c>
      <c r="K152" s="72" t="str">
        <f t="array" ref="K152">if($C152="","",_xlfn.xlookup($C152,'Hiker Food'!$C:$C,'Hiker Food'!N:N)*$D152)</f>
        <v/>
      </c>
      <c r="L152" s="72" t="str">
        <f t="array" ref="L152">if($C152="","",_xlfn.xlookup($C152,'Hiker Food'!$C:$C,'Hiker Food'!O:O)*$D152)</f>
        <v/>
      </c>
      <c r="M152" s="72" t="str">
        <f t="array" ref="M152">if($C152="","",_xlfn.xlookup($C152,'Hiker Food'!$C:$C,'Hiker Food'!P:P)*$D152)</f>
        <v/>
      </c>
      <c r="N152" s="72" t="str">
        <f t="array" ref="N152">if($C152="","",_xlfn.xlookup($C152,'Hiker Food'!$C:$C,'Hiker Food'!Q:Q)*$D152)</f>
        <v/>
      </c>
      <c r="O152" s="72" t="str">
        <f t="array" ref="O152">if($C152="","",_xlfn.xlookup($C152,'Hiker Food'!$C:$C,'Hiker Food'!I:I)*$D152)</f>
        <v/>
      </c>
      <c r="P152" s="71" t="str">
        <f t="array" ref="P152">if($C152="","",_xlfn.xlookup($C152,'Hiker Food'!$C:$C,'Hiker Food'!T:T))</f>
        <v/>
      </c>
      <c r="Q152" s="73" t="str">
        <f t="array" ref="Q152">if($C152="","",_xlfn.xlookup($C152,'Hiker Food'!$C:$C,'Hiker Food'!U:U))</f>
        <v/>
      </c>
      <c r="R152" s="73" t="str">
        <f t="array" ref="R152">if($C152="","",_xlfn.xlookup($C152,'Hiker Food'!$C:$C,'Hiker Food'!V:V))</f>
        <v/>
      </c>
      <c r="S152" s="74" t="str">
        <f t="array" ref="S152">if($C152="","",_xlfn.xlookup($C152,'Hiker Food'!$C:$C,'Hiker Food'!W:W))</f>
        <v/>
      </c>
      <c r="T152" s="95" t="s">
        <v>478</v>
      </c>
      <c r="U152" s="76" t="str">
        <f>if(C152="","",Y152/V152)</f>
        <v/>
      </c>
      <c r="V152" s="96" t="str">
        <f>if($C152="","",sum(E152:E154))</f>
        <v/>
      </c>
      <c r="W152" s="77" t="str">
        <f>if($C152="","",$Y152/X152)</f>
        <v/>
      </c>
      <c r="X152" s="96" t="str">
        <f>if($C152="","",sum(F152:F154))</f>
        <v/>
      </c>
      <c r="Y152" s="96" t="str">
        <f>if($C152="","",sum(O152:O154))</f>
        <v/>
      </c>
      <c r="Z152" s="77" t="str">
        <f>if($C152="","",(sum(J152:J154)/sum(N152:N154)))</f>
        <v/>
      </c>
      <c r="AA152" s="78" t="str">
        <f>if($C152="","",sum(G152:G154)*9/sum(sum(G152:G154)*9+sum(J152:J154)*4+sum(N152:N154)*4))</f>
        <v/>
      </c>
      <c r="AB152" s="78" t="str">
        <f>if($C152="","",sum(L152:L154)*4/sum(sum(G152:G154)*9+sum(J152:J154)*4+sum(N152:N154)*4))</f>
        <v/>
      </c>
      <c r="AC152" s="79" t="str">
        <f>if($C152="","",(sum(H152:H154)/sum(O152:O154)))</f>
        <v/>
      </c>
    </row>
    <row r="153">
      <c r="A153" s="52"/>
      <c r="B153" s="53"/>
      <c r="C153" s="93"/>
      <c r="D153" s="55">
        <v>1.0</v>
      </c>
      <c r="E153" s="56" t="str">
        <f t="array" ref="E153">if(C153="","",_xlfn.xlookup(C153,'Hiker Food'!$C:$C,'Hiker Food'!G:G)*D153)</f>
        <v/>
      </c>
      <c r="F153" s="42" t="str">
        <f t="array" ref="F153">if(C153="","",_xlfn.xlookup(C153,'Hiker Food'!$C:$C,'Hiker Food'!H:H)*D153)</f>
        <v/>
      </c>
      <c r="G153" s="42" t="str">
        <f t="array" ref="G153">if($C153="","",_xlfn.xlookup($C153,'Hiker Food'!$C:$C,'Hiker Food'!J:J)*$D153)</f>
        <v/>
      </c>
      <c r="H153" s="42" t="str">
        <f t="array" ref="H153">if($C153="","",_xlfn.xlookup($C153,'Hiker Food'!$C:$C,'Hiker Food'!K:K)*$D153)</f>
        <v/>
      </c>
      <c r="I153" s="42" t="str">
        <f t="array" ref="I153">if($C153="","",_xlfn.xlookup($C153,'Hiker Food'!$C:$C,'Hiker Food'!L:L)*$D153)</f>
        <v/>
      </c>
      <c r="J153" s="42" t="str">
        <f t="array" ref="J153">if($C153="","",_xlfn.xlookup($C153,'Hiker Food'!$C:$C,'Hiker Food'!M:M)*$D153)</f>
        <v/>
      </c>
      <c r="K153" s="42" t="str">
        <f t="array" ref="K153">if($C153="","",_xlfn.xlookup($C153,'Hiker Food'!$C:$C,'Hiker Food'!N:N)*$D153)</f>
        <v/>
      </c>
      <c r="L153" s="42" t="str">
        <f t="array" ref="L153">if($C153="","",_xlfn.xlookup($C153,'Hiker Food'!$C:$C,'Hiker Food'!O:O)*$D153)</f>
        <v/>
      </c>
      <c r="M153" s="42" t="str">
        <f t="array" ref="M153">if($C153="","",_xlfn.xlookup($C153,'Hiker Food'!$C:$C,'Hiker Food'!P:P)*$D153)</f>
        <v/>
      </c>
      <c r="N153" s="42" t="str">
        <f t="array" ref="N153">if($C153="","",_xlfn.xlookup($C153,'Hiker Food'!$C:$C,'Hiker Food'!Q:Q)*$D153)</f>
        <v/>
      </c>
      <c r="O153" s="42" t="str">
        <f t="array" ref="O153">if($C153="","",_xlfn.xlookup($C153,'Hiker Food'!$C:$C,'Hiker Food'!I:I)*$D153)</f>
        <v/>
      </c>
      <c r="P153" s="56" t="str">
        <f t="array" ref="P153">if($C153="","",_xlfn.xlookup($C153,'Hiker Food'!$C:$C,'Hiker Food'!T:T))</f>
        <v/>
      </c>
      <c r="Q153" s="57" t="str">
        <f t="array" ref="Q153">if($C153="","",_xlfn.xlookup($C153,'Hiker Food'!$C:$C,'Hiker Food'!U:U))</f>
        <v/>
      </c>
      <c r="R153" s="57" t="str">
        <f t="array" ref="R153">if($C153="","",_xlfn.xlookup($C153,'Hiker Food'!$C:$C,'Hiker Food'!V:V))</f>
        <v/>
      </c>
      <c r="S153" s="58" t="str">
        <f t="array" ref="S153">if($C153="","",_xlfn.xlookup($C153,'Hiker Food'!$C:$C,'Hiker Food'!W:W))</f>
        <v/>
      </c>
      <c r="T153" s="59"/>
      <c r="AC153" s="60"/>
    </row>
    <row r="154">
      <c r="A154" s="52"/>
      <c r="B154" s="61"/>
      <c r="C154" s="62"/>
      <c r="D154" s="63">
        <v>1.0</v>
      </c>
      <c r="E154" s="81" t="str">
        <f t="array" ref="E154">if(C154="","",_xlfn.xlookup(C154,'Hiker Food'!$C:$C,'Hiker Food'!G:G)*D154)</f>
        <v/>
      </c>
      <c r="F154" s="64" t="str">
        <f t="array" ref="F154">if(C154="","",_xlfn.xlookup(C154,'Hiker Food'!$C:$C,'Hiker Food'!H:H)*D154)</f>
        <v/>
      </c>
      <c r="G154" s="64" t="str">
        <f t="array" ref="G154">if($C154="","",_xlfn.xlookup($C154,'Hiker Food'!$C:$C,'Hiker Food'!J:J)*$D154)</f>
        <v/>
      </c>
      <c r="H154" s="64" t="str">
        <f t="array" ref="H154">if($C154="","",_xlfn.xlookup($C154,'Hiker Food'!$C:$C,'Hiker Food'!K:K)*$D154)</f>
        <v/>
      </c>
      <c r="I154" s="64" t="str">
        <f t="array" ref="I154">if($C154="","",_xlfn.xlookup($C154,'Hiker Food'!$C:$C,'Hiker Food'!L:L)*$D154)</f>
        <v/>
      </c>
      <c r="J154" s="64" t="str">
        <f t="array" ref="J154">if($C154="","",_xlfn.xlookup($C154,'Hiker Food'!$C:$C,'Hiker Food'!M:M)*$D154)</f>
        <v/>
      </c>
      <c r="K154" s="64" t="str">
        <f t="array" ref="K154">if($C154="","",_xlfn.xlookup($C154,'Hiker Food'!$C:$C,'Hiker Food'!N:N)*$D154)</f>
        <v/>
      </c>
      <c r="L154" s="64" t="str">
        <f t="array" ref="L154">if($C154="","",_xlfn.xlookup($C154,'Hiker Food'!$C:$C,'Hiker Food'!O:O)*$D154)</f>
        <v/>
      </c>
      <c r="M154" s="64" t="str">
        <f t="array" ref="M154">if($C154="","",_xlfn.xlookup($C154,'Hiker Food'!$C:$C,'Hiker Food'!P:P)*$D154)</f>
        <v/>
      </c>
      <c r="N154" s="64" t="str">
        <f t="array" ref="N154">if($C154="","",_xlfn.xlookup($C154,'Hiker Food'!$C:$C,'Hiker Food'!Q:Q)*$D154)</f>
        <v/>
      </c>
      <c r="O154" s="64" t="str">
        <f t="array" ref="O154">if($C154="","",_xlfn.xlookup($C154,'Hiker Food'!$C:$C,'Hiker Food'!I:I)*$D154)</f>
        <v/>
      </c>
      <c r="P154" s="81" t="str">
        <f t="array" ref="P154">if($C154="","",_xlfn.xlookup($C154,'Hiker Food'!$C:$C,'Hiker Food'!T:T))</f>
        <v/>
      </c>
      <c r="Q154" s="82" t="str">
        <f t="array" ref="Q154">if($C154="","",_xlfn.xlookup($C154,'Hiker Food'!$C:$C,'Hiker Food'!U:U))</f>
        <v/>
      </c>
      <c r="R154" s="82" t="str">
        <f t="array" ref="R154">if($C154="","",_xlfn.xlookup($C154,'Hiker Food'!$C:$C,'Hiker Food'!V:V))</f>
        <v/>
      </c>
      <c r="S154" s="83" t="str">
        <f t="array" ref="S154">if($C154="","",_xlfn.xlookup($C154,'Hiker Food'!$C:$C,'Hiker Food'!W:W))</f>
        <v/>
      </c>
      <c r="T154" s="65"/>
      <c r="U154" s="66"/>
      <c r="V154" s="66"/>
      <c r="W154" s="66"/>
      <c r="X154" s="66"/>
      <c r="Y154" s="66"/>
      <c r="Z154" s="66"/>
      <c r="AA154" s="66"/>
      <c r="AB154" s="66"/>
      <c r="AC154" s="67"/>
    </row>
    <row r="155">
      <c r="A155" s="97"/>
      <c r="B155" s="98" t="s">
        <v>532</v>
      </c>
      <c r="C155" s="99" t="str">
        <f>IF(COUNTIF(C134:C154,"")=COUNTA(C134:C154), "", "zzzz - subtotal line - ignore")</f>
        <v>zzzz - subtotal line - ignore</v>
      </c>
      <c r="D155" s="99"/>
      <c r="E155" s="100" t="str">
        <f t="shared" ref="E155:O155" si="7">if(counta($C134:$C154)=0,"",SUM(E134:E154))</f>
        <v/>
      </c>
      <c r="F155" s="101" t="str">
        <f t="shared" si="7"/>
        <v/>
      </c>
      <c r="G155" s="101" t="str">
        <f t="shared" si="7"/>
        <v/>
      </c>
      <c r="H155" s="101" t="str">
        <f t="shared" si="7"/>
        <v/>
      </c>
      <c r="I155" s="101" t="str">
        <f t="shared" si="7"/>
        <v/>
      </c>
      <c r="J155" s="101" t="str">
        <f t="shared" si="7"/>
        <v/>
      </c>
      <c r="K155" s="101" t="str">
        <f t="shared" si="7"/>
        <v/>
      </c>
      <c r="L155" s="101" t="str">
        <f t="shared" si="7"/>
        <v/>
      </c>
      <c r="M155" s="101" t="str">
        <f t="shared" si="7"/>
        <v/>
      </c>
      <c r="N155" s="101" t="str">
        <f t="shared" si="7"/>
        <v/>
      </c>
      <c r="O155" s="101" t="str">
        <f t="shared" si="7"/>
        <v/>
      </c>
      <c r="P155" s="102"/>
      <c r="Q155" s="102"/>
      <c r="R155" s="102"/>
      <c r="S155" s="102"/>
      <c r="T155" s="98" t="s">
        <v>532</v>
      </c>
      <c r="U155" s="100"/>
      <c r="V155" s="100" t="str">
        <f>if(counta($C134:$C154)=0,"",SUM(E134:E154))</f>
        <v/>
      </c>
      <c r="W155" s="101"/>
      <c r="X155" s="101" t="str">
        <f>if(counta($C134:$C154)=0,"",SUM(F134:F154))</f>
        <v/>
      </c>
      <c r="Y155" s="101" t="str">
        <f>if(counta($C134:$C154)=0,"",SUM(O134:O154))</f>
        <v/>
      </c>
      <c r="Z155" s="103" t="str">
        <f>if($V155="","",sum(J134:J154)/sum(N134:N154))</f>
        <v/>
      </c>
      <c r="AA155" s="104" t="str">
        <f>if($V155="","",sum(G134:G154)*9/sum(sum(G134:G154)*9+sum(J134:J154)*4+sum(N134:N154)*4))</f>
        <v/>
      </c>
      <c r="AB155" s="104" t="str">
        <f>if($V155="","",sum(L134:L154)*4/sum(sum(G134:G154)*9+sum(J134:J154)*4+sum(N134:N154)*4))</f>
        <v/>
      </c>
      <c r="AC155" s="105" t="str">
        <f>if($V155="","",sum(H134:H154)/sum(O134:O154))</f>
        <v/>
      </c>
    </row>
    <row r="156">
      <c r="A156" s="37">
        <v>8.0</v>
      </c>
      <c r="B156" s="38" t="s">
        <v>92</v>
      </c>
      <c r="C156" s="39"/>
      <c r="D156" s="40">
        <v>1.0</v>
      </c>
      <c r="E156" s="41" t="str">
        <f t="array" ref="E156">if(C156="","",_xlfn.xlookup(C156,'Hiker Food'!$C:$C,'Hiker Food'!G:G)*D156)</f>
        <v/>
      </c>
      <c r="F156" s="42" t="str">
        <f t="array" ref="F156">if(C156="","",_xlfn.xlookup(C156,'Hiker Food'!$C:$C,'Hiker Food'!H:H)*D156)</f>
        <v/>
      </c>
      <c r="G156" s="43" t="str">
        <f t="array" ref="G156">if($C156="","",_xlfn.xlookup($C156,'Hiker Food'!$C:$C,'Hiker Food'!J:J)*$D156)</f>
        <v/>
      </c>
      <c r="H156" s="43" t="str">
        <f t="array" ref="H156">if($C156="","",_xlfn.xlookup($C156,'Hiker Food'!$C:$C,'Hiker Food'!K:K)*$D156)</f>
        <v/>
      </c>
      <c r="I156" s="43" t="str">
        <f t="array" ref="I156">if($C156="","",_xlfn.xlookup($C156,'Hiker Food'!$C:$C,'Hiker Food'!L:L)*$D156)</f>
        <v/>
      </c>
      <c r="J156" s="43" t="str">
        <f t="array" ref="J156">if($C156="","",_xlfn.xlookup($C156,'Hiker Food'!$C:$C,'Hiker Food'!M:M)*$D156)</f>
        <v/>
      </c>
      <c r="K156" s="43" t="str">
        <f t="array" ref="K156">if($C156="","",_xlfn.xlookup($C156,'Hiker Food'!$C:$C,'Hiker Food'!N:N)*$D156)</f>
        <v/>
      </c>
      <c r="L156" s="43" t="str">
        <f t="array" ref="L156">if($C156="","",_xlfn.xlookup($C156,'Hiker Food'!$C:$C,'Hiker Food'!O:O)*$D156)</f>
        <v/>
      </c>
      <c r="M156" s="43" t="str">
        <f t="array" ref="M156">if($C156="","",_xlfn.xlookup($C156,'Hiker Food'!$C:$C,'Hiker Food'!P:P)*$D156)</f>
        <v/>
      </c>
      <c r="N156" s="43" t="str">
        <f t="array" ref="N156">if($C156="","",_xlfn.xlookup($C156,'Hiker Food'!$C:$C,'Hiker Food'!Q:Q)*$D156)</f>
        <v/>
      </c>
      <c r="O156" s="43" t="str">
        <f t="array" ref="O156">if($C156="","",_xlfn.xlookup($C156,'Hiker Food'!$C:$C,'Hiker Food'!I:I)*$D156)</f>
        <v/>
      </c>
      <c r="P156" s="41" t="str">
        <f t="array" ref="P156">if($C156="","",_xlfn.xlookup($C156,'Hiker Food'!$C:$C,'Hiker Food'!T:T))</f>
        <v/>
      </c>
      <c r="Q156" s="44" t="str">
        <f t="array" ref="Q156">if($C156="","",_xlfn.xlookup($C156,'Hiker Food'!$C:$C,'Hiker Food'!U:U))</f>
        <v/>
      </c>
      <c r="R156" s="44" t="str">
        <f t="array" ref="R156">if($C156="","",_xlfn.xlookup($C156,'Hiker Food'!$C:$C,'Hiker Food'!V:V))</f>
        <v/>
      </c>
      <c r="S156" s="45" t="str">
        <f t="array" ref="S156">if($C156="","",_xlfn.xlookup($C156,'Hiker Food'!$C:$C,'Hiker Food'!W:W))</f>
        <v/>
      </c>
      <c r="T156" s="46" t="s">
        <v>92</v>
      </c>
      <c r="U156" s="47" t="str">
        <f>if($C156="","",$Y156/V156)</f>
        <v/>
      </c>
      <c r="V156" s="114" t="str">
        <f>if($C156="","",sum(E156:E158))</f>
        <v/>
      </c>
      <c r="W156" s="48" t="str">
        <f>if($C156="","",$Y156/X156)</f>
        <v/>
      </c>
      <c r="X156" s="114" t="str">
        <f>if($C156="","",sum(F156:F158))</f>
        <v/>
      </c>
      <c r="Y156" s="114" t="str">
        <f>if($C156="","",sum(O156:O158))</f>
        <v/>
      </c>
      <c r="Z156" s="49" t="str">
        <f>if($C156="","",(sum(J156:J158)/sum(N156:N158)))</f>
        <v/>
      </c>
      <c r="AA156" s="50" t="str">
        <f>if($C156="","",sum(G156:G158)*9/sum(sum(G156:G158)*9+sum(J156:J158)*4+sum(N156:N158)*4))</f>
        <v/>
      </c>
      <c r="AB156" s="50" t="str">
        <f>if($C156="","",sum(L156:L158)*4/sum(sum(G156:G158)*9+sum(J156:J158)*4+sum(N156:N158)*4))</f>
        <v/>
      </c>
      <c r="AC156" s="51" t="str">
        <f>if($C156="","",(sum(H156:H158)/sum(O156:O158)))</f>
        <v/>
      </c>
    </row>
    <row r="157">
      <c r="A157" s="52"/>
      <c r="B157" s="53"/>
      <c r="C157" s="54"/>
      <c r="D157" s="55">
        <v>1.0</v>
      </c>
      <c r="E157" s="56" t="str">
        <f t="array" ref="E157">if(C157="","",_xlfn.xlookup(C157,'Hiker Food'!$C:$C,'Hiker Food'!G:G)*D157)</f>
        <v/>
      </c>
      <c r="F157" s="42" t="str">
        <f t="array" ref="F157">if(C157="","",_xlfn.xlookup(C157,'Hiker Food'!$C:$C,'Hiker Food'!H:H)*D157)</f>
        <v/>
      </c>
      <c r="G157" s="42" t="str">
        <f t="array" ref="G157">if($C157="","",_xlfn.xlookup($C157,'Hiker Food'!$C:$C,'Hiker Food'!J:J)*$D157)</f>
        <v/>
      </c>
      <c r="H157" s="42" t="str">
        <f t="array" ref="H157">if($C157="","",_xlfn.xlookup($C157,'Hiker Food'!$C:$C,'Hiker Food'!K:K)*$D157)</f>
        <v/>
      </c>
      <c r="I157" s="42" t="str">
        <f t="array" ref="I157">if($C157="","",_xlfn.xlookup($C157,'Hiker Food'!$C:$C,'Hiker Food'!L:L)*$D157)</f>
        <v/>
      </c>
      <c r="J157" s="42" t="str">
        <f t="array" ref="J157">if($C157="","",_xlfn.xlookup($C157,'Hiker Food'!$C:$C,'Hiker Food'!M:M)*$D157)</f>
        <v/>
      </c>
      <c r="K157" s="42" t="str">
        <f t="array" ref="K157">if($C157="","",_xlfn.xlookup($C157,'Hiker Food'!$C:$C,'Hiker Food'!N:N)*$D157)</f>
        <v/>
      </c>
      <c r="L157" s="42" t="str">
        <f t="array" ref="L157">if($C157="","",_xlfn.xlookup($C157,'Hiker Food'!$C:$C,'Hiker Food'!O:O)*$D157)</f>
        <v/>
      </c>
      <c r="M157" s="42" t="str">
        <f t="array" ref="M157">if($C157="","",_xlfn.xlookup($C157,'Hiker Food'!$C:$C,'Hiker Food'!P:P)*$D157)</f>
        <v/>
      </c>
      <c r="N157" s="42" t="str">
        <f t="array" ref="N157">if($C157="","",_xlfn.xlookup($C157,'Hiker Food'!$C:$C,'Hiker Food'!Q:Q)*$D157)</f>
        <v/>
      </c>
      <c r="O157" s="42" t="str">
        <f t="array" ref="O157">if($C157="","",_xlfn.xlookup($C157,'Hiker Food'!$C:$C,'Hiker Food'!I:I)*$D157)</f>
        <v/>
      </c>
      <c r="P157" s="56" t="str">
        <f t="array" ref="P157">if($C157="","",_xlfn.xlookup($C157,'Hiker Food'!$C:$C,'Hiker Food'!T:T))</f>
        <v/>
      </c>
      <c r="Q157" s="57" t="str">
        <f t="array" ref="Q157">if($C157="","",_xlfn.xlookup($C157,'Hiker Food'!$C:$C,'Hiker Food'!U:U))</f>
        <v/>
      </c>
      <c r="R157" s="57" t="str">
        <f t="array" ref="R157">if($C157="","",_xlfn.xlookup($C157,'Hiker Food'!$C:$C,'Hiker Food'!V:V))</f>
        <v/>
      </c>
      <c r="S157" s="58" t="str">
        <f t="array" ref="S157">if($C157="","",_xlfn.xlookup($C157,'Hiker Food'!$C:$C,'Hiker Food'!W:W))</f>
        <v/>
      </c>
      <c r="T157" s="59"/>
      <c r="AC157" s="60"/>
    </row>
    <row r="158">
      <c r="A158" s="52"/>
      <c r="B158" s="61"/>
      <c r="C158" s="62"/>
      <c r="D158" s="63">
        <v>1.0</v>
      </c>
      <c r="E158" s="56" t="str">
        <f t="array" ref="E158">if(C158="","",_xlfn.xlookup(C158,'Hiker Food'!$C:$C,'Hiker Food'!G:G)*D158)</f>
        <v/>
      </c>
      <c r="F158" s="64" t="str">
        <f t="array" ref="F158">if(C158="","",_xlfn.xlookup(C158,'Hiker Food'!$C:$C,'Hiker Food'!H:H)*D158)</f>
        <v/>
      </c>
      <c r="G158" s="64" t="str">
        <f t="array" ref="G158">if($C158="","",_xlfn.xlookup($C158,'Hiker Food'!$C:$C,'Hiker Food'!J:J)*$D158)</f>
        <v/>
      </c>
      <c r="H158" s="64" t="str">
        <f t="array" ref="H158">if($C158="","",_xlfn.xlookup($C158,'Hiker Food'!$C:$C,'Hiker Food'!K:K)*$D158)</f>
        <v/>
      </c>
      <c r="I158" s="64" t="str">
        <f t="array" ref="I158">if($C158="","",_xlfn.xlookup($C158,'Hiker Food'!$C:$C,'Hiker Food'!L:L)*$D158)</f>
        <v/>
      </c>
      <c r="J158" s="64" t="str">
        <f t="array" ref="J158">if($C158="","",_xlfn.xlookup($C158,'Hiker Food'!$C:$C,'Hiker Food'!M:M)*$D158)</f>
        <v/>
      </c>
      <c r="K158" s="64" t="str">
        <f t="array" ref="K158">if($C158="","",_xlfn.xlookup($C158,'Hiker Food'!$C:$C,'Hiker Food'!N:N)*$D158)</f>
        <v/>
      </c>
      <c r="L158" s="64" t="str">
        <f t="array" ref="L158">if($C158="","",_xlfn.xlookup($C158,'Hiker Food'!$C:$C,'Hiker Food'!O:O)*$D158)</f>
        <v/>
      </c>
      <c r="M158" s="64" t="str">
        <f t="array" ref="M158">if($C158="","",_xlfn.xlookup($C158,'Hiker Food'!$C:$C,'Hiker Food'!P:P)*$D158)</f>
        <v/>
      </c>
      <c r="N158" s="64" t="str">
        <f t="array" ref="N158">if($C158="","",_xlfn.xlookup($C158,'Hiker Food'!$C:$C,'Hiker Food'!Q:Q)*$D158)</f>
        <v/>
      </c>
      <c r="O158" s="42" t="str">
        <f t="array" ref="O158">if($C158="","",_xlfn.xlookup($C158,'Hiker Food'!$C:$C,'Hiker Food'!I:I)*$D158)</f>
        <v/>
      </c>
      <c r="P158" s="56" t="str">
        <f t="array" ref="P158">if($C158="","",_xlfn.xlookup($C158,'Hiker Food'!$C:$C,'Hiker Food'!T:T))</f>
        <v/>
      </c>
      <c r="Q158" s="57" t="str">
        <f t="array" ref="Q158">if($C158="","",_xlfn.xlookup($C158,'Hiker Food'!$C:$C,'Hiker Food'!U:U))</f>
        <v/>
      </c>
      <c r="R158" s="57" t="str">
        <f t="array" ref="R158">if($C158="","",_xlfn.xlookup($C158,'Hiker Food'!$C:$C,'Hiker Food'!V:V))</f>
        <v/>
      </c>
      <c r="S158" s="58" t="str">
        <f t="array" ref="S158">if($C158="","",_xlfn.xlookup($C158,'Hiker Food'!$C:$C,'Hiker Food'!W:W))</f>
        <v/>
      </c>
      <c r="T158" s="65"/>
      <c r="U158" s="66"/>
      <c r="V158" s="66"/>
      <c r="W158" s="66"/>
      <c r="X158" s="66"/>
      <c r="Y158" s="66"/>
      <c r="Z158" s="66"/>
      <c r="AA158" s="66"/>
      <c r="AB158" s="66"/>
      <c r="AC158" s="67"/>
    </row>
    <row r="159">
      <c r="A159" s="52"/>
      <c r="B159" s="68" t="s">
        <v>179</v>
      </c>
      <c r="C159" s="69"/>
      <c r="D159" s="70">
        <v>2.0</v>
      </c>
      <c r="E159" s="71" t="str">
        <f t="array" ref="E159">if(C159="","",_xlfn.xlookup(C159,'Hiker Food'!$C:$C,'Hiker Food'!G:G)*D159)</f>
        <v/>
      </c>
      <c r="F159" s="42" t="str">
        <f t="array" ref="F159">if(C159="","",_xlfn.xlookup(C159,'Hiker Food'!$C:$C,'Hiker Food'!H:H)*D159)</f>
        <v/>
      </c>
      <c r="G159" s="72" t="str">
        <f t="array" ref="G159">if($C159="","",_xlfn.xlookup($C159,'Hiker Food'!$C:$C,'Hiker Food'!J:J)*$D159)</f>
        <v/>
      </c>
      <c r="H159" s="72" t="str">
        <f t="array" ref="H159">if($C159="","",_xlfn.xlookup($C159,'Hiker Food'!$C:$C,'Hiker Food'!K:K)*$D159)</f>
        <v/>
      </c>
      <c r="I159" s="72" t="str">
        <f t="array" ref="I159">if($C159="","",_xlfn.xlookup($C159,'Hiker Food'!$C:$C,'Hiker Food'!L:L)*$D159)</f>
        <v/>
      </c>
      <c r="J159" s="72" t="str">
        <f t="array" ref="J159">if($C159="","",_xlfn.xlookup($C159,'Hiker Food'!$C:$C,'Hiker Food'!M:M)*$D159)</f>
        <v/>
      </c>
      <c r="K159" s="72" t="str">
        <f t="array" ref="K159">if($C159="","",_xlfn.xlookup($C159,'Hiker Food'!$C:$C,'Hiker Food'!N:N)*$D159)</f>
        <v/>
      </c>
      <c r="L159" s="72" t="str">
        <f t="array" ref="L159">if($C159="","",_xlfn.xlookup($C159,'Hiker Food'!$C:$C,'Hiker Food'!O:O)*$D159)</f>
        <v/>
      </c>
      <c r="M159" s="72" t="str">
        <f t="array" ref="M159">if($C159="","",_xlfn.xlookup($C159,'Hiker Food'!$C:$C,'Hiker Food'!P:P)*$D159)</f>
        <v/>
      </c>
      <c r="N159" s="72" t="str">
        <f t="array" ref="N159">if($C159="","",_xlfn.xlookup($C159,'Hiker Food'!$C:$C,'Hiker Food'!Q:Q)*$D159)</f>
        <v/>
      </c>
      <c r="O159" s="72" t="str">
        <f t="array" ref="O159">if($C159="","",_xlfn.xlookup($C159,'Hiker Food'!$C:$C,'Hiker Food'!I:I)*$D159)</f>
        <v/>
      </c>
      <c r="P159" s="71" t="str">
        <f t="array" ref="P159">if($C159="","",_xlfn.xlookup($C159,'Hiker Food'!$C:$C,'Hiker Food'!T:T))</f>
        <v/>
      </c>
      <c r="Q159" s="73" t="str">
        <f t="array" ref="Q159">if($C159="","",_xlfn.xlookup($C159,'Hiker Food'!$C:$C,'Hiker Food'!U:U))</f>
        <v/>
      </c>
      <c r="R159" s="73" t="str">
        <f t="array" ref="R159">if($C159="","",_xlfn.xlookup($C159,'Hiker Food'!$C:$C,'Hiker Food'!V:V))</f>
        <v/>
      </c>
      <c r="S159" s="74" t="str">
        <f t="array" ref="S159">if($C159="","",_xlfn.xlookup($C159,'Hiker Food'!$C:$C,'Hiker Food'!W:W))</f>
        <v/>
      </c>
      <c r="T159" s="75" t="s">
        <v>179</v>
      </c>
      <c r="U159" s="76" t="str">
        <f>if(C159="","",Y159/V159)</f>
        <v/>
      </c>
      <c r="V159" s="96" t="str">
        <f>if($C159="","",sum(E159:E161))</f>
        <v/>
      </c>
      <c r="W159" s="77" t="str">
        <f>if($C159="","",$Y159/X159)</f>
        <v/>
      </c>
      <c r="X159" s="96" t="str">
        <f>if($C159="","",sum(F159:F161))</f>
        <v/>
      </c>
      <c r="Y159" s="96" t="str">
        <f>if($C159="","",sum(O159:O161))</f>
        <v/>
      </c>
      <c r="Z159" s="77" t="str">
        <f>if($C159="","",(sum(J159:J161)/sum(N159:N161)))</f>
        <v/>
      </c>
      <c r="AA159" s="78" t="str">
        <f>if($C159="","",sum(G159:G161)*9/sum(sum(G159:G161)*9+sum(J159:J161)*4+sum(N159:N161)*4))</f>
        <v/>
      </c>
      <c r="AB159" s="78" t="str">
        <f>if($C159="","",sum(L159:L161)*4/sum(sum(G159:G161)*9+sum(J159:J161)*4+sum(N159:N161)*4))</f>
        <v/>
      </c>
      <c r="AC159" s="79" t="str">
        <f>if($C159="","",(sum(H159:H161)/sum(O159:O161)))</f>
        <v/>
      </c>
    </row>
    <row r="160">
      <c r="A160" s="52"/>
      <c r="B160" s="53"/>
      <c r="C160" s="54"/>
      <c r="D160" s="55">
        <v>2.0</v>
      </c>
      <c r="E160" s="56" t="str">
        <f t="array" ref="E160">if(C160="","",_xlfn.xlookup(C160,'Hiker Food'!$C:$C,'Hiker Food'!G:G)*D160)</f>
        <v/>
      </c>
      <c r="F160" s="42" t="str">
        <f t="array" ref="F160">if(C160="","",_xlfn.xlookup(C160,'Hiker Food'!$C:$C,'Hiker Food'!H:H)*D160)</f>
        <v/>
      </c>
      <c r="G160" s="42" t="str">
        <f t="array" ref="G160">if($C160="","",_xlfn.xlookup($C160,'Hiker Food'!$C:$C,'Hiker Food'!J:J)*$D160)</f>
        <v/>
      </c>
      <c r="H160" s="42" t="str">
        <f t="array" ref="H160">if($C160="","",_xlfn.xlookup($C160,'Hiker Food'!$C:$C,'Hiker Food'!K:K)*$D160)</f>
        <v/>
      </c>
      <c r="I160" s="42" t="str">
        <f t="array" ref="I160">if($C160="","",_xlfn.xlookup($C160,'Hiker Food'!$C:$C,'Hiker Food'!L:L)*$D160)</f>
        <v/>
      </c>
      <c r="J160" s="42" t="str">
        <f t="array" ref="J160">if($C160="","",_xlfn.xlookup($C160,'Hiker Food'!$C:$C,'Hiker Food'!M:M)*$D160)</f>
        <v/>
      </c>
      <c r="K160" s="42" t="str">
        <f t="array" ref="K160">if($C160="","",_xlfn.xlookup($C160,'Hiker Food'!$C:$C,'Hiker Food'!N:N)*$D160)</f>
        <v/>
      </c>
      <c r="L160" s="42" t="str">
        <f t="array" ref="L160">if($C160="","",_xlfn.xlookup($C160,'Hiker Food'!$C:$C,'Hiker Food'!O:O)*$D160)</f>
        <v/>
      </c>
      <c r="M160" s="42" t="str">
        <f t="array" ref="M160">if($C160="","",_xlfn.xlookup($C160,'Hiker Food'!$C:$C,'Hiker Food'!P:P)*$D160)</f>
        <v/>
      </c>
      <c r="N160" s="42" t="str">
        <f t="array" ref="N160">if($C160="","",_xlfn.xlookup($C160,'Hiker Food'!$C:$C,'Hiker Food'!Q:Q)*$D160)</f>
        <v/>
      </c>
      <c r="O160" s="42" t="str">
        <f t="array" ref="O160">if($C160="","",_xlfn.xlookup($C160,'Hiker Food'!$C:$C,'Hiker Food'!I:I)*$D160)</f>
        <v/>
      </c>
      <c r="P160" s="56" t="str">
        <f t="array" ref="P160">if($C160="","",_xlfn.xlookup($C160,'Hiker Food'!$C:$C,'Hiker Food'!T:T))</f>
        <v/>
      </c>
      <c r="Q160" s="57" t="str">
        <f t="array" ref="Q160">if($C160="","",_xlfn.xlookup($C160,'Hiker Food'!$C:$C,'Hiker Food'!U:U))</f>
        <v/>
      </c>
      <c r="R160" s="57" t="str">
        <f t="array" ref="R160">if($C160="","",_xlfn.xlookup($C160,'Hiker Food'!$C:$C,'Hiker Food'!V:V))</f>
        <v/>
      </c>
      <c r="S160" s="58" t="str">
        <f t="array" ref="S160">if($C160="","",_xlfn.xlookup($C160,'Hiker Food'!$C:$C,'Hiker Food'!W:W))</f>
        <v/>
      </c>
      <c r="T160" s="80"/>
      <c r="AC160" s="60"/>
    </row>
    <row r="161">
      <c r="A161" s="52"/>
      <c r="B161" s="61"/>
      <c r="C161" s="54"/>
      <c r="D161" s="63">
        <v>1.0</v>
      </c>
      <c r="E161" s="81" t="str">
        <f t="array" ref="E161">if(C161="","",_xlfn.xlookup(C161,'Hiker Food'!$C:$C,'Hiker Food'!G:G)*D161)</f>
        <v/>
      </c>
      <c r="F161" s="64" t="str">
        <f t="array" ref="F161">if(C161="","",_xlfn.xlookup(C161,'Hiker Food'!$C:$C,'Hiker Food'!H:H)*D161)</f>
        <v/>
      </c>
      <c r="G161" s="64" t="str">
        <f t="array" ref="G161">if($C161="","",_xlfn.xlookup($C161,'Hiker Food'!$C:$C,'Hiker Food'!J:J)*$D161)</f>
        <v/>
      </c>
      <c r="H161" s="64" t="str">
        <f t="array" ref="H161">if($C161="","",_xlfn.xlookup($C161,'Hiker Food'!$C:$C,'Hiker Food'!K:K)*$D161)</f>
        <v/>
      </c>
      <c r="I161" s="64" t="str">
        <f t="array" ref="I161">if($C161="","",_xlfn.xlookup($C161,'Hiker Food'!$C:$C,'Hiker Food'!L:L)*$D161)</f>
        <v/>
      </c>
      <c r="J161" s="64" t="str">
        <f t="array" ref="J161">if($C161="","",_xlfn.xlookup($C161,'Hiker Food'!$C:$C,'Hiker Food'!M:M)*$D161)</f>
        <v/>
      </c>
      <c r="K161" s="64" t="str">
        <f t="array" ref="K161">if($C161="","",_xlfn.xlookup($C161,'Hiker Food'!$C:$C,'Hiker Food'!N:N)*$D161)</f>
        <v/>
      </c>
      <c r="L161" s="64" t="str">
        <f t="array" ref="L161">if($C161="","",_xlfn.xlookup($C161,'Hiker Food'!$C:$C,'Hiker Food'!O:O)*$D161)</f>
        <v/>
      </c>
      <c r="M161" s="64" t="str">
        <f t="array" ref="M161">if($C161="","",_xlfn.xlookup($C161,'Hiker Food'!$C:$C,'Hiker Food'!P:P)*$D161)</f>
        <v/>
      </c>
      <c r="N161" s="64" t="str">
        <f t="array" ref="N161">if($C161="","",_xlfn.xlookup($C161,'Hiker Food'!$C:$C,'Hiker Food'!Q:Q)*$D161)</f>
        <v/>
      </c>
      <c r="O161" s="64" t="str">
        <f t="array" ref="O161">if($C161="","",_xlfn.xlookup($C161,'Hiker Food'!$C:$C,'Hiker Food'!I:I)*$D161)</f>
        <v/>
      </c>
      <c r="P161" s="81" t="str">
        <f t="array" ref="P161">if($C161="","",_xlfn.xlookup($C161,'Hiker Food'!$C:$C,'Hiker Food'!T:T))</f>
        <v/>
      </c>
      <c r="Q161" s="82" t="str">
        <f t="array" ref="Q161">if($C161="","",_xlfn.xlookup($C161,'Hiker Food'!$C:$C,'Hiker Food'!U:U))</f>
        <v/>
      </c>
      <c r="R161" s="82" t="str">
        <f t="array" ref="R161">if($C161="","",_xlfn.xlookup($C161,'Hiker Food'!$C:$C,'Hiker Food'!V:V))</f>
        <v/>
      </c>
      <c r="S161" s="83" t="str">
        <f t="array" ref="S161">if($C161="","",_xlfn.xlookup($C161,'Hiker Food'!$C:$C,'Hiker Food'!W:W))</f>
        <v/>
      </c>
      <c r="T161" s="84"/>
      <c r="U161" s="66"/>
      <c r="V161" s="66"/>
      <c r="W161" s="66"/>
      <c r="X161" s="66"/>
      <c r="Y161" s="66"/>
      <c r="Z161" s="66"/>
      <c r="AA161" s="66"/>
      <c r="AB161" s="66"/>
      <c r="AC161" s="67"/>
    </row>
    <row r="162">
      <c r="A162" s="52"/>
      <c r="B162" s="68" t="s">
        <v>257</v>
      </c>
      <c r="C162" s="85"/>
      <c r="D162" s="70">
        <v>3.0</v>
      </c>
      <c r="E162" s="56" t="str">
        <f t="array" ref="E162">if(C162="","",_xlfn.xlookup(C162,'Hiker Food'!$C:$C,'Hiker Food'!G:G)*D162)</f>
        <v/>
      </c>
      <c r="F162" s="86" t="str">
        <f t="array" ref="F162">if(C162="","",_xlfn.xlookup(C162,'Hiker Food'!$C:$C,'Hiker Food'!H:H)*D162)</f>
        <v/>
      </c>
      <c r="G162" s="72" t="str">
        <f t="array" ref="G162">if($C162="","",_xlfn.xlookup($C162,'Hiker Food'!$C:$C,'Hiker Food'!J:J)*$D162)</f>
        <v/>
      </c>
      <c r="H162" s="72" t="str">
        <f t="array" ref="H162">if($C162="","",_xlfn.xlookup($C162,'Hiker Food'!$C:$C,'Hiker Food'!K:K)*$D162)</f>
        <v/>
      </c>
      <c r="I162" s="72" t="str">
        <f t="array" ref="I162">if($C162="","",_xlfn.xlookup($C162,'Hiker Food'!$C:$C,'Hiker Food'!L:L)*$D162)</f>
        <v/>
      </c>
      <c r="J162" s="72" t="str">
        <f t="array" ref="J162">if($C162="","",_xlfn.xlookup($C162,'Hiker Food'!$C:$C,'Hiker Food'!M:M)*$D162)</f>
        <v/>
      </c>
      <c r="K162" s="72" t="str">
        <f t="array" ref="K162">if($C162="","",_xlfn.xlookup($C162,'Hiker Food'!$C:$C,'Hiker Food'!N:N)*$D162)</f>
        <v/>
      </c>
      <c r="L162" s="72" t="str">
        <f t="array" ref="L162">if($C162="","",_xlfn.xlookup($C162,'Hiker Food'!$C:$C,'Hiker Food'!O:O)*$D162)</f>
        <v/>
      </c>
      <c r="M162" s="72" t="str">
        <f t="array" ref="M162">if($C162="","",_xlfn.xlookup($C162,'Hiker Food'!$C:$C,'Hiker Food'!P:P)*$D162)</f>
        <v/>
      </c>
      <c r="N162" s="72" t="str">
        <f t="array" ref="N162">if($C162="","",_xlfn.xlookup($C162,'Hiker Food'!$C:$C,'Hiker Food'!Q:Q)*$D162)</f>
        <v/>
      </c>
      <c r="O162" s="42" t="str">
        <f t="array" ref="O162">if($C162="","",_xlfn.xlookup($C162,'Hiker Food'!$C:$C,'Hiker Food'!I:I)*$D162)</f>
        <v/>
      </c>
      <c r="P162" s="56" t="str">
        <f t="array" ref="P162">if($C162="","",_xlfn.xlookup($C162,'Hiker Food'!$C:$C,'Hiker Food'!T:T))</f>
        <v/>
      </c>
      <c r="Q162" s="57" t="str">
        <f t="array" ref="Q162">if($C162="","",_xlfn.xlookup($C162,'Hiker Food'!$C:$C,'Hiker Food'!U:U))</f>
        <v/>
      </c>
      <c r="R162" s="57" t="str">
        <f t="array" ref="R162">if($C162="","",_xlfn.xlookup($C162,'Hiker Food'!$C:$C,'Hiker Food'!V:V))</f>
        <v/>
      </c>
      <c r="S162" s="58" t="str">
        <f t="array" ref="S162">if($C162="","",_xlfn.xlookup($C162,'Hiker Food'!$C:$C,'Hiker Food'!W:W))</f>
        <v/>
      </c>
      <c r="T162" s="87" t="s">
        <v>257</v>
      </c>
      <c r="U162" s="76" t="str">
        <f>if(C162="","",Y162/V162)</f>
        <v/>
      </c>
      <c r="V162" s="96" t="str">
        <f>if($C162="","",sum(E162:E164))</f>
        <v/>
      </c>
      <c r="W162" s="77" t="str">
        <f>if($C162="","",$Y162/X162)</f>
        <v/>
      </c>
      <c r="X162" s="96" t="str">
        <f>if($C162="","",sum(F162:F164))</f>
        <v/>
      </c>
      <c r="Y162" s="96" t="str">
        <f>if($C162="","",sum(O162:O164))</f>
        <v/>
      </c>
      <c r="Z162" s="77" t="str">
        <f>if($C162="","",(sum(J162:J164)/sum(N162:N164)))</f>
        <v/>
      </c>
      <c r="AA162" s="78" t="str">
        <f>if($C162="","",sum(G162:G164)*9/sum(sum(G162:G164)*9+sum(J162:J164)*4+sum(N162:N164)*4))</f>
        <v/>
      </c>
      <c r="AB162" s="78" t="str">
        <f>if($C162="","",sum(L162:L164)*4/sum(sum(G162:G164)*9+sum(J162:J164)*4+sum(N162:N164)*4))</f>
        <v/>
      </c>
      <c r="AC162" s="79" t="str">
        <f>if($C162="","",(sum(H162:H164)/sum(O162:O164)))</f>
        <v/>
      </c>
    </row>
    <row r="163">
      <c r="A163" s="52"/>
      <c r="B163" s="53"/>
      <c r="C163" s="88"/>
      <c r="D163" s="55">
        <v>3.0</v>
      </c>
      <c r="E163" s="56" t="str">
        <f t="array" ref="E163">if(C163="","",_xlfn.xlookup(C163,'Hiker Food'!$C:$C,'Hiker Food'!G:G)*D163)</f>
        <v/>
      </c>
      <c r="F163" s="86" t="str">
        <f t="array" ref="F163">if(C163="","",_xlfn.xlookup(C163,'Hiker Food'!$C:$C,'Hiker Food'!H:H)*D163)</f>
        <v/>
      </c>
      <c r="G163" s="42" t="str">
        <f t="array" ref="G163">if($C163="","",_xlfn.xlookup($C163,'Hiker Food'!$C:$C,'Hiker Food'!J:J)*$D163)</f>
        <v/>
      </c>
      <c r="H163" s="42" t="str">
        <f t="array" ref="H163">if($C163="","",_xlfn.xlookup($C163,'Hiker Food'!$C:$C,'Hiker Food'!K:K)*$D163)</f>
        <v/>
      </c>
      <c r="I163" s="42" t="str">
        <f t="array" ref="I163">if($C163="","",_xlfn.xlookup($C163,'Hiker Food'!$C:$C,'Hiker Food'!L:L)*$D163)</f>
        <v/>
      </c>
      <c r="J163" s="42" t="str">
        <f t="array" ref="J163">if($C163="","",_xlfn.xlookup($C163,'Hiker Food'!$C:$C,'Hiker Food'!M:M)*$D163)</f>
        <v/>
      </c>
      <c r="K163" s="42" t="str">
        <f t="array" ref="K163">if($C163="","",_xlfn.xlookup($C163,'Hiker Food'!$C:$C,'Hiker Food'!N:N)*$D163)</f>
        <v/>
      </c>
      <c r="L163" s="42" t="str">
        <f t="array" ref="L163">if($C163="","",_xlfn.xlookup($C163,'Hiker Food'!$C:$C,'Hiker Food'!O:O)*$D163)</f>
        <v/>
      </c>
      <c r="M163" s="42" t="str">
        <f t="array" ref="M163">if($C163="","",_xlfn.xlookup($C163,'Hiker Food'!$C:$C,'Hiker Food'!P:P)*$D163)</f>
        <v/>
      </c>
      <c r="N163" s="42" t="str">
        <f t="array" ref="N163">if($C163="","",_xlfn.xlookup($C163,'Hiker Food'!$C:$C,'Hiker Food'!Q:Q)*$D163)</f>
        <v/>
      </c>
      <c r="O163" s="42" t="str">
        <f t="array" ref="O163">if($C163="","",_xlfn.xlookup($C163,'Hiker Food'!$C:$C,'Hiker Food'!I:I)*$D163)</f>
        <v/>
      </c>
      <c r="P163" s="56" t="str">
        <f t="array" ref="P163">if($C163="","",_xlfn.xlookup($C163,'Hiker Food'!$C:$C,'Hiker Food'!T:T))</f>
        <v/>
      </c>
      <c r="Q163" s="57" t="str">
        <f t="array" ref="Q163">if($C163="","",_xlfn.xlookup($C163,'Hiker Food'!$C:$C,'Hiker Food'!U:U))</f>
        <v/>
      </c>
      <c r="R163" s="57" t="str">
        <f t="array" ref="R163">if($C163="","",_xlfn.xlookup($C163,'Hiker Food'!$C:$C,'Hiker Food'!V:V))</f>
        <v/>
      </c>
      <c r="S163" s="58" t="str">
        <f t="array" ref="S163">if($C163="","",_xlfn.xlookup($C163,'Hiker Food'!$C:$C,'Hiker Food'!W:W))</f>
        <v/>
      </c>
      <c r="T163" s="59"/>
      <c r="AC163" s="60"/>
    </row>
    <row r="164">
      <c r="A164" s="52"/>
      <c r="B164" s="61"/>
      <c r="C164" s="62"/>
      <c r="D164" s="63">
        <v>1.0</v>
      </c>
      <c r="E164" s="81" t="str">
        <f t="array" ref="E164">if(C164="","",_xlfn.xlookup(C164,'Hiker Food'!$C:$C,'Hiker Food'!G:G)*D164)</f>
        <v/>
      </c>
      <c r="F164" s="89" t="str">
        <f t="array" ref="F164">if(C164="","",_xlfn.xlookup(C164,'Hiker Food'!$C:$C,'Hiker Food'!H:H)*D164)</f>
        <v/>
      </c>
      <c r="G164" s="64" t="str">
        <f t="array" ref="G164">if($C164="","",_xlfn.xlookup($C164,'Hiker Food'!$C:$C,'Hiker Food'!J:J)*$D164)</f>
        <v/>
      </c>
      <c r="H164" s="64" t="str">
        <f t="array" ref="H164">if($C164="","",_xlfn.xlookup($C164,'Hiker Food'!$C:$C,'Hiker Food'!K:K)*$D164)</f>
        <v/>
      </c>
      <c r="I164" s="64" t="str">
        <f t="array" ref="I164">if($C164="","",_xlfn.xlookup($C164,'Hiker Food'!$C:$C,'Hiker Food'!L:L)*$D164)</f>
        <v/>
      </c>
      <c r="J164" s="64" t="str">
        <f t="array" ref="J164">if($C164="","",_xlfn.xlookup($C164,'Hiker Food'!$C:$C,'Hiker Food'!M:M)*$D164)</f>
        <v/>
      </c>
      <c r="K164" s="64" t="str">
        <f t="array" ref="K164">if($C164="","",_xlfn.xlookup($C164,'Hiker Food'!$C:$C,'Hiker Food'!N:N)*$D164)</f>
        <v/>
      </c>
      <c r="L164" s="64" t="str">
        <f t="array" ref="L164">if($C164="","",_xlfn.xlookup($C164,'Hiker Food'!$C:$C,'Hiker Food'!O:O)*$D164)</f>
        <v/>
      </c>
      <c r="M164" s="64" t="str">
        <f t="array" ref="M164">if($C164="","",_xlfn.xlookup($C164,'Hiker Food'!$C:$C,'Hiker Food'!P:P)*$D164)</f>
        <v/>
      </c>
      <c r="N164" s="64" t="str">
        <f t="array" ref="N164">if($C164="","",_xlfn.xlookup($C164,'Hiker Food'!$C:$C,'Hiker Food'!Q:Q)*$D164)</f>
        <v/>
      </c>
      <c r="O164" s="64" t="str">
        <f t="array" ref="O164">if($C164="","",_xlfn.xlookup($C164,'Hiker Food'!$C:$C,'Hiker Food'!I:I)*$D164)</f>
        <v/>
      </c>
      <c r="P164" s="81" t="str">
        <f t="array" ref="P164">if($C164="","",_xlfn.xlookup($C164,'Hiker Food'!$C:$C,'Hiker Food'!T:T))</f>
        <v/>
      </c>
      <c r="Q164" s="82" t="str">
        <f t="array" ref="Q164">if($C164="","",_xlfn.xlookup($C164,'Hiker Food'!$C:$C,'Hiker Food'!U:U))</f>
        <v/>
      </c>
      <c r="R164" s="82" t="str">
        <f t="array" ref="R164">if($C164="","",_xlfn.xlookup($C164,'Hiker Food'!$C:$C,'Hiker Food'!V:V))</f>
        <v/>
      </c>
      <c r="S164" s="83" t="str">
        <f t="array" ref="S164">if($C164="","",_xlfn.xlookup($C164,'Hiker Food'!$C:$C,'Hiker Food'!W:W))</f>
        <v/>
      </c>
      <c r="T164" s="65"/>
      <c r="U164" s="66"/>
      <c r="V164" s="66"/>
      <c r="W164" s="66"/>
      <c r="X164" s="66"/>
      <c r="Y164" s="66"/>
      <c r="Z164" s="66"/>
      <c r="AA164" s="66"/>
      <c r="AB164" s="66"/>
      <c r="AC164" s="67"/>
    </row>
    <row r="165">
      <c r="A165" s="52"/>
      <c r="B165" s="68" t="s">
        <v>314</v>
      </c>
      <c r="C165" s="90"/>
      <c r="D165" s="70">
        <v>1.0</v>
      </c>
      <c r="E165" s="71" t="str">
        <f t="array" ref="E165">if(C165="","",_xlfn.xlookup(C165,'Hiker Food'!$C:$C,'Hiker Food'!G:G)*D165)</f>
        <v/>
      </c>
      <c r="F165" s="42" t="str">
        <f t="array" ref="F165">if(C165="","",_xlfn.xlookup(C165,'Hiker Food'!$C:$C,'Hiker Food'!H:H)*D165)</f>
        <v/>
      </c>
      <c r="G165" s="72" t="str">
        <f t="array" ref="G165">if($C165="","",_xlfn.xlookup($C165,'Hiker Food'!$C:$C,'Hiker Food'!J:J)*$D165)</f>
        <v/>
      </c>
      <c r="H165" s="72" t="str">
        <f t="array" ref="H165">if($C165="","",_xlfn.xlookup($C165,'Hiker Food'!$C:$C,'Hiker Food'!K:K)*$D165)</f>
        <v/>
      </c>
      <c r="I165" s="72" t="str">
        <f t="array" ref="I165">if($C165="","",_xlfn.xlookup($C165,'Hiker Food'!$C:$C,'Hiker Food'!L:L)*$D165)</f>
        <v/>
      </c>
      <c r="J165" s="72" t="str">
        <f t="array" ref="J165">if($C165="","",_xlfn.xlookup($C165,'Hiker Food'!$C:$C,'Hiker Food'!M:M)*$D165)</f>
        <v/>
      </c>
      <c r="K165" s="72" t="str">
        <f t="array" ref="K165">if($C165="","",_xlfn.xlookup($C165,'Hiker Food'!$C:$C,'Hiker Food'!N:N)*$D165)</f>
        <v/>
      </c>
      <c r="L165" s="72" t="str">
        <f t="array" ref="L165">if($C165="","",_xlfn.xlookup($C165,'Hiker Food'!$C:$C,'Hiker Food'!O:O)*$D165)</f>
        <v/>
      </c>
      <c r="M165" s="72" t="str">
        <f t="array" ref="M165">if($C165="","",_xlfn.xlookup($C165,'Hiker Food'!$C:$C,'Hiker Food'!P:P)*$D165)</f>
        <v/>
      </c>
      <c r="N165" s="72" t="str">
        <f t="array" ref="N165">if($C165="","",_xlfn.xlookup($C165,'Hiker Food'!$C:$C,'Hiker Food'!Q:Q)*$D165)</f>
        <v/>
      </c>
      <c r="O165" s="72" t="str">
        <f t="array" ref="O165">if($C165="","",_xlfn.xlookup($C165,'Hiker Food'!$C:$C,'Hiker Food'!I:I)*$D165)</f>
        <v/>
      </c>
      <c r="P165" s="71" t="str">
        <f t="array" ref="P165">if($C165="","",_xlfn.xlookup($C165,'Hiker Food'!$C:$C,'Hiker Food'!T:T))</f>
        <v/>
      </c>
      <c r="Q165" s="73" t="str">
        <f t="array" ref="Q165">if($C165="","",_xlfn.xlookup($C165,'Hiker Food'!$C:$C,'Hiker Food'!U:U))</f>
        <v/>
      </c>
      <c r="R165" s="73" t="str">
        <f t="array" ref="R165">if($C165="","",_xlfn.xlookup($C165,'Hiker Food'!$C:$C,'Hiker Food'!V:V))</f>
        <v/>
      </c>
      <c r="S165" s="74" t="str">
        <f t="array" ref="S165">if($C165="","",_xlfn.xlookup($C165,'Hiker Food'!$C:$C,'Hiker Food'!W:W))</f>
        <v/>
      </c>
      <c r="T165" s="91" t="s">
        <v>314</v>
      </c>
      <c r="U165" s="76" t="str">
        <f>if(C165="","",Y165/V165)</f>
        <v/>
      </c>
      <c r="V165" s="96" t="str">
        <f>if($C165="","",sum(E165:E167))</f>
        <v/>
      </c>
      <c r="W165" s="77" t="str">
        <f>if($C165="","",$Y165/X165)</f>
        <v/>
      </c>
      <c r="X165" s="96" t="str">
        <f>if($C165="","",sum(F165:F167))</f>
        <v/>
      </c>
      <c r="Y165" s="96" t="str">
        <f>if($C165="","",sum(O165:O167))</f>
        <v/>
      </c>
      <c r="Z165" s="77" t="str">
        <f>if($C165="","",(sum(J165:J167)/sum(N165:N167)))</f>
        <v/>
      </c>
      <c r="AA165" s="78" t="str">
        <f>if($C165="","",sum(G165:G167)*9/sum(sum(G165:G167)*9+sum(J165:J167)*4+sum(N165:N167)*4))</f>
        <v/>
      </c>
      <c r="AB165" s="78" t="str">
        <f>if($C165="","",sum(L165:L167)*4/sum(sum(G165:G167)*9+sum(J165:J167)*4+sum(N165:N167)*4))</f>
        <v/>
      </c>
      <c r="AC165" s="79" t="str">
        <f>if($C165="","",(sum(H165:H167)/sum(O165:O167)))</f>
        <v/>
      </c>
    </row>
    <row r="166">
      <c r="A166" s="52"/>
      <c r="B166" s="53"/>
      <c r="C166" s="54"/>
      <c r="D166" s="55">
        <v>1.0</v>
      </c>
      <c r="E166" s="56" t="str">
        <f t="array" ref="E166">if(C166="","",_xlfn.xlookup(C166,'Hiker Food'!$C:$C,'Hiker Food'!G:G)*D166)</f>
        <v/>
      </c>
      <c r="F166" s="42" t="str">
        <f t="array" ref="F166">if(C166="","",_xlfn.xlookup(C166,'Hiker Food'!$C:$C,'Hiker Food'!H:H)*D166)</f>
        <v/>
      </c>
      <c r="G166" s="42" t="str">
        <f t="array" ref="G166">if($C166="","",_xlfn.xlookup($C166,'Hiker Food'!$C:$C,'Hiker Food'!J:J)*$D166)</f>
        <v/>
      </c>
      <c r="H166" s="42" t="str">
        <f t="array" ref="H166">if($C166="","",_xlfn.xlookup($C166,'Hiker Food'!$C:$C,'Hiker Food'!K:K)*$D166)</f>
        <v/>
      </c>
      <c r="I166" s="42" t="str">
        <f t="array" ref="I166">if($C166="","",_xlfn.xlookup($C166,'Hiker Food'!$C:$C,'Hiker Food'!L:L)*$D166)</f>
        <v/>
      </c>
      <c r="J166" s="42" t="str">
        <f t="array" ref="J166">if($C166="","",_xlfn.xlookup($C166,'Hiker Food'!$C:$C,'Hiker Food'!M:M)*$D166)</f>
        <v/>
      </c>
      <c r="K166" s="42" t="str">
        <f t="array" ref="K166">if($C166="","",_xlfn.xlookup($C166,'Hiker Food'!$C:$C,'Hiker Food'!N:N)*$D166)</f>
        <v/>
      </c>
      <c r="L166" s="42" t="str">
        <f t="array" ref="L166">if($C166="","",_xlfn.xlookup($C166,'Hiker Food'!$C:$C,'Hiker Food'!O:O)*$D166)</f>
        <v/>
      </c>
      <c r="M166" s="42" t="str">
        <f t="array" ref="M166">if($C166="","",_xlfn.xlookup($C166,'Hiker Food'!$C:$C,'Hiker Food'!P:P)*$D166)</f>
        <v/>
      </c>
      <c r="N166" s="42" t="str">
        <f t="array" ref="N166">if($C166="","",_xlfn.xlookup($C166,'Hiker Food'!$C:$C,'Hiker Food'!Q:Q)*$D166)</f>
        <v/>
      </c>
      <c r="O166" s="42" t="str">
        <f t="array" ref="O166">if($C166="","",_xlfn.xlookup($C166,'Hiker Food'!$C:$C,'Hiker Food'!I:I)*$D166)</f>
        <v/>
      </c>
      <c r="P166" s="56" t="str">
        <f t="array" ref="P166">if($C166="","",_xlfn.xlookup($C166,'Hiker Food'!$C:$C,'Hiker Food'!T:T))</f>
        <v/>
      </c>
      <c r="Q166" s="57" t="str">
        <f t="array" ref="Q166">if($C166="","",_xlfn.xlookup($C166,'Hiker Food'!$C:$C,'Hiker Food'!U:U))</f>
        <v/>
      </c>
      <c r="R166" s="57" t="str">
        <f t="array" ref="R166">if($C166="","",_xlfn.xlookup($C166,'Hiker Food'!$C:$C,'Hiker Food'!V:V))</f>
        <v/>
      </c>
      <c r="S166" s="58" t="str">
        <f t="array" ref="S166">if($C166="","",_xlfn.xlookup($C166,'Hiker Food'!$C:$C,'Hiker Food'!W:W))</f>
        <v/>
      </c>
      <c r="T166" s="59"/>
      <c r="AC166" s="60"/>
    </row>
    <row r="167">
      <c r="A167" s="52"/>
      <c r="B167" s="61"/>
      <c r="C167" s="62"/>
      <c r="D167" s="63">
        <v>1.0</v>
      </c>
      <c r="E167" s="81" t="str">
        <f t="array" ref="E167">if(C167="","",_xlfn.xlookup(C167,'Hiker Food'!$C:$C,'Hiker Food'!G:G)*D167)</f>
        <v/>
      </c>
      <c r="F167" s="64" t="str">
        <f t="array" ref="F167">if(C167="","",_xlfn.xlookup(C167,'Hiker Food'!$C:$C,'Hiker Food'!H:H)*D167)</f>
        <v/>
      </c>
      <c r="G167" s="64" t="str">
        <f t="array" ref="G167">if($C167="","",_xlfn.xlookup($C167,'Hiker Food'!$C:$C,'Hiker Food'!J:J)*$D167)</f>
        <v/>
      </c>
      <c r="H167" s="64" t="str">
        <f t="array" ref="H167">if($C167="","",_xlfn.xlookup($C167,'Hiker Food'!$C:$C,'Hiker Food'!K:K)*$D167)</f>
        <v/>
      </c>
      <c r="I167" s="64" t="str">
        <f t="array" ref="I167">if($C167="","",_xlfn.xlookup($C167,'Hiker Food'!$C:$C,'Hiker Food'!L:L)*$D167)</f>
        <v/>
      </c>
      <c r="J167" s="64" t="str">
        <f t="array" ref="J167">if($C167="","",_xlfn.xlookup($C167,'Hiker Food'!$C:$C,'Hiker Food'!M:M)*$D167)</f>
        <v/>
      </c>
      <c r="K167" s="64" t="str">
        <f t="array" ref="K167">if($C167="","",_xlfn.xlookup($C167,'Hiker Food'!$C:$C,'Hiker Food'!N:N)*$D167)</f>
        <v/>
      </c>
      <c r="L167" s="64" t="str">
        <f t="array" ref="L167">if($C167="","",_xlfn.xlookup($C167,'Hiker Food'!$C:$C,'Hiker Food'!O:O)*$D167)</f>
        <v/>
      </c>
      <c r="M167" s="64" t="str">
        <f t="array" ref="M167">if($C167="","",_xlfn.xlookup($C167,'Hiker Food'!$C:$C,'Hiker Food'!P:P)*$D167)</f>
        <v/>
      </c>
      <c r="N167" s="64" t="str">
        <f t="array" ref="N167">if($C167="","",_xlfn.xlookup($C167,'Hiker Food'!$C:$C,'Hiker Food'!Q:Q)*$D167)</f>
        <v/>
      </c>
      <c r="O167" s="64" t="str">
        <f t="array" ref="O167">if($C167="","",_xlfn.xlookup($C167,'Hiker Food'!$C:$C,'Hiker Food'!I:I)*$D167)</f>
        <v/>
      </c>
      <c r="P167" s="81" t="str">
        <f t="array" ref="P167">if($C167="","",_xlfn.xlookup($C167,'Hiker Food'!$C:$C,'Hiker Food'!T:T))</f>
        <v/>
      </c>
      <c r="Q167" s="82" t="str">
        <f t="array" ref="Q167">if($C167="","",_xlfn.xlookup($C167,'Hiker Food'!$C:$C,'Hiker Food'!U:U))</f>
        <v/>
      </c>
      <c r="R167" s="82" t="str">
        <f t="array" ref="R167">if($C167="","",_xlfn.xlookup($C167,'Hiker Food'!$C:$C,'Hiker Food'!V:V))</f>
        <v/>
      </c>
      <c r="S167" s="83" t="str">
        <f t="array" ref="S167">if($C167="","",_xlfn.xlookup($C167,'Hiker Food'!$C:$C,'Hiker Food'!W:W))</f>
        <v/>
      </c>
      <c r="T167" s="65"/>
      <c r="U167" s="66"/>
      <c r="V167" s="66"/>
      <c r="W167" s="66"/>
      <c r="X167" s="66"/>
      <c r="Y167" s="66"/>
      <c r="Z167" s="66"/>
      <c r="AA167" s="66"/>
      <c r="AB167" s="66"/>
      <c r="AC167" s="67"/>
    </row>
    <row r="168">
      <c r="A168" s="52"/>
      <c r="B168" s="68" t="s">
        <v>366</v>
      </c>
      <c r="C168" s="90"/>
      <c r="D168" s="70">
        <v>1.0</v>
      </c>
      <c r="E168" s="71" t="str">
        <f t="array" ref="E168">if(C168="","",_xlfn.xlookup(C168,'Hiker Food'!$C:$C,'Hiker Food'!G:G)*D168)</f>
        <v/>
      </c>
      <c r="F168" s="42" t="str">
        <f t="array" ref="F168">if(C168="","",_xlfn.xlookup(C168,'Hiker Food'!$C:$C,'Hiker Food'!H:H)*D168)</f>
        <v/>
      </c>
      <c r="G168" s="72" t="str">
        <f t="array" ref="G168">if($C168="","",_xlfn.xlookup($C168,'Hiker Food'!$C:$C,'Hiker Food'!J:J)*$D168)</f>
        <v/>
      </c>
      <c r="H168" s="72" t="str">
        <f t="array" ref="H168">if($C168="","",_xlfn.xlookup($C168,'Hiker Food'!$C:$C,'Hiker Food'!K:K)*$D168)</f>
        <v/>
      </c>
      <c r="I168" s="72" t="str">
        <f t="array" ref="I168">if($C168="","",_xlfn.xlookup($C168,'Hiker Food'!$C:$C,'Hiker Food'!L:L)*$D168)</f>
        <v/>
      </c>
      <c r="J168" s="72" t="str">
        <f t="array" ref="J168">if($C168="","",_xlfn.xlookup($C168,'Hiker Food'!$C:$C,'Hiker Food'!M:M)*$D168)</f>
        <v/>
      </c>
      <c r="K168" s="72" t="str">
        <f t="array" ref="K168">if($C168="","",_xlfn.xlookup($C168,'Hiker Food'!$C:$C,'Hiker Food'!N:N)*$D168)</f>
        <v/>
      </c>
      <c r="L168" s="72" t="str">
        <f t="array" ref="L168">if($C168="","",_xlfn.xlookup($C168,'Hiker Food'!$C:$C,'Hiker Food'!O:O)*$D168)</f>
        <v/>
      </c>
      <c r="M168" s="72" t="str">
        <f t="array" ref="M168">if($C168="","",_xlfn.xlookup($C168,'Hiker Food'!$C:$C,'Hiker Food'!P:P)*$D168)</f>
        <v/>
      </c>
      <c r="N168" s="72" t="str">
        <f t="array" ref="N168">if($C168="","",_xlfn.xlookup($C168,'Hiker Food'!$C:$C,'Hiker Food'!Q:Q)*$D168)</f>
        <v/>
      </c>
      <c r="O168" s="72" t="str">
        <f t="array" ref="O168">if($C168="","",_xlfn.xlookup($C168,'Hiker Food'!$C:$C,'Hiker Food'!I:I)*$D168)</f>
        <v/>
      </c>
      <c r="P168" s="71" t="str">
        <f t="array" ref="P168">if($C168="","",_xlfn.xlookup($C168,'Hiker Food'!$C:$C,'Hiker Food'!T:T))</f>
        <v/>
      </c>
      <c r="Q168" s="73" t="str">
        <f t="array" ref="Q168">if($C168="","",_xlfn.xlookup($C168,'Hiker Food'!$C:$C,'Hiker Food'!U:U))</f>
        <v/>
      </c>
      <c r="R168" s="73" t="str">
        <f t="array" ref="R168">if($C168="","",_xlfn.xlookup($C168,'Hiker Food'!$C:$C,'Hiker Food'!V:V))</f>
        <v/>
      </c>
      <c r="S168" s="74" t="str">
        <f t="array" ref="S168">if($C168="","",_xlfn.xlookup($C168,'Hiker Food'!$C:$C,'Hiker Food'!W:W))</f>
        <v/>
      </c>
      <c r="T168" s="87" t="s">
        <v>366</v>
      </c>
      <c r="U168" s="76" t="str">
        <f>if(C168="","",Y168/V168)</f>
        <v/>
      </c>
      <c r="V168" s="96" t="str">
        <f>if($C168="","",sum(E168:E170))</f>
        <v/>
      </c>
      <c r="W168" s="77" t="str">
        <f>if($C168="","",$Y168/X168)</f>
        <v/>
      </c>
      <c r="X168" s="96" t="str">
        <f>if($C168="","",sum(F168:F170))</f>
        <v/>
      </c>
      <c r="Y168" s="96" t="str">
        <f>if($C168="","",sum(O168:O170))</f>
        <v/>
      </c>
      <c r="Z168" s="77" t="str">
        <f>if($C168="","",(sum(J168:J170)/sum(N168:N170)))</f>
        <v/>
      </c>
      <c r="AA168" s="78" t="str">
        <f>if($C168="","",sum(G168:G170)*9/sum(sum(G168:G170)*9+sum(J168:J170)*4+sum(N168:N170)*4))</f>
        <v/>
      </c>
      <c r="AB168" s="78" t="str">
        <f>if($C168="","",sum(L168:L170)*4/sum(sum(G168:G170)*9+sum(J168:J170)*4+sum(N168:N170)*4))</f>
        <v/>
      </c>
      <c r="AC168" s="79" t="str">
        <f>if($C168="","",(sum(H168:H170)/sum(O168:O170)))</f>
        <v/>
      </c>
    </row>
    <row r="169">
      <c r="A169" s="52"/>
      <c r="B169" s="53"/>
      <c r="C169" s="93"/>
      <c r="D169" s="55">
        <v>1.0</v>
      </c>
      <c r="E169" s="56" t="str">
        <f t="array" ref="E169">if(C169="","",_xlfn.xlookup(C169,'Hiker Food'!$C:$C,'Hiker Food'!G:G)*D169)</f>
        <v/>
      </c>
      <c r="F169" s="42" t="str">
        <f t="array" ref="F169">if(C169="","",_xlfn.xlookup(C169,'Hiker Food'!$C:$C,'Hiker Food'!H:H)*D169)</f>
        <v/>
      </c>
      <c r="G169" s="42" t="str">
        <f t="array" ref="G169">if($C169="","",_xlfn.xlookup($C169,'Hiker Food'!$C:$C,'Hiker Food'!J:J)*$D169)</f>
        <v/>
      </c>
      <c r="H169" s="42" t="str">
        <f t="array" ref="H169">if($C169="","",_xlfn.xlookup($C169,'Hiker Food'!$C:$C,'Hiker Food'!K:K)*$D169)</f>
        <v/>
      </c>
      <c r="I169" s="42" t="str">
        <f t="array" ref="I169">if($C169="","",_xlfn.xlookup($C169,'Hiker Food'!$C:$C,'Hiker Food'!L:L)*$D169)</f>
        <v/>
      </c>
      <c r="J169" s="42" t="str">
        <f t="array" ref="J169">if($C169="","",_xlfn.xlookup($C169,'Hiker Food'!$C:$C,'Hiker Food'!M:M)*$D169)</f>
        <v/>
      </c>
      <c r="K169" s="42" t="str">
        <f t="array" ref="K169">if($C169="","",_xlfn.xlookup($C169,'Hiker Food'!$C:$C,'Hiker Food'!N:N)*$D169)</f>
        <v/>
      </c>
      <c r="L169" s="42" t="str">
        <f t="array" ref="L169">if($C169="","",_xlfn.xlookup($C169,'Hiker Food'!$C:$C,'Hiker Food'!O:O)*$D169)</f>
        <v/>
      </c>
      <c r="M169" s="42" t="str">
        <f t="array" ref="M169">if($C169="","",_xlfn.xlookup($C169,'Hiker Food'!$C:$C,'Hiker Food'!P:P)*$D169)</f>
        <v/>
      </c>
      <c r="N169" s="42" t="str">
        <f t="array" ref="N169">if($C169="","",_xlfn.xlookup($C169,'Hiker Food'!$C:$C,'Hiker Food'!Q:Q)*$D169)</f>
        <v/>
      </c>
      <c r="O169" s="42" t="str">
        <f t="array" ref="O169">if($C169="","",_xlfn.xlookup($C169,'Hiker Food'!$C:$C,'Hiker Food'!I:I)*$D169)</f>
        <v/>
      </c>
      <c r="P169" s="56" t="str">
        <f t="array" ref="P169">if($C169="","",_xlfn.xlookup($C169,'Hiker Food'!$C:$C,'Hiker Food'!T:T))</f>
        <v/>
      </c>
      <c r="Q169" s="57" t="str">
        <f t="array" ref="Q169">if($C169="","",_xlfn.xlookup($C169,'Hiker Food'!$C:$C,'Hiker Food'!U:U))</f>
        <v/>
      </c>
      <c r="R169" s="57" t="str">
        <f t="array" ref="R169">if($C169="","",_xlfn.xlookup($C169,'Hiker Food'!$C:$C,'Hiker Food'!V:V))</f>
        <v/>
      </c>
      <c r="S169" s="58" t="str">
        <f t="array" ref="S169">if($C169="","",_xlfn.xlookup($C169,'Hiker Food'!$C:$C,'Hiker Food'!W:W))</f>
        <v/>
      </c>
      <c r="T169" s="59"/>
      <c r="AC169" s="60"/>
    </row>
    <row r="170">
      <c r="A170" s="52"/>
      <c r="B170" s="61"/>
      <c r="C170" s="54"/>
      <c r="D170" s="63">
        <v>1.0</v>
      </c>
      <c r="E170" s="81" t="str">
        <f t="array" ref="E170">if(C170="","",_xlfn.xlookup(C170,'Hiker Food'!$C:$C,'Hiker Food'!G:G)*D170)</f>
        <v/>
      </c>
      <c r="F170" s="64" t="str">
        <f t="array" ref="F170">if(C170="","",_xlfn.xlookup(C170,'Hiker Food'!$C:$C,'Hiker Food'!H:H)*D170)</f>
        <v/>
      </c>
      <c r="G170" s="64" t="str">
        <f t="array" ref="G170">if($C170="","",_xlfn.xlookup($C170,'Hiker Food'!$C:$C,'Hiker Food'!J:J)*$D170)</f>
        <v/>
      </c>
      <c r="H170" s="64" t="str">
        <f t="array" ref="H170">if($C170="","",_xlfn.xlookup($C170,'Hiker Food'!$C:$C,'Hiker Food'!K:K)*$D170)</f>
        <v/>
      </c>
      <c r="I170" s="64" t="str">
        <f t="array" ref="I170">if($C170="","",_xlfn.xlookup($C170,'Hiker Food'!$C:$C,'Hiker Food'!L:L)*$D170)</f>
        <v/>
      </c>
      <c r="J170" s="64" t="str">
        <f t="array" ref="J170">if($C170="","",_xlfn.xlookup($C170,'Hiker Food'!$C:$C,'Hiker Food'!M:M)*$D170)</f>
        <v/>
      </c>
      <c r="K170" s="64" t="str">
        <f t="array" ref="K170">if($C170="","",_xlfn.xlookup($C170,'Hiker Food'!$C:$C,'Hiker Food'!N:N)*$D170)</f>
        <v/>
      </c>
      <c r="L170" s="64" t="str">
        <f t="array" ref="L170">if($C170="","",_xlfn.xlookup($C170,'Hiker Food'!$C:$C,'Hiker Food'!O:O)*$D170)</f>
        <v/>
      </c>
      <c r="M170" s="64" t="str">
        <f t="array" ref="M170">if($C170="","",_xlfn.xlookup($C170,'Hiker Food'!$C:$C,'Hiker Food'!P:P)*$D170)</f>
        <v/>
      </c>
      <c r="N170" s="64" t="str">
        <f t="array" ref="N170">if($C170="","",_xlfn.xlookup($C170,'Hiker Food'!$C:$C,'Hiker Food'!Q:Q)*$D170)</f>
        <v/>
      </c>
      <c r="O170" s="64" t="str">
        <f t="array" ref="O170">if($C170="","",_xlfn.xlookup($C170,'Hiker Food'!$C:$C,'Hiker Food'!I:I)*$D170)</f>
        <v/>
      </c>
      <c r="P170" s="81" t="str">
        <f t="array" ref="P170">if($C170="","",_xlfn.xlookup($C170,'Hiker Food'!$C:$C,'Hiker Food'!T:T))</f>
        <v/>
      </c>
      <c r="Q170" s="82" t="str">
        <f t="array" ref="Q170">if($C170="","",_xlfn.xlookup($C170,'Hiker Food'!$C:$C,'Hiker Food'!U:U))</f>
        <v/>
      </c>
      <c r="R170" s="82" t="str">
        <f t="array" ref="R170">if($C170="","",_xlfn.xlookup($C170,'Hiker Food'!$C:$C,'Hiker Food'!V:V))</f>
        <v/>
      </c>
      <c r="S170" s="83" t="str">
        <f t="array" ref="S170">if($C170="","",_xlfn.xlookup($C170,'Hiker Food'!$C:$C,'Hiker Food'!W:W))</f>
        <v/>
      </c>
      <c r="T170" s="65"/>
      <c r="U170" s="66"/>
      <c r="V170" s="66"/>
      <c r="W170" s="66"/>
      <c r="X170" s="66"/>
      <c r="Y170" s="66"/>
      <c r="Z170" s="66"/>
      <c r="AA170" s="66"/>
      <c r="AB170" s="66"/>
      <c r="AC170" s="67"/>
    </row>
    <row r="171">
      <c r="A171" s="52"/>
      <c r="B171" s="94" t="s">
        <v>424</v>
      </c>
      <c r="C171" s="90"/>
      <c r="D171" s="70">
        <v>1.0</v>
      </c>
      <c r="E171" s="71" t="str">
        <f t="array" ref="E171">if(C171="","",_xlfn.xlookup(C171,'Hiker Food'!$C:$C,'Hiker Food'!G:G)*D171)</f>
        <v/>
      </c>
      <c r="F171" s="42" t="str">
        <f t="array" ref="F171">if(C171="","",_xlfn.xlookup(C171,'Hiker Food'!$C:$C,'Hiker Food'!H:H)*D171)</f>
        <v/>
      </c>
      <c r="G171" s="72" t="str">
        <f t="array" ref="G171">if($C171="","",_xlfn.xlookup($C171,'Hiker Food'!$C:$C,'Hiker Food'!J:J)*$D171)</f>
        <v/>
      </c>
      <c r="H171" s="72" t="str">
        <f t="array" ref="H171">if($C171="","",_xlfn.xlookup($C171,'Hiker Food'!$C:$C,'Hiker Food'!K:K)*$D171)</f>
        <v/>
      </c>
      <c r="I171" s="72" t="str">
        <f t="array" ref="I171">if($C171="","",_xlfn.xlookup($C171,'Hiker Food'!$C:$C,'Hiker Food'!L:L)*$D171)</f>
        <v/>
      </c>
      <c r="J171" s="72" t="str">
        <f t="array" ref="J171">if($C171="","",_xlfn.xlookup($C171,'Hiker Food'!$C:$C,'Hiker Food'!M:M)*$D171)</f>
        <v/>
      </c>
      <c r="K171" s="72" t="str">
        <f t="array" ref="K171">if($C171="","",_xlfn.xlookup($C171,'Hiker Food'!$C:$C,'Hiker Food'!N:N)*$D171)</f>
        <v/>
      </c>
      <c r="L171" s="72" t="str">
        <f t="array" ref="L171">if($C171="","",_xlfn.xlookup($C171,'Hiker Food'!$C:$C,'Hiker Food'!O:O)*$D171)</f>
        <v/>
      </c>
      <c r="M171" s="72" t="str">
        <f t="array" ref="M171">if($C171="","",_xlfn.xlookup($C171,'Hiker Food'!$C:$C,'Hiker Food'!P:P)*$D171)</f>
        <v/>
      </c>
      <c r="N171" s="72" t="str">
        <f t="array" ref="N171">if($C171="","",_xlfn.xlookup($C171,'Hiker Food'!$C:$C,'Hiker Food'!Q:Q)*$D171)</f>
        <v/>
      </c>
      <c r="O171" s="72" t="str">
        <f t="array" ref="O171">if($C171="","",_xlfn.xlookup($C171,'Hiker Food'!$C:$C,'Hiker Food'!I:I)*$D171)</f>
        <v/>
      </c>
      <c r="P171" s="71" t="str">
        <f t="array" ref="P171">if($C171="","",_xlfn.xlookup($C171,'Hiker Food'!$C:$C,'Hiker Food'!T:T))</f>
        <v/>
      </c>
      <c r="Q171" s="73" t="str">
        <f t="array" ref="Q171">if($C171="","",_xlfn.xlookup($C171,'Hiker Food'!$C:$C,'Hiker Food'!U:U))</f>
        <v/>
      </c>
      <c r="R171" s="73" t="str">
        <f t="array" ref="R171">if($C171="","",_xlfn.xlookup($C171,'Hiker Food'!$C:$C,'Hiker Food'!V:V))</f>
        <v/>
      </c>
      <c r="S171" s="74" t="str">
        <f t="array" ref="S171">if($C171="","",_xlfn.xlookup($C171,'Hiker Food'!$C:$C,'Hiker Food'!W:W))</f>
        <v/>
      </c>
      <c r="T171" s="95" t="s">
        <v>424</v>
      </c>
      <c r="U171" s="76" t="str">
        <f>if(C171="","",Y171/V171)</f>
        <v/>
      </c>
      <c r="V171" s="96" t="str">
        <f>if($C171="","",sum(E171:E173))</f>
        <v/>
      </c>
      <c r="W171" s="77" t="str">
        <f>if($C171="","",$Y171/X171)</f>
        <v/>
      </c>
      <c r="X171" s="96" t="str">
        <f>if($C171="","",sum(F171:F173))</f>
        <v/>
      </c>
      <c r="Y171" s="96" t="str">
        <f>if($C171="","",sum(O171:O173))</f>
        <v/>
      </c>
      <c r="Z171" s="77" t="str">
        <f>if($C171="","",(sum(J171:J173)/sum(N171:N173)))</f>
        <v/>
      </c>
      <c r="AA171" s="78" t="str">
        <f>if($C171="","",sum(G171:G173)*9/sum(sum(G171:G173)*9+sum(J171:J173)*4+sum(N171:N173)*4))</f>
        <v/>
      </c>
      <c r="AB171" s="78" t="str">
        <f>if($C171="","",sum(L171:L173)*4/sum(sum(G171:G173)*9+sum(J171:J173)*4+sum(N171:N173)*4))</f>
        <v/>
      </c>
      <c r="AC171" s="79" t="str">
        <f>if($C171="","",(sum(H171:H173)/sum(O171:O173)))</f>
        <v/>
      </c>
    </row>
    <row r="172">
      <c r="A172" s="52"/>
      <c r="B172" s="53"/>
      <c r="C172" s="54"/>
      <c r="D172" s="55">
        <v>1.0</v>
      </c>
      <c r="E172" s="56" t="str">
        <f t="array" ref="E172">if(C172="","",_xlfn.xlookup(C172,'Hiker Food'!$C:$C,'Hiker Food'!G:G)*D172)</f>
        <v/>
      </c>
      <c r="F172" s="42" t="str">
        <f t="array" ref="F172">if(C172="","",_xlfn.xlookup(C172,'Hiker Food'!$C:$C,'Hiker Food'!H:H)*D172)</f>
        <v/>
      </c>
      <c r="G172" s="42" t="str">
        <f t="array" ref="G172">if($C172="","",_xlfn.xlookup($C172,'Hiker Food'!$C:$C,'Hiker Food'!J:J)*$D172)</f>
        <v/>
      </c>
      <c r="H172" s="42" t="str">
        <f t="array" ref="H172">if($C172="","",_xlfn.xlookup($C172,'Hiker Food'!$C:$C,'Hiker Food'!K:K)*$D172)</f>
        <v/>
      </c>
      <c r="I172" s="42" t="str">
        <f t="array" ref="I172">if($C172="","",_xlfn.xlookup($C172,'Hiker Food'!$C:$C,'Hiker Food'!L:L)*$D172)</f>
        <v/>
      </c>
      <c r="J172" s="42" t="str">
        <f t="array" ref="J172">if($C172="","",_xlfn.xlookup($C172,'Hiker Food'!$C:$C,'Hiker Food'!M:M)*$D172)</f>
        <v/>
      </c>
      <c r="K172" s="42" t="str">
        <f t="array" ref="K172">if($C172="","",_xlfn.xlookup($C172,'Hiker Food'!$C:$C,'Hiker Food'!N:N)*$D172)</f>
        <v/>
      </c>
      <c r="L172" s="42" t="str">
        <f t="array" ref="L172">if($C172="","",_xlfn.xlookup($C172,'Hiker Food'!$C:$C,'Hiker Food'!O:O)*$D172)</f>
        <v/>
      </c>
      <c r="M172" s="42" t="str">
        <f t="array" ref="M172">if($C172="","",_xlfn.xlookup($C172,'Hiker Food'!$C:$C,'Hiker Food'!P:P)*$D172)</f>
        <v/>
      </c>
      <c r="N172" s="42" t="str">
        <f t="array" ref="N172">if($C172="","",_xlfn.xlookup($C172,'Hiker Food'!$C:$C,'Hiker Food'!Q:Q)*$D172)</f>
        <v/>
      </c>
      <c r="O172" s="42" t="str">
        <f t="array" ref="O172">if($C172="","",_xlfn.xlookup($C172,'Hiker Food'!$C:$C,'Hiker Food'!I:I)*$D172)</f>
        <v/>
      </c>
      <c r="P172" s="56" t="str">
        <f t="array" ref="P172">if($C172="","",_xlfn.xlookup($C172,'Hiker Food'!$C:$C,'Hiker Food'!T:T))</f>
        <v/>
      </c>
      <c r="Q172" s="57" t="str">
        <f t="array" ref="Q172">if($C172="","",_xlfn.xlookup($C172,'Hiker Food'!$C:$C,'Hiker Food'!U:U))</f>
        <v/>
      </c>
      <c r="R172" s="57" t="str">
        <f t="array" ref="R172">if($C172="","",_xlfn.xlookup($C172,'Hiker Food'!$C:$C,'Hiker Food'!V:V))</f>
        <v/>
      </c>
      <c r="S172" s="58" t="str">
        <f t="array" ref="S172">if($C172="","",_xlfn.xlookup($C172,'Hiker Food'!$C:$C,'Hiker Food'!W:W))</f>
        <v/>
      </c>
      <c r="T172" s="59"/>
      <c r="AC172" s="60"/>
    </row>
    <row r="173">
      <c r="A173" s="52"/>
      <c r="B173" s="61"/>
      <c r="C173" s="54"/>
      <c r="D173" s="63">
        <v>1.0</v>
      </c>
      <c r="E173" s="81" t="str">
        <f t="array" ref="E173">if(C173="","",_xlfn.xlookup(C173,'Hiker Food'!$C:$C,'Hiker Food'!G:G)*D173)</f>
        <v/>
      </c>
      <c r="F173" s="64" t="str">
        <f t="array" ref="F173">if(C173="","",_xlfn.xlookup(C173,'Hiker Food'!$C:$C,'Hiker Food'!H:H)*D173)</f>
        <v/>
      </c>
      <c r="G173" s="64" t="str">
        <f t="array" ref="G173">if($C173="","",_xlfn.xlookup($C173,'Hiker Food'!$C:$C,'Hiker Food'!J:J)*$D173)</f>
        <v/>
      </c>
      <c r="H173" s="64" t="str">
        <f t="array" ref="H173">if($C173="","",_xlfn.xlookup($C173,'Hiker Food'!$C:$C,'Hiker Food'!K:K)*$D173)</f>
        <v/>
      </c>
      <c r="I173" s="64" t="str">
        <f t="array" ref="I173">if($C173="","",_xlfn.xlookup($C173,'Hiker Food'!$C:$C,'Hiker Food'!L:L)*$D173)</f>
        <v/>
      </c>
      <c r="J173" s="64" t="str">
        <f t="array" ref="J173">if($C173="","",_xlfn.xlookup($C173,'Hiker Food'!$C:$C,'Hiker Food'!M:M)*$D173)</f>
        <v/>
      </c>
      <c r="K173" s="64" t="str">
        <f t="array" ref="K173">if($C173="","",_xlfn.xlookup($C173,'Hiker Food'!$C:$C,'Hiker Food'!N:N)*$D173)</f>
        <v/>
      </c>
      <c r="L173" s="64" t="str">
        <f t="array" ref="L173">if($C173="","",_xlfn.xlookup($C173,'Hiker Food'!$C:$C,'Hiker Food'!O:O)*$D173)</f>
        <v/>
      </c>
      <c r="M173" s="64" t="str">
        <f t="array" ref="M173">if($C173="","",_xlfn.xlookup($C173,'Hiker Food'!$C:$C,'Hiker Food'!P:P)*$D173)</f>
        <v/>
      </c>
      <c r="N173" s="64" t="str">
        <f t="array" ref="N173">if($C173="","",_xlfn.xlookup($C173,'Hiker Food'!$C:$C,'Hiker Food'!Q:Q)*$D173)</f>
        <v/>
      </c>
      <c r="O173" s="64" t="str">
        <f t="array" ref="O173">if($C173="","",_xlfn.xlookup($C173,'Hiker Food'!$C:$C,'Hiker Food'!I:I)*$D173)</f>
        <v/>
      </c>
      <c r="P173" s="81" t="str">
        <f t="array" ref="P173">if($C173="","",_xlfn.xlookup($C173,'Hiker Food'!$C:$C,'Hiker Food'!T:T))</f>
        <v/>
      </c>
      <c r="Q173" s="82" t="str">
        <f t="array" ref="Q173">if($C173="","",_xlfn.xlookup($C173,'Hiker Food'!$C:$C,'Hiker Food'!U:U))</f>
        <v/>
      </c>
      <c r="R173" s="82" t="str">
        <f t="array" ref="R173">if($C173="","",_xlfn.xlookup($C173,'Hiker Food'!$C:$C,'Hiker Food'!V:V))</f>
        <v/>
      </c>
      <c r="S173" s="83" t="str">
        <f t="array" ref="S173">if($C173="","",_xlfn.xlookup($C173,'Hiker Food'!$C:$C,'Hiker Food'!W:W))</f>
        <v/>
      </c>
      <c r="T173" s="65"/>
      <c r="U173" s="66"/>
      <c r="V173" s="66"/>
      <c r="W173" s="66"/>
      <c r="X173" s="66"/>
      <c r="Y173" s="66"/>
      <c r="Z173" s="66"/>
      <c r="AA173" s="66"/>
      <c r="AB173" s="66"/>
      <c r="AC173" s="67"/>
    </row>
    <row r="174">
      <c r="A174" s="52"/>
      <c r="B174" s="94" t="s">
        <v>478</v>
      </c>
      <c r="C174" s="90"/>
      <c r="D174" s="70">
        <v>1.0</v>
      </c>
      <c r="E174" s="71" t="str">
        <f t="array" ref="E174">if(C174="","",_xlfn.xlookup(C174,'Hiker Food'!$C:$C,'Hiker Food'!G:G)*D174)</f>
        <v/>
      </c>
      <c r="F174" s="42" t="str">
        <f t="array" ref="F174">if(C174="","",_xlfn.xlookup(C174,'Hiker Food'!$C:$C,'Hiker Food'!H:H)*D174)</f>
        <v/>
      </c>
      <c r="G174" s="72" t="str">
        <f t="array" ref="G174">if($C174="","",_xlfn.xlookup($C174,'Hiker Food'!$C:$C,'Hiker Food'!J:J)*$D174)</f>
        <v/>
      </c>
      <c r="H174" s="72" t="str">
        <f t="array" ref="H174">if($C174="","",_xlfn.xlookup($C174,'Hiker Food'!$C:$C,'Hiker Food'!K:K)*$D174)</f>
        <v/>
      </c>
      <c r="I174" s="72" t="str">
        <f t="array" ref="I174">if($C174="","",_xlfn.xlookup($C174,'Hiker Food'!$C:$C,'Hiker Food'!L:L)*$D174)</f>
        <v/>
      </c>
      <c r="J174" s="72" t="str">
        <f t="array" ref="J174">if($C174="","",_xlfn.xlookup($C174,'Hiker Food'!$C:$C,'Hiker Food'!M:M)*$D174)</f>
        <v/>
      </c>
      <c r="K174" s="72" t="str">
        <f t="array" ref="K174">if($C174="","",_xlfn.xlookup($C174,'Hiker Food'!$C:$C,'Hiker Food'!N:N)*$D174)</f>
        <v/>
      </c>
      <c r="L174" s="72" t="str">
        <f t="array" ref="L174">if($C174="","",_xlfn.xlookup($C174,'Hiker Food'!$C:$C,'Hiker Food'!O:O)*$D174)</f>
        <v/>
      </c>
      <c r="M174" s="72" t="str">
        <f t="array" ref="M174">if($C174="","",_xlfn.xlookup($C174,'Hiker Food'!$C:$C,'Hiker Food'!P:P)*$D174)</f>
        <v/>
      </c>
      <c r="N174" s="72" t="str">
        <f t="array" ref="N174">if($C174="","",_xlfn.xlookup($C174,'Hiker Food'!$C:$C,'Hiker Food'!Q:Q)*$D174)</f>
        <v/>
      </c>
      <c r="O174" s="72" t="str">
        <f t="array" ref="O174">if($C174="","",_xlfn.xlookup($C174,'Hiker Food'!$C:$C,'Hiker Food'!I:I)*$D174)</f>
        <v/>
      </c>
      <c r="P174" s="71" t="str">
        <f t="array" ref="P174">if($C174="","",_xlfn.xlookup($C174,'Hiker Food'!$C:$C,'Hiker Food'!T:T))</f>
        <v/>
      </c>
      <c r="Q174" s="73" t="str">
        <f t="array" ref="Q174">if($C174="","",_xlfn.xlookup($C174,'Hiker Food'!$C:$C,'Hiker Food'!U:U))</f>
        <v/>
      </c>
      <c r="R174" s="73" t="str">
        <f t="array" ref="R174">if($C174="","",_xlfn.xlookup($C174,'Hiker Food'!$C:$C,'Hiker Food'!V:V))</f>
        <v/>
      </c>
      <c r="S174" s="74" t="str">
        <f t="array" ref="S174">if($C174="","",_xlfn.xlookup($C174,'Hiker Food'!$C:$C,'Hiker Food'!W:W))</f>
        <v/>
      </c>
      <c r="T174" s="95" t="s">
        <v>478</v>
      </c>
      <c r="U174" s="76" t="str">
        <f>if(C174="","",Y174/V174)</f>
        <v/>
      </c>
      <c r="V174" s="96" t="str">
        <f>if($C174="","",sum(E174:E176))</f>
        <v/>
      </c>
      <c r="W174" s="77" t="str">
        <f>if($C174="","",$Y174/X174)</f>
        <v/>
      </c>
      <c r="X174" s="96" t="str">
        <f>if($C174="","",sum(F174:F176))</f>
        <v/>
      </c>
      <c r="Y174" s="96" t="str">
        <f>if($C174="","",sum(O174:O176))</f>
        <v/>
      </c>
      <c r="Z174" s="77" t="str">
        <f>if($C174="","",(sum(J174:J176)/sum(N174:N176)))</f>
        <v/>
      </c>
      <c r="AA174" s="78" t="str">
        <f>if($C174="","",sum(G174:G176)*9/sum(sum(G174:G176)*9+sum(J174:J176)*4+sum(N174:N176)*4))</f>
        <v/>
      </c>
      <c r="AB174" s="78" t="str">
        <f>if($C174="","",sum(L174:L176)*4/sum(sum(G174:G176)*9+sum(J174:J176)*4+sum(N174:N176)*4))</f>
        <v/>
      </c>
      <c r="AC174" s="79" t="str">
        <f>if($C174="","",(sum(H174:H176)/sum(O174:O176)))</f>
        <v/>
      </c>
    </row>
    <row r="175">
      <c r="A175" s="52"/>
      <c r="B175" s="53"/>
      <c r="C175" s="93"/>
      <c r="D175" s="55">
        <v>1.0</v>
      </c>
      <c r="E175" s="56" t="str">
        <f t="array" ref="E175">if(C175="","",_xlfn.xlookup(C175,'Hiker Food'!$C:$C,'Hiker Food'!G:G)*D175)</f>
        <v/>
      </c>
      <c r="F175" s="42" t="str">
        <f t="array" ref="F175">if(C175="","",_xlfn.xlookup(C175,'Hiker Food'!$C:$C,'Hiker Food'!H:H)*D175)</f>
        <v/>
      </c>
      <c r="G175" s="42" t="str">
        <f t="array" ref="G175">if($C175="","",_xlfn.xlookup($C175,'Hiker Food'!$C:$C,'Hiker Food'!J:J)*$D175)</f>
        <v/>
      </c>
      <c r="H175" s="42" t="str">
        <f t="array" ref="H175">if($C175="","",_xlfn.xlookup($C175,'Hiker Food'!$C:$C,'Hiker Food'!K:K)*$D175)</f>
        <v/>
      </c>
      <c r="I175" s="42" t="str">
        <f t="array" ref="I175">if($C175="","",_xlfn.xlookup($C175,'Hiker Food'!$C:$C,'Hiker Food'!L:L)*$D175)</f>
        <v/>
      </c>
      <c r="J175" s="42" t="str">
        <f t="array" ref="J175">if($C175="","",_xlfn.xlookup($C175,'Hiker Food'!$C:$C,'Hiker Food'!M:M)*$D175)</f>
        <v/>
      </c>
      <c r="K175" s="42" t="str">
        <f t="array" ref="K175">if($C175="","",_xlfn.xlookup($C175,'Hiker Food'!$C:$C,'Hiker Food'!N:N)*$D175)</f>
        <v/>
      </c>
      <c r="L175" s="42" t="str">
        <f t="array" ref="L175">if($C175="","",_xlfn.xlookup($C175,'Hiker Food'!$C:$C,'Hiker Food'!O:O)*$D175)</f>
        <v/>
      </c>
      <c r="M175" s="42" t="str">
        <f t="array" ref="M175">if($C175="","",_xlfn.xlookup($C175,'Hiker Food'!$C:$C,'Hiker Food'!P:P)*$D175)</f>
        <v/>
      </c>
      <c r="N175" s="42" t="str">
        <f t="array" ref="N175">if($C175="","",_xlfn.xlookup($C175,'Hiker Food'!$C:$C,'Hiker Food'!Q:Q)*$D175)</f>
        <v/>
      </c>
      <c r="O175" s="42" t="str">
        <f t="array" ref="O175">if($C175="","",_xlfn.xlookup($C175,'Hiker Food'!$C:$C,'Hiker Food'!I:I)*$D175)</f>
        <v/>
      </c>
      <c r="P175" s="56" t="str">
        <f t="array" ref="P175">if($C175="","",_xlfn.xlookup($C175,'Hiker Food'!$C:$C,'Hiker Food'!T:T))</f>
        <v/>
      </c>
      <c r="Q175" s="57" t="str">
        <f t="array" ref="Q175">if($C175="","",_xlfn.xlookup($C175,'Hiker Food'!$C:$C,'Hiker Food'!U:U))</f>
        <v/>
      </c>
      <c r="R175" s="57" t="str">
        <f t="array" ref="R175">if($C175="","",_xlfn.xlookup($C175,'Hiker Food'!$C:$C,'Hiker Food'!V:V))</f>
        <v/>
      </c>
      <c r="S175" s="58" t="str">
        <f t="array" ref="S175">if($C175="","",_xlfn.xlookup($C175,'Hiker Food'!$C:$C,'Hiker Food'!W:W))</f>
        <v/>
      </c>
      <c r="T175" s="59"/>
      <c r="AC175" s="60"/>
    </row>
    <row r="176">
      <c r="A176" s="52"/>
      <c r="B176" s="61"/>
      <c r="C176" s="62"/>
      <c r="D176" s="63">
        <v>1.0</v>
      </c>
      <c r="E176" s="81" t="str">
        <f t="array" ref="E176">if(C176="","",_xlfn.xlookup(C176,'Hiker Food'!$C:$C,'Hiker Food'!G:G)*D176)</f>
        <v/>
      </c>
      <c r="F176" s="64" t="str">
        <f t="array" ref="F176">if(C176="","",_xlfn.xlookup(C176,'Hiker Food'!$C:$C,'Hiker Food'!H:H)*D176)</f>
        <v/>
      </c>
      <c r="G176" s="64" t="str">
        <f t="array" ref="G176">if($C176="","",_xlfn.xlookup($C176,'Hiker Food'!$C:$C,'Hiker Food'!J:J)*$D176)</f>
        <v/>
      </c>
      <c r="H176" s="64" t="str">
        <f t="array" ref="H176">if($C176="","",_xlfn.xlookup($C176,'Hiker Food'!$C:$C,'Hiker Food'!K:K)*$D176)</f>
        <v/>
      </c>
      <c r="I176" s="64" t="str">
        <f t="array" ref="I176">if($C176="","",_xlfn.xlookup($C176,'Hiker Food'!$C:$C,'Hiker Food'!L:L)*$D176)</f>
        <v/>
      </c>
      <c r="J176" s="64" t="str">
        <f t="array" ref="J176">if($C176="","",_xlfn.xlookup($C176,'Hiker Food'!$C:$C,'Hiker Food'!M:M)*$D176)</f>
        <v/>
      </c>
      <c r="K176" s="64" t="str">
        <f t="array" ref="K176">if($C176="","",_xlfn.xlookup($C176,'Hiker Food'!$C:$C,'Hiker Food'!N:N)*$D176)</f>
        <v/>
      </c>
      <c r="L176" s="64" t="str">
        <f t="array" ref="L176">if($C176="","",_xlfn.xlookup($C176,'Hiker Food'!$C:$C,'Hiker Food'!O:O)*$D176)</f>
        <v/>
      </c>
      <c r="M176" s="64" t="str">
        <f t="array" ref="M176">if($C176="","",_xlfn.xlookup($C176,'Hiker Food'!$C:$C,'Hiker Food'!P:P)*$D176)</f>
        <v/>
      </c>
      <c r="N176" s="64" t="str">
        <f t="array" ref="N176">if($C176="","",_xlfn.xlookup($C176,'Hiker Food'!$C:$C,'Hiker Food'!Q:Q)*$D176)</f>
        <v/>
      </c>
      <c r="O176" s="64" t="str">
        <f t="array" ref="O176">if($C176="","",_xlfn.xlookup($C176,'Hiker Food'!$C:$C,'Hiker Food'!I:I)*$D176)</f>
        <v/>
      </c>
      <c r="P176" s="81" t="str">
        <f t="array" ref="P176">if($C176="","",_xlfn.xlookup($C176,'Hiker Food'!$C:$C,'Hiker Food'!T:T))</f>
        <v/>
      </c>
      <c r="Q176" s="82" t="str">
        <f t="array" ref="Q176">if($C176="","",_xlfn.xlookup($C176,'Hiker Food'!$C:$C,'Hiker Food'!U:U))</f>
        <v/>
      </c>
      <c r="R176" s="82" t="str">
        <f t="array" ref="R176">if($C176="","",_xlfn.xlookup($C176,'Hiker Food'!$C:$C,'Hiker Food'!V:V))</f>
        <v/>
      </c>
      <c r="S176" s="83" t="str">
        <f t="array" ref="S176">if($C176="","",_xlfn.xlookup($C176,'Hiker Food'!$C:$C,'Hiker Food'!W:W))</f>
        <v/>
      </c>
      <c r="T176" s="65"/>
      <c r="U176" s="66"/>
      <c r="V176" s="66"/>
      <c r="W176" s="66"/>
      <c r="X176" s="66"/>
      <c r="Y176" s="66"/>
      <c r="Z176" s="66"/>
      <c r="AA176" s="66"/>
      <c r="AB176" s="66"/>
      <c r="AC176" s="67"/>
    </row>
    <row r="177">
      <c r="A177" s="97"/>
      <c r="B177" s="98" t="s">
        <v>532</v>
      </c>
      <c r="C177" s="99" t="str">
        <f>IF(COUNTIF(C156:C176,"")=COUNTA(C156:C176), "", "zzzz - subtotal line - ignore")</f>
        <v>zzzz - subtotal line - ignore</v>
      </c>
      <c r="D177" s="99"/>
      <c r="E177" s="100" t="str">
        <f t="shared" ref="E177:O177" si="8">if(counta($C156:$C176)=0,"",SUM(E156:E176))</f>
        <v/>
      </c>
      <c r="F177" s="101" t="str">
        <f t="shared" si="8"/>
        <v/>
      </c>
      <c r="G177" s="101" t="str">
        <f t="shared" si="8"/>
        <v/>
      </c>
      <c r="H177" s="101" t="str">
        <f t="shared" si="8"/>
        <v/>
      </c>
      <c r="I177" s="101" t="str">
        <f t="shared" si="8"/>
        <v/>
      </c>
      <c r="J177" s="101" t="str">
        <f t="shared" si="8"/>
        <v/>
      </c>
      <c r="K177" s="101" t="str">
        <f t="shared" si="8"/>
        <v/>
      </c>
      <c r="L177" s="101" t="str">
        <f t="shared" si="8"/>
        <v/>
      </c>
      <c r="M177" s="101" t="str">
        <f t="shared" si="8"/>
        <v/>
      </c>
      <c r="N177" s="101" t="str">
        <f t="shared" si="8"/>
        <v/>
      </c>
      <c r="O177" s="101" t="str">
        <f t="shared" si="8"/>
        <v/>
      </c>
      <c r="P177" s="102"/>
      <c r="Q177" s="102"/>
      <c r="R177" s="102"/>
      <c r="S177" s="102"/>
      <c r="T177" s="98" t="s">
        <v>532</v>
      </c>
      <c r="U177" s="100"/>
      <c r="V177" s="100" t="str">
        <f>if(counta($C156:$C176)=0,"",SUM(E156:E176))</f>
        <v/>
      </c>
      <c r="W177" s="101"/>
      <c r="X177" s="101" t="str">
        <f>if(counta($C156:$C176)=0,"",SUM(F156:F176))</f>
        <v/>
      </c>
      <c r="Y177" s="101" t="str">
        <f>if(counta($C156:$C176)=0,"",SUM(O156:O176))</f>
        <v/>
      </c>
      <c r="Z177" s="103" t="str">
        <f>if($V177="","",sum(J156:J176)/sum(N156:N176))</f>
        <v/>
      </c>
      <c r="AA177" s="104" t="str">
        <f>if($V177="","",sum(G156:G176)*9/sum(sum(G156:G176)*9+sum(J156:J176)*4+sum(N156:N176)*4))</f>
        <v/>
      </c>
      <c r="AB177" s="104" t="str">
        <f>if($V177="","",sum(L156:L176)*4/sum(sum(G156:G176)*9+sum(J156:J176)*4+sum(N156:N176)*4))</f>
        <v/>
      </c>
      <c r="AC177" s="105" t="str">
        <f>if($V177="","",sum(H156:H176)/sum(O156:O176))</f>
        <v/>
      </c>
    </row>
    <row r="178">
      <c r="A178" s="37">
        <v>9.0</v>
      </c>
      <c r="B178" s="38" t="s">
        <v>92</v>
      </c>
      <c r="C178" s="39"/>
      <c r="D178" s="40">
        <v>1.0</v>
      </c>
      <c r="E178" s="41" t="str">
        <f t="array" ref="E178">if(C178="","",_xlfn.xlookup(C178,'Hiker Food'!$C:$C,'Hiker Food'!G:G)*D178)</f>
        <v/>
      </c>
      <c r="F178" s="42" t="str">
        <f t="array" ref="F178">if(C178="","",_xlfn.xlookup(C178,'Hiker Food'!$C:$C,'Hiker Food'!H:H)*D178)</f>
        <v/>
      </c>
      <c r="G178" s="43" t="str">
        <f t="array" ref="G178">if($C178="","",_xlfn.xlookup($C178,'Hiker Food'!$C:$C,'Hiker Food'!J:J)*$D178)</f>
        <v/>
      </c>
      <c r="H178" s="43" t="str">
        <f t="array" ref="H178">if($C178="","",_xlfn.xlookup($C178,'Hiker Food'!$C:$C,'Hiker Food'!K:K)*$D178)</f>
        <v/>
      </c>
      <c r="I178" s="43" t="str">
        <f t="array" ref="I178">if($C178="","",_xlfn.xlookup($C178,'Hiker Food'!$C:$C,'Hiker Food'!L:L)*$D178)</f>
        <v/>
      </c>
      <c r="J178" s="43" t="str">
        <f t="array" ref="J178">if($C178="","",_xlfn.xlookup($C178,'Hiker Food'!$C:$C,'Hiker Food'!M:M)*$D178)</f>
        <v/>
      </c>
      <c r="K178" s="43" t="str">
        <f t="array" ref="K178">if($C178="","",_xlfn.xlookup($C178,'Hiker Food'!$C:$C,'Hiker Food'!N:N)*$D178)</f>
        <v/>
      </c>
      <c r="L178" s="43" t="str">
        <f t="array" ref="L178">if($C178="","",_xlfn.xlookup($C178,'Hiker Food'!$C:$C,'Hiker Food'!O:O)*$D178)</f>
        <v/>
      </c>
      <c r="M178" s="43" t="str">
        <f t="array" ref="M178">if($C178="","",_xlfn.xlookup($C178,'Hiker Food'!$C:$C,'Hiker Food'!P:P)*$D178)</f>
        <v/>
      </c>
      <c r="N178" s="43" t="str">
        <f t="array" ref="N178">if($C178="","",_xlfn.xlookup($C178,'Hiker Food'!$C:$C,'Hiker Food'!Q:Q)*$D178)</f>
        <v/>
      </c>
      <c r="O178" s="43" t="str">
        <f t="array" ref="O178">if($C178="","",_xlfn.xlookup($C178,'Hiker Food'!$C:$C,'Hiker Food'!I:I)*$D178)</f>
        <v/>
      </c>
      <c r="P178" s="41" t="str">
        <f t="array" ref="P178">if($C178="","",_xlfn.xlookup($C178,'Hiker Food'!$C:$C,'Hiker Food'!T:T))</f>
        <v/>
      </c>
      <c r="Q178" s="44" t="str">
        <f t="array" ref="Q178">if($C178="","",_xlfn.xlookup($C178,'Hiker Food'!$C:$C,'Hiker Food'!U:U))</f>
        <v/>
      </c>
      <c r="R178" s="44" t="str">
        <f t="array" ref="R178">if($C178="","",_xlfn.xlookup($C178,'Hiker Food'!$C:$C,'Hiker Food'!V:V))</f>
        <v/>
      </c>
      <c r="S178" s="45" t="str">
        <f t="array" ref="S178">if($C178="","",_xlfn.xlookup($C178,'Hiker Food'!$C:$C,'Hiker Food'!W:W))</f>
        <v/>
      </c>
      <c r="T178" s="46" t="s">
        <v>92</v>
      </c>
      <c r="U178" s="47" t="str">
        <f>if($C178="","",$Y178/V178)</f>
        <v/>
      </c>
      <c r="V178" s="114" t="str">
        <f>if($C178="","",sum(E178:E180))</f>
        <v/>
      </c>
      <c r="W178" s="48" t="str">
        <f>if($C178="","",$Y178/X178)</f>
        <v/>
      </c>
      <c r="X178" s="114" t="str">
        <f>if($C178="","",sum(F178:F180))</f>
        <v/>
      </c>
      <c r="Y178" s="114" t="str">
        <f>if($C178="","",sum(O178:O180))</f>
        <v/>
      </c>
      <c r="Z178" s="49" t="str">
        <f>if($C178="","",(sum(J178:J180)/sum(N178:N180)))</f>
        <v/>
      </c>
      <c r="AA178" s="50" t="str">
        <f>if($C178="","",sum(G178:G180)*9/sum(sum(G178:G180)*9+sum(J178:J180)*4+sum(N178:N180)*4))</f>
        <v/>
      </c>
      <c r="AB178" s="50" t="str">
        <f>if($C178="","",sum(L178:L180)*4/sum(sum(G178:G180)*9+sum(J178:J180)*4+sum(N178:N180)*4))</f>
        <v/>
      </c>
      <c r="AC178" s="51" t="str">
        <f>if($C178="","",(sum(H178:H180)/sum(O178:O180)))</f>
        <v/>
      </c>
    </row>
    <row r="179">
      <c r="A179" s="52"/>
      <c r="B179" s="53"/>
      <c r="C179" s="54"/>
      <c r="D179" s="55">
        <v>1.0</v>
      </c>
      <c r="E179" s="56" t="str">
        <f t="array" ref="E179">if(C179="","",_xlfn.xlookup(C179,'Hiker Food'!$C:$C,'Hiker Food'!G:G)*D179)</f>
        <v/>
      </c>
      <c r="F179" s="42" t="str">
        <f t="array" ref="F179">if(C179="","",_xlfn.xlookup(C179,'Hiker Food'!$C:$C,'Hiker Food'!H:H)*D179)</f>
        <v/>
      </c>
      <c r="G179" s="42" t="str">
        <f t="array" ref="G179">if($C179="","",_xlfn.xlookup($C179,'Hiker Food'!$C:$C,'Hiker Food'!J:J)*$D179)</f>
        <v/>
      </c>
      <c r="H179" s="42" t="str">
        <f t="array" ref="H179">if($C179="","",_xlfn.xlookup($C179,'Hiker Food'!$C:$C,'Hiker Food'!K:K)*$D179)</f>
        <v/>
      </c>
      <c r="I179" s="42" t="str">
        <f t="array" ref="I179">if($C179="","",_xlfn.xlookup($C179,'Hiker Food'!$C:$C,'Hiker Food'!L:L)*$D179)</f>
        <v/>
      </c>
      <c r="J179" s="42" t="str">
        <f t="array" ref="J179">if($C179="","",_xlfn.xlookup($C179,'Hiker Food'!$C:$C,'Hiker Food'!M:M)*$D179)</f>
        <v/>
      </c>
      <c r="K179" s="42" t="str">
        <f t="array" ref="K179">if($C179="","",_xlfn.xlookup($C179,'Hiker Food'!$C:$C,'Hiker Food'!N:N)*$D179)</f>
        <v/>
      </c>
      <c r="L179" s="42" t="str">
        <f t="array" ref="L179">if($C179="","",_xlfn.xlookup($C179,'Hiker Food'!$C:$C,'Hiker Food'!O:O)*$D179)</f>
        <v/>
      </c>
      <c r="M179" s="42" t="str">
        <f t="array" ref="M179">if($C179="","",_xlfn.xlookup($C179,'Hiker Food'!$C:$C,'Hiker Food'!P:P)*$D179)</f>
        <v/>
      </c>
      <c r="N179" s="42" t="str">
        <f t="array" ref="N179">if($C179="","",_xlfn.xlookup($C179,'Hiker Food'!$C:$C,'Hiker Food'!Q:Q)*$D179)</f>
        <v/>
      </c>
      <c r="O179" s="42" t="str">
        <f t="array" ref="O179">if($C179="","",_xlfn.xlookup($C179,'Hiker Food'!$C:$C,'Hiker Food'!I:I)*$D179)</f>
        <v/>
      </c>
      <c r="P179" s="56" t="str">
        <f t="array" ref="P179">if($C179="","",_xlfn.xlookup($C179,'Hiker Food'!$C:$C,'Hiker Food'!T:T))</f>
        <v/>
      </c>
      <c r="Q179" s="57" t="str">
        <f t="array" ref="Q179">if($C179="","",_xlfn.xlookup($C179,'Hiker Food'!$C:$C,'Hiker Food'!U:U))</f>
        <v/>
      </c>
      <c r="R179" s="57" t="str">
        <f t="array" ref="R179">if($C179="","",_xlfn.xlookup($C179,'Hiker Food'!$C:$C,'Hiker Food'!V:V))</f>
        <v/>
      </c>
      <c r="S179" s="58" t="str">
        <f t="array" ref="S179">if($C179="","",_xlfn.xlookup($C179,'Hiker Food'!$C:$C,'Hiker Food'!W:W))</f>
        <v/>
      </c>
      <c r="T179" s="59"/>
      <c r="AC179" s="60"/>
    </row>
    <row r="180">
      <c r="A180" s="52"/>
      <c r="B180" s="61"/>
      <c r="C180" s="62"/>
      <c r="D180" s="63">
        <v>1.0</v>
      </c>
      <c r="E180" s="56" t="str">
        <f t="array" ref="E180">if(C180="","",_xlfn.xlookup(C180,'Hiker Food'!$C:$C,'Hiker Food'!G:G)*D180)</f>
        <v/>
      </c>
      <c r="F180" s="64" t="str">
        <f t="array" ref="F180">if(C180="","",_xlfn.xlookup(C180,'Hiker Food'!$C:$C,'Hiker Food'!H:H)*D180)</f>
        <v/>
      </c>
      <c r="G180" s="64" t="str">
        <f t="array" ref="G180">if($C180="","",_xlfn.xlookup($C180,'Hiker Food'!$C:$C,'Hiker Food'!J:J)*$D180)</f>
        <v/>
      </c>
      <c r="H180" s="64" t="str">
        <f t="array" ref="H180">if($C180="","",_xlfn.xlookup($C180,'Hiker Food'!$C:$C,'Hiker Food'!K:K)*$D180)</f>
        <v/>
      </c>
      <c r="I180" s="64" t="str">
        <f t="array" ref="I180">if($C180="","",_xlfn.xlookup($C180,'Hiker Food'!$C:$C,'Hiker Food'!L:L)*$D180)</f>
        <v/>
      </c>
      <c r="J180" s="64" t="str">
        <f t="array" ref="J180">if($C180="","",_xlfn.xlookup($C180,'Hiker Food'!$C:$C,'Hiker Food'!M:M)*$D180)</f>
        <v/>
      </c>
      <c r="K180" s="64" t="str">
        <f t="array" ref="K180">if($C180="","",_xlfn.xlookup($C180,'Hiker Food'!$C:$C,'Hiker Food'!N:N)*$D180)</f>
        <v/>
      </c>
      <c r="L180" s="64" t="str">
        <f t="array" ref="L180">if($C180="","",_xlfn.xlookup($C180,'Hiker Food'!$C:$C,'Hiker Food'!O:O)*$D180)</f>
        <v/>
      </c>
      <c r="M180" s="64" t="str">
        <f t="array" ref="M180">if($C180="","",_xlfn.xlookup($C180,'Hiker Food'!$C:$C,'Hiker Food'!P:P)*$D180)</f>
        <v/>
      </c>
      <c r="N180" s="64" t="str">
        <f t="array" ref="N180">if($C180="","",_xlfn.xlookup($C180,'Hiker Food'!$C:$C,'Hiker Food'!Q:Q)*$D180)</f>
        <v/>
      </c>
      <c r="O180" s="42" t="str">
        <f t="array" ref="O180">if($C180="","",_xlfn.xlookup($C180,'Hiker Food'!$C:$C,'Hiker Food'!I:I)*$D180)</f>
        <v/>
      </c>
      <c r="P180" s="56" t="str">
        <f t="array" ref="P180">if($C180="","",_xlfn.xlookup($C180,'Hiker Food'!$C:$C,'Hiker Food'!T:T))</f>
        <v/>
      </c>
      <c r="Q180" s="57" t="str">
        <f t="array" ref="Q180">if($C180="","",_xlfn.xlookup($C180,'Hiker Food'!$C:$C,'Hiker Food'!U:U))</f>
        <v/>
      </c>
      <c r="R180" s="57" t="str">
        <f t="array" ref="R180">if($C180="","",_xlfn.xlookup($C180,'Hiker Food'!$C:$C,'Hiker Food'!V:V))</f>
        <v/>
      </c>
      <c r="S180" s="58" t="str">
        <f t="array" ref="S180">if($C180="","",_xlfn.xlookup($C180,'Hiker Food'!$C:$C,'Hiker Food'!W:W))</f>
        <v/>
      </c>
      <c r="T180" s="65"/>
      <c r="U180" s="66"/>
      <c r="V180" s="66"/>
      <c r="W180" s="66"/>
      <c r="X180" s="66"/>
      <c r="Y180" s="66"/>
      <c r="Z180" s="66"/>
      <c r="AA180" s="66"/>
      <c r="AB180" s="66"/>
      <c r="AC180" s="67"/>
    </row>
    <row r="181">
      <c r="A181" s="52"/>
      <c r="B181" s="68" t="s">
        <v>179</v>
      </c>
      <c r="C181" s="69"/>
      <c r="D181" s="70">
        <v>2.0</v>
      </c>
      <c r="E181" s="71" t="str">
        <f t="array" ref="E181">if(C181="","",_xlfn.xlookup(C181,'Hiker Food'!$C:$C,'Hiker Food'!G:G)*D181)</f>
        <v/>
      </c>
      <c r="F181" s="42" t="str">
        <f t="array" ref="F181">if(C181="","",_xlfn.xlookup(C181,'Hiker Food'!$C:$C,'Hiker Food'!H:H)*D181)</f>
        <v/>
      </c>
      <c r="G181" s="72" t="str">
        <f t="array" ref="G181">if($C181="","",_xlfn.xlookup($C181,'Hiker Food'!$C:$C,'Hiker Food'!J:J)*$D181)</f>
        <v/>
      </c>
      <c r="H181" s="72" t="str">
        <f t="array" ref="H181">if($C181="","",_xlfn.xlookup($C181,'Hiker Food'!$C:$C,'Hiker Food'!K:K)*$D181)</f>
        <v/>
      </c>
      <c r="I181" s="72" t="str">
        <f t="array" ref="I181">if($C181="","",_xlfn.xlookup($C181,'Hiker Food'!$C:$C,'Hiker Food'!L:L)*$D181)</f>
        <v/>
      </c>
      <c r="J181" s="72" t="str">
        <f t="array" ref="J181">if($C181="","",_xlfn.xlookup($C181,'Hiker Food'!$C:$C,'Hiker Food'!M:M)*$D181)</f>
        <v/>
      </c>
      <c r="K181" s="72" t="str">
        <f t="array" ref="K181">if($C181="","",_xlfn.xlookup($C181,'Hiker Food'!$C:$C,'Hiker Food'!N:N)*$D181)</f>
        <v/>
      </c>
      <c r="L181" s="72" t="str">
        <f t="array" ref="L181">if($C181="","",_xlfn.xlookup($C181,'Hiker Food'!$C:$C,'Hiker Food'!O:O)*$D181)</f>
        <v/>
      </c>
      <c r="M181" s="72" t="str">
        <f t="array" ref="M181">if($C181="","",_xlfn.xlookup($C181,'Hiker Food'!$C:$C,'Hiker Food'!P:P)*$D181)</f>
        <v/>
      </c>
      <c r="N181" s="72" t="str">
        <f t="array" ref="N181">if($C181="","",_xlfn.xlookup($C181,'Hiker Food'!$C:$C,'Hiker Food'!Q:Q)*$D181)</f>
        <v/>
      </c>
      <c r="O181" s="72" t="str">
        <f t="array" ref="O181">if($C181="","",_xlfn.xlookup($C181,'Hiker Food'!$C:$C,'Hiker Food'!I:I)*$D181)</f>
        <v/>
      </c>
      <c r="P181" s="71" t="str">
        <f t="array" ref="P181">if($C181="","",_xlfn.xlookup($C181,'Hiker Food'!$C:$C,'Hiker Food'!T:T))</f>
        <v/>
      </c>
      <c r="Q181" s="73" t="str">
        <f t="array" ref="Q181">if($C181="","",_xlfn.xlookup($C181,'Hiker Food'!$C:$C,'Hiker Food'!U:U))</f>
        <v/>
      </c>
      <c r="R181" s="73" t="str">
        <f t="array" ref="R181">if($C181="","",_xlfn.xlookup($C181,'Hiker Food'!$C:$C,'Hiker Food'!V:V))</f>
        <v/>
      </c>
      <c r="S181" s="74" t="str">
        <f t="array" ref="S181">if($C181="","",_xlfn.xlookup($C181,'Hiker Food'!$C:$C,'Hiker Food'!W:W))</f>
        <v/>
      </c>
      <c r="T181" s="75" t="s">
        <v>179</v>
      </c>
      <c r="U181" s="76" t="str">
        <f>if(C181="","",Y181/V181)</f>
        <v/>
      </c>
      <c r="V181" s="96" t="str">
        <f>if($C181="","",sum(E181:E183))</f>
        <v/>
      </c>
      <c r="W181" s="77" t="str">
        <f>if($C181="","",$Y181/X181)</f>
        <v/>
      </c>
      <c r="X181" s="96" t="str">
        <f>if($C181="","",sum(F181:F183))</f>
        <v/>
      </c>
      <c r="Y181" s="96" t="str">
        <f>if($C181="","",sum(O181:O183))</f>
        <v/>
      </c>
      <c r="Z181" s="77" t="str">
        <f>if($C181="","",(sum(J181:J183)/sum(N181:N183)))</f>
        <v/>
      </c>
      <c r="AA181" s="78" t="str">
        <f>if($C181="","",sum(G181:G183)*9/sum(sum(G181:G183)*9+sum(J181:J183)*4+sum(N181:N183)*4))</f>
        <v/>
      </c>
      <c r="AB181" s="78" t="str">
        <f>if($C181="","",sum(L181:L183)*4/sum(sum(G181:G183)*9+sum(J181:J183)*4+sum(N181:N183)*4))</f>
        <v/>
      </c>
      <c r="AC181" s="79" t="str">
        <f>if($C181="","",(sum(H181:H183)/sum(O181:O183)))</f>
        <v/>
      </c>
    </row>
    <row r="182">
      <c r="A182" s="52"/>
      <c r="B182" s="53"/>
      <c r="C182" s="54"/>
      <c r="D182" s="55">
        <v>2.0</v>
      </c>
      <c r="E182" s="56" t="str">
        <f t="array" ref="E182">if(C182="","",_xlfn.xlookup(C182,'Hiker Food'!$C:$C,'Hiker Food'!G:G)*D182)</f>
        <v/>
      </c>
      <c r="F182" s="42" t="str">
        <f t="array" ref="F182">if(C182="","",_xlfn.xlookup(C182,'Hiker Food'!$C:$C,'Hiker Food'!H:H)*D182)</f>
        <v/>
      </c>
      <c r="G182" s="42" t="str">
        <f t="array" ref="G182">if($C182="","",_xlfn.xlookup($C182,'Hiker Food'!$C:$C,'Hiker Food'!J:J)*$D182)</f>
        <v/>
      </c>
      <c r="H182" s="42" t="str">
        <f t="array" ref="H182">if($C182="","",_xlfn.xlookup($C182,'Hiker Food'!$C:$C,'Hiker Food'!K:K)*$D182)</f>
        <v/>
      </c>
      <c r="I182" s="42" t="str">
        <f t="array" ref="I182">if($C182="","",_xlfn.xlookup($C182,'Hiker Food'!$C:$C,'Hiker Food'!L:L)*$D182)</f>
        <v/>
      </c>
      <c r="J182" s="42" t="str">
        <f t="array" ref="J182">if($C182="","",_xlfn.xlookup($C182,'Hiker Food'!$C:$C,'Hiker Food'!M:M)*$D182)</f>
        <v/>
      </c>
      <c r="K182" s="42" t="str">
        <f t="array" ref="K182">if($C182="","",_xlfn.xlookup($C182,'Hiker Food'!$C:$C,'Hiker Food'!N:N)*$D182)</f>
        <v/>
      </c>
      <c r="L182" s="42" t="str">
        <f t="array" ref="L182">if($C182="","",_xlfn.xlookup($C182,'Hiker Food'!$C:$C,'Hiker Food'!O:O)*$D182)</f>
        <v/>
      </c>
      <c r="M182" s="42" t="str">
        <f t="array" ref="M182">if($C182="","",_xlfn.xlookup($C182,'Hiker Food'!$C:$C,'Hiker Food'!P:P)*$D182)</f>
        <v/>
      </c>
      <c r="N182" s="42" t="str">
        <f t="array" ref="N182">if($C182="","",_xlfn.xlookup($C182,'Hiker Food'!$C:$C,'Hiker Food'!Q:Q)*$D182)</f>
        <v/>
      </c>
      <c r="O182" s="42" t="str">
        <f t="array" ref="O182">if($C182="","",_xlfn.xlookup($C182,'Hiker Food'!$C:$C,'Hiker Food'!I:I)*$D182)</f>
        <v/>
      </c>
      <c r="P182" s="56" t="str">
        <f t="array" ref="P182">if($C182="","",_xlfn.xlookup($C182,'Hiker Food'!$C:$C,'Hiker Food'!T:T))</f>
        <v/>
      </c>
      <c r="Q182" s="57" t="str">
        <f t="array" ref="Q182">if($C182="","",_xlfn.xlookup($C182,'Hiker Food'!$C:$C,'Hiker Food'!U:U))</f>
        <v/>
      </c>
      <c r="R182" s="57" t="str">
        <f t="array" ref="R182">if($C182="","",_xlfn.xlookup($C182,'Hiker Food'!$C:$C,'Hiker Food'!V:V))</f>
        <v/>
      </c>
      <c r="S182" s="58" t="str">
        <f t="array" ref="S182">if($C182="","",_xlfn.xlookup($C182,'Hiker Food'!$C:$C,'Hiker Food'!W:W))</f>
        <v/>
      </c>
      <c r="T182" s="80"/>
      <c r="AC182" s="60"/>
    </row>
    <row r="183">
      <c r="A183" s="52"/>
      <c r="B183" s="61"/>
      <c r="C183" s="54"/>
      <c r="D183" s="63">
        <v>1.0</v>
      </c>
      <c r="E183" s="81" t="str">
        <f t="array" ref="E183">if(C183="","",_xlfn.xlookup(C183,'Hiker Food'!$C:$C,'Hiker Food'!G:G)*D183)</f>
        <v/>
      </c>
      <c r="F183" s="64" t="str">
        <f t="array" ref="F183">if(C183="","",_xlfn.xlookup(C183,'Hiker Food'!$C:$C,'Hiker Food'!H:H)*D183)</f>
        <v/>
      </c>
      <c r="G183" s="64" t="str">
        <f t="array" ref="G183">if($C183="","",_xlfn.xlookup($C183,'Hiker Food'!$C:$C,'Hiker Food'!J:J)*$D183)</f>
        <v/>
      </c>
      <c r="H183" s="64" t="str">
        <f t="array" ref="H183">if($C183="","",_xlfn.xlookup($C183,'Hiker Food'!$C:$C,'Hiker Food'!K:K)*$D183)</f>
        <v/>
      </c>
      <c r="I183" s="64" t="str">
        <f t="array" ref="I183">if($C183="","",_xlfn.xlookup($C183,'Hiker Food'!$C:$C,'Hiker Food'!L:L)*$D183)</f>
        <v/>
      </c>
      <c r="J183" s="64" t="str">
        <f t="array" ref="J183">if($C183="","",_xlfn.xlookup($C183,'Hiker Food'!$C:$C,'Hiker Food'!M:M)*$D183)</f>
        <v/>
      </c>
      <c r="K183" s="64" t="str">
        <f t="array" ref="K183">if($C183="","",_xlfn.xlookup($C183,'Hiker Food'!$C:$C,'Hiker Food'!N:N)*$D183)</f>
        <v/>
      </c>
      <c r="L183" s="64" t="str">
        <f t="array" ref="L183">if($C183="","",_xlfn.xlookup($C183,'Hiker Food'!$C:$C,'Hiker Food'!O:O)*$D183)</f>
        <v/>
      </c>
      <c r="M183" s="64" t="str">
        <f t="array" ref="M183">if($C183="","",_xlfn.xlookup($C183,'Hiker Food'!$C:$C,'Hiker Food'!P:P)*$D183)</f>
        <v/>
      </c>
      <c r="N183" s="64" t="str">
        <f t="array" ref="N183">if($C183="","",_xlfn.xlookup($C183,'Hiker Food'!$C:$C,'Hiker Food'!Q:Q)*$D183)</f>
        <v/>
      </c>
      <c r="O183" s="64" t="str">
        <f t="array" ref="O183">if($C183="","",_xlfn.xlookup($C183,'Hiker Food'!$C:$C,'Hiker Food'!I:I)*$D183)</f>
        <v/>
      </c>
      <c r="P183" s="81" t="str">
        <f t="array" ref="P183">if($C183="","",_xlfn.xlookup($C183,'Hiker Food'!$C:$C,'Hiker Food'!T:T))</f>
        <v/>
      </c>
      <c r="Q183" s="82" t="str">
        <f t="array" ref="Q183">if($C183="","",_xlfn.xlookup($C183,'Hiker Food'!$C:$C,'Hiker Food'!U:U))</f>
        <v/>
      </c>
      <c r="R183" s="82" t="str">
        <f t="array" ref="R183">if($C183="","",_xlfn.xlookup($C183,'Hiker Food'!$C:$C,'Hiker Food'!V:V))</f>
        <v/>
      </c>
      <c r="S183" s="83" t="str">
        <f t="array" ref="S183">if($C183="","",_xlfn.xlookup($C183,'Hiker Food'!$C:$C,'Hiker Food'!W:W))</f>
        <v/>
      </c>
      <c r="T183" s="84"/>
      <c r="U183" s="66"/>
      <c r="V183" s="66"/>
      <c r="W183" s="66"/>
      <c r="X183" s="66"/>
      <c r="Y183" s="66"/>
      <c r="Z183" s="66"/>
      <c r="AA183" s="66"/>
      <c r="AB183" s="66"/>
      <c r="AC183" s="67"/>
    </row>
    <row r="184">
      <c r="A184" s="52"/>
      <c r="B184" s="68" t="s">
        <v>257</v>
      </c>
      <c r="C184" s="85"/>
      <c r="D184" s="70">
        <v>3.0</v>
      </c>
      <c r="E184" s="56" t="str">
        <f t="array" ref="E184">if(C184="","",_xlfn.xlookup(C184,'Hiker Food'!$C:$C,'Hiker Food'!G:G)*D184)</f>
        <v/>
      </c>
      <c r="F184" s="86" t="str">
        <f t="array" ref="F184">if(C184="","",_xlfn.xlookup(C184,'Hiker Food'!$C:$C,'Hiker Food'!H:H)*D184)</f>
        <v/>
      </c>
      <c r="G184" s="72" t="str">
        <f t="array" ref="G184">if($C184="","",_xlfn.xlookup($C184,'Hiker Food'!$C:$C,'Hiker Food'!J:J)*$D184)</f>
        <v/>
      </c>
      <c r="H184" s="72" t="str">
        <f t="array" ref="H184">if($C184="","",_xlfn.xlookup($C184,'Hiker Food'!$C:$C,'Hiker Food'!K:K)*$D184)</f>
        <v/>
      </c>
      <c r="I184" s="72" t="str">
        <f t="array" ref="I184">if($C184="","",_xlfn.xlookup($C184,'Hiker Food'!$C:$C,'Hiker Food'!L:L)*$D184)</f>
        <v/>
      </c>
      <c r="J184" s="72" t="str">
        <f t="array" ref="J184">if($C184="","",_xlfn.xlookup($C184,'Hiker Food'!$C:$C,'Hiker Food'!M:M)*$D184)</f>
        <v/>
      </c>
      <c r="K184" s="72" t="str">
        <f t="array" ref="K184">if($C184="","",_xlfn.xlookup($C184,'Hiker Food'!$C:$C,'Hiker Food'!N:N)*$D184)</f>
        <v/>
      </c>
      <c r="L184" s="72" t="str">
        <f t="array" ref="L184">if($C184="","",_xlfn.xlookup($C184,'Hiker Food'!$C:$C,'Hiker Food'!O:O)*$D184)</f>
        <v/>
      </c>
      <c r="M184" s="72" t="str">
        <f t="array" ref="M184">if($C184="","",_xlfn.xlookup($C184,'Hiker Food'!$C:$C,'Hiker Food'!P:P)*$D184)</f>
        <v/>
      </c>
      <c r="N184" s="72" t="str">
        <f t="array" ref="N184">if($C184="","",_xlfn.xlookup($C184,'Hiker Food'!$C:$C,'Hiker Food'!Q:Q)*$D184)</f>
        <v/>
      </c>
      <c r="O184" s="42" t="str">
        <f t="array" ref="O184">if($C184="","",_xlfn.xlookup($C184,'Hiker Food'!$C:$C,'Hiker Food'!I:I)*$D184)</f>
        <v/>
      </c>
      <c r="P184" s="56" t="str">
        <f t="array" ref="P184">if($C184="","",_xlfn.xlookup($C184,'Hiker Food'!$C:$C,'Hiker Food'!T:T))</f>
        <v/>
      </c>
      <c r="Q184" s="57" t="str">
        <f t="array" ref="Q184">if($C184="","",_xlfn.xlookup($C184,'Hiker Food'!$C:$C,'Hiker Food'!U:U))</f>
        <v/>
      </c>
      <c r="R184" s="57" t="str">
        <f t="array" ref="R184">if($C184="","",_xlfn.xlookup($C184,'Hiker Food'!$C:$C,'Hiker Food'!V:V))</f>
        <v/>
      </c>
      <c r="S184" s="58" t="str">
        <f t="array" ref="S184">if($C184="","",_xlfn.xlookup($C184,'Hiker Food'!$C:$C,'Hiker Food'!W:W))</f>
        <v/>
      </c>
      <c r="T184" s="87" t="s">
        <v>257</v>
      </c>
      <c r="U184" s="76" t="str">
        <f>if(C184="","",Y184/V184)</f>
        <v/>
      </c>
      <c r="V184" s="96" t="str">
        <f>if($C184="","",sum(E184:E186))</f>
        <v/>
      </c>
      <c r="W184" s="77" t="str">
        <f>if($C184="","",$Y184/X184)</f>
        <v/>
      </c>
      <c r="X184" s="96" t="str">
        <f>if($C184="","",sum(F184:F186))</f>
        <v/>
      </c>
      <c r="Y184" s="96" t="str">
        <f>if($C184="","",sum(O184:O186))</f>
        <v/>
      </c>
      <c r="Z184" s="77" t="str">
        <f>if($C184="","",(sum(J184:J186)/sum(N184:N186)))</f>
        <v/>
      </c>
      <c r="AA184" s="78" t="str">
        <f>if($C184="","",sum(G184:G186)*9/sum(sum(G184:G186)*9+sum(J184:J186)*4+sum(N184:N186)*4))</f>
        <v/>
      </c>
      <c r="AB184" s="78" t="str">
        <f>if($C184="","",sum(L184:L186)*4/sum(sum(G184:G186)*9+sum(J184:J186)*4+sum(N184:N186)*4))</f>
        <v/>
      </c>
      <c r="AC184" s="79" t="str">
        <f>if($C184="","",(sum(H184:H186)/sum(O184:O186)))</f>
        <v/>
      </c>
    </row>
    <row r="185">
      <c r="A185" s="52"/>
      <c r="B185" s="53"/>
      <c r="C185" s="88"/>
      <c r="D185" s="55">
        <v>3.0</v>
      </c>
      <c r="E185" s="56" t="str">
        <f t="array" ref="E185">if(C185="","",_xlfn.xlookup(C185,'Hiker Food'!$C:$C,'Hiker Food'!G:G)*D185)</f>
        <v/>
      </c>
      <c r="F185" s="86" t="str">
        <f t="array" ref="F185">if(C185="","",_xlfn.xlookup(C185,'Hiker Food'!$C:$C,'Hiker Food'!H:H)*D185)</f>
        <v/>
      </c>
      <c r="G185" s="42" t="str">
        <f t="array" ref="G185">if($C185="","",_xlfn.xlookup($C185,'Hiker Food'!$C:$C,'Hiker Food'!J:J)*$D185)</f>
        <v/>
      </c>
      <c r="H185" s="42" t="str">
        <f t="array" ref="H185">if($C185="","",_xlfn.xlookup($C185,'Hiker Food'!$C:$C,'Hiker Food'!K:K)*$D185)</f>
        <v/>
      </c>
      <c r="I185" s="42" t="str">
        <f t="array" ref="I185">if($C185="","",_xlfn.xlookup($C185,'Hiker Food'!$C:$C,'Hiker Food'!L:L)*$D185)</f>
        <v/>
      </c>
      <c r="J185" s="42" t="str">
        <f t="array" ref="J185">if($C185="","",_xlfn.xlookup($C185,'Hiker Food'!$C:$C,'Hiker Food'!M:M)*$D185)</f>
        <v/>
      </c>
      <c r="K185" s="42" t="str">
        <f t="array" ref="K185">if($C185="","",_xlfn.xlookup($C185,'Hiker Food'!$C:$C,'Hiker Food'!N:N)*$D185)</f>
        <v/>
      </c>
      <c r="L185" s="42" t="str">
        <f t="array" ref="L185">if($C185="","",_xlfn.xlookup($C185,'Hiker Food'!$C:$C,'Hiker Food'!O:O)*$D185)</f>
        <v/>
      </c>
      <c r="M185" s="42" t="str">
        <f t="array" ref="M185">if($C185="","",_xlfn.xlookup($C185,'Hiker Food'!$C:$C,'Hiker Food'!P:P)*$D185)</f>
        <v/>
      </c>
      <c r="N185" s="42" t="str">
        <f t="array" ref="N185">if($C185="","",_xlfn.xlookup($C185,'Hiker Food'!$C:$C,'Hiker Food'!Q:Q)*$D185)</f>
        <v/>
      </c>
      <c r="O185" s="42" t="str">
        <f t="array" ref="O185">if($C185="","",_xlfn.xlookup($C185,'Hiker Food'!$C:$C,'Hiker Food'!I:I)*$D185)</f>
        <v/>
      </c>
      <c r="P185" s="56" t="str">
        <f t="array" ref="P185">if($C185="","",_xlfn.xlookup($C185,'Hiker Food'!$C:$C,'Hiker Food'!T:T))</f>
        <v/>
      </c>
      <c r="Q185" s="57" t="str">
        <f t="array" ref="Q185">if($C185="","",_xlfn.xlookup($C185,'Hiker Food'!$C:$C,'Hiker Food'!U:U))</f>
        <v/>
      </c>
      <c r="R185" s="57" t="str">
        <f t="array" ref="R185">if($C185="","",_xlfn.xlookup($C185,'Hiker Food'!$C:$C,'Hiker Food'!V:V))</f>
        <v/>
      </c>
      <c r="S185" s="58" t="str">
        <f t="array" ref="S185">if($C185="","",_xlfn.xlookup($C185,'Hiker Food'!$C:$C,'Hiker Food'!W:W))</f>
        <v/>
      </c>
      <c r="T185" s="59"/>
      <c r="AC185" s="60"/>
    </row>
    <row r="186">
      <c r="A186" s="52"/>
      <c r="B186" s="61"/>
      <c r="C186" s="62"/>
      <c r="D186" s="63">
        <v>1.0</v>
      </c>
      <c r="E186" s="81" t="str">
        <f t="array" ref="E186">if(C186="","",_xlfn.xlookup(C186,'Hiker Food'!$C:$C,'Hiker Food'!G:G)*D186)</f>
        <v/>
      </c>
      <c r="F186" s="89" t="str">
        <f t="array" ref="F186">if(C186="","",_xlfn.xlookup(C186,'Hiker Food'!$C:$C,'Hiker Food'!H:H)*D186)</f>
        <v/>
      </c>
      <c r="G186" s="64" t="str">
        <f t="array" ref="G186">if($C186="","",_xlfn.xlookup($C186,'Hiker Food'!$C:$C,'Hiker Food'!J:J)*$D186)</f>
        <v/>
      </c>
      <c r="H186" s="64" t="str">
        <f t="array" ref="H186">if($C186="","",_xlfn.xlookup($C186,'Hiker Food'!$C:$C,'Hiker Food'!K:K)*$D186)</f>
        <v/>
      </c>
      <c r="I186" s="64" t="str">
        <f t="array" ref="I186">if($C186="","",_xlfn.xlookup($C186,'Hiker Food'!$C:$C,'Hiker Food'!L:L)*$D186)</f>
        <v/>
      </c>
      <c r="J186" s="64" t="str">
        <f t="array" ref="J186">if($C186="","",_xlfn.xlookup($C186,'Hiker Food'!$C:$C,'Hiker Food'!M:M)*$D186)</f>
        <v/>
      </c>
      <c r="K186" s="64" t="str">
        <f t="array" ref="K186">if($C186="","",_xlfn.xlookup($C186,'Hiker Food'!$C:$C,'Hiker Food'!N:N)*$D186)</f>
        <v/>
      </c>
      <c r="L186" s="64" t="str">
        <f t="array" ref="L186">if($C186="","",_xlfn.xlookup($C186,'Hiker Food'!$C:$C,'Hiker Food'!O:O)*$D186)</f>
        <v/>
      </c>
      <c r="M186" s="64" t="str">
        <f t="array" ref="M186">if($C186="","",_xlfn.xlookup($C186,'Hiker Food'!$C:$C,'Hiker Food'!P:P)*$D186)</f>
        <v/>
      </c>
      <c r="N186" s="64" t="str">
        <f t="array" ref="N186">if($C186="","",_xlfn.xlookup($C186,'Hiker Food'!$C:$C,'Hiker Food'!Q:Q)*$D186)</f>
        <v/>
      </c>
      <c r="O186" s="64" t="str">
        <f t="array" ref="O186">if($C186="","",_xlfn.xlookup($C186,'Hiker Food'!$C:$C,'Hiker Food'!I:I)*$D186)</f>
        <v/>
      </c>
      <c r="P186" s="81" t="str">
        <f t="array" ref="P186">if($C186="","",_xlfn.xlookup($C186,'Hiker Food'!$C:$C,'Hiker Food'!T:T))</f>
        <v/>
      </c>
      <c r="Q186" s="82" t="str">
        <f t="array" ref="Q186">if($C186="","",_xlfn.xlookup($C186,'Hiker Food'!$C:$C,'Hiker Food'!U:U))</f>
        <v/>
      </c>
      <c r="R186" s="82" t="str">
        <f t="array" ref="R186">if($C186="","",_xlfn.xlookup($C186,'Hiker Food'!$C:$C,'Hiker Food'!V:V))</f>
        <v/>
      </c>
      <c r="S186" s="83" t="str">
        <f t="array" ref="S186">if($C186="","",_xlfn.xlookup($C186,'Hiker Food'!$C:$C,'Hiker Food'!W:W))</f>
        <v/>
      </c>
      <c r="T186" s="65"/>
      <c r="U186" s="66"/>
      <c r="V186" s="66"/>
      <c r="W186" s="66"/>
      <c r="X186" s="66"/>
      <c r="Y186" s="66"/>
      <c r="Z186" s="66"/>
      <c r="AA186" s="66"/>
      <c r="AB186" s="66"/>
      <c r="AC186" s="67"/>
    </row>
    <row r="187">
      <c r="A187" s="52"/>
      <c r="B187" s="68" t="s">
        <v>314</v>
      </c>
      <c r="C187" s="90"/>
      <c r="D187" s="70">
        <v>1.0</v>
      </c>
      <c r="E187" s="71" t="str">
        <f t="array" ref="E187">if(C187="","",_xlfn.xlookup(C187,'Hiker Food'!$C:$C,'Hiker Food'!G:G)*D187)</f>
        <v/>
      </c>
      <c r="F187" s="42" t="str">
        <f t="array" ref="F187">if(C187="","",_xlfn.xlookup(C187,'Hiker Food'!$C:$C,'Hiker Food'!H:H)*D187)</f>
        <v/>
      </c>
      <c r="G187" s="72" t="str">
        <f t="array" ref="G187">if($C187="","",_xlfn.xlookup($C187,'Hiker Food'!$C:$C,'Hiker Food'!J:J)*$D187)</f>
        <v/>
      </c>
      <c r="H187" s="72" t="str">
        <f t="array" ref="H187">if($C187="","",_xlfn.xlookup($C187,'Hiker Food'!$C:$C,'Hiker Food'!K:K)*$D187)</f>
        <v/>
      </c>
      <c r="I187" s="72" t="str">
        <f t="array" ref="I187">if($C187="","",_xlfn.xlookup($C187,'Hiker Food'!$C:$C,'Hiker Food'!L:L)*$D187)</f>
        <v/>
      </c>
      <c r="J187" s="72" t="str">
        <f t="array" ref="J187">if($C187="","",_xlfn.xlookup($C187,'Hiker Food'!$C:$C,'Hiker Food'!M:M)*$D187)</f>
        <v/>
      </c>
      <c r="K187" s="72" t="str">
        <f t="array" ref="K187">if($C187="","",_xlfn.xlookup($C187,'Hiker Food'!$C:$C,'Hiker Food'!N:N)*$D187)</f>
        <v/>
      </c>
      <c r="L187" s="72" t="str">
        <f t="array" ref="L187">if($C187="","",_xlfn.xlookup($C187,'Hiker Food'!$C:$C,'Hiker Food'!O:O)*$D187)</f>
        <v/>
      </c>
      <c r="M187" s="72" t="str">
        <f t="array" ref="M187">if($C187="","",_xlfn.xlookup($C187,'Hiker Food'!$C:$C,'Hiker Food'!P:P)*$D187)</f>
        <v/>
      </c>
      <c r="N187" s="72" t="str">
        <f t="array" ref="N187">if($C187="","",_xlfn.xlookup($C187,'Hiker Food'!$C:$C,'Hiker Food'!Q:Q)*$D187)</f>
        <v/>
      </c>
      <c r="O187" s="72" t="str">
        <f t="array" ref="O187">if($C187="","",_xlfn.xlookup($C187,'Hiker Food'!$C:$C,'Hiker Food'!I:I)*$D187)</f>
        <v/>
      </c>
      <c r="P187" s="71" t="str">
        <f t="array" ref="P187">if($C187="","",_xlfn.xlookup($C187,'Hiker Food'!$C:$C,'Hiker Food'!T:T))</f>
        <v/>
      </c>
      <c r="Q187" s="73" t="str">
        <f t="array" ref="Q187">if($C187="","",_xlfn.xlookup($C187,'Hiker Food'!$C:$C,'Hiker Food'!U:U))</f>
        <v/>
      </c>
      <c r="R187" s="73" t="str">
        <f t="array" ref="R187">if($C187="","",_xlfn.xlookup($C187,'Hiker Food'!$C:$C,'Hiker Food'!V:V))</f>
        <v/>
      </c>
      <c r="S187" s="74" t="str">
        <f t="array" ref="S187">if($C187="","",_xlfn.xlookup($C187,'Hiker Food'!$C:$C,'Hiker Food'!W:W))</f>
        <v/>
      </c>
      <c r="T187" s="91" t="s">
        <v>314</v>
      </c>
      <c r="U187" s="76" t="str">
        <f>if(C187="","",Y187/V187)</f>
        <v/>
      </c>
      <c r="V187" s="96" t="str">
        <f>if($C187="","",sum(E187:E189))</f>
        <v/>
      </c>
      <c r="W187" s="77" t="str">
        <f>if($C187="","",$Y187/X187)</f>
        <v/>
      </c>
      <c r="X187" s="96" t="str">
        <f>if($C187="","",sum(F187:F189))</f>
        <v/>
      </c>
      <c r="Y187" s="96" t="str">
        <f>if($C187="","",sum(O187:O189))</f>
        <v/>
      </c>
      <c r="Z187" s="77" t="str">
        <f>if($C187="","",(sum(J187:J189)/sum(N187:N189)))</f>
        <v/>
      </c>
      <c r="AA187" s="78" t="str">
        <f>if($C187="","",sum(G187:G189)*9/sum(sum(G187:G189)*9+sum(J187:J189)*4+sum(N187:N189)*4))</f>
        <v/>
      </c>
      <c r="AB187" s="78" t="str">
        <f>if($C187="","",sum(L187:L189)*4/sum(sum(G187:G189)*9+sum(J187:J189)*4+sum(N187:N189)*4))</f>
        <v/>
      </c>
      <c r="AC187" s="79" t="str">
        <f>if($C187="","",(sum(H187:H189)/sum(O187:O189)))</f>
        <v/>
      </c>
    </row>
    <row r="188">
      <c r="A188" s="52"/>
      <c r="B188" s="53"/>
      <c r="C188" s="54"/>
      <c r="D188" s="55">
        <v>1.0</v>
      </c>
      <c r="E188" s="56" t="str">
        <f t="array" ref="E188">if(C188="","",_xlfn.xlookup(C188,'Hiker Food'!$C:$C,'Hiker Food'!G:G)*D188)</f>
        <v/>
      </c>
      <c r="F188" s="42" t="str">
        <f t="array" ref="F188">if(C188="","",_xlfn.xlookup(C188,'Hiker Food'!$C:$C,'Hiker Food'!H:H)*D188)</f>
        <v/>
      </c>
      <c r="G188" s="42" t="str">
        <f t="array" ref="G188">if($C188="","",_xlfn.xlookup($C188,'Hiker Food'!$C:$C,'Hiker Food'!J:J)*$D188)</f>
        <v/>
      </c>
      <c r="H188" s="42" t="str">
        <f t="array" ref="H188">if($C188="","",_xlfn.xlookup($C188,'Hiker Food'!$C:$C,'Hiker Food'!K:K)*$D188)</f>
        <v/>
      </c>
      <c r="I188" s="42" t="str">
        <f t="array" ref="I188">if($C188="","",_xlfn.xlookup($C188,'Hiker Food'!$C:$C,'Hiker Food'!L:L)*$D188)</f>
        <v/>
      </c>
      <c r="J188" s="42" t="str">
        <f t="array" ref="J188">if($C188="","",_xlfn.xlookup($C188,'Hiker Food'!$C:$C,'Hiker Food'!M:M)*$D188)</f>
        <v/>
      </c>
      <c r="K188" s="42" t="str">
        <f t="array" ref="K188">if($C188="","",_xlfn.xlookup($C188,'Hiker Food'!$C:$C,'Hiker Food'!N:N)*$D188)</f>
        <v/>
      </c>
      <c r="L188" s="42" t="str">
        <f t="array" ref="L188">if($C188="","",_xlfn.xlookup($C188,'Hiker Food'!$C:$C,'Hiker Food'!O:O)*$D188)</f>
        <v/>
      </c>
      <c r="M188" s="42" t="str">
        <f t="array" ref="M188">if($C188="","",_xlfn.xlookup($C188,'Hiker Food'!$C:$C,'Hiker Food'!P:P)*$D188)</f>
        <v/>
      </c>
      <c r="N188" s="42" t="str">
        <f t="array" ref="N188">if($C188="","",_xlfn.xlookup($C188,'Hiker Food'!$C:$C,'Hiker Food'!Q:Q)*$D188)</f>
        <v/>
      </c>
      <c r="O188" s="42" t="str">
        <f t="array" ref="O188">if($C188="","",_xlfn.xlookup($C188,'Hiker Food'!$C:$C,'Hiker Food'!I:I)*$D188)</f>
        <v/>
      </c>
      <c r="P188" s="56" t="str">
        <f t="array" ref="P188">if($C188="","",_xlfn.xlookup($C188,'Hiker Food'!$C:$C,'Hiker Food'!T:T))</f>
        <v/>
      </c>
      <c r="Q188" s="57" t="str">
        <f t="array" ref="Q188">if($C188="","",_xlfn.xlookup($C188,'Hiker Food'!$C:$C,'Hiker Food'!U:U))</f>
        <v/>
      </c>
      <c r="R188" s="57" t="str">
        <f t="array" ref="R188">if($C188="","",_xlfn.xlookup($C188,'Hiker Food'!$C:$C,'Hiker Food'!V:V))</f>
        <v/>
      </c>
      <c r="S188" s="58" t="str">
        <f t="array" ref="S188">if($C188="","",_xlfn.xlookup($C188,'Hiker Food'!$C:$C,'Hiker Food'!W:W))</f>
        <v/>
      </c>
      <c r="T188" s="59"/>
      <c r="AC188" s="60"/>
    </row>
    <row r="189">
      <c r="A189" s="52"/>
      <c r="B189" s="61"/>
      <c r="C189" s="62"/>
      <c r="D189" s="63">
        <v>1.0</v>
      </c>
      <c r="E189" s="81" t="str">
        <f t="array" ref="E189">if(C189="","",_xlfn.xlookup(C189,'Hiker Food'!$C:$C,'Hiker Food'!G:G)*D189)</f>
        <v/>
      </c>
      <c r="F189" s="64" t="str">
        <f t="array" ref="F189">if(C189="","",_xlfn.xlookup(C189,'Hiker Food'!$C:$C,'Hiker Food'!H:H)*D189)</f>
        <v/>
      </c>
      <c r="G189" s="64" t="str">
        <f t="array" ref="G189">if($C189="","",_xlfn.xlookup($C189,'Hiker Food'!$C:$C,'Hiker Food'!J:J)*$D189)</f>
        <v/>
      </c>
      <c r="H189" s="64" t="str">
        <f t="array" ref="H189">if($C189="","",_xlfn.xlookup($C189,'Hiker Food'!$C:$C,'Hiker Food'!K:K)*$D189)</f>
        <v/>
      </c>
      <c r="I189" s="64" t="str">
        <f t="array" ref="I189">if($C189="","",_xlfn.xlookup($C189,'Hiker Food'!$C:$C,'Hiker Food'!L:L)*$D189)</f>
        <v/>
      </c>
      <c r="J189" s="64" t="str">
        <f t="array" ref="J189">if($C189="","",_xlfn.xlookup($C189,'Hiker Food'!$C:$C,'Hiker Food'!M:M)*$D189)</f>
        <v/>
      </c>
      <c r="K189" s="64" t="str">
        <f t="array" ref="K189">if($C189="","",_xlfn.xlookup($C189,'Hiker Food'!$C:$C,'Hiker Food'!N:N)*$D189)</f>
        <v/>
      </c>
      <c r="L189" s="64" t="str">
        <f t="array" ref="L189">if($C189="","",_xlfn.xlookup($C189,'Hiker Food'!$C:$C,'Hiker Food'!O:O)*$D189)</f>
        <v/>
      </c>
      <c r="M189" s="64" t="str">
        <f t="array" ref="M189">if($C189="","",_xlfn.xlookup($C189,'Hiker Food'!$C:$C,'Hiker Food'!P:P)*$D189)</f>
        <v/>
      </c>
      <c r="N189" s="64" t="str">
        <f t="array" ref="N189">if($C189="","",_xlfn.xlookup($C189,'Hiker Food'!$C:$C,'Hiker Food'!Q:Q)*$D189)</f>
        <v/>
      </c>
      <c r="O189" s="64" t="str">
        <f t="array" ref="O189">if($C189="","",_xlfn.xlookup($C189,'Hiker Food'!$C:$C,'Hiker Food'!I:I)*$D189)</f>
        <v/>
      </c>
      <c r="P189" s="81" t="str">
        <f t="array" ref="P189">if($C189="","",_xlfn.xlookup($C189,'Hiker Food'!$C:$C,'Hiker Food'!T:T))</f>
        <v/>
      </c>
      <c r="Q189" s="82" t="str">
        <f t="array" ref="Q189">if($C189="","",_xlfn.xlookup($C189,'Hiker Food'!$C:$C,'Hiker Food'!U:U))</f>
        <v/>
      </c>
      <c r="R189" s="82" t="str">
        <f t="array" ref="R189">if($C189="","",_xlfn.xlookup($C189,'Hiker Food'!$C:$C,'Hiker Food'!V:V))</f>
        <v/>
      </c>
      <c r="S189" s="83" t="str">
        <f t="array" ref="S189">if($C189="","",_xlfn.xlookup($C189,'Hiker Food'!$C:$C,'Hiker Food'!W:W))</f>
        <v/>
      </c>
      <c r="T189" s="65"/>
      <c r="U189" s="66"/>
      <c r="V189" s="66"/>
      <c r="W189" s="66"/>
      <c r="X189" s="66"/>
      <c r="Y189" s="66"/>
      <c r="Z189" s="66"/>
      <c r="AA189" s="66"/>
      <c r="AB189" s="66"/>
      <c r="AC189" s="67"/>
    </row>
    <row r="190">
      <c r="A190" s="52"/>
      <c r="B190" s="68" t="s">
        <v>366</v>
      </c>
      <c r="C190" s="90"/>
      <c r="D190" s="70">
        <v>1.0</v>
      </c>
      <c r="E190" s="71" t="str">
        <f t="array" ref="E190">if(C190="","",_xlfn.xlookup(C190,'Hiker Food'!$C:$C,'Hiker Food'!G:G)*D190)</f>
        <v/>
      </c>
      <c r="F190" s="42" t="str">
        <f t="array" ref="F190">if(C190="","",_xlfn.xlookup(C190,'Hiker Food'!$C:$C,'Hiker Food'!H:H)*D190)</f>
        <v/>
      </c>
      <c r="G190" s="72" t="str">
        <f t="array" ref="G190">if($C190="","",_xlfn.xlookup($C190,'Hiker Food'!$C:$C,'Hiker Food'!J:J)*$D190)</f>
        <v/>
      </c>
      <c r="H190" s="72" t="str">
        <f t="array" ref="H190">if($C190="","",_xlfn.xlookup($C190,'Hiker Food'!$C:$C,'Hiker Food'!K:K)*$D190)</f>
        <v/>
      </c>
      <c r="I190" s="72" t="str">
        <f t="array" ref="I190">if($C190="","",_xlfn.xlookup($C190,'Hiker Food'!$C:$C,'Hiker Food'!L:L)*$D190)</f>
        <v/>
      </c>
      <c r="J190" s="72" t="str">
        <f t="array" ref="J190">if($C190="","",_xlfn.xlookup($C190,'Hiker Food'!$C:$C,'Hiker Food'!M:M)*$D190)</f>
        <v/>
      </c>
      <c r="K190" s="72" t="str">
        <f t="array" ref="K190">if($C190="","",_xlfn.xlookup($C190,'Hiker Food'!$C:$C,'Hiker Food'!N:N)*$D190)</f>
        <v/>
      </c>
      <c r="L190" s="72" t="str">
        <f t="array" ref="L190">if($C190="","",_xlfn.xlookup($C190,'Hiker Food'!$C:$C,'Hiker Food'!O:O)*$D190)</f>
        <v/>
      </c>
      <c r="M190" s="72" t="str">
        <f t="array" ref="M190">if($C190="","",_xlfn.xlookup($C190,'Hiker Food'!$C:$C,'Hiker Food'!P:P)*$D190)</f>
        <v/>
      </c>
      <c r="N190" s="72" t="str">
        <f t="array" ref="N190">if($C190="","",_xlfn.xlookup($C190,'Hiker Food'!$C:$C,'Hiker Food'!Q:Q)*$D190)</f>
        <v/>
      </c>
      <c r="O190" s="72" t="str">
        <f t="array" ref="O190">if($C190="","",_xlfn.xlookup($C190,'Hiker Food'!$C:$C,'Hiker Food'!I:I)*$D190)</f>
        <v/>
      </c>
      <c r="P190" s="71" t="str">
        <f t="array" ref="P190">if($C190="","",_xlfn.xlookup($C190,'Hiker Food'!$C:$C,'Hiker Food'!T:T))</f>
        <v/>
      </c>
      <c r="Q190" s="73" t="str">
        <f t="array" ref="Q190">if($C190="","",_xlfn.xlookup($C190,'Hiker Food'!$C:$C,'Hiker Food'!U:U))</f>
        <v/>
      </c>
      <c r="R190" s="73" t="str">
        <f t="array" ref="R190">if($C190="","",_xlfn.xlookup($C190,'Hiker Food'!$C:$C,'Hiker Food'!V:V))</f>
        <v/>
      </c>
      <c r="S190" s="74" t="str">
        <f t="array" ref="S190">if($C190="","",_xlfn.xlookup($C190,'Hiker Food'!$C:$C,'Hiker Food'!W:W))</f>
        <v/>
      </c>
      <c r="T190" s="87" t="s">
        <v>366</v>
      </c>
      <c r="U190" s="76" t="str">
        <f>if(C190="","",Y190/V190)</f>
        <v/>
      </c>
      <c r="V190" s="96" t="str">
        <f>if($C190="","",sum(E190:E192))</f>
        <v/>
      </c>
      <c r="W190" s="77" t="str">
        <f>if($C190="","",$Y190/X190)</f>
        <v/>
      </c>
      <c r="X190" s="96" t="str">
        <f>if($C190="","",sum(F190:F192))</f>
        <v/>
      </c>
      <c r="Y190" s="96" t="str">
        <f>if($C190="","",sum(O190:O192))</f>
        <v/>
      </c>
      <c r="Z190" s="77" t="str">
        <f>if($C190="","",(sum(J190:J192)/sum(N190:N192)))</f>
        <v/>
      </c>
      <c r="AA190" s="78" t="str">
        <f>if($C190="","",sum(G190:G192)*9/sum(sum(G190:G192)*9+sum(J190:J192)*4+sum(N190:N192)*4))</f>
        <v/>
      </c>
      <c r="AB190" s="78" t="str">
        <f>if($C190="","",sum(L190:L192)*4/sum(sum(G190:G192)*9+sum(J190:J192)*4+sum(N190:N192)*4))</f>
        <v/>
      </c>
      <c r="AC190" s="79" t="str">
        <f>if($C190="","",(sum(H190:H192)/sum(O190:O192)))</f>
        <v/>
      </c>
    </row>
    <row r="191">
      <c r="A191" s="52"/>
      <c r="B191" s="53"/>
      <c r="C191" s="93"/>
      <c r="D191" s="55">
        <v>1.0</v>
      </c>
      <c r="E191" s="56" t="str">
        <f t="array" ref="E191">if(C191="","",_xlfn.xlookup(C191,'Hiker Food'!$C:$C,'Hiker Food'!G:G)*D191)</f>
        <v/>
      </c>
      <c r="F191" s="42" t="str">
        <f t="array" ref="F191">if(C191="","",_xlfn.xlookup(C191,'Hiker Food'!$C:$C,'Hiker Food'!H:H)*D191)</f>
        <v/>
      </c>
      <c r="G191" s="42" t="str">
        <f t="array" ref="G191">if($C191="","",_xlfn.xlookup($C191,'Hiker Food'!$C:$C,'Hiker Food'!J:J)*$D191)</f>
        <v/>
      </c>
      <c r="H191" s="42" t="str">
        <f t="array" ref="H191">if($C191="","",_xlfn.xlookup($C191,'Hiker Food'!$C:$C,'Hiker Food'!K:K)*$D191)</f>
        <v/>
      </c>
      <c r="I191" s="42" t="str">
        <f t="array" ref="I191">if($C191="","",_xlfn.xlookup($C191,'Hiker Food'!$C:$C,'Hiker Food'!L:L)*$D191)</f>
        <v/>
      </c>
      <c r="J191" s="42" t="str">
        <f t="array" ref="J191">if($C191="","",_xlfn.xlookup($C191,'Hiker Food'!$C:$C,'Hiker Food'!M:M)*$D191)</f>
        <v/>
      </c>
      <c r="K191" s="42" t="str">
        <f t="array" ref="K191">if($C191="","",_xlfn.xlookup($C191,'Hiker Food'!$C:$C,'Hiker Food'!N:N)*$D191)</f>
        <v/>
      </c>
      <c r="L191" s="42" t="str">
        <f t="array" ref="L191">if($C191="","",_xlfn.xlookup($C191,'Hiker Food'!$C:$C,'Hiker Food'!O:O)*$D191)</f>
        <v/>
      </c>
      <c r="M191" s="42" t="str">
        <f t="array" ref="M191">if($C191="","",_xlfn.xlookup($C191,'Hiker Food'!$C:$C,'Hiker Food'!P:P)*$D191)</f>
        <v/>
      </c>
      <c r="N191" s="42" t="str">
        <f t="array" ref="N191">if($C191="","",_xlfn.xlookup($C191,'Hiker Food'!$C:$C,'Hiker Food'!Q:Q)*$D191)</f>
        <v/>
      </c>
      <c r="O191" s="42" t="str">
        <f t="array" ref="O191">if($C191="","",_xlfn.xlookup($C191,'Hiker Food'!$C:$C,'Hiker Food'!I:I)*$D191)</f>
        <v/>
      </c>
      <c r="P191" s="56" t="str">
        <f t="array" ref="P191">if($C191="","",_xlfn.xlookup($C191,'Hiker Food'!$C:$C,'Hiker Food'!T:T))</f>
        <v/>
      </c>
      <c r="Q191" s="57" t="str">
        <f t="array" ref="Q191">if($C191="","",_xlfn.xlookup($C191,'Hiker Food'!$C:$C,'Hiker Food'!U:U))</f>
        <v/>
      </c>
      <c r="R191" s="57" t="str">
        <f t="array" ref="R191">if($C191="","",_xlfn.xlookup($C191,'Hiker Food'!$C:$C,'Hiker Food'!V:V))</f>
        <v/>
      </c>
      <c r="S191" s="58" t="str">
        <f t="array" ref="S191">if($C191="","",_xlfn.xlookup($C191,'Hiker Food'!$C:$C,'Hiker Food'!W:W))</f>
        <v/>
      </c>
      <c r="T191" s="59"/>
      <c r="AC191" s="60"/>
    </row>
    <row r="192">
      <c r="A192" s="52"/>
      <c r="B192" s="61"/>
      <c r="C192" s="54"/>
      <c r="D192" s="63">
        <v>1.0</v>
      </c>
      <c r="E192" s="81" t="str">
        <f t="array" ref="E192">if(C192="","",_xlfn.xlookup(C192,'Hiker Food'!$C:$C,'Hiker Food'!G:G)*D192)</f>
        <v/>
      </c>
      <c r="F192" s="64" t="str">
        <f t="array" ref="F192">if(C192="","",_xlfn.xlookup(C192,'Hiker Food'!$C:$C,'Hiker Food'!H:H)*D192)</f>
        <v/>
      </c>
      <c r="G192" s="64" t="str">
        <f t="array" ref="G192">if($C192="","",_xlfn.xlookup($C192,'Hiker Food'!$C:$C,'Hiker Food'!J:J)*$D192)</f>
        <v/>
      </c>
      <c r="H192" s="64" t="str">
        <f t="array" ref="H192">if($C192="","",_xlfn.xlookup($C192,'Hiker Food'!$C:$C,'Hiker Food'!K:K)*$D192)</f>
        <v/>
      </c>
      <c r="I192" s="64" t="str">
        <f t="array" ref="I192">if($C192="","",_xlfn.xlookup($C192,'Hiker Food'!$C:$C,'Hiker Food'!L:L)*$D192)</f>
        <v/>
      </c>
      <c r="J192" s="64" t="str">
        <f t="array" ref="J192">if($C192="","",_xlfn.xlookup($C192,'Hiker Food'!$C:$C,'Hiker Food'!M:M)*$D192)</f>
        <v/>
      </c>
      <c r="K192" s="64" t="str">
        <f t="array" ref="K192">if($C192="","",_xlfn.xlookup($C192,'Hiker Food'!$C:$C,'Hiker Food'!N:N)*$D192)</f>
        <v/>
      </c>
      <c r="L192" s="64" t="str">
        <f t="array" ref="L192">if($C192="","",_xlfn.xlookup($C192,'Hiker Food'!$C:$C,'Hiker Food'!O:O)*$D192)</f>
        <v/>
      </c>
      <c r="M192" s="64" t="str">
        <f t="array" ref="M192">if($C192="","",_xlfn.xlookup($C192,'Hiker Food'!$C:$C,'Hiker Food'!P:P)*$D192)</f>
        <v/>
      </c>
      <c r="N192" s="64" t="str">
        <f t="array" ref="N192">if($C192="","",_xlfn.xlookup($C192,'Hiker Food'!$C:$C,'Hiker Food'!Q:Q)*$D192)</f>
        <v/>
      </c>
      <c r="O192" s="64" t="str">
        <f t="array" ref="O192">if($C192="","",_xlfn.xlookup($C192,'Hiker Food'!$C:$C,'Hiker Food'!I:I)*$D192)</f>
        <v/>
      </c>
      <c r="P192" s="81" t="str">
        <f t="array" ref="P192">if($C192="","",_xlfn.xlookup($C192,'Hiker Food'!$C:$C,'Hiker Food'!T:T))</f>
        <v/>
      </c>
      <c r="Q192" s="82" t="str">
        <f t="array" ref="Q192">if($C192="","",_xlfn.xlookup($C192,'Hiker Food'!$C:$C,'Hiker Food'!U:U))</f>
        <v/>
      </c>
      <c r="R192" s="82" t="str">
        <f t="array" ref="R192">if($C192="","",_xlfn.xlookup($C192,'Hiker Food'!$C:$C,'Hiker Food'!V:V))</f>
        <v/>
      </c>
      <c r="S192" s="83" t="str">
        <f t="array" ref="S192">if($C192="","",_xlfn.xlookup($C192,'Hiker Food'!$C:$C,'Hiker Food'!W:W))</f>
        <v/>
      </c>
      <c r="T192" s="65"/>
      <c r="U192" s="66"/>
      <c r="V192" s="66"/>
      <c r="W192" s="66"/>
      <c r="X192" s="66"/>
      <c r="Y192" s="66"/>
      <c r="Z192" s="66"/>
      <c r="AA192" s="66"/>
      <c r="AB192" s="66"/>
      <c r="AC192" s="67"/>
    </row>
    <row r="193">
      <c r="A193" s="52"/>
      <c r="B193" s="94" t="s">
        <v>424</v>
      </c>
      <c r="C193" s="90"/>
      <c r="D193" s="70">
        <v>1.0</v>
      </c>
      <c r="E193" s="71" t="str">
        <f t="array" ref="E193">if(C193="","",_xlfn.xlookup(C193,'Hiker Food'!$C:$C,'Hiker Food'!G:G)*D193)</f>
        <v/>
      </c>
      <c r="F193" s="42" t="str">
        <f t="array" ref="F193">if(C193="","",_xlfn.xlookup(C193,'Hiker Food'!$C:$C,'Hiker Food'!H:H)*D193)</f>
        <v/>
      </c>
      <c r="G193" s="72" t="str">
        <f t="array" ref="G193">if($C193="","",_xlfn.xlookup($C193,'Hiker Food'!$C:$C,'Hiker Food'!J:J)*$D193)</f>
        <v/>
      </c>
      <c r="H193" s="72" t="str">
        <f t="array" ref="H193">if($C193="","",_xlfn.xlookup($C193,'Hiker Food'!$C:$C,'Hiker Food'!K:K)*$D193)</f>
        <v/>
      </c>
      <c r="I193" s="72" t="str">
        <f t="array" ref="I193">if($C193="","",_xlfn.xlookup($C193,'Hiker Food'!$C:$C,'Hiker Food'!L:L)*$D193)</f>
        <v/>
      </c>
      <c r="J193" s="72" t="str">
        <f t="array" ref="J193">if($C193="","",_xlfn.xlookup($C193,'Hiker Food'!$C:$C,'Hiker Food'!M:M)*$D193)</f>
        <v/>
      </c>
      <c r="K193" s="72" t="str">
        <f t="array" ref="K193">if($C193="","",_xlfn.xlookup($C193,'Hiker Food'!$C:$C,'Hiker Food'!N:N)*$D193)</f>
        <v/>
      </c>
      <c r="L193" s="72" t="str">
        <f t="array" ref="L193">if($C193="","",_xlfn.xlookup($C193,'Hiker Food'!$C:$C,'Hiker Food'!O:O)*$D193)</f>
        <v/>
      </c>
      <c r="M193" s="72" t="str">
        <f t="array" ref="M193">if($C193="","",_xlfn.xlookup($C193,'Hiker Food'!$C:$C,'Hiker Food'!P:P)*$D193)</f>
        <v/>
      </c>
      <c r="N193" s="72" t="str">
        <f t="array" ref="N193">if($C193="","",_xlfn.xlookup($C193,'Hiker Food'!$C:$C,'Hiker Food'!Q:Q)*$D193)</f>
        <v/>
      </c>
      <c r="O193" s="72" t="str">
        <f t="array" ref="O193">if($C193="","",_xlfn.xlookup($C193,'Hiker Food'!$C:$C,'Hiker Food'!I:I)*$D193)</f>
        <v/>
      </c>
      <c r="P193" s="71" t="str">
        <f t="array" ref="P193">if($C193="","",_xlfn.xlookup($C193,'Hiker Food'!$C:$C,'Hiker Food'!T:T))</f>
        <v/>
      </c>
      <c r="Q193" s="73" t="str">
        <f t="array" ref="Q193">if($C193="","",_xlfn.xlookup($C193,'Hiker Food'!$C:$C,'Hiker Food'!U:U))</f>
        <v/>
      </c>
      <c r="R193" s="73" t="str">
        <f t="array" ref="R193">if($C193="","",_xlfn.xlookup($C193,'Hiker Food'!$C:$C,'Hiker Food'!V:V))</f>
        <v/>
      </c>
      <c r="S193" s="74" t="str">
        <f t="array" ref="S193">if($C193="","",_xlfn.xlookup($C193,'Hiker Food'!$C:$C,'Hiker Food'!W:W))</f>
        <v/>
      </c>
      <c r="T193" s="95" t="s">
        <v>424</v>
      </c>
      <c r="U193" s="76" t="str">
        <f>if(C193="","",Y193/V193)</f>
        <v/>
      </c>
      <c r="V193" s="96" t="str">
        <f>if($C193="","",sum(E193:E195))</f>
        <v/>
      </c>
      <c r="W193" s="77" t="str">
        <f>if($C193="","",$Y193/X193)</f>
        <v/>
      </c>
      <c r="X193" s="96" t="str">
        <f>if($C193="","",sum(F193:F195))</f>
        <v/>
      </c>
      <c r="Y193" s="96" t="str">
        <f>if($C193="","",sum(O193:O195))</f>
        <v/>
      </c>
      <c r="Z193" s="77" t="str">
        <f>if($C193="","",(sum(J193:J195)/sum(N193:N195)))</f>
        <v/>
      </c>
      <c r="AA193" s="78" t="str">
        <f>if($C193="","",sum(G193:G195)*9/sum(sum(G193:G195)*9+sum(J193:J195)*4+sum(N193:N195)*4))</f>
        <v/>
      </c>
      <c r="AB193" s="78" t="str">
        <f>if($C193="","",sum(L193:L195)*4/sum(sum(G193:G195)*9+sum(J193:J195)*4+sum(N193:N195)*4))</f>
        <v/>
      </c>
      <c r="AC193" s="79" t="str">
        <f>if($C193="","",(sum(H193:H195)/sum(O193:O195)))</f>
        <v/>
      </c>
    </row>
    <row r="194">
      <c r="A194" s="52"/>
      <c r="B194" s="53"/>
      <c r="C194" s="54"/>
      <c r="D194" s="55">
        <v>1.0</v>
      </c>
      <c r="E194" s="56" t="str">
        <f t="array" ref="E194">if(C194="","",_xlfn.xlookup(C194,'Hiker Food'!$C:$C,'Hiker Food'!G:G)*D194)</f>
        <v/>
      </c>
      <c r="F194" s="42" t="str">
        <f t="array" ref="F194">if(C194="","",_xlfn.xlookup(C194,'Hiker Food'!$C:$C,'Hiker Food'!H:H)*D194)</f>
        <v/>
      </c>
      <c r="G194" s="42" t="str">
        <f t="array" ref="G194">if($C194="","",_xlfn.xlookup($C194,'Hiker Food'!$C:$C,'Hiker Food'!J:J)*$D194)</f>
        <v/>
      </c>
      <c r="H194" s="42" t="str">
        <f t="array" ref="H194">if($C194="","",_xlfn.xlookup($C194,'Hiker Food'!$C:$C,'Hiker Food'!K:K)*$D194)</f>
        <v/>
      </c>
      <c r="I194" s="42" t="str">
        <f t="array" ref="I194">if($C194="","",_xlfn.xlookup($C194,'Hiker Food'!$C:$C,'Hiker Food'!L:L)*$D194)</f>
        <v/>
      </c>
      <c r="J194" s="42" t="str">
        <f t="array" ref="J194">if($C194="","",_xlfn.xlookup($C194,'Hiker Food'!$C:$C,'Hiker Food'!M:M)*$D194)</f>
        <v/>
      </c>
      <c r="K194" s="42" t="str">
        <f t="array" ref="K194">if($C194="","",_xlfn.xlookup($C194,'Hiker Food'!$C:$C,'Hiker Food'!N:N)*$D194)</f>
        <v/>
      </c>
      <c r="L194" s="42" t="str">
        <f t="array" ref="L194">if($C194="","",_xlfn.xlookup($C194,'Hiker Food'!$C:$C,'Hiker Food'!O:O)*$D194)</f>
        <v/>
      </c>
      <c r="M194" s="42" t="str">
        <f t="array" ref="M194">if($C194="","",_xlfn.xlookup($C194,'Hiker Food'!$C:$C,'Hiker Food'!P:P)*$D194)</f>
        <v/>
      </c>
      <c r="N194" s="42" t="str">
        <f t="array" ref="N194">if($C194="","",_xlfn.xlookup($C194,'Hiker Food'!$C:$C,'Hiker Food'!Q:Q)*$D194)</f>
        <v/>
      </c>
      <c r="O194" s="42" t="str">
        <f t="array" ref="O194">if($C194="","",_xlfn.xlookup($C194,'Hiker Food'!$C:$C,'Hiker Food'!I:I)*$D194)</f>
        <v/>
      </c>
      <c r="P194" s="56" t="str">
        <f t="array" ref="P194">if($C194="","",_xlfn.xlookup($C194,'Hiker Food'!$C:$C,'Hiker Food'!T:T))</f>
        <v/>
      </c>
      <c r="Q194" s="57" t="str">
        <f t="array" ref="Q194">if($C194="","",_xlfn.xlookup($C194,'Hiker Food'!$C:$C,'Hiker Food'!U:U))</f>
        <v/>
      </c>
      <c r="R194" s="57" t="str">
        <f t="array" ref="R194">if($C194="","",_xlfn.xlookup($C194,'Hiker Food'!$C:$C,'Hiker Food'!V:V))</f>
        <v/>
      </c>
      <c r="S194" s="58" t="str">
        <f t="array" ref="S194">if($C194="","",_xlfn.xlookup($C194,'Hiker Food'!$C:$C,'Hiker Food'!W:W))</f>
        <v/>
      </c>
      <c r="T194" s="59"/>
      <c r="AC194" s="60"/>
    </row>
    <row r="195">
      <c r="A195" s="52"/>
      <c r="B195" s="61"/>
      <c r="C195" s="54"/>
      <c r="D195" s="63">
        <v>1.0</v>
      </c>
      <c r="E195" s="81" t="str">
        <f t="array" ref="E195">if(C195="","",_xlfn.xlookup(C195,'Hiker Food'!$C:$C,'Hiker Food'!G:G)*D195)</f>
        <v/>
      </c>
      <c r="F195" s="64" t="str">
        <f t="array" ref="F195">if(C195="","",_xlfn.xlookup(C195,'Hiker Food'!$C:$C,'Hiker Food'!H:H)*D195)</f>
        <v/>
      </c>
      <c r="G195" s="64" t="str">
        <f t="array" ref="G195">if($C195="","",_xlfn.xlookup($C195,'Hiker Food'!$C:$C,'Hiker Food'!J:J)*$D195)</f>
        <v/>
      </c>
      <c r="H195" s="64" t="str">
        <f t="array" ref="H195">if($C195="","",_xlfn.xlookup($C195,'Hiker Food'!$C:$C,'Hiker Food'!K:K)*$D195)</f>
        <v/>
      </c>
      <c r="I195" s="64" t="str">
        <f t="array" ref="I195">if($C195="","",_xlfn.xlookup($C195,'Hiker Food'!$C:$C,'Hiker Food'!L:L)*$D195)</f>
        <v/>
      </c>
      <c r="J195" s="64" t="str">
        <f t="array" ref="J195">if($C195="","",_xlfn.xlookup($C195,'Hiker Food'!$C:$C,'Hiker Food'!M:M)*$D195)</f>
        <v/>
      </c>
      <c r="K195" s="64" t="str">
        <f t="array" ref="K195">if($C195="","",_xlfn.xlookup($C195,'Hiker Food'!$C:$C,'Hiker Food'!N:N)*$D195)</f>
        <v/>
      </c>
      <c r="L195" s="64" t="str">
        <f t="array" ref="L195">if($C195="","",_xlfn.xlookup($C195,'Hiker Food'!$C:$C,'Hiker Food'!O:O)*$D195)</f>
        <v/>
      </c>
      <c r="M195" s="64" t="str">
        <f t="array" ref="M195">if($C195="","",_xlfn.xlookup($C195,'Hiker Food'!$C:$C,'Hiker Food'!P:P)*$D195)</f>
        <v/>
      </c>
      <c r="N195" s="64" t="str">
        <f t="array" ref="N195">if($C195="","",_xlfn.xlookup($C195,'Hiker Food'!$C:$C,'Hiker Food'!Q:Q)*$D195)</f>
        <v/>
      </c>
      <c r="O195" s="64" t="str">
        <f t="array" ref="O195">if($C195="","",_xlfn.xlookup($C195,'Hiker Food'!$C:$C,'Hiker Food'!I:I)*$D195)</f>
        <v/>
      </c>
      <c r="P195" s="81" t="str">
        <f t="array" ref="P195">if($C195="","",_xlfn.xlookup($C195,'Hiker Food'!$C:$C,'Hiker Food'!T:T))</f>
        <v/>
      </c>
      <c r="Q195" s="82" t="str">
        <f t="array" ref="Q195">if($C195="","",_xlfn.xlookup($C195,'Hiker Food'!$C:$C,'Hiker Food'!U:U))</f>
        <v/>
      </c>
      <c r="R195" s="82" t="str">
        <f t="array" ref="R195">if($C195="","",_xlfn.xlookup($C195,'Hiker Food'!$C:$C,'Hiker Food'!V:V))</f>
        <v/>
      </c>
      <c r="S195" s="83" t="str">
        <f t="array" ref="S195">if($C195="","",_xlfn.xlookup($C195,'Hiker Food'!$C:$C,'Hiker Food'!W:W))</f>
        <v/>
      </c>
      <c r="T195" s="65"/>
      <c r="U195" s="66"/>
      <c r="V195" s="66"/>
      <c r="W195" s="66"/>
      <c r="X195" s="66"/>
      <c r="Y195" s="66"/>
      <c r="Z195" s="66"/>
      <c r="AA195" s="66"/>
      <c r="AB195" s="66"/>
      <c r="AC195" s="67"/>
    </row>
    <row r="196">
      <c r="A196" s="52"/>
      <c r="B196" s="94" t="s">
        <v>478</v>
      </c>
      <c r="C196" s="90"/>
      <c r="D196" s="70">
        <v>1.0</v>
      </c>
      <c r="E196" s="71" t="str">
        <f t="array" ref="E196">if(C196="","",_xlfn.xlookup(C196,'Hiker Food'!$C:$C,'Hiker Food'!G:G)*D196)</f>
        <v/>
      </c>
      <c r="F196" s="42" t="str">
        <f t="array" ref="F196">if(C196="","",_xlfn.xlookup(C196,'Hiker Food'!$C:$C,'Hiker Food'!H:H)*D196)</f>
        <v/>
      </c>
      <c r="G196" s="72" t="str">
        <f t="array" ref="G196">if($C196="","",_xlfn.xlookup($C196,'Hiker Food'!$C:$C,'Hiker Food'!J:J)*$D196)</f>
        <v/>
      </c>
      <c r="H196" s="72" t="str">
        <f t="array" ref="H196">if($C196="","",_xlfn.xlookup($C196,'Hiker Food'!$C:$C,'Hiker Food'!K:K)*$D196)</f>
        <v/>
      </c>
      <c r="I196" s="72" t="str">
        <f t="array" ref="I196">if($C196="","",_xlfn.xlookup($C196,'Hiker Food'!$C:$C,'Hiker Food'!L:L)*$D196)</f>
        <v/>
      </c>
      <c r="J196" s="72" t="str">
        <f t="array" ref="J196">if($C196="","",_xlfn.xlookup($C196,'Hiker Food'!$C:$C,'Hiker Food'!M:M)*$D196)</f>
        <v/>
      </c>
      <c r="K196" s="72" t="str">
        <f t="array" ref="K196">if($C196="","",_xlfn.xlookup($C196,'Hiker Food'!$C:$C,'Hiker Food'!N:N)*$D196)</f>
        <v/>
      </c>
      <c r="L196" s="72" t="str">
        <f t="array" ref="L196">if($C196="","",_xlfn.xlookup($C196,'Hiker Food'!$C:$C,'Hiker Food'!O:O)*$D196)</f>
        <v/>
      </c>
      <c r="M196" s="72" t="str">
        <f t="array" ref="M196">if($C196="","",_xlfn.xlookup($C196,'Hiker Food'!$C:$C,'Hiker Food'!P:P)*$D196)</f>
        <v/>
      </c>
      <c r="N196" s="72" t="str">
        <f t="array" ref="N196">if($C196="","",_xlfn.xlookup($C196,'Hiker Food'!$C:$C,'Hiker Food'!Q:Q)*$D196)</f>
        <v/>
      </c>
      <c r="O196" s="72" t="str">
        <f t="array" ref="O196">if($C196="","",_xlfn.xlookup($C196,'Hiker Food'!$C:$C,'Hiker Food'!I:I)*$D196)</f>
        <v/>
      </c>
      <c r="P196" s="71" t="str">
        <f t="array" ref="P196">if($C196="","",_xlfn.xlookup($C196,'Hiker Food'!$C:$C,'Hiker Food'!T:T))</f>
        <v/>
      </c>
      <c r="Q196" s="73" t="str">
        <f t="array" ref="Q196">if($C196="","",_xlfn.xlookup($C196,'Hiker Food'!$C:$C,'Hiker Food'!U:U))</f>
        <v/>
      </c>
      <c r="R196" s="73" t="str">
        <f t="array" ref="R196">if($C196="","",_xlfn.xlookup($C196,'Hiker Food'!$C:$C,'Hiker Food'!V:V))</f>
        <v/>
      </c>
      <c r="S196" s="74" t="str">
        <f t="array" ref="S196">if($C196="","",_xlfn.xlookup($C196,'Hiker Food'!$C:$C,'Hiker Food'!W:W))</f>
        <v/>
      </c>
      <c r="T196" s="95" t="s">
        <v>478</v>
      </c>
      <c r="U196" s="76" t="str">
        <f>if(C196="","",Y196/V196)</f>
        <v/>
      </c>
      <c r="V196" s="96" t="str">
        <f>if($C196="","",sum(E196:E198))</f>
        <v/>
      </c>
      <c r="W196" s="77" t="str">
        <f>if($C196="","",$Y196/X196)</f>
        <v/>
      </c>
      <c r="X196" s="96" t="str">
        <f>if($C196="","",sum(F196:F198))</f>
        <v/>
      </c>
      <c r="Y196" s="96" t="str">
        <f>if($C196="","",sum(O196:O198))</f>
        <v/>
      </c>
      <c r="Z196" s="77" t="str">
        <f>if($C196="","",(sum(J196:J198)/sum(N196:N198)))</f>
        <v/>
      </c>
      <c r="AA196" s="78" t="str">
        <f>if($C196="","",sum(G196:G198)*9/sum(sum(G196:G198)*9+sum(J196:J198)*4+sum(N196:N198)*4))</f>
        <v/>
      </c>
      <c r="AB196" s="78" t="str">
        <f>if($C196="","",sum(L196:L198)*4/sum(sum(G196:G198)*9+sum(J196:J198)*4+sum(N196:N198)*4))</f>
        <v/>
      </c>
      <c r="AC196" s="79" t="str">
        <f>if($C196="","",(sum(H196:H198)/sum(O196:O198)))</f>
        <v/>
      </c>
    </row>
    <row r="197">
      <c r="A197" s="52"/>
      <c r="B197" s="53"/>
      <c r="C197" s="93"/>
      <c r="D197" s="55">
        <v>1.0</v>
      </c>
      <c r="E197" s="56" t="str">
        <f t="array" ref="E197">if(C197="","",_xlfn.xlookup(C197,'Hiker Food'!$C:$C,'Hiker Food'!G:G)*D197)</f>
        <v/>
      </c>
      <c r="F197" s="42" t="str">
        <f t="array" ref="F197">if(C197="","",_xlfn.xlookup(C197,'Hiker Food'!$C:$C,'Hiker Food'!H:H)*D197)</f>
        <v/>
      </c>
      <c r="G197" s="42" t="str">
        <f t="array" ref="G197">if($C197="","",_xlfn.xlookup($C197,'Hiker Food'!$C:$C,'Hiker Food'!J:J)*$D197)</f>
        <v/>
      </c>
      <c r="H197" s="42" t="str">
        <f t="array" ref="H197">if($C197="","",_xlfn.xlookup($C197,'Hiker Food'!$C:$C,'Hiker Food'!K:K)*$D197)</f>
        <v/>
      </c>
      <c r="I197" s="42" t="str">
        <f t="array" ref="I197">if($C197="","",_xlfn.xlookup($C197,'Hiker Food'!$C:$C,'Hiker Food'!L:L)*$D197)</f>
        <v/>
      </c>
      <c r="J197" s="42" t="str">
        <f t="array" ref="J197">if($C197="","",_xlfn.xlookup($C197,'Hiker Food'!$C:$C,'Hiker Food'!M:M)*$D197)</f>
        <v/>
      </c>
      <c r="K197" s="42" t="str">
        <f t="array" ref="K197">if($C197="","",_xlfn.xlookup($C197,'Hiker Food'!$C:$C,'Hiker Food'!N:N)*$D197)</f>
        <v/>
      </c>
      <c r="L197" s="42" t="str">
        <f t="array" ref="L197">if($C197="","",_xlfn.xlookup($C197,'Hiker Food'!$C:$C,'Hiker Food'!O:O)*$D197)</f>
        <v/>
      </c>
      <c r="M197" s="42" t="str">
        <f t="array" ref="M197">if($C197="","",_xlfn.xlookup($C197,'Hiker Food'!$C:$C,'Hiker Food'!P:P)*$D197)</f>
        <v/>
      </c>
      <c r="N197" s="42" t="str">
        <f t="array" ref="N197">if($C197="","",_xlfn.xlookup($C197,'Hiker Food'!$C:$C,'Hiker Food'!Q:Q)*$D197)</f>
        <v/>
      </c>
      <c r="O197" s="42" t="str">
        <f t="array" ref="O197">if($C197="","",_xlfn.xlookup($C197,'Hiker Food'!$C:$C,'Hiker Food'!I:I)*$D197)</f>
        <v/>
      </c>
      <c r="P197" s="56" t="str">
        <f t="array" ref="P197">if($C197="","",_xlfn.xlookup($C197,'Hiker Food'!$C:$C,'Hiker Food'!T:T))</f>
        <v/>
      </c>
      <c r="Q197" s="57" t="str">
        <f t="array" ref="Q197">if($C197="","",_xlfn.xlookup($C197,'Hiker Food'!$C:$C,'Hiker Food'!U:U))</f>
        <v/>
      </c>
      <c r="R197" s="57" t="str">
        <f t="array" ref="R197">if($C197="","",_xlfn.xlookup($C197,'Hiker Food'!$C:$C,'Hiker Food'!V:V))</f>
        <v/>
      </c>
      <c r="S197" s="58" t="str">
        <f t="array" ref="S197">if($C197="","",_xlfn.xlookup($C197,'Hiker Food'!$C:$C,'Hiker Food'!W:W))</f>
        <v/>
      </c>
      <c r="T197" s="59"/>
      <c r="AC197" s="60"/>
    </row>
    <row r="198">
      <c r="A198" s="52"/>
      <c r="B198" s="61"/>
      <c r="C198" s="62"/>
      <c r="D198" s="63">
        <v>1.0</v>
      </c>
      <c r="E198" s="81" t="str">
        <f t="array" ref="E198">if(C198="","",_xlfn.xlookup(C198,'Hiker Food'!$C:$C,'Hiker Food'!G:G)*D198)</f>
        <v/>
      </c>
      <c r="F198" s="64" t="str">
        <f t="array" ref="F198">if(C198="","",_xlfn.xlookup(C198,'Hiker Food'!$C:$C,'Hiker Food'!H:H)*D198)</f>
        <v/>
      </c>
      <c r="G198" s="64" t="str">
        <f t="array" ref="G198">if($C198="","",_xlfn.xlookup($C198,'Hiker Food'!$C:$C,'Hiker Food'!J:J)*$D198)</f>
        <v/>
      </c>
      <c r="H198" s="64" t="str">
        <f t="array" ref="H198">if($C198="","",_xlfn.xlookup($C198,'Hiker Food'!$C:$C,'Hiker Food'!K:K)*$D198)</f>
        <v/>
      </c>
      <c r="I198" s="64" t="str">
        <f t="array" ref="I198">if($C198="","",_xlfn.xlookup($C198,'Hiker Food'!$C:$C,'Hiker Food'!L:L)*$D198)</f>
        <v/>
      </c>
      <c r="J198" s="64" t="str">
        <f t="array" ref="J198">if($C198="","",_xlfn.xlookup($C198,'Hiker Food'!$C:$C,'Hiker Food'!M:M)*$D198)</f>
        <v/>
      </c>
      <c r="K198" s="64" t="str">
        <f t="array" ref="K198">if($C198="","",_xlfn.xlookup($C198,'Hiker Food'!$C:$C,'Hiker Food'!N:N)*$D198)</f>
        <v/>
      </c>
      <c r="L198" s="64" t="str">
        <f t="array" ref="L198">if($C198="","",_xlfn.xlookup($C198,'Hiker Food'!$C:$C,'Hiker Food'!O:O)*$D198)</f>
        <v/>
      </c>
      <c r="M198" s="64" t="str">
        <f t="array" ref="M198">if($C198="","",_xlfn.xlookup($C198,'Hiker Food'!$C:$C,'Hiker Food'!P:P)*$D198)</f>
        <v/>
      </c>
      <c r="N198" s="64" t="str">
        <f t="array" ref="N198">if($C198="","",_xlfn.xlookup($C198,'Hiker Food'!$C:$C,'Hiker Food'!Q:Q)*$D198)</f>
        <v/>
      </c>
      <c r="O198" s="64" t="str">
        <f t="array" ref="O198">if($C198="","",_xlfn.xlookup($C198,'Hiker Food'!$C:$C,'Hiker Food'!I:I)*$D198)</f>
        <v/>
      </c>
      <c r="P198" s="81" t="str">
        <f t="array" ref="P198">if($C198="","",_xlfn.xlookup($C198,'Hiker Food'!$C:$C,'Hiker Food'!T:T))</f>
        <v/>
      </c>
      <c r="Q198" s="82" t="str">
        <f t="array" ref="Q198">if($C198="","",_xlfn.xlookup($C198,'Hiker Food'!$C:$C,'Hiker Food'!U:U))</f>
        <v/>
      </c>
      <c r="R198" s="82" t="str">
        <f t="array" ref="R198">if($C198="","",_xlfn.xlookup($C198,'Hiker Food'!$C:$C,'Hiker Food'!V:V))</f>
        <v/>
      </c>
      <c r="S198" s="83" t="str">
        <f t="array" ref="S198">if($C198="","",_xlfn.xlookup($C198,'Hiker Food'!$C:$C,'Hiker Food'!W:W))</f>
        <v/>
      </c>
      <c r="T198" s="65"/>
      <c r="U198" s="66"/>
      <c r="V198" s="66"/>
      <c r="W198" s="66"/>
      <c r="X198" s="66"/>
      <c r="Y198" s="66"/>
      <c r="Z198" s="66"/>
      <c r="AA198" s="66"/>
      <c r="AB198" s="66"/>
      <c r="AC198" s="67"/>
    </row>
    <row r="199">
      <c r="A199" s="97"/>
      <c r="B199" s="98" t="s">
        <v>532</v>
      </c>
      <c r="C199" s="99" t="str">
        <f>IF(COUNTIF(C178:C198,"")=COUNTA(C178:C198), "", "zzzz - subtotal line - ignore")</f>
        <v>zzzz - subtotal line - ignore</v>
      </c>
      <c r="D199" s="99"/>
      <c r="E199" s="100" t="str">
        <f t="shared" ref="E199:O199" si="9">if(counta($C178:$C198)=0,"",SUM(E178:E198))</f>
        <v/>
      </c>
      <c r="F199" s="101" t="str">
        <f t="shared" si="9"/>
        <v/>
      </c>
      <c r="G199" s="101" t="str">
        <f t="shared" si="9"/>
        <v/>
      </c>
      <c r="H199" s="101" t="str">
        <f t="shared" si="9"/>
        <v/>
      </c>
      <c r="I199" s="101" t="str">
        <f t="shared" si="9"/>
        <v/>
      </c>
      <c r="J199" s="101" t="str">
        <f t="shared" si="9"/>
        <v/>
      </c>
      <c r="K199" s="101" t="str">
        <f t="shared" si="9"/>
        <v/>
      </c>
      <c r="L199" s="101" t="str">
        <f t="shared" si="9"/>
        <v/>
      </c>
      <c r="M199" s="101" t="str">
        <f t="shared" si="9"/>
        <v/>
      </c>
      <c r="N199" s="101" t="str">
        <f t="shared" si="9"/>
        <v/>
      </c>
      <c r="O199" s="101" t="str">
        <f t="shared" si="9"/>
        <v/>
      </c>
      <c r="P199" s="102"/>
      <c r="Q199" s="102"/>
      <c r="R199" s="102"/>
      <c r="S199" s="102"/>
      <c r="T199" s="98" t="s">
        <v>532</v>
      </c>
      <c r="U199" s="100"/>
      <c r="V199" s="100" t="str">
        <f>if(counta($C178:$C198)=0,"",SUM(E178:E198))</f>
        <v/>
      </c>
      <c r="W199" s="101"/>
      <c r="X199" s="101" t="str">
        <f>if(counta($C178:$C198)=0,"",SUM(F178:F198))</f>
        <v/>
      </c>
      <c r="Y199" s="101" t="str">
        <f>if(counta($C178:$C198)=0,"",SUM(O178:O198))</f>
        <v/>
      </c>
      <c r="Z199" s="103" t="str">
        <f>if($V199="","",sum(J178:J198)/sum(N178:N198))</f>
        <v/>
      </c>
      <c r="AA199" s="104" t="str">
        <f>if($V199="","",sum(G178:G198)*9/sum(sum(G178:G198)*9+sum(J178:J198)*4+sum(N178:N198)*4))</f>
        <v/>
      </c>
      <c r="AB199" s="104" t="str">
        <f>if($V199="","",sum(L178:L198)*4/sum(sum(G178:G198)*9+sum(J178:J198)*4+sum(N178:N198)*4))</f>
        <v/>
      </c>
      <c r="AC199" s="105" t="str">
        <f>if($V199="","",sum(H178:H198)/sum(O178:O198))</f>
        <v/>
      </c>
    </row>
    <row r="200">
      <c r="A200" s="37">
        <v>10.0</v>
      </c>
      <c r="B200" s="38" t="s">
        <v>92</v>
      </c>
      <c r="C200" s="39"/>
      <c r="D200" s="40">
        <v>1.0</v>
      </c>
      <c r="E200" s="41" t="str">
        <f t="array" ref="E200">if(C200="","",_xlfn.xlookup(C200,'Hiker Food'!$C:$C,'Hiker Food'!G:G)*D200)</f>
        <v/>
      </c>
      <c r="F200" s="42" t="str">
        <f t="array" ref="F200">if(C200="","",_xlfn.xlookup(C200,'Hiker Food'!$C:$C,'Hiker Food'!H:H)*D200)</f>
        <v/>
      </c>
      <c r="G200" s="43" t="str">
        <f t="array" ref="G200">if($C200="","",_xlfn.xlookup($C200,'Hiker Food'!$C:$C,'Hiker Food'!J:J)*$D200)</f>
        <v/>
      </c>
      <c r="H200" s="43" t="str">
        <f t="array" ref="H200">if($C200="","",_xlfn.xlookup($C200,'Hiker Food'!$C:$C,'Hiker Food'!K:K)*$D200)</f>
        <v/>
      </c>
      <c r="I200" s="43" t="str">
        <f t="array" ref="I200">if($C200="","",_xlfn.xlookup($C200,'Hiker Food'!$C:$C,'Hiker Food'!L:L)*$D200)</f>
        <v/>
      </c>
      <c r="J200" s="43" t="str">
        <f t="array" ref="J200">if($C200="","",_xlfn.xlookup($C200,'Hiker Food'!$C:$C,'Hiker Food'!M:M)*$D200)</f>
        <v/>
      </c>
      <c r="K200" s="43" t="str">
        <f t="array" ref="K200">if($C200="","",_xlfn.xlookup($C200,'Hiker Food'!$C:$C,'Hiker Food'!N:N)*$D200)</f>
        <v/>
      </c>
      <c r="L200" s="43" t="str">
        <f t="array" ref="L200">if($C200="","",_xlfn.xlookup($C200,'Hiker Food'!$C:$C,'Hiker Food'!O:O)*$D200)</f>
        <v/>
      </c>
      <c r="M200" s="43" t="str">
        <f t="array" ref="M200">if($C200="","",_xlfn.xlookup($C200,'Hiker Food'!$C:$C,'Hiker Food'!P:P)*$D200)</f>
        <v/>
      </c>
      <c r="N200" s="43" t="str">
        <f t="array" ref="N200">if($C200="","",_xlfn.xlookup($C200,'Hiker Food'!$C:$C,'Hiker Food'!Q:Q)*$D200)</f>
        <v/>
      </c>
      <c r="O200" s="43" t="str">
        <f t="array" ref="O200">if($C200="","",_xlfn.xlookup($C200,'Hiker Food'!$C:$C,'Hiker Food'!I:I)*$D200)</f>
        <v/>
      </c>
      <c r="P200" s="41" t="str">
        <f t="array" ref="P200">if($C200="","",_xlfn.xlookup($C200,'Hiker Food'!$C:$C,'Hiker Food'!T:T))</f>
        <v/>
      </c>
      <c r="Q200" s="44" t="str">
        <f t="array" ref="Q200">if($C200="","",_xlfn.xlookup($C200,'Hiker Food'!$C:$C,'Hiker Food'!U:U))</f>
        <v/>
      </c>
      <c r="R200" s="44" t="str">
        <f t="array" ref="R200">if($C200="","",_xlfn.xlookup($C200,'Hiker Food'!$C:$C,'Hiker Food'!V:V))</f>
        <v/>
      </c>
      <c r="S200" s="45" t="str">
        <f t="array" ref="S200">if($C200="","",_xlfn.xlookup($C200,'Hiker Food'!$C:$C,'Hiker Food'!W:W))</f>
        <v/>
      </c>
      <c r="T200" s="46" t="s">
        <v>92</v>
      </c>
      <c r="U200" s="47" t="str">
        <f>if($C200="","",$Y200/V200)</f>
        <v/>
      </c>
      <c r="V200" s="114" t="str">
        <f>if($C200="","",sum(E200:E202))</f>
        <v/>
      </c>
      <c r="W200" s="48" t="str">
        <f>if($C200="","",$Y200/X200)</f>
        <v/>
      </c>
      <c r="X200" s="114" t="str">
        <f>if($C200="","",sum(F200:F202))</f>
        <v/>
      </c>
      <c r="Y200" s="114" t="str">
        <f>if($C200="","",sum(O200:O202))</f>
        <v/>
      </c>
      <c r="Z200" s="49" t="str">
        <f>if($C200="","",(sum(J200:J202)/sum(N200:N202)))</f>
        <v/>
      </c>
      <c r="AA200" s="50" t="str">
        <f>if($C200="","",sum(G200:G202)*9/sum(sum(G200:G202)*9+sum(J200:J202)*4+sum(N200:N202)*4))</f>
        <v/>
      </c>
      <c r="AB200" s="50" t="str">
        <f>if($C200="","",sum(L200:L202)*4/sum(sum(G200:G202)*9+sum(J200:J202)*4+sum(N200:N202)*4))</f>
        <v/>
      </c>
      <c r="AC200" s="51" t="str">
        <f>if($C200="","",(sum(H200:H202)/sum(O200:O202)))</f>
        <v/>
      </c>
    </row>
    <row r="201">
      <c r="A201" s="52"/>
      <c r="B201" s="53"/>
      <c r="C201" s="54"/>
      <c r="D201" s="55">
        <v>1.0</v>
      </c>
      <c r="E201" s="56" t="str">
        <f t="array" ref="E201">if(C201="","",_xlfn.xlookup(C201,'Hiker Food'!$C:$C,'Hiker Food'!G:G)*D201)</f>
        <v/>
      </c>
      <c r="F201" s="42" t="str">
        <f t="array" ref="F201">if(C201="","",_xlfn.xlookup(C201,'Hiker Food'!$C:$C,'Hiker Food'!H:H)*D201)</f>
        <v/>
      </c>
      <c r="G201" s="42" t="str">
        <f t="array" ref="G201">if($C201="","",_xlfn.xlookup($C201,'Hiker Food'!$C:$C,'Hiker Food'!J:J)*$D201)</f>
        <v/>
      </c>
      <c r="H201" s="42" t="str">
        <f t="array" ref="H201">if($C201="","",_xlfn.xlookup($C201,'Hiker Food'!$C:$C,'Hiker Food'!K:K)*$D201)</f>
        <v/>
      </c>
      <c r="I201" s="42" t="str">
        <f t="array" ref="I201">if($C201="","",_xlfn.xlookup($C201,'Hiker Food'!$C:$C,'Hiker Food'!L:L)*$D201)</f>
        <v/>
      </c>
      <c r="J201" s="42" t="str">
        <f t="array" ref="J201">if($C201="","",_xlfn.xlookup($C201,'Hiker Food'!$C:$C,'Hiker Food'!M:M)*$D201)</f>
        <v/>
      </c>
      <c r="K201" s="42" t="str">
        <f t="array" ref="K201">if($C201="","",_xlfn.xlookup($C201,'Hiker Food'!$C:$C,'Hiker Food'!N:N)*$D201)</f>
        <v/>
      </c>
      <c r="L201" s="42" t="str">
        <f t="array" ref="L201">if($C201="","",_xlfn.xlookup($C201,'Hiker Food'!$C:$C,'Hiker Food'!O:O)*$D201)</f>
        <v/>
      </c>
      <c r="M201" s="42" t="str">
        <f t="array" ref="M201">if($C201="","",_xlfn.xlookup($C201,'Hiker Food'!$C:$C,'Hiker Food'!P:P)*$D201)</f>
        <v/>
      </c>
      <c r="N201" s="42" t="str">
        <f t="array" ref="N201">if($C201="","",_xlfn.xlookup($C201,'Hiker Food'!$C:$C,'Hiker Food'!Q:Q)*$D201)</f>
        <v/>
      </c>
      <c r="O201" s="42" t="str">
        <f t="array" ref="O201">if($C201="","",_xlfn.xlookup($C201,'Hiker Food'!$C:$C,'Hiker Food'!I:I)*$D201)</f>
        <v/>
      </c>
      <c r="P201" s="56" t="str">
        <f t="array" ref="P201">if($C201="","",_xlfn.xlookup($C201,'Hiker Food'!$C:$C,'Hiker Food'!T:T))</f>
        <v/>
      </c>
      <c r="Q201" s="57" t="str">
        <f t="array" ref="Q201">if($C201="","",_xlfn.xlookup($C201,'Hiker Food'!$C:$C,'Hiker Food'!U:U))</f>
        <v/>
      </c>
      <c r="R201" s="57" t="str">
        <f t="array" ref="R201">if($C201="","",_xlfn.xlookup($C201,'Hiker Food'!$C:$C,'Hiker Food'!V:V))</f>
        <v/>
      </c>
      <c r="S201" s="58" t="str">
        <f t="array" ref="S201">if($C201="","",_xlfn.xlookup($C201,'Hiker Food'!$C:$C,'Hiker Food'!W:W))</f>
        <v/>
      </c>
      <c r="T201" s="59"/>
      <c r="AC201" s="60"/>
    </row>
    <row r="202">
      <c r="A202" s="52"/>
      <c r="B202" s="61"/>
      <c r="C202" s="62"/>
      <c r="D202" s="63">
        <v>1.0</v>
      </c>
      <c r="E202" s="56" t="str">
        <f t="array" ref="E202">if(C202="","",_xlfn.xlookup(C202,'Hiker Food'!$C:$C,'Hiker Food'!G:G)*D202)</f>
        <v/>
      </c>
      <c r="F202" s="64" t="str">
        <f t="array" ref="F202">if(C202="","",_xlfn.xlookup(C202,'Hiker Food'!$C:$C,'Hiker Food'!H:H)*D202)</f>
        <v/>
      </c>
      <c r="G202" s="64" t="str">
        <f t="array" ref="G202">if($C202="","",_xlfn.xlookup($C202,'Hiker Food'!$C:$C,'Hiker Food'!J:J)*$D202)</f>
        <v/>
      </c>
      <c r="H202" s="64" t="str">
        <f t="array" ref="H202">if($C202="","",_xlfn.xlookup($C202,'Hiker Food'!$C:$C,'Hiker Food'!K:K)*$D202)</f>
        <v/>
      </c>
      <c r="I202" s="64" t="str">
        <f t="array" ref="I202">if($C202="","",_xlfn.xlookup($C202,'Hiker Food'!$C:$C,'Hiker Food'!L:L)*$D202)</f>
        <v/>
      </c>
      <c r="J202" s="64" t="str">
        <f t="array" ref="J202">if($C202="","",_xlfn.xlookup($C202,'Hiker Food'!$C:$C,'Hiker Food'!M:M)*$D202)</f>
        <v/>
      </c>
      <c r="K202" s="64" t="str">
        <f t="array" ref="K202">if($C202="","",_xlfn.xlookup($C202,'Hiker Food'!$C:$C,'Hiker Food'!N:N)*$D202)</f>
        <v/>
      </c>
      <c r="L202" s="64" t="str">
        <f t="array" ref="L202">if($C202="","",_xlfn.xlookup($C202,'Hiker Food'!$C:$C,'Hiker Food'!O:O)*$D202)</f>
        <v/>
      </c>
      <c r="M202" s="64" t="str">
        <f t="array" ref="M202">if($C202="","",_xlfn.xlookup($C202,'Hiker Food'!$C:$C,'Hiker Food'!P:P)*$D202)</f>
        <v/>
      </c>
      <c r="N202" s="64" t="str">
        <f t="array" ref="N202">if($C202="","",_xlfn.xlookup($C202,'Hiker Food'!$C:$C,'Hiker Food'!Q:Q)*$D202)</f>
        <v/>
      </c>
      <c r="O202" s="42" t="str">
        <f t="array" ref="O202">if($C202="","",_xlfn.xlookup($C202,'Hiker Food'!$C:$C,'Hiker Food'!I:I)*$D202)</f>
        <v/>
      </c>
      <c r="P202" s="56" t="str">
        <f t="array" ref="P202">if($C202="","",_xlfn.xlookup($C202,'Hiker Food'!$C:$C,'Hiker Food'!T:T))</f>
        <v/>
      </c>
      <c r="Q202" s="57" t="str">
        <f t="array" ref="Q202">if($C202="","",_xlfn.xlookup($C202,'Hiker Food'!$C:$C,'Hiker Food'!U:U))</f>
        <v/>
      </c>
      <c r="R202" s="57" t="str">
        <f t="array" ref="R202">if($C202="","",_xlfn.xlookup($C202,'Hiker Food'!$C:$C,'Hiker Food'!V:V))</f>
        <v/>
      </c>
      <c r="S202" s="58" t="str">
        <f t="array" ref="S202">if($C202="","",_xlfn.xlookup($C202,'Hiker Food'!$C:$C,'Hiker Food'!W:W))</f>
        <v/>
      </c>
      <c r="T202" s="65"/>
      <c r="U202" s="66"/>
      <c r="V202" s="66"/>
      <c r="W202" s="66"/>
      <c r="X202" s="66"/>
      <c r="Y202" s="66"/>
      <c r="Z202" s="66"/>
      <c r="AA202" s="66"/>
      <c r="AB202" s="66"/>
      <c r="AC202" s="67"/>
    </row>
    <row r="203">
      <c r="A203" s="52"/>
      <c r="B203" s="68" t="s">
        <v>179</v>
      </c>
      <c r="C203" s="69"/>
      <c r="D203" s="70">
        <v>2.0</v>
      </c>
      <c r="E203" s="71" t="str">
        <f t="array" ref="E203">if(C203="","",_xlfn.xlookup(C203,'Hiker Food'!$C:$C,'Hiker Food'!G:G)*D203)</f>
        <v/>
      </c>
      <c r="F203" s="42" t="str">
        <f t="array" ref="F203">if(C203="","",_xlfn.xlookup(C203,'Hiker Food'!$C:$C,'Hiker Food'!H:H)*D203)</f>
        <v/>
      </c>
      <c r="G203" s="72" t="str">
        <f t="array" ref="G203">if($C203="","",_xlfn.xlookup($C203,'Hiker Food'!$C:$C,'Hiker Food'!J:J)*$D203)</f>
        <v/>
      </c>
      <c r="H203" s="72" t="str">
        <f t="array" ref="H203">if($C203="","",_xlfn.xlookup($C203,'Hiker Food'!$C:$C,'Hiker Food'!K:K)*$D203)</f>
        <v/>
      </c>
      <c r="I203" s="72" t="str">
        <f t="array" ref="I203">if($C203="","",_xlfn.xlookup($C203,'Hiker Food'!$C:$C,'Hiker Food'!L:L)*$D203)</f>
        <v/>
      </c>
      <c r="J203" s="72" t="str">
        <f t="array" ref="J203">if($C203="","",_xlfn.xlookup($C203,'Hiker Food'!$C:$C,'Hiker Food'!M:M)*$D203)</f>
        <v/>
      </c>
      <c r="K203" s="72" t="str">
        <f t="array" ref="K203">if($C203="","",_xlfn.xlookup($C203,'Hiker Food'!$C:$C,'Hiker Food'!N:N)*$D203)</f>
        <v/>
      </c>
      <c r="L203" s="72" t="str">
        <f t="array" ref="L203">if($C203="","",_xlfn.xlookup($C203,'Hiker Food'!$C:$C,'Hiker Food'!O:O)*$D203)</f>
        <v/>
      </c>
      <c r="M203" s="72" t="str">
        <f t="array" ref="M203">if($C203="","",_xlfn.xlookup($C203,'Hiker Food'!$C:$C,'Hiker Food'!P:P)*$D203)</f>
        <v/>
      </c>
      <c r="N203" s="72" t="str">
        <f t="array" ref="N203">if($C203="","",_xlfn.xlookup($C203,'Hiker Food'!$C:$C,'Hiker Food'!Q:Q)*$D203)</f>
        <v/>
      </c>
      <c r="O203" s="72" t="str">
        <f t="array" ref="O203">if($C203="","",_xlfn.xlookup($C203,'Hiker Food'!$C:$C,'Hiker Food'!I:I)*$D203)</f>
        <v/>
      </c>
      <c r="P203" s="71" t="str">
        <f t="array" ref="P203">if($C203="","",_xlfn.xlookup($C203,'Hiker Food'!$C:$C,'Hiker Food'!T:T))</f>
        <v/>
      </c>
      <c r="Q203" s="73" t="str">
        <f t="array" ref="Q203">if($C203="","",_xlfn.xlookup($C203,'Hiker Food'!$C:$C,'Hiker Food'!U:U))</f>
        <v/>
      </c>
      <c r="R203" s="73" t="str">
        <f t="array" ref="R203">if($C203="","",_xlfn.xlookup($C203,'Hiker Food'!$C:$C,'Hiker Food'!V:V))</f>
        <v/>
      </c>
      <c r="S203" s="74" t="str">
        <f t="array" ref="S203">if($C203="","",_xlfn.xlookup($C203,'Hiker Food'!$C:$C,'Hiker Food'!W:W))</f>
        <v/>
      </c>
      <c r="T203" s="75" t="s">
        <v>179</v>
      </c>
      <c r="U203" s="76" t="str">
        <f>if(C203="","",Y203/V203)</f>
        <v/>
      </c>
      <c r="V203" s="96" t="str">
        <f>if($C203="","",sum(E203:E205))</f>
        <v/>
      </c>
      <c r="W203" s="77" t="str">
        <f>if($C203="","",$Y203/X203)</f>
        <v/>
      </c>
      <c r="X203" s="96" t="str">
        <f>if($C203="","",sum(F203:F205))</f>
        <v/>
      </c>
      <c r="Y203" s="96" t="str">
        <f>if($C203="","",sum(O203:O205))</f>
        <v/>
      </c>
      <c r="Z203" s="77" t="str">
        <f>if($C203="","",(sum(J203:J205)/sum(N203:N205)))</f>
        <v/>
      </c>
      <c r="AA203" s="78" t="str">
        <f>if($C203="","",sum(G203:G205)*9/sum(sum(G203:G205)*9+sum(J203:J205)*4+sum(N203:N205)*4))</f>
        <v/>
      </c>
      <c r="AB203" s="78" t="str">
        <f>if($C203="","",sum(L203:L205)*4/sum(sum(G203:G205)*9+sum(J203:J205)*4+sum(N203:N205)*4))</f>
        <v/>
      </c>
      <c r="AC203" s="79" t="str">
        <f>if($C203="","",(sum(H203:H205)/sum(O203:O205)))</f>
        <v/>
      </c>
    </row>
    <row r="204">
      <c r="A204" s="52"/>
      <c r="B204" s="53"/>
      <c r="C204" s="54"/>
      <c r="D204" s="55">
        <v>2.0</v>
      </c>
      <c r="E204" s="56" t="str">
        <f t="array" ref="E204">if(C204="","",_xlfn.xlookup(C204,'Hiker Food'!$C:$C,'Hiker Food'!G:G)*D204)</f>
        <v/>
      </c>
      <c r="F204" s="42" t="str">
        <f t="array" ref="F204">if(C204="","",_xlfn.xlookup(C204,'Hiker Food'!$C:$C,'Hiker Food'!H:H)*D204)</f>
        <v/>
      </c>
      <c r="G204" s="42" t="str">
        <f t="array" ref="G204">if($C204="","",_xlfn.xlookup($C204,'Hiker Food'!$C:$C,'Hiker Food'!J:J)*$D204)</f>
        <v/>
      </c>
      <c r="H204" s="42" t="str">
        <f t="array" ref="H204">if($C204="","",_xlfn.xlookup($C204,'Hiker Food'!$C:$C,'Hiker Food'!K:K)*$D204)</f>
        <v/>
      </c>
      <c r="I204" s="42" t="str">
        <f t="array" ref="I204">if($C204="","",_xlfn.xlookup($C204,'Hiker Food'!$C:$C,'Hiker Food'!L:L)*$D204)</f>
        <v/>
      </c>
      <c r="J204" s="42" t="str">
        <f t="array" ref="J204">if($C204="","",_xlfn.xlookup($C204,'Hiker Food'!$C:$C,'Hiker Food'!M:M)*$D204)</f>
        <v/>
      </c>
      <c r="K204" s="42" t="str">
        <f t="array" ref="K204">if($C204="","",_xlfn.xlookup($C204,'Hiker Food'!$C:$C,'Hiker Food'!N:N)*$D204)</f>
        <v/>
      </c>
      <c r="L204" s="42" t="str">
        <f t="array" ref="L204">if($C204="","",_xlfn.xlookup($C204,'Hiker Food'!$C:$C,'Hiker Food'!O:O)*$D204)</f>
        <v/>
      </c>
      <c r="M204" s="42" t="str">
        <f t="array" ref="M204">if($C204="","",_xlfn.xlookup($C204,'Hiker Food'!$C:$C,'Hiker Food'!P:P)*$D204)</f>
        <v/>
      </c>
      <c r="N204" s="42" t="str">
        <f t="array" ref="N204">if($C204="","",_xlfn.xlookup($C204,'Hiker Food'!$C:$C,'Hiker Food'!Q:Q)*$D204)</f>
        <v/>
      </c>
      <c r="O204" s="42" t="str">
        <f t="array" ref="O204">if($C204="","",_xlfn.xlookup($C204,'Hiker Food'!$C:$C,'Hiker Food'!I:I)*$D204)</f>
        <v/>
      </c>
      <c r="P204" s="56" t="str">
        <f t="array" ref="P204">if($C204="","",_xlfn.xlookup($C204,'Hiker Food'!$C:$C,'Hiker Food'!T:T))</f>
        <v/>
      </c>
      <c r="Q204" s="57" t="str">
        <f t="array" ref="Q204">if($C204="","",_xlfn.xlookup($C204,'Hiker Food'!$C:$C,'Hiker Food'!U:U))</f>
        <v/>
      </c>
      <c r="R204" s="57" t="str">
        <f t="array" ref="R204">if($C204="","",_xlfn.xlookup($C204,'Hiker Food'!$C:$C,'Hiker Food'!V:V))</f>
        <v/>
      </c>
      <c r="S204" s="58" t="str">
        <f t="array" ref="S204">if($C204="","",_xlfn.xlookup($C204,'Hiker Food'!$C:$C,'Hiker Food'!W:W))</f>
        <v/>
      </c>
      <c r="T204" s="80"/>
      <c r="AC204" s="60"/>
    </row>
    <row r="205">
      <c r="A205" s="52"/>
      <c r="B205" s="61"/>
      <c r="C205" s="54"/>
      <c r="D205" s="63">
        <v>1.0</v>
      </c>
      <c r="E205" s="81" t="str">
        <f t="array" ref="E205">if(C205="","",_xlfn.xlookup(C205,'Hiker Food'!$C:$C,'Hiker Food'!G:G)*D205)</f>
        <v/>
      </c>
      <c r="F205" s="64" t="str">
        <f t="array" ref="F205">if(C205="","",_xlfn.xlookup(C205,'Hiker Food'!$C:$C,'Hiker Food'!H:H)*D205)</f>
        <v/>
      </c>
      <c r="G205" s="64" t="str">
        <f t="array" ref="G205">if($C205="","",_xlfn.xlookup($C205,'Hiker Food'!$C:$C,'Hiker Food'!J:J)*$D205)</f>
        <v/>
      </c>
      <c r="H205" s="64" t="str">
        <f t="array" ref="H205">if($C205="","",_xlfn.xlookup($C205,'Hiker Food'!$C:$C,'Hiker Food'!K:K)*$D205)</f>
        <v/>
      </c>
      <c r="I205" s="64" t="str">
        <f t="array" ref="I205">if($C205="","",_xlfn.xlookup($C205,'Hiker Food'!$C:$C,'Hiker Food'!L:L)*$D205)</f>
        <v/>
      </c>
      <c r="J205" s="64" t="str">
        <f t="array" ref="J205">if($C205="","",_xlfn.xlookup($C205,'Hiker Food'!$C:$C,'Hiker Food'!M:M)*$D205)</f>
        <v/>
      </c>
      <c r="K205" s="64" t="str">
        <f t="array" ref="K205">if($C205="","",_xlfn.xlookup($C205,'Hiker Food'!$C:$C,'Hiker Food'!N:N)*$D205)</f>
        <v/>
      </c>
      <c r="L205" s="64" t="str">
        <f t="array" ref="L205">if($C205="","",_xlfn.xlookup($C205,'Hiker Food'!$C:$C,'Hiker Food'!O:O)*$D205)</f>
        <v/>
      </c>
      <c r="M205" s="64" t="str">
        <f t="array" ref="M205">if($C205="","",_xlfn.xlookup($C205,'Hiker Food'!$C:$C,'Hiker Food'!P:P)*$D205)</f>
        <v/>
      </c>
      <c r="N205" s="64" t="str">
        <f t="array" ref="N205">if($C205="","",_xlfn.xlookup($C205,'Hiker Food'!$C:$C,'Hiker Food'!Q:Q)*$D205)</f>
        <v/>
      </c>
      <c r="O205" s="64" t="str">
        <f t="array" ref="O205">if($C205="","",_xlfn.xlookup($C205,'Hiker Food'!$C:$C,'Hiker Food'!I:I)*$D205)</f>
        <v/>
      </c>
      <c r="P205" s="81" t="str">
        <f t="array" ref="P205">if($C205="","",_xlfn.xlookup($C205,'Hiker Food'!$C:$C,'Hiker Food'!T:T))</f>
        <v/>
      </c>
      <c r="Q205" s="82" t="str">
        <f t="array" ref="Q205">if($C205="","",_xlfn.xlookup($C205,'Hiker Food'!$C:$C,'Hiker Food'!U:U))</f>
        <v/>
      </c>
      <c r="R205" s="82" t="str">
        <f t="array" ref="R205">if($C205="","",_xlfn.xlookup($C205,'Hiker Food'!$C:$C,'Hiker Food'!V:V))</f>
        <v/>
      </c>
      <c r="S205" s="83" t="str">
        <f t="array" ref="S205">if($C205="","",_xlfn.xlookup($C205,'Hiker Food'!$C:$C,'Hiker Food'!W:W))</f>
        <v/>
      </c>
      <c r="T205" s="84"/>
      <c r="U205" s="66"/>
      <c r="V205" s="66"/>
      <c r="W205" s="66"/>
      <c r="X205" s="66"/>
      <c r="Y205" s="66"/>
      <c r="Z205" s="66"/>
      <c r="AA205" s="66"/>
      <c r="AB205" s="66"/>
      <c r="AC205" s="67"/>
    </row>
    <row r="206">
      <c r="A206" s="52"/>
      <c r="B206" s="68" t="s">
        <v>257</v>
      </c>
      <c r="C206" s="85"/>
      <c r="D206" s="70">
        <v>3.0</v>
      </c>
      <c r="E206" s="56" t="str">
        <f t="array" ref="E206">if(C206="","",_xlfn.xlookup(C206,'Hiker Food'!$C:$C,'Hiker Food'!G:G)*D206)</f>
        <v/>
      </c>
      <c r="F206" s="86" t="str">
        <f t="array" ref="F206">if(C206="","",_xlfn.xlookup(C206,'Hiker Food'!$C:$C,'Hiker Food'!H:H)*D206)</f>
        <v/>
      </c>
      <c r="G206" s="72" t="str">
        <f t="array" ref="G206">if($C206="","",_xlfn.xlookup($C206,'Hiker Food'!$C:$C,'Hiker Food'!J:J)*$D206)</f>
        <v/>
      </c>
      <c r="H206" s="72" t="str">
        <f t="array" ref="H206">if($C206="","",_xlfn.xlookup($C206,'Hiker Food'!$C:$C,'Hiker Food'!K:K)*$D206)</f>
        <v/>
      </c>
      <c r="I206" s="72" t="str">
        <f t="array" ref="I206">if($C206="","",_xlfn.xlookup($C206,'Hiker Food'!$C:$C,'Hiker Food'!L:L)*$D206)</f>
        <v/>
      </c>
      <c r="J206" s="72" t="str">
        <f t="array" ref="J206">if($C206="","",_xlfn.xlookup($C206,'Hiker Food'!$C:$C,'Hiker Food'!M:M)*$D206)</f>
        <v/>
      </c>
      <c r="K206" s="72" t="str">
        <f t="array" ref="K206">if($C206="","",_xlfn.xlookup($C206,'Hiker Food'!$C:$C,'Hiker Food'!N:N)*$D206)</f>
        <v/>
      </c>
      <c r="L206" s="72" t="str">
        <f t="array" ref="L206">if($C206="","",_xlfn.xlookup($C206,'Hiker Food'!$C:$C,'Hiker Food'!O:O)*$D206)</f>
        <v/>
      </c>
      <c r="M206" s="72" t="str">
        <f t="array" ref="M206">if($C206="","",_xlfn.xlookup($C206,'Hiker Food'!$C:$C,'Hiker Food'!P:P)*$D206)</f>
        <v/>
      </c>
      <c r="N206" s="72" t="str">
        <f t="array" ref="N206">if($C206="","",_xlfn.xlookup($C206,'Hiker Food'!$C:$C,'Hiker Food'!Q:Q)*$D206)</f>
        <v/>
      </c>
      <c r="O206" s="42" t="str">
        <f t="array" ref="O206">if($C206="","",_xlfn.xlookup($C206,'Hiker Food'!$C:$C,'Hiker Food'!I:I)*$D206)</f>
        <v/>
      </c>
      <c r="P206" s="56" t="str">
        <f t="array" ref="P206">if($C206="","",_xlfn.xlookup($C206,'Hiker Food'!$C:$C,'Hiker Food'!T:T))</f>
        <v/>
      </c>
      <c r="Q206" s="57" t="str">
        <f t="array" ref="Q206">if($C206="","",_xlfn.xlookup($C206,'Hiker Food'!$C:$C,'Hiker Food'!U:U))</f>
        <v/>
      </c>
      <c r="R206" s="57" t="str">
        <f t="array" ref="R206">if($C206="","",_xlfn.xlookup($C206,'Hiker Food'!$C:$C,'Hiker Food'!V:V))</f>
        <v/>
      </c>
      <c r="S206" s="58" t="str">
        <f t="array" ref="S206">if($C206="","",_xlfn.xlookup($C206,'Hiker Food'!$C:$C,'Hiker Food'!W:W))</f>
        <v/>
      </c>
      <c r="T206" s="87" t="s">
        <v>257</v>
      </c>
      <c r="U206" s="76" t="str">
        <f>if(C206="","",Y206/V206)</f>
        <v/>
      </c>
      <c r="V206" s="96" t="str">
        <f>if($C206="","",sum(E206:E208))</f>
        <v/>
      </c>
      <c r="W206" s="77" t="str">
        <f>if($C206="","",$Y206/X206)</f>
        <v/>
      </c>
      <c r="X206" s="96" t="str">
        <f>if($C206="","",sum(F206:F208))</f>
        <v/>
      </c>
      <c r="Y206" s="96" t="str">
        <f>if($C206="","",sum(O206:O208))</f>
        <v/>
      </c>
      <c r="Z206" s="77" t="str">
        <f>if($C206="","",(sum(J206:J208)/sum(N206:N208)))</f>
        <v/>
      </c>
      <c r="AA206" s="78" t="str">
        <f>if($C206="","",sum(G206:G208)*9/sum(sum(G206:G208)*9+sum(J206:J208)*4+sum(N206:N208)*4))</f>
        <v/>
      </c>
      <c r="AB206" s="78" t="str">
        <f>if($C206="","",sum(L206:L208)*4/sum(sum(G206:G208)*9+sum(J206:J208)*4+sum(N206:N208)*4))</f>
        <v/>
      </c>
      <c r="AC206" s="79" t="str">
        <f>if($C206="","",(sum(H206:H208)/sum(O206:O208)))</f>
        <v/>
      </c>
    </row>
    <row r="207">
      <c r="A207" s="52"/>
      <c r="B207" s="53"/>
      <c r="C207" s="88"/>
      <c r="D207" s="55">
        <v>3.0</v>
      </c>
      <c r="E207" s="56" t="str">
        <f t="array" ref="E207">if(C207="","",_xlfn.xlookup(C207,'Hiker Food'!$C:$C,'Hiker Food'!G:G)*D207)</f>
        <v/>
      </c>
      <c r="F207" s="86" t="str">
        <f t="array" ref="F207">if(C207="","",_xlfn.xlookup(C207,'Hiker Food'!$C:$C,'Hiker Food'!H:H)*D207)</f>
        <v/>
      </c>
      <c r="G207" s="42" t="str">
        <f t="array" ref="G207">if($C207="","",_xlfn.xlookup($C207,'Hiker Food'!$C:$C,'Hiker Food'!J:J)*$D207)</f>
        <v/>
      </c>
      <c r="H207" s="42" t="str">
        <f t="array" ref="H207">if($C207="","",_xlfn.xlookup($C207,'Hiker Food'!$C:$C,'Hiker Food'!K:K)*$D207)</f>
        <v/>
      </c>
      <c r="I207" s="42" t="str">
        <f t="array" ref="I207">if($C207="","",_xlfn.xlookup($C207,'Hiker Food'!$C:$C,'Hiker Food'!L:L)*$D207)</f>
        <v/>
      </c>
      <c r="J207" s="42" t="str">
        <f t="array" ref="J207">if($C207="","",_xlfn.xlookup($C207,'Hiker Food'!$C:$C,'Hiker Food'!M:M)*$D207)</f>
        <v/>
      </c>
      <c r="K207" s="42" t="str">
        <f t="array" ref="K207">if($C207="","",_xlfn.xlookup($C207,'Hiker Food'!$C:$C,'Hiker Food'!N:N)*$D207)</f>
        <v/>
      </c>
      <c r="L207" s="42" t="str">
        <f t="array" ref="L207">if($C207="","",_xlfn.xlookup($C207,'Hiker Food'!$C:$C,'Hiker Food'!O:O)*$D207)</f>
        <v/>
      </c>
      <c r="M207" s="42" t="str">
        <f t="array" ref="M207">if($C207="","",_xlfn.xlookup($C207,'Hiker Food'!$C:$C,'Hiker Food'!P:P)*$D207)</f>
        <v/>
      </c>
      <c r="N207" s="42" t="str">
        <f t="array" ref="N207">if($C207="","",_xlfn.xlookup($C207,'Hiker Food'!$C:$C,'Hiker Food'!Q:Q)*$D207)</f>
        <v/>
      </c>
      <c r="O207" s="42" t="str">
        <f t="array" ref="O207">if($C207="","",_xlfn.xlookup($C207,'Hiker Food'!$C:$C,'Hiker Food'!I:I)*$D207)</f>
        <v/>
      </c>
      <c r="P207" s="56" t="str">
        <f t="array" ref="P207">if($C207="","",_xlfn.xlookup($C207,'Hiker Food'!$C:$C,'Hiker Food'!T:T))</f>
        <v/>
      </c>
      <c r="Q207" s="57" t="str">
        <f t="array" ref="Q207">if($C207="","",_xlfn.xlookup($C207,'Hiker Food'!$C:$C,'Hiker Food'!U:U))</f>
        <v/>
      </c>
      <c r="R207" s="57" t="str">
        <f t="array" ref="R207">if($C207="","",_xlfn.xlookup($C207,'Hiker Food'!$C:$C,'Hiker Food'!V:V))</f>
        <v/>
      </c>
      <c r="S207" s="58" t="str">
        <f t="array" ref="S207">if($C207="","",_xlfn.xlookup($C207,'Hiker Food'!$C:$C,'Hiker Food'!W:W))</f>
        <v/>
      </c>
      <c r="T207" s="59"/>
      <c r="AC207" s="60"/>
    </row>
    <row r="208">
      <c r="A208" s="52"/>
      <c r="B208" s="61"/>
      <c r="C208" s="62"/>
      <c r="D208" s="63">
        <v>1.0</v>
      </c>
      <c r="E208" s="81" t="str">
        <f t="array" ref="E208">if(C208="","",_xlfn.xlookup(C208,'Hiker Food'!$C:$C,'Hiker Food'!G:G)*D208)</f>
        <v/>
      </c>
      <c r="F208" s="89" t="str">
        <f t="array" ref="F208">if(C208="","",_xlfn.xlookup(C208,'Hiker Food'!$C:$C,'Hiker Food'!H:H)*D208)</f>
        <v/>
      </c>
      <c r="G208" s="64" t="str">
        <f t="array" ref="G208">if($C208="","",_xlfn.xlookup($C208,'Hiker Food'!$C:$C,'Hiker Food'!J:J)*$D208)</f>
        <v/>
      </c>
      <c r="H208" s="64" t="str">
        <f t="array" ref="H208">if($C208="","",_xlfn.xlookup($C208,'Hiker Food'!$C:$C,'Hiker Food'!K:K)*$D208)</f>
        <v/>
      </c>
      <c r="I208" s="64" t="str">
        <f t="array" ref="I208">if($C208="","",_xlfn.xlookup($C208,'Hiker Food'!$C:$C,'Hiker Food'!L:L)*$D208)</f>
        <v/>
      </c>
      <c r="J208" s="64" t="str">
        <f t="array" ref="J208">if($C208="","",_xlfn.xlookup($C208,'Hiker Food'!$C:$C,'Hiker Food'!M:M)*$D208)</f>
        <v/>
      </c>
      <c r="K208" s="64" t="str">
        <f t="array" ref="K208">if($C208="","",_xlfn.xlookup($C208,'Hiker Food'!$C:$C,'Hiker Food'!N:N)*$D208)</f>
        <v/>
      </c>
      <c r="L208" s="64" t="str">
        <f t="array" ref="L208">if($C208="","",_xlfn.xlookup($C208,'Hiker Food'!$C:$C,'Hiker Food'!O:O)*$D208)</f>
        <v/>
      </c>
      <c r="M208" s="64" t="str">
        <f t="array" ref="M208">if($C208="","",_xlfn.xlookup($C208,'Hiker Food'!$C:$C,'Hiker Food'!P:P)*$D208)</f>
        <v/>
      </c>
      <c r="N208" s="64" t="str">
        <f t="array" ref="N208">if($C208="","",_xlfn.xlookup($C208,'Hiker Food'!$C:$C,'Hiker Food'!Q:Q)*$D208)</f>
        <v/>
      </c>
      <c r="O208" s="64" t="str">
        <f t="array" ref="O208">if($C208="","",_xlfn.xlookup($C208,'Hiker Food'!$C:$C,'Hiker Food'!I:I)*$D208)</f>
        <v/>
      </c>
      <c r="P208" s="81" t="str">
        <f t="array" ref="P208">if($C208="","",_xlfn.xlookup($C208,'Hiker Food'!$C:$C,'Hiker Food'!T:T))</f>
        <v/>
      </c>
      <c r="Q208" s="82" t="str">
        <f t="array" ref="Q208">if($C208="","",_xlfn.xlookup($C208,'Hiker Food'!$C:$C,'Hiker Food'!U:U))</f>
        <v/>
      </c>
      <c r="R208" s="82" t="str">
        <f t="array" ref="R208">if($C208="","",_xlfn.xlookup($C208,'Hiker Food'!$C:$C,'Hiker Food'!V:V))</f>
        <v/>
      </c>
      <c r="S208" s="83" t="str">
        <f t="array" ref="S208">if($C208="","",_xlfn.xlookup($C208,'Hiker Food'!$C:$C,'Hiker Food'!W:W))</f>
        <v/>
      </c>
      <c r="T208" s="65"/>
      <c r="U208" s="66"/>
      <c r="V208" s="66"/>
      <c r="W208" s="66"/>
      <c r="X208" s="66"/>
      <c r="Y208" s="66"/>
      <c r="Z208" s="66"/>
      <c r="AA208" s="66"/>
      <c r="AB208" s="66"/>
      <c r="AC208" s="67"/>
    </row>
    <row r="209">
      <c r="A209" s="52"/>
      <c r="B209" s="68" t="s">
        <v>314</v>
      </c>
      <c r="C209" s="90"/>
      <c r="D209" s="70">
        <v>1.0</v>
      </c>
      <c r="E209" s="71" t="str">
        <f t="array" ref="E209">if(C209="","",_xlfn.xlookup(C209,'Hiker Food'!$C:$C,'Hiker Food'!G:G)*D209)</f>
        <v/>
      </c>
      <c r="F209" s="42" t="str">
        <f t="array" ref="F209">if(C209="","",_xlfn.xlookup(C209,'Hiker Food'!$C:$C,'Hiker Food'!H:H)*D209)</f>
        <v/>
      </c>
      <c r="G209" s="72" t="str">
        <f t="array" ref="G209">if($C209="","",_xlfn.xlookup($C209,'Hiker Food'!$C:$C,'Hiker Food'!J:J)*$D209)</f>
        <v/>
      </c>
      <c r="H209" s="72" t="str">
        <f t="array" ref="H209">if($C209="","",_xlfn.xlookup($C209,'Hiker Food'!$C:$C,'Hiker Food'!K:K)*$D209)</f>
        <v/>
      </c>
      <c r="I209" s="72" t="str">
        <f t="array" ref="I209">if($C209="","",_xlfn.xlookup($C209,'Hiker Food'!$C:$C,'Hiker Food'!L:L)*$D209)</f>
        <v/>
      </c>
      <c r="J209" s="72" t="str">
        <f t="array" ref="J209">if($C209="","",_xlfn.xlookup($C209,'Hiker Food'!$C:$C,'Hiker Food'!M:M)*$D209)</f>
        <v/>
      </c>
      <c r="K209" s="72" t="str">
        <f t="array" ref="K209">if($C209="","",_xlfn.xlookup($C209,'Hiker Food'!$C:$C,'Hiker Food'!N:N)*$D209)</f>
        <v/>
      </c>
      <c r="L209" s="72" t="str">
        <f t="array" ref="L209">if($C209="","",_xlfn.xlookup($C209,'Hiker Food'!$C:$C,'Hiker Food'!O:O)*$D209)</f>
        <v/>
      </c>
      <c r="M209" s="72" t="str">
        <f t="array" ref="M209">if($C209="","",_xlfn.xlookup($C209,'Hiker Food'!$C:$C,'Hiker Food'!P:P)*$D209)</f>
        <v/>
      </c>
      <c r="N209" s="72" t="str">
        <f t="array" ref="N209">if($C209="","",_xlfn.xlookup($C209,'Hiker Food'!$C:$C,'Hiker Food'!Q:Q)*$D209)</f>
        <v/>
      </c>
      <c r="O209" s="72" t="str">
        <f t="array" ref="O209">if($C209="","",_xlfn.xlookup($C209,'Hiker Food'!$C:$C,'Hiker Food'!I:I)*$D209)</f>
        <v/>
      </c>
      <c r="P209" s="71" t="str">
        <f t="array" ref="P209">if($C209="","",_xlfn.xlookup($C209,'Hiker Food'!$C:$C,'Hiker Food'!T:T))</f>
        <v/>
      </c>
      <c r="Q209" s="73" t="str">
        <f t="array" ref="Q209">if($C209="","",_xlfn.xlookup($C209,'Hiker Food'!$C:$C,'Hiker Food'!U:U))</f>
        <v/>
      </c>
      <c r="R209" s="73" t="str">
        <f t="array" ref="R209">if($C209="","",_xlfn.xlookup($C209,'Hiker Food'!$C:$C,'Hiker Food'!V:V))</f>
        <v/>
      </c>
      <c r="S209" s="74" t="str">
        <f t="array" ref="S209">if($C209="","",_xlfn.xlookup($C209,'Hiker Food'!$C:$C,'Hiker Food'!W:W))</f>
        <v/>
      </c>
      <c r="T209" s="91" t="s">
        <v>314</v>
      </c>
      <c r="U209" s="76" t="str">
        <f>if(C209="","",Y209/V209)</f>
        <v/>
      </c>
      <c r="V209" s="96" t="str">
        <f>if($C209="","",sum(E209:E211))</f>
        <v/>
      </c>
      <c r="W209" s="77" t="str">
        <f>if($C209="","",$Y209/X209)</f>
        <v/>
      </c>
      <c r="X209" s="96" t="str">
        <f>if($C209="","",sum(F209:F211))</f>
        <v/>
      </c>
      <c r="Y209" s="96" t="str">
        <f>if($C209="","",sum(O209:O211))</f>
        <v/>
      </c>
      <c r="Z209" s="77" t="str">
        <f>if($C209="","",(sum(J209:J211)/sum(N209:N211)))</f>
        <v/>
      </c>
      <c r="AA209" s="78" t="str">
        <f>if($C209="","",sum(G209:G211)*9/sum(sum(G209:G211)*9+sum(J209:J211)*4+sum(N209:N211)*4))</f>
        <v/>
      </c>
      <c r="AB209" s="78" t="str">
        <f>if($C209="","",sum(L209:L211)*4/sum(sum(G209:G211)*9+sum(J209:J211)*4+sum(N209:N211)*4))</f>
        <v/>
      </c>
      <c r="AC209" s="79" t="str">
        <f>if($C209="","",(sum(H209:H211)/sum(O209:O211)))</f>
        <v/>
      </c>
    </row>
    <row r="210">
      <c r="A210" s="52"/>
      <c r="B210" s="53"/>
      <c r="C210" s="54"/>
      <c r="D210" s="55">
        <v>1.0</v>
      </c>
      <c r="E210" s="56" t="str">
        <f t="array" ref="E210">if(C210="","",_xlfn.xlookup(C210,'Hiker Food'!$C:$C,'Hiker Food'!G:G)*D210)</f>
        <v/>
      </c>
      <c r="F210" s="42" t="str">
        <f t="array" ref="F210">if(C210="","",_xlfn.xlookup(C210,'Hiker Food'!$C:$C,'Hiker Food'!H:H)*D210)</f>
        <v/>
      </c>
      <c r="G210" s="42" t="str">
        <f t="array" ref="G210">if($C210="","",_xlfn.xlookup($C210,'Hiker Food'!$C:$C,'Hiker Food'!J:J)*$D210)</f>
        <v/>
      </c>
      <c r="H210" s="42" t="str">
        <f t="array" ref="H210">if($C210="","",_xlfn.xlookup($C210,'Hiker Food'!$C:$C,'Hiker Food'!K:K)*$D210)</f>
        <v/>
      </c>
      <c r="I210" s="42" t="str">
        <f t="array" ref="I210">if($C210="","",_xlfn.xlookup($C210,'Hiker Food'!$C:$C,'Hiker Food'!L:L)*$D210)</f>
        <v/>
      </c>
      <c r="J210" s="42" t="str">
        <f t="array" ref="J210">if($C210="","",_xlfn.xlookup($C210,'Hiker Food'!$C:$C,'Hiker Food'!M:M)*$D210)</f>
        <v/>
      </c>
      <c r="K210" s="42" t="str">
        <f t="array" ref="K210">if($C210="","",_xlfn.xlookup($C210,'Hiker Food'!$C:$C,'Hiker Food'!N:N)*$D210)</f>
        <v/>
      </c>
      <c r="L210" s="42" t="str">
        <f t="array" ref="L210">if($C210="","",_xlfn.xlookup($C210,'Hiker Food'!$C:$C,'Hiker Food'!O:O)*$D210)</f>
        <v/>
      </c>
      <c r="M210" s="42" t="str">
        <f t="array" ref="M210">if($C210="","",_xlfn.xlookup($C210,'Hiker Food'!$C:$C,'Hiker Food'!P:P)*$D210)</f>
        <v/>
      </c>
      <c r="N210" s="42" t="str">
        <f t="array" ref="N210">if($C210="","",_xlfn.xlookup($C210,'Hiker Food'!$C:$C,'Hiker Food'!Q:Q)*$D210)</f>
        <v/>
      </c>
      <c r="O210" s="42" t="str">
        <f t="array" ref="O210">if($C210="","",_xlfn.xlookup($C210,'Hiker Food'!$C:$C,'Hiker Food'!I:I)*$D210)</f>
        <v/>
      </c>
      <c r="P210" s="56" t="str">
        <f t="array" ref="P210">if($C210="","",_xlfn.xlookup($C210,'Hiker Food'!$C:$C,'Hiker Food'!T:T))</f>
        <v/>
      </c>
      <c r="Q210" s="57" t="str">
        <f t="array" ref="Q210">if($C210="","",_xlfn.xlookup($C210,'Hiker Food'!$C:$C,'Hiker Food'!U:U))</f>
        <v/>
      </c>
      <c r="R210" s="57" t="str">
        <f t="array" ref="R210">if($C210="","",_xlfn.xlookup($C210,'Hiker Food'!$C:$C,'Hiker Food'!V:V))</f>
        <v/>
      </c>
      <c r="S210" s="58" t="str">
        <f t="array" ref="S210">if($C210="","",_xlfn.xlookup($C210,'Hiker Food'!$C:$C,'Hiker Food'!W:W))</f>
        <v/>
      </c>
      <c r="T210" s="59"/>
      <c r="AC210" s="60"/>
    </row>
    <row r="211">
      <c r="A211" s="52"/>
      <c r="B211" s="61"/>
      <c r="C211" s="62"/>
      <c r="D211" s="63">
        <v>1.0</v>
      </c>
      <c r="E211" s="81" t="str">
        <f t="array" ref="E211">if(C211="","",_xlfn.xlookup(C211,'Hiker Food'!$C:$C,'Hiker Food'!G:G)*D211)</f>
        <v/>
      </c>
      <c r="F211" s="64" t="str">
        <f t="array" ref="F211">if(C211="","",_xlfn.xlookup(C211,'Hiker Food'!$C:$C,'Hiker Food'!H:H)*D211)</f>
        <v/>
      </c>
      <c r="G211" s="64" t="str">
        <f t="array" ref="G211">if($C211="","",_xlfn.xlookup($C211,'Hiker Food'!$C:$C,'Hiker Food'!J:J)*$D211)</f>
        <v/>
      </c>
      <c r="H211" s="64" t="str">
        <f t="array" ref="H211">if($C211="","",_xlfn.xlookup($C211,'Hiker Food'!$C:$C,'Hiker Food'!K:K)*$D211)</f>
        <v/>
      </c>
      <c r="I211" s="64" t="str">
        <f t="array" ref="I211">if($C211="","",_xlfn.xlookup($C211,'Hiker Food'!$C:$C,'Hiker Food'!L:L)*$D211)</f>
        <v/>
      </c>
      <c r="J211" s="64" t="str">
        <f t="array" ref="J211">if($C211="","",_xlfn.xlookup($C211,'Hiker Food'!$C:$C,'Hiker Food'!M:M)*$D211)</f>
        <v/>
      </c>
      <c r="K211" s="64" t="str">
        <f t="array" ref="K211">if($C211="","",_xlfn.xlookup($C211,'Hiker Food'!$C:$C,'Hiker Food'!N:N)*$D211)</f>
        <v/>
      </c>
      <c r="L211" s="64" t="str">
        <f t="array" ref="L211">if($C211="","",_xlfn.xlookup($C211,'Hiker Food'!$C:$C,'Hiker Food'!O:O)*$D211)</f>
        <v/>
      </c>
      <c r="M211" s="64" t="str">
        <f t="array" ref="M211">if($C211="","",_xlfn.xlookup($C211,'Hiker Food'!$C:$C,'Hiker Food'!P:P)*$D211)</f>
        <v/>
      </c>
      <c r="N211" s="64" t="str">
        <f t="array" ref="N211">if($C211="","",_xlfn.xlookup($C211,'Hiker Food'!$C:$C,'Hiker Food'!Q:Q)*$D211)</f>
        <v/>
      </c>
      <c r="O211" s="64" t="str">
        <f t="array" ref="O211">if($C211="","",_xlfn.xlookup($C211,'Hiker Food'!$C:$C,'Hiker Food'!I:I)*$D211)</f>
        <v/>
      </c>
      <c r="P211" s="81" t="str">
        <f t="array" ref="P211">if($C211="","",_xlfn.xlookup($C211,'Hiker Food'!$C:$C,'Hiker Food'!T:T))</f>
        <v/>
      </c>
      <c r="Q211" s="82" t="str">
        <f t="array" ref="Q211">if($C211="","",_xlfn.xlookup($C211,'Hiker Food'!$C:$C,'Hiker Food'!U:U))</f>
        <v/>
      </c>
      <c r="R211" s="82" t="str">
        <f t="array" ref="R211">if($C211="","",_xlfn.xlookup($C211,'Hiker Food'!$C:$C,'Hiker Food'!V:V))</f>
        <v/>
      </c>
      <c r="S211" s="83" t="str">
        <f t="array" ref="S211">if($C211="","",_xlfn.xlookup($C211,'Hiker Food'!$C:$C,'Hiker Food'!W:W))</f>
        <v/>
      </c>
      <c r="T211" s="65"/>
      <c r="U211" s="66"/>
      <c r="V211" s="66"/>
      <c r="W211" s="66"/>
      <c r="X211" s="66"/>
      <c r="Y211" s="66"/>
      <c r="Z211" s="66"/>
      <c r="AA211" s="66"/>
      <c r="AB211" s="66"/>
      <c r="AC211" s="67"/>
    </row>
    <row r="212">
      <c r="A212" s="52"/>
      <c r="B212" s="68" t="s">
        <v>366</v>
      </c>
      <c r="C212" s="90"/>
      <c r="D212" s="70">
        <v>1.0</v>
      </c>
      <c r="E212" s="71" t="str">
        <f t="array" ref="E212">if(C212="","",_xlfn.xlookup(C212,'Hiker Food'!$C:$C,'Hiker Food'!G:G)*D212)</f>
        <v/>
      </c>
      <c r="F212" s="42" t="str">
        <f t="array" ref="F212">if(C212="","",_xlfn.xlookup(C212,'Hiker Food'!$C:$C,'Hiker Food'!H:H)*D212)</f>
        <v/>
      </c>
      <c r="G212" s="72" t="str">
        <f t="array" ref="G212">if($C212="","",_xlfn.xlookup($C212,'Hiker Food'!$C:$C,'Hiker Food'!J:J)*$D212)</f>
        <v/>
      </c>
      <c r="H212" s="72" t="str">
        <f t="array" ref="H212">if($C212="","",_xlfn.xlookup($C212,'Hiker Food'!$C:$C,'Hiker Food'!K:K)*$D212)</f>
        <v/>
      </c>
      <c r="I212" s="72" t="str">
        <f t="array" ref="I212">if($C212="","",_xlfn.xlookup($C212,'Hiker Food'!$C:$C,'Hiker Food'!L:L)*$D212)</f>
        <v/>
      </c>
      <c r="J212" s="72" t="str">
        <f t="array" ref="J212">if($C212="","",_xlfn.xlookup($C212,'Hiker Food'!$C:$C,'Hiker Food'!M:M)*$D212)</f>
        <v/>
      </c>
      <c r="K212" s="72" t="str">
        <f t="array" ref="K212">if($C212="","",_xlfn.xlookup($C212,'Hiker Food'!$C:$C,'Hiker Food'!N:N)*$D212)</f>
        <v/>
      </c>
      <c r="L212" s="72" t="str">
        <f t="array" ref="L212">if($C212="","",_xlfn.xlookup($C212,'Hiker Food'!$C:$C,'Hiker Food'!O:O)*$D212)</f>
        <v/>
      </c>
      <c r="M212" s="72" t="str">
        <f t="array" ref="M212">if($C212="","",_xlfn.xlookup($C212,'Hiker Food'!$C:$C,'Hiker Food'!P:P)*$D212)</f>
        <v/>
      </c>
      <c r="N212" s="72" t="str">
        <f t="array" ref="N212">if($C212="","",_xlfn.xlookup($C212,'Hiker Food'!$C:$C,'Hiker Food'!Q:Q)*$D212)</f>
        <v/>
      </c>
      <c r="O212" s="72" t="str">
        <f t="array" ref="O212">if($C212="","",_xlfn.xlookup($C212,'Hiker Food'!$C:$C,'Hiker Food'!I:I)*$D212)</f>
        <v/>
      </c>
      <c r="P212" s="71" t="str">
        <f t="array" ref="P212">if($C212="","",_xlfn.xlookup($C212,'Hiker Food'!$C:$C,'Hiker Food'!T:T))</f>
        <v/>
      </c>
      <c r="Q212" s="73" t="str">
        <f t="array" ref="Q212">if($C212="","",_xlfn.xlookup($C212,'Hiker Food'!$C:$C,'Hiker Food'!U:U))</f>
        <v/>
      </c>
      <c r="R212" s="73" t="str">
        <f t="array" ref="R212">if($C212="","",_xlfn.xlookup($C212,'Hiker Food'!$C:$C,'Hiker Food'!V:V))</f>
        <v/>
      </c>
      <c r="S212" s="74" t="str">
        <f t="array" ref="S212">if($C212="","",_xlfn.xlookup($C212,'Hiker Food'!$C:$C,'Hiker Food'!W:W))</f>
        <v/>
      </c>
      <c r="T212" s="87" t="s">
        <v>366</v>
      </c>
      <c r="U212" s="76" t="str">
        <f>if(C212="","",Y212/V212)</f>
        <v/>
      </c>
      <c r="V212" s="96" t="str">
        <f>if($C212="","",sum(E212:E214))</f>
        <v/>
      </c>
      <c r="W212" s="77" t="str">
        <f>if($C212="","",$Y212/X212)</f>
        <v/>
      </c>
      <c r="X212" s="96" t="str">
        <f>if($C212="","",sum(F212:F214))</f>
        <v/>
      </c>
      <c r="Y212" s="96" t="str">
        <f>if($C212="","",sum(O212:O214))</f>
        <v/>
      </c>
      <c r="Z212" s="77" t="str">
        <f>if($C212="","",(sum(J212:J214)/sum(N212:N214)))</f>
        <v/>
      </c>
      <c r="AA212" s="78" t="str">
        <f>if($C212="","",sum(G212:G214)*9/sum(sum(G212:G214)*9+sum(J212:J214)*4+sum(N212:N214)*4))</f>
        <v/>
      </c>
      <c r="AB212" s="78" t="str">
        <f>if($C212="","",sum(L212:L214)*4/sum(sum(G212:G214)*9+sum(J212:J214)*4+sum(N212:N214)*4))</f>
        <v/>
      </c>
      <c r="AC212" s="79" t="str">
        <f>if($C212="","",(sum(H212:H214)/sum(O212:O214)))</f>
        <v/>
      </c>
    </row>
    <row r="213">
      <c r="A213" s="52"/>
      <c r="B213" s="53"/>
      <c r="C213" s="93"/>
      <c r="D213" s="55">
        <v>1.0</v>
      </c>
      <c r="E213" s="56" t="str">
        <f t="array" ref="E213">if(C213="","",_xlfn.xlookup(C213,'Hiker Food'!$C:$C,'Hiker Food'!G:G)*D213)</f>
        <v/>
      </c>
      <c r="F213" s="42" t="str">
        <f t="array" ref="F213">if(C213="","",_xlfn.xlookup(C213,'Hiker Food'!$C:$C,'Hiker Food'!H:H)*D213)</f>
        <v/>
      </c>
      <c r="G213" s="42" t="str">
        <f t="array" ref="G213">if($C213="","",_xlfn.xlookup($C213,'Hiker Food'!$C:$C,'Hiker Food'!J:J)*$D213)</f>
        <v/>
      </c>
      <c r="H213" s="42" t="str">
        <f t="array" ref="H213">if($C213="","",_xlfn.xlookup($C213,'Hiker Food'!$C:$C,'Hiker Food'!K:K)*$D213)</f>
        <v/>
      </c>
      <c r="I213" s="42" t="str">
        <f t="array" ref="I213">if($C213="","",_xlfn.xlookup($C213,'Hiker Food'!$C:$C,'Hiker Food'!L:L)*$D213)</f>
        <v/>
      </c>
      <c r="J213" s="42" t="str">
        <f t="array" ref="J213">if($C213="","",_xlfn.xlookup($C213,'Hiker Food'!$C:$C,'Hiker Food'!M:M)*$D213)</f>
        <v/>
      </c>
      <c r="K213" s="42" t="str">
        <f t="array" ref="K213">if($C213="","",_xlfn.xlookup($C213,'Hiker Food'!$C:$C,'Hiker Food'!N:N)*$D213)</f>
        <v/>
      </c>
      <c r="L213" s="42" t="str">
        <f t="array" ref="L213">if($C213="","",_xlfn.xlookup($C213,'Hiker Food'!$C:$C,'Hiker Food'!O:O)*$D213)</f>
        <v/>
      </c>
      <c r="M213" s="42" t="str">
        <f t="array" ref="M213">if($C213="","",_xlfn.xlookup($C213,'Hiker Food'!$C:$C,'Hiker Food'!P:P)*$D213)</f>
        <v/>
      </c>
      <c r="N213" s="42" t="str">
        <f t="array" ref="N213">if($C213="","",_xlfn.xlookup($C213,'Hiker Food'!$C:$C,'Hiker Food'!Q:Q)*$D213)</f>
        <v/>
      </c>
      <c r="O213" s="42" t="str">
        <f t="array" ref="O213">if($C213="","",_xlfn.xlookup($C213,'Hiker Food'!$C:$C,'Hiker Food'!I:I)*$D213)</f>
        <v/>
      </c>
      <c r="P213" s="56" t="str">
        <f t="array" ref="P213">if($C213="","",_xlfn.xlookup($C213,'Hiker Food'!$C:$C,'Hiker Food'!T:T))</f>
        <v/>
      </c>
      <c r="Q213" s="57" t="str">
        <f t="array" ref="Q213">if($C213="","",_xlfn.xlookup($C213,'Hiker Food'!$C:$C,'Hiker Food'!U:U))</f>
        <v/>
      </c>
      <c r="R213" s="57" t="str">
        <f t="array" ref="R213">if($C213="","",_xlfn.xlookup($C213,'Hiker Food'!$C:$C,'Hiker Food'!V:V))</f>
        <v/>
      </c>
      <c r="S213" s="58" t="str">
        <f t="array" ref="S213">if($C213="","",_xlfn.xlookup($C213,'Hiker Food'!$C:$C,'Hiker Food'!W:W))</f>
        <v/>
      </c>
      <c r="T213" s="59"/>
      <c r="AC213" s="60"/>
    </row>
    <row r="214">
      <c r="A214" s="52"/>
      <c r="B214" s="61"/>
      <c r="C214" s="54"/>
      <c r="D214" s="63">
        <v>1.0</v>
      </c>
      <c r="E214" s="81" t="str">
        <f t="array" ref="E214">if(C214="","",_xlfn.xlookup(C214,'Hiker Food'!$C:$C,'Hiker Food'!G:G)*D214)</f>
        <v/>
      </c>
      <c r="F214" s="64" t="str">
        <f t="array" ref="F214">if(C214="","",_xlfn.xlookup(C214,'Hiker Food'!$C:$C,'Hiker Food'!H:H)*D214)</f>
        <v/>
      </c>
      <c r="G214" s="64" t="str">
        <f t="array" ref="G214">if($C214="","",_xlfn.xlookup($C214,'Hiker Food'!$C:$C,'Hiker Food'!J:J)*$D214)</f>
        <v/>
      </c>
      <c r="H214" s="64" t="str">
        <f t="array" ref="H214">if($C214="","",_xlfn.xlookup($C214,'Hiker Food'!$C:$C,'Hiker Food'!K:K)*$D214)</f>
        <v/>
      </c>
      <c r="I214" s="64" t="str">
        <f t="array" ref="I214">if($C214="","",_xlfn.xlookup($C214,'Hiker Food'!$C:$C,'Hiker Food'!L:L)*$D214)</f>
        <v/>
      </c>
      <c r="J214" s="64" t="str">
        <f t="array" ref="J214">if($C214="","",_xlfn.xlookup($C214,'Hiker Food'!$C:$C,'Hiker Food'!M:M)*$D214)</f>
        <v/>
      </c>
      <c r="K214" s="64" t="str">
        <f t="array" ref="K214">if($C214="","",_xlfn.xlookup($C214,'Hiker Food'!$C:$C,'Hiker Food'!N:N)*$D214)</f>
        <v/>
      </c>
      <c r="L214" s="64" t="str">
        <f t="array" ref="L214">if($C214="","",_xlfn.xlookup($C214,'Hiker Food'!$C:$C,'Hiker Food'!O:O)*$D214)</f>
        <v/>
      </c>
      <c r="M214" s="64" t="str">
        <f t="array" ref="M214">if($C214="","",_xlfn.xlookup($C214,'Hiker Food'!$C:$C,'Hiker Food'!P:P)*$D214)</f>
        <v/>
      </c>
      <c r="N214" s="64" t="str">
        <f t="array" ref="N214">if($C214="","",_xlfn.xlookup($C214,'Hiker Food'!$C:$C,'Hiker Food'!Q:Q)*$D214)</f>
        <v/>
      </c>
      <c r="O214" s="64" t="str">
        <f t="array" ref="O214">if($C214="","",_xlfn.xlookup($C214,'Hiker Food'!$C:$C,'Hiker Food'!I:I)*$D214)</f>
        <v/>
      </c>
      <c r="P214" s="81" t="str">
        <f t="array" ref="P214">if($C214="","",_xlfn.xlookup($C214,'Hiker Food'!$C:$C,'Hiker Food'!T:T))</f>
        <v/>
      </c>
      <c r="Q214" s="82" t="str">
        <f t="array" ref="Q214">if($C214="","",_xlfn.xlookup($C214,'Hiker Food'!$C:$C,'Hiker Food'!U:U))</f>
        <v/>
      </c>
      <c r="R214" s="82" t="str">
        <f t="array" ref="R214">if($C214="","",_xlfn.xlookup($C214,'Hiker Food'!$C:$C,'Hiker Food'!V:V))</f>
        <v/>
      </c>
      <c r="S214" s="83" t="str">
        <f t="array" ref="S214">if($C214="","",_xlfn.xlookup($C214,'Hiker Food'!$C:$C,'Hiker Food'!W:W))</f>
        <v/>
      </c>
      <c r="T214" s="65"/>
      <c r="U214" s="66"/>
      <c r="V214" s="66"/>
      <c r="W214" s="66"/>
      <c r="X214" s="66"/>
      <c r="Y214" s="66"/>
      <c r="Z214" s="66"/>
      <c r="AA214" s="66"/>
      <c r="AB214" s="66"/>
      <c r="AC214" s="67"/>
    </row>
    <row r="215">
      <c r="A215" s="52"/>
      <c r="B215" s="94" t="s">
        <v>424</v>
      </c>
      <c r="C215" s="90"/>
      <c r="D215" s="70">
        <v>1.0</v>
      </c>
      <c r="E215" s="71" t="str">
        <f t="array" ref="E215">if(C215="","",_xlfn.xlookup(C215,'Hiker Food'!$C:$C,'Hiker Food'!G:G)*D215)</f>
        <v/>
      </c>
      <c r="F215" s="42" t="str">
        <f t="array" ref="F215">if(C215="","",_xlfn.xlookup(C215,'Hiker Food'!$C:$C,'Hiker Food'!H:H)*D215)</f>
        <v/>
      </c>
      <c r="G215" s="72" t="str">
        <f t="array" ref="G215">if($C215="","",_xlfn.xlookup($C215,'Hiker Food'!$C:$C,'Hiker Food'!J:J)*$D215)</f>
        <v/>
      </c>
      <c r="H215" s="72" t="str">
        <f t="array" ref="H215">if($C215="","",_xlfn.xlookup($C215,'Hiker Food'!$C:$C,'Hiker Food'!K:K)*$D215)</f>
        <v/>
      </c>
      <c r="I215" s="72" t="str">
        <f t="array" ref="I215">if($C215="","",_xlfn.xlookup($C215,'Hiker Food'!$C:$C,'Hiker Food'!L:L)*$D215)</f>
        <v/>
      </c>
      <c r="J215" s="72" t="str">
        <f t="array" ref="J215">if($C215="","",_xlfn.xlookup($C215,'Hiker Food'!$C:$C,'Hiker Food'!M:M)*$D215)</f>
        <v/>
      </c>
      <c r="K215" s="72" t="str">
        <f t="array" ref="K215">if($C215="","",_xlfn.xlookup($C215,'Hiker Food'!$C:$C,'Hiker Food'!N:N)*$D215)</f>
        <v/>
      </c>
      <c r="L215" s="72" t="str">
        <f t="array" ref="L215">if($C215="","",_xlfn.xlookup($C215,'Hiker Food'!$C:$C,'Hiker Food'!O:O)*$D215)</f>
        <v/>
      </c>
      <c r="M215" s="72" t="str">
        <f t="array" ref="M215">if($C215="","",_xlfn.xlookup($C215,'Hiker Food'!$C:$C,'Hiker Food'!P:P)*$D215)</f>
        <v/>
      </c>
      <c r="N215" s="72" t="str">
        <f t="array" ref="N215">if($C215="","",_xlfn.xlookup($C215,'Hiker Food'!$C:$C,'Hiker Food'!Q:Q)*$D215)</f>
        <v/>
      </c>
      <c r="O215" s="72" t="str">
        <f t="array" ref="O215">if($C215="","",_xlfn.xlookup($C215,'Hiker Food'!$C:$C,'Hiker Food'!I:I)*$D215)</f>
        <v/>
      </c>
      <c r="P215" s="71" t="str">
        <f t="array" ref="P215">if($C215="","",_xlfn.xlookup($C215,'Hiker Food'!$C:$C,'Hiker Food'!T:T))</f>
        <v/>
      </c>
      <c r="Q215" s="73" t="str">
        <f t="array" ref="Q215">if($C215="","",_xlfn.xlookup($C215,'Hiker Food'!$C:$C,'Hiker Food'!U:U))</f>
        <v/>
      </c>
      <c r="R215" s="73" t="str">
        <f t="array" ref="R215">if($C215="","",_xlfn.xlookup($C215,'Hiker Food'!$C:$C,'Hiker Food'!V:V))</f>
        <v/>
      </c>
      <c r="S215" s="74" t="str">
        <f t="array" ref="S215">if($C215="","",_xlfn.xlookup($C215,'Hiker Food'!$C:$C,'Hiker Food'!W:W))</f>
        <v/>
      </c>
      <c r="T215" s="95" t="s">
        <v>424</v>
      </c>
      <c r="U215" s="76" t="str">
        <f>if(C215="","",Y215/V215)</f>
        <v/>
      </c>
      <c r="V215" s="96" t="str">
        <f>if($C215="","",sum(E215:E217))</f>
        <v/>
      </c>
      <c r="W215" s="77" t="str">
        <f>if($C215="","",$Y215/X215)</f>
        <v/>
      </c>
      <c r="X215" s="96" t="str">
        <f>if($C215="","",sum(F215:F217))</f>
        <v/>
      </c>
      <c r="Y215" s="96" t="str">
        <f>if($C215="","",sum(O215:O217))</f>
        <v/>
      </c>
      <c r="Z215" s="77" t="str">
        <f>if($C215="","",(sum(J215:J217)/sum(N215:N217)))</f>
        <v/>
      </c>
      <c r="AA215" s="78" t="str">
        <f>if($C215="","",sum(G215:G217)*9/sum(sum(G215:G217)*9+sum(J215:J217)*4+sum(N215:N217)*4))</f>
        <v/>
      </c>
      <c r="AB215" s="78" t="str">
        <f>if($C215="","",sum(L215:L217)*4/sum(sum(G215:G217)*9+sum(J215:J217)*4+sum(N215:N217)*4))</f>
        <v/>
      </c>
      <c r="AC215" s="79" t="str">
        <f>if($C215="","",(sum(H215:H217)/sum(O215:O217)))</f>
        <v/>
      </c>
    </row>
    <row r="216">
      <c r="A216" s="52"/>
      <c r="B216" s="53"/>
      <c r="C216" s="54"/>
      <c r="D216" s="55">
        <v>1.0</v>
      </c>
      <c r="E216" s="56" t="str">
        <f t="array" ref="E216">if(C216="","",_xlfn.xlookup(C216,'Hiker Food'!$C:$C,'Hiker Food'!G:G)*D216)</f>
        <v/>
      </c>
      <c r="F216" s="42" t="str">
        <f t="array" ref="F216">if(C216="","",_xlfn.xlookup(C216,'Hiker Food'!$C:$C,'Hiker Food'!H:H)*D216)</f>
        <v/>
      </c>
      <c r="G216" s="42" t="str">
        <f t="array" ref="G216">if($C216="","",_xlfn.xlookup($C216,'Hiker Food'!$C:$C,'Hiker Food'!J:J)*$D216)</f>
        <v/>
      </c>
      <c r="H216" s="42" t="str">
        <f t="array" ref="H216">if($C216="","",_xlfn.xlookup($C216,'Hiker Food'!$C:$C,'Hiker Food'!K:K)*$D216)</f>
        <v/>
      </c>
      <c r="I216" s="42" t="str">
        <f t="array" ref="I216">if($C216="","",_xlfn.xlookup($C216,'Hiker Food'!$C:$C,'Hiker Food'!L:L)*$D216)</f>
        <v/>
      </c>
      <c r="J216" s="42" t="str">
        <f t="array" ref="J216">if($C216="","",_xlfn.xlookup($C216,'Hiker Food'!$C:$C,'Hiker Food'!M:M)*$D216)</f>
        <v/>
      </c>
      <c r="K216" s="42" t="str">
        <f t="array" ref="K216">if($C216="","",_xlfn.xlookup($C216,'Hiker Food'!$C:$C,'Hiker Food'!N:N)*$D216)</f>
        <v/>
      </c>
      <c r="L216" s="42" t="str">
        <f t="array" ref="L216">if($C216="","",_xlfn.xlookup($C216,'Hiker Food'!$C:$C,'Hiker Food'!O:O)*$D216)</f>
        <v/>
      </c>
      <c r="M216" s="42" t="str">
        <f t="array" ref="M216">if($C216="","",_xlfn.xlookup($C216,'Hiker Food'!$C:$C,'Hiker Food'!P:P)*$D216)</f>
        <v/>
      </c>
      <c r="N216" s="42" t="str">
        <f t="array" ref="N216">if($C216="","",_xlfn.xlookup($C216,'Hiker Food'!$C:$C,'Hiker Food'!Q:Q)*$D216)</f>
        <v/>
      </c>
      <c r="O216" s="42" t="str">
        <f t="array" ref="O216">if($C216="","",_xlfn.xlookup($C216,'Hiker Food'!$C:$C,'Hiker Food'!I:I)*$D216)</f>
        <v/>
      </c>
      <c r="P216" s="56" t="str">
        <f t="array" ref="P216">if($C216="","",_xlfn.xlookup($C216,'Hiker Food'!$C:$C,'Hiker Food'!T:T))</f>
        <v/>
      </c>
      <c r="Q216" s="57" t="str">
        <f t="array" ref="Q216">if($C216="","",_xlfn.xlookup($C216,'Hiker Food'!$C:$C,'Hiker Food'!U:U))</f>
        <v/>
      </c>
      <c r="R216" s="57" t="str">
        <f t="array" ref="R216">if($C216="","",_xlfn.xlookup($C216,'Hiker Food'!$C:$C,'Hiker Food'!V:V))</f>
        <v/>
      </c>
      <c r="S216" s="58" t="str">
        <f t="array" ref="S216">if($C216="","",_xlfn.xlookup($C216,'Hiker Food'!$C:$C,'Hiker Food'!W:W))</f>
        <v/>
      </c>
      <c r="T216" s="59"/>
      <c r="AC216" s="60"/>
    </row>
    <row r="217">
      <c r="A217" s="52"/>
      <c r="B217" s="61"/>
      <c r="C217" s="54"/>
      <c r="D217" s="63">
        <v>1.0</v>
      </c>
      <c r="E217" s="81" t="str">
        <f t="array" ref="E217">if(C217="","",_xlfn.xlookup(C217,'Hiker Food'!$C:$C,'Hiker Food'!G:G)*D217)</f>
        <v/>
      </c>
      <c r="F217" s="64" t="str">
        <f t="array" ref="F217">if(C217="","",_xlfn.xlookup(C217,'Hiker Food'!$C:$C,'Hiker Food'!H:H)*D217)</f>
        <v/>
      </c>
      <c r="G217" s="64" t="str">
        <f t="array" ref="G217">if($C217="","",_xlfn.xlookup($C217,'Hiker Food'!$C:$C,'Hiker Food'!J:J)*$D217)</f>
        <v/>
      </c>
      <c r="H217" s="64" t="str">
        <f t="array" ref="H217">if($C217="","",_xlfn.xlookup($C217,'Hiker Food'!$C:$C,'Hiker Food'!K:K)*$D217)</f>
        <v/>
      </c>
      <c r="I217" s="64" t="str">
        <f t="array" ref="I217">if($C217="","",_xlfn.xlookup($C217,'Hiker Food'!$C:$C,'Hiker Food'!L:L)*$D217)</f>
        <v/>
      </c>
      <c r="J217" s="64" t="str">
        <f t="array" ref="J217">if($C217="","",_xlfn.xlookup($C217,'Hiker Food'!$C:$C,'Hiker Food'!M:M)*$D217)</f>
        <v/>
      </c>
      <c r="K217" s="64" t="str">
        <f t="array" ref="K217">if($C217="","",_xlfn.xlookup($C217,'Hiker Food'!$C:$C,'Hiker Food'!N:N)*$D217)</f>
        <v/>
      </c>
      <c r="L217" s="64" t="str">
        <f t="array" ref="L217">if($C217="","",_xlfn.xlookup($C217,'Hiker Food'!$C:$C,'Hiker Food'!O:O)*$D217)</f>
        <v/>
      </c>
      <c r="M217" s="64" t="str">
        <f t="array" ref="M217">if($C217="","",_xlfn.xlookup($C217,'Hiker Food'!$C:$C,'Hiker Food'!P:P)*$D217)</f>
        <v/>
      </c>
      <c r="N217" s="64" t="str">
        <f t="array" ref="N217">if($C217="","",_xlfn.xlookup($C217,'Hiker Food'!$C:$C,'Hiker Food'!Q:Q)*$D217)</f>
        <v/>
      </c>
      <c r="O217" s="64" t="str">
        <f t="array" ref="O217">if($C217="","",_xlfn.xlookup($C217,'Hiker Food'!$C:$C,'Hiker Food'!I:I)*$D217)</f>
        <v/>
      </c>
      <c r="P217" s="81" t="str">
        <f t="array" ref="P217">if($C217="","",_xlfn.xlookup($C217,'Hiker Food'!$C:$C,'Hiker Food'!T:T))</f>
        <v/>
      </c>
      <c r="Q217" s="82" t="str">
        <f t="array" ref="Q217">if($C217="","",_xlfn.xlookup($C217,'Hiker Food'!$C:$C,'Hiker Food'!U:U))</f>
        <v/>
      </c>
      <c r="R217" s="82" t="str">
        <f t="array" ref="R217">if($C217="","",_xlfn.xlookup($C217,'Hiker Food'!$C:$C,'Hiker Food'!V:V))</f>
        <v/>
      </c>
      <c r="S217" s="83" t="str">
        <f t="array" ref="S217">if($C217="","",_xlfn.xlookup($C217,'Hiker Food'!$C:$C,'Hiker Food'!W:W))</f>
        <v/>
      </c>
      <c r="T217" s="65"/>
      <c r="U217" s="66"/>
      <c r="V217" s="66"/>
      <c r="W217" s="66"/>
      <c r="X217" s="66"/>
      <c r="Y217" s="66"/>
      <c r="Z217" s="66"/>
      <c r="AA217" s="66"/>
      <c r="AB217" s="66"/>
      <c r="AC217" s="67"/>
    </row>
    <row r="218">
      <c r="A218" s="52"/>
      <c r="B218" s="94" t="s">
        <v>478</v>
      </c>
      <c r="C218" s="90"/>
      <c r="D218" s="70">
        <v>1.0</v>
      </c>
      <c r="E218" s="71" t="str">
        <f t="array" ref="E218">if(C218="","",_xlfn.xlookup(C218,'Hiker Food'!$C:$C,'Hiker Food'!G:G)*D218)</f>
        <v/>
      </c>
      <c r="F218" s="42" t="str">
        <f t="array" ref="F218">if(C218="","",_xlfn.xlookup(C218,'Hiker Food'!$C:$C,'Hiker Food'!H:H)*D218)</f>
        <v/>
      </c>
      <c r="G218" s="72" t="str">
        <f t="array" ref="G218">if($C218="","",_xlfn.xlookup($C218,'Hiker Food'!$C:$C,'Hiker Food'!J:J)*$D218)</f>
        <v/>
      </c>
      <c r="H218" s="72" t="str">
        <f t="array" ref="H218">if($C218="","",_xlfn.xlookup($C218,'Hiker Food'!$C:$C,'Hiker Food'!K:K)*$D218)</f>
        <v/>
      </c>
      <c r="I218" s="72" t="str">
        <f t="array" ref="I218">if($C218="","",_xlfn.xlookup($C218,'Hiker Food'!$C:$C,'Hiker Food'!L:L)*$D218)</f>
        <v/>
      </c>
      <c r="J218" s="72" t="str">
        <f t="array" ref="J218">if($C218="","",_xlfn.xlookup($C218,'Hiker Food'!$C:$C,'Hiker Food'!M:M)*$D218)</f>
        <v/>
      </c>
      <c r="K218" s="72" t="str">
        <f t="array" ref="K218">if($C218="","",_xlfn.xlookup($C218,'Hiker Food'!$C:$C,'Hiker Food'!N:N)*$D218)</f>
        <v/>
      </c>
      <c r="L218" s="72" t="str">
        <f t="array" ref="L218">if($C218="","",_xlfn.xlookup($C218,'Hiker Food'!$C:$C,'Hiker Food'!O:O)*$D218)</f>
        <v/>
      </c>
      <c r="M218" s="72" t="str">
        <f t="array" ref="M218">if($C218="","",_xlfn.xlookup($C218,'Hiker Food'!$C:$C,'Hiker Food'!P:P)*$D218)</f>
        <v/>
      </c>
      <c r="N218" s="72" t="str">
        <f t="array" ref="N218">if($C218="","",_xlfn.xlookup($C218,'Hiker Food'!$C:$C,'Hiker Food'!Q:Q)*$D218)</f>
        <v/>
      </c>
      <c r="O218" s="72" t="str">
        <f t="array" ref="O218">if($C218="","",_xlfn.xlookup($C218,'Hiker Food'!$C:$C,'Hiker Food'!I:I)*$D218)</f>
        <v/>
      </c>
      <c r="P218" s="71" t="str">
        <f t="array" ref="P218">if($C218="","",_xlfn.xlookup($C218,'Hiker Food'!$C:$C,'Hiker Food'!T:T))</f>
        <v/>
      </c>
      <c r="Q218" s="73" t="str">
        <f t="array" ref="Q218">if($C218="","",_xlfn.xlookup($C218,'Hiker Food'!$C:$C,'Hiker Food'!U:U))</f>
        <v/>
      </c>
      <c r="R218" s="73" t="str">
        <f t="array" ref="R218">if($C218="","",_xlfn.xlookup($C218,'Hiker Food'!$C:$C,'Hiker Food'!V:V))</f>
        <v/>
      </c>
      <c r="S218" s="74" t="str">
        <f t="array" ref="S218">if($C218="","",_xlfn.xlookup($C218,'Hiker Food'!$C:$C,'Hiker Food'!W:W))</f>
        <v/>
      </c>
      <c r="T218" s="95" t="s">
        <v>478</v>
      </c>
      <c r="U218" s="76" t="str">
        <f>if(C218="","",Y218/V218)</f>
        <v/>
      </c>
      <c r="V218" s="96" t="str">
        <f>if($C218="","",sum(E218:E220))</f>
        <v/>
      </c>
      <c r="W218" s="77" t="str">
        <f>if($C218="","",$Y218/X218)</f>
        <v/>
      </c>
      <c r="X218" s="96" t="str">
        <f>if($C218="","",sum(F218:F220))</f>
        <v/>
      </c>
      <c r="Y218" s="96" t="str">
        <f>if($C218="","",sum(O218:O220))</f>
        <v/>
      </c>
      <c r="Z218" s="77" t="str">
        <f>if($C218="","",(sum(J218:J220)/sum(N218:N220)))</f>
        <v/>
      </c>
      <c r="AA218" s="78" t="str">
        <f>if($C218="","",sum(G218:G220)*9/sum(sum(G218:G220)*9+sum(J218:J220)*4+sum(N218:N220)*4))</f>
        <v/>
      </c>
      <c r="AB218" s="78" t="str">
        <f>if($C218="","",sum(L218:L220)*4/sum(sum(G218:G220)*9+sum(J218:J220)*4+sum(N218:N220)*4))</f>
        <v/>
      </c>
      <c r="AC218" s="79" t="str">
        <f>if($C218="","",(sum(H218:H220)/sum(O218:O220)))</f>
        <v/>
      </c>
    </row>
    <row r="219">
      <c r="A219" s="52"/>
      <c r="B219" s="53"/>
      <c r="C219" s="93"/>
      <c r="D219" s="55">
        <v>1.0</v>
      </c>
      <c r="E219" s="56" t="str">
        <f t="array" ref="E219">if(C219="","",_xlfn.xlookup(C219,'Hiker Food'!$C:$C,'Hiker Food'!G:G)*D219)</f>
        <v/>
      </c>
      <c r="F219" s="42" t="str">
        <f t="array" ref="F219">if(C219="","",_xlfn.xlookup(C219,'Hiker Food'!$C:$C,'Hiker Food'!H:H)*D219)</f>
        <v/>
      </c>
      <c r="G219" s="42" t="str">
        <f t="array" ref="G219">if($C219="","",_xlfn.xlookup($C219,'Hiker Food'!$C:$C,'Hiker Food'!J:J)*$D219)</f>
        <v/>
      </c>
      <c r="H219" s="42" t="str">
        <f t="array" ref="H219">if($C219="","",_xlfn.xlookup($C219,'Hiker Food'!$C:$C,'Hiker Food'!K:K)*$D219)</f>
        <v/>
      </c>
      <c r="I219" s="42" t="str">
        <f t="array" ref="I219">if($C219="","",_xlfn.xlookup($C219,'Hiker Food'!$C:$C,'Hiker Food'!L:L)*$D219)</f>
        <v/>
      </c>
      <c r="J219" s="42" t="str">
        <f t="array" ref="J219">if($C219="","",_xlfn.xlookup($C219,'Hiker Food'!$C:$C,'Hiker Food'!M:M)*$D219)</f>
        <v/>
      </c>
      <c r="K219" s="42" t="str">
        <f t="array" ref="K219">if($C219="","",_xlfn.xlookup($C219,'Hiker Food'!$C:$C,'Hiker Food'!N:N)*$D219)</f>
        <v/>
      </c>
      <c r="L219" s="42" t="str">
        <f t="array" ref="L219">if($C219="","",_xlfn.xlookup($C219,'Hiker Food'!$C:$C,'Hiker Food'!O:O)*$D219)</f>
        <v/>
      </c>
      <c r="M219" s="42" t="str">
        <f t="array" ref="M219">if($C219="","",_xlfn.xlookup($C219,'Hiker Food'!$C:$C,'Hiker Food'!P:P)*$D219)</f>
        <v/>
      </c>
      <c r="N219" s="42" t="str">
        <f t="array" ref="N219">if($C219="","",_xlfn.xlookup($C219,'Hiker Food'!$C:$C,'Hiker Food'!Q:Q)*$D219)</f>
        <v/>
      </c>
      <c r="O219" s="42" t="str">
        <f t="array" ref="O219">if($C219="","",_xlfn.xlookup($C219,'Hiker Food'!$C:$C,'Hiker Food'!I:I)*$D219)</f>
        <v/>
      </c>
      <c r="P219" s="56" t="str">
        <f t="array" ref="P219">if($C219="","",_xlfn.xlookup($C219,'Hiker Food'!$C:$C,'Hiker Food'!T:T))</f>
        <v/>
      </c>
      <c r="Q219" s="57" t="str">
        <f t="array" ref="Q219">if($C219="","",_xlfn.xlookup($C219,'Hiker Food'!$C:$C,'Hiker Food'!U:U))</f>
        <v/>
      </c>
      <c r="R219" s="57" t="str">
        <f t="array" ref="R219">if($C219="","",_xlfn.xlookup($C219,'Hiker Food'!$C:$C,'Hiker Food'!V:V))</f>
        <v/>
      </c>
      <c r="S219" s="58" t="str">
        <f t="array" ref="S219">if($C219="","",_xlfn.xlookup($C219,'Hiker Food'!$C:$C,'Hiker Food'!W:W))</f>
        <v/>
      </c>
      <c r="T219" s="59"/>
      <c r="AC219" s="60"/>
    </row>
    <row r="220">
      <c r="A220" s="52"/>
      <c r="B220" s="61"/>
      <c r="C220" s="62"/>
      <c r="D220" s="63">
        <v>1.0</v>
      </c>
      <c r="E220" s="81" t="str">
        <f t="array" ref="E220">if(C220="","",_xlfn.xlookup(C220,'Hiker Food'!$C:$C,'Hiker Food'!G:G)*D220)</f>
        <v/>
      </c>
      <c r="F220" s="64" t="str">
        <f t="array" ref="F220">if(C220="","",_xlfn.xlookup(C220,'Hiker Food'!$C:$C,'Hiker Food'!H:H)*D220)</f>
        <v/>
      </c>
      <c r="G220" s="64" t="str">
        <f t="array" ref="G220">if($C220="","",_xlfn.xlookup($C220,'Hiker Food'!$C:$C,'Hiker Food'!J:J)*$D220)</f>
        <v/>
      </c>
      <c r="H220" s="64" t="str">
        <f t="array" ref="H220">if($C220="","",_xlfn.xlookup($C220,'Hiker Food'!$C:$C,'Hiker Food'!K:K)*$D220)</f>
        <v/>
      </c>
      <c r="I220" s="64" t="str">
        <f t="array" ref="I220">if($C220="","",_xlfn.xlookup($C220,'Hiker Food'!$C:$C,'Hiker Food'!L:L)*$D220)</f>
        <v/>
      </c>
      <c r="J220" s="64" t="str">
        <f t="array" ref="J220">if($C220="","",_xlfn.xlookup($C220,'Hiker Food'!$C:$C,'Hiker Food'!M:M)*$D220)</f>
        <v/>
      </c>
      <c r="K220" s="64" t="str">
        <f t="array" ref="K220">if($C220="","",_xlfn.xlookup($C220,'Hiker Food'!$C:$C,'Hiker Food'!N:N)*$D220)</f>
        <v/>
      </c>
      <c r="L220" s="64" t="str">
        <f t="array" ref="L220">if($C220="","",_xlfn.xlookup($C220,'Hiker Food'!$C:$C,'Hiker Food'!O:O)*$D220)</f>
        <v/>
      </c>
      <c r="M220" s="64" t="str">
        <f t="array" ref="M220">if($C220="","",_xlfn.xlookup($C220,'Hiker Food'!$C:$C,'Hiker Food'!P:P)*$D220)</f>
        <v/>
      </c>
      <c r="N220" s="64" t="str">
        <f t="array" ref="N220">if($C220="","",_xlfn.xlookup($C220,'Hiker Food'!$C:$C,'Hiker Food'!Q:Q)*$D220)</f>
        <v/>
      </c>
      <c r="O220" s="64" t="str">
        <f t="array" ref="O220">if($C220="","",_xlfn.xlookup($C220,'Hiker Food'!$C:$C,'Hiker Food'!I:I)*$D220)</f>
        <v/>
      </c>
      <c r="P220" s="81" t="str">
        <f t="array" ref="P220">if($C220="","",_xlfn.xlookup($C220,'Hiker Food'!$C:$C,'Hiker Food'!T:T))</f>
        <v/>
      </c>
      <c r="Q220" s="82" t="str">
        <f t="array" ref="Q220">if($C220="","",_xlfn.xlookup($C220,'Hiker Food'!$C:$C,'Hiker Food'!U:U))</f>
        <v/>
      </c>
      <c r="R220" s="82" t="str">
        <f t="array" ref="R220">if($C220="","",_xlfn.xlookup($C220,'Hiker Food'!$C:$C,'Hiker Food'!V:V))</f>
        <v/>
      </c>
      <c r="S220" s="83" t="str">
        <f t="array" ref="S220">if($C220="","",_xlfn.xlookup($C220,'Hiker Food'!$C:$C,'Hiker Food'!W:W))</f>
        <v/>
      </c>
      <c r="T220" s="65"/>
      <c r="U220" s="66"/>
      <c r="V220" s="66"/>
      <c r="W220" s="66"/>
      <c r="X220" s="66"/>
      <c r="Y220" s="66"/>
      <c r="Z220" s="66"/>
      <c r="AA220" s="66"/>
      <c r="AB220" s="66"/>
      <c r="AC220" s="67"/>
    </row>
    <row r="221">
      <c r="A221" s="97"/>
      <c r="B221" s="98" t="s">
        <v>532</v>
      </c>
      <c r="C221" s="99" t="str">
        <f>IF(COUNTIF(C200:C220,"")=COUNTA(C200:C220), "", "zzzz - subtotal line - ignore")</f>
        <v>zzzz - subtotal line - ignore</v>
      </c>
      <c r="D221" s="99"/>
      <c r="E221" s="100" t="str">
        <f t="shared" ref="E221:O221" si="10">if(counta($C200:$C220)=0,"",SUM(E200:E220))</f>
        <v/>
      </c>
      <c r="F221" s="101" t="str">
        <f t="shared" si="10"/>
        <v/>
      </c>
      <c r="G221" s="101" t="str">
        <f t="shared" si="10"/>
        <v/>
      </c>
      <c r="H221" s="101" t="str">
        <f t="shared" si="10"/>
        <v/>
      </c>
      <c r="I221" s="101" t="str">
        <f t="shared" si="10"/>
        <v/>
      </c>
      <c r="J221" s="101" t="str">
        <f t="shared" si="10"/>
        <v/>
      </c>
      <c r="K221" s="101" t="str">
        <f t="shared" si="10"/>
        <v/>
      </c>
      <c r="L221" s="101" t="str">
        <f t="shared" si="10"/>
        <v/>
      </c>
      <c r="M221" s="101" t="str">
        <f t="shared" si="10"/>
        <v/>
      </c>
      <c r="N221" s="101" t="str">
        <f t="shared" si="10"/>
        <v/>
      </c>
      <c r="O221" s="101" t="str">
        <f t="shared" si="10"/>
        <v/>
      </c>
      <c r="P221" s="102"/>
      <c r="Q221" s="102"/>
      <c r="R221" s="102"/>
      <c r="S221" s="102"/>
      <c r="T221" s="98" t="s">
        <v>532</v>
      </c>
      <c r="U221" s="100"/>
      <c r="V221" s="100" t="str">
        <f>if(counta($C200:$C220)=0,"",SUM(E200:E220))</f>
        <v/>
      </c>
      <c r="W221" s="101"/>
      <c r="X221" s="101" t="str">
        <f>if(counta($C200:$C220)=0,"",SUM(F200:F220))</f>
        <v/>
      </c>
      <c r="Y221" s="101" t="str">
        <f>if(counta($C200:$C220)=0,"",SUM(O200:O220))</f>
        <v/>
      </c>
      <c r="Z221" s="103" t="str">
        <f>if($V221="","",sum(J200:J220)/sum(N200:N220))</f>
        <v/>
      </c>
      <c r="AA221" s="104" t="str">
        <f>if($V221="","",sum(G200:G220)*9/sum(sum(G200:G220)*9+sum(J200:J220)*4+sum(N200:N220)*4))</f>
        <v/>
      </c>
      <c r="AB221" s="104" t="str">
        <f>if($V221="","",sum(L200:L220)*4/sum(sum(G200:G220)*9+sum(J200:J220)*4+sum(N200:N220)*4))</f>
        <v/>
      </c>
      <c r="AC221" s="105" t="str">
        <f>if($V221="","",sum(H200:H220)/sum(O200:O220))</f>
        <v/>
      </c>
    </row>
    <row r="222">
      <c r="A222" s="37">
        <v>11.0</v>
      </c>
      <c r="B222" s="38" t="s">
        <v>92</v>
      </c>
      <c r="C222" s="39"/>
      <c r="D222" s="40">
        <v>1.0</v>
      </c>
      <c r="E222" s="41" t="str">
        <f t="array" ref="E222">if(C222="","",_xlfn.xlookup(C222,'Hiker Food'!$C:$C,'Hiker Food'!G:G)*D222)</f>
        <v/>
      </c>
      <c r="F222" s="42" t="str">
        <f t="array" ref="F222">if(C222="","",_xlfn.xlookup(C222,'Hiker Food'!$C:$C,'Hiker Food'!H:H)*D222)</f>
        <v/>
      </c>
      <c r="G222" s="43" t="str">
        <f t="array" ref="G222">if($C222="","",_xlfn.xlookup($C222,'Hiker Food'!$C:$C,'Hiker Food'!J:J)*$D222)</f>
        <v/>
      </c>
      <c r="H222" s="43" t="str">
        <f t="array" ref="H222">if($C222="","",_xlfn.xlookup($C222,'Hiker Food'!$C:$C,'Hiker Food'!K:K)*$D222)</f>
        <v/>
      </c>
      <c r="I222" s="43" t="str">
        <f t="array" ref="I222">if($C222="","",_xlfn.xlookup($C222,'Hiker Food'!$C:$C,'Hiker Food'!L:L)*$D222)</f>
        <v/>
      </c>
      <c r="J222" s="43" t="str">
        <f t="array" ref="J222">if($C222="","",_xlfn.xlookup($C222,'Hiker Food'!$C:$C,'Hiker Food'!M:M)*$D222)</f>
        <v/>
      </c>
      <c r="K222" s="43" t="str">
        <f t="array" ref="K222">if($C222="","",_xlfn.xlookup($C222,'Hiker Food'!$C:$C,'Hiker Food'!N:N)*$D222)</f>
        <v/>
      </c>
      <c r="L222" s="43" t="str">
        <f t="array" ref="L222">if($C222="","",_xlfn.xlookup($C222,'Hiker Food'!$C:$C,'Hiker Food'!O:O)*$D222)</f>
        <v/>
      </c>
      <c r="M222" s="43" t="str">
        <f t="array" ref="M222">if($C222="","",_xlfn.xlookup($C222,'Hiker Food'!$C:$C,'Hiker Food'!P:P)*$D222)</f>
        <v/>
      </c>
      <c r="N222" s="43" t="str">
        <f t="array" ref="N222">if($C222="","",_xlfn.xlookup($C222,'Hiker Food'!$C:$C,'Hiker Food'!Q:Q)*$D222)</f>
        <v/>
      </c>
      <c r="O222" s="43" t="str">
        <f t="array" ref="O222">if($C222="","",_xlfn.xlookup($C222,'Hiker Food'!$C:$C,'Hiker Food'!I:I)*$D222)</f>
        <v/>
      </c>
      <c r="P222" s="41" t="str">
        <f t="array" ref="P222">if($C222="","",_xlfn.xlookup($C222,'Hiker Food'!$C:$C,'Hiker Food'!T:T))</f>
        <v/>
      </c>
      <c r="Q222" s="44" t="str">
        <f t="array" ref="Q222">if($C222="","",_xlfn.xlookup($C222,'Hiker Food'!$C:$C,'Hiker Food'!U:U))</f>
        <v/>
      </c>
      <c r="R222" s="44" t="str">
        <f t="array" ref="R222">if($C222="","",_xlfn.xlookup($C222,'Hiker Food'!$C:$C,'Hiker Food'!V:V))</f>
        <v/>
      </c>
      <c r="S222" s="45" t="str">
        <f t="array" ref="S222">if($C222="","",_xlfn.xlookup($C222,'Hiker Food'!$C:$C,'Hiker Food'!W:W))</f>
        <v/>
      </c>
      <c r="T222" s="46" t="s">
        <v>92</v>
      </c>
      <c r="U222" s="47" t="str">
        <f>if($C222="","",$Y222/V222)</f>
        <v/>
      </c>
      <c r="V222" s="114" t="str">
        <f>if($C222="","",sum(E222:E224))</f>
        <v/>
      </c>
      <c r="W222" s="48" t="str">
        <f>if($C222="","",$Y222/X222)</f>
        <v/>
      </c>
      <c r="X222" s="114" t="str">
        <f>if($C222="","",sum(F222:F224))</f>
        <v/>
      </c>
      <c r="Y222" s="114" t="str">
        <f>if($C222="","",sum(O222:O224))</f>
        <v/>
      </c>
      <c r="Z222" s="49" t="str">
        <f>if($C222="","",(sum(J222:J224)/sum(N222:N224)))</f>
        <v/>
      </c>
      <c r="AA222" s="50" t="str">
        <f>if($C222="","",sum(G222:G224)*9/sum(sum(G222:G224)*9+sum(J222:J224)*4+sum(N222:N224)*4))</f>
        <v/>
      </c>
      <c r="AB222" s="50" t="str">
        <f>if($C222="","",sum(L222:L224)*4/sum(sum(G222:G224)*9+sum(J222:J224)*4+sum(N222:N224)*4))</f>
        <v/>
      </c>
      <c r="AC222" s="51" t="str">
        <f>if($C222="","",(sum(H222:H224)/sum(O222:O224)))</f>
        <v/>
      </c>
    </row>
    <row r="223">
      <c r="A223" s="52"/>
      <c r="B223" s="53"/>
      <c r="C223" s="54"/>
      <c r="D223" s="55">
        <v>1.0</v>
      </c>
      <c r="E223" s="56" t="str">
        <f t="array" ref="E223">if(C223="","",_xlfn.xlookup(C223,'Hiker Food'!$C:$C,'Hiker Food'!G:G)*D223)</f>
        <v/>
      </c>
      <c r="F223" s="42" t="str">
        <f t="array" ref="F223">if(C223="","",_xlfn.xlookup(C223,'Hiker Food'!$C:$C,'Hiker Food'!H:H)*D223)</f>
        <v/>
      </c>
      <c r="G223" s="42" t="str">
        <f t="array" ref="G223">if($C223="","",_xlfn.xlookup($C223,'Hiker Food'!$C:$C,'Hiker Food'!J:J)*$D223)</f>
        <v/>
      </c>
      <c r="H223" s="42" t="str">
        <f t="array" ref="H223">if($C223="","",_xlfn.xlookup($C223,'Hiker Food'!$C:$C,'Hiker Food'!K:K)*$D223)</f>
        <v/>
      </c>
      <c r="I223" s="42" t="str">
        <f t="array" ref="I223">if($C223="","",_xlfn.xlookup($C223,'Hiker Food'!$C:$C,'Hiker Food'!L:L)*$D223)</f>
        <v/>
      </c>
      <c r="J223" s="42" t="str">
        <f t="array" ref="J223">if($C223="","",_xlfn.xlookup($C223,'Hiker Food'!$C:$C,'Hiker Food'!M:M)*$D223)</f>
        <v/>
      </c>
      <c r="K223" s="42" t="str">
        <f t="array" ref="K223">if($C223="","",_xlfn.xlookup($C223,'Hiker Food'!$C:$C,'Hiker Food'!N:N)*$D223)</f>
        <v/>
      </c>
      <c r="L223" s="42" t="str">
        <f t="array" ref="L223">if($C223="","",_xlfn.xlookup($C223,'Hiker Food'!$C:$C,'Hiker Food'!O:O)*$D223)</f>
        <v/>
      </c>
      <c r="M223" s="42" t="str">
        <f t="array" ref="M223">if($C223="","",_xlfn.xlookup($C223,'Hiker Food'!$C:$C,'Hiker Food'!P:P)*$D223)</f>
        <v/>
      </c>
      <c r="N223" s="42" t="str">
        <f t="array" ref="N223">if($C223="","",_xlfn.xlookup($C223,'Hiker Food'!$C:$C,'Hiker Food'!Q:Q)*$D223)</f>
        <v/>
      </c>
      <c r="O223" s="42" t="str">
        <f t="array" ref="O223">if($C223="","",_xlfn.xlookup($C223,'Hiker Food'!$C:$C,'Hiker Food'!I:I)*$D223)</f>
        <v/>
      </c>
      <c r="P223" s="56" t="str">
        <f t="array" ref="P223">if($C223="","",_xlfn.xlookup($C223,'Hiker Food'!$C:$C,'Hiker Food'!T:T))</f>
        <v/>
      </c>
      <c r="Q223" s="57" t="str">
        <f t="array" ref="Q223">if($C223="","",_xlfn.xlookup($C223,'Hiker Food'!$C:$C,'Hiker Food'!U:U))</f>
        <v/>
      </c>
      <c r="R223" s="57" t="str">
        <f t="array" ref="R223">if($C223="","",_xlfn.xlookup($C223,'Hiker Food'!$C:$C,'Hiker Food'!V:V))</f>
        <v/>
      </c>
      <c r="S223" s="58" t="str">
        <f t="array" ref="S223">if($C223="","",_xlfn.xlookup($C223,'Hiker Food'!$C:$C,'Hiker Food'!W:W))</f>
        <v/>
      </c>
      <c r="T223" s="59"/>
      <c r="AC223" s="60"/>
    </row>
    <row r="224">
      <c r="A224" s="52"/>
      <c r="B224" s="61"/>
      <c r="C224" s="62"/>
      <c r="D224" s="63">
        <v>1.0</v>
      </c>
      <c r="E224" s="56" t="str">
        <f t="array" ref="E224">if(C224="","",_xlfn.xlookup(C224,'Hiker Food'!$C:$C,'Hiker Food'!G:G)*D224)</f>
        <v/>
      </c>
      <c r="F224" s="64" t="str">
        <f t="array" ref="F224">if(C224="","",_xlfn.xlookup(C224,'Hiker Food'!$C:$C,'Hiker Food'!H:H)*D224)</f>
        <v/>
      </c>
      <c r="G224" s="64" t="str">
        <f t="array" ref="G224">if($C224="","",_xlfn.xlookup($C224,'Hiker Food'!$C:$C,'Hiker Food'!J:J)*$D224)</f>
        <v/>
      </c>
      <c r="H224" s="64" t="str">
        <f t="array" ref="H224">if($C224="","",_xlfn.xlookup($C224,'Hiker Food'!$C:$C,'Hiker Food'!K:K)*$D224)</f>
        <v/>
      </c>
      <c r="I224" s="64" t="str">
        <f t="array" ref="I224">if($C224="","",_xlfn.xlookup($C224,'Hiker Food'!$C:$C,'Hiker Food'!L:L)*$D224)</f>
        <v/>
      </c>
      <c r="J224" s="64" t="str">
        <f t="array" ref="J224">if($C224="","",_xlfn.xlookup($C224,'Hiker Food'!$C:$C,'Hiker Food'!M:M)*$D224)</f>
        <v/>
      </c>
      <c r="K224" s="64" t="str">
        <f t="array" ref="K224">if($C224="","",_xlfn.xlookup($C224,'Hiker Food'!$C:$C,'Hiker Food'!N:N)*$D224)</f>
        <v/>
      </c>
      <c r="L224" s="64" t="str">
        <f t="array" ref="L224">if($C224="","",_xlfn.xlookup($C224,'Hiker Food'!$C:$C,'Hiker Food'!O:O)*$D224)</f>
        <v/>
      </c>
      <c r="M224" s="64" t="str">
        <f t="array" ref="M224">if($C224="","",_xlfn.xlookup($C224,'Hiker Food'!$C:$C,'Hiker Food'!P:P)*$D224)</f>
        <v/>
      </c>
      <c r="N224" s="64" t="str">
        <f t="array" ref="N224">if($C224="","",_xlfn.xlookup($C224,'Hiker Food'!$C:$C,'Hiker Food'!Q:Q)*$D224)</f>
        <v/>
      </c>
      <c r="O224" s="42" t="str">
        <f t="array" ref="O224">if($C224="","",_xlfn.xlookup($C224,'Hiker Food'!$C:$C,'Hiker Food'!I:I)*$D224)</f>
        <v/>
      </c>
      <c r="P224" s="56" t="str">
        <f t="array" ref="P224">if($C224="","",_xlfn.xlookup($C224,'Hiker Food'!$C:$C,'Hiker Food'!T:T))</f>
        <v/>
      </c>
      <c r="Q224" s="57" t="str">
        <f t="array" ref="Q224">if($C224="","",_xlfn.xlookup($C224,'Hiker Food'!$C:$C,'Hiker Food'!U:U))</f>
        <v/>
      </c>
      <c r="R224" s="57" t="str">
        <f t="array" ref="R224">if($C224="","",_xlfn.xlookup($C224,'Hiker Food'!$C:$C,'Hiker Food'!V:V))</f>
        <v/>
      </c>
      <c r="S224" s="58" t="str">
        <f t="array" ref="S224">if($C224="","",_xlfn.xlookup($C224,'Hiker Food'!$C:$C,'Hiker Food'!W:W))</f>
        <v/>
      </c>
      <c r="T224" s="65"/>
      <c r="U224" s="66"/>
      <c r="V224" s="66"/>
      <c r="W224" s="66"/>
      <c r="X224" s="66"/>
      <c r="Y224" s="66"/>
      <c r="Z224" s="66"/>
      <c r="AA224" s="66"/>
      <c r="AB224" s="66"/>
      <c r="AC224" s="67"/>
    </row>
    <row r="225">
      <c r="A225" s="52"/>
      <c r="B225" s="68" t="s">
        <v>179</v>
      </c>
      <c r="C225" s="69"/>
      <c r="D225" s="70">
        <v>2.0</v>
      </c>
      <c r="E225" s="71" t="str">
        <f t="array" ref="E225">if(C225="","",_xlfn.xlookup(C225,'Hiker Food'!$C:$C,'Hiker Food'!G:G)*D225)</f>
        <v/>
      </c>
      <c r="F225" s="42" t="str">
        <f t="array" ref="F225">if(C225="","",_xlfn.xlookup(C225,'Hiker Food'!$C:$C,'Hiker Food'!H:H)*D225)</f>
        <v/>
      </c>
      <c r="G225" s="72" t="str">
        <f t="array" ref="G225">if($C225="","",_xlfn.xlookup($C225,'Hiker Food'!$C:$C,'Hiker Food'!J:J)*$D225)</f>
        <v/>
      </c>
      <c r="H225" s="72" t="str">
        <f t="array" ref="H225">if($C225="","",_xlfn.xlookup($C225,'Hiker Food'!$C:$C,'Hiker Food'!K:K)*$D225)</f>
        <v/>
      </c>
      <c r="I225" s="72" t="str">
        <f t="array" ref="I225">if($C225="","",_xlfn.xlookup($C225,'Hiker Food'!$C:$C,'Hiker Food'!L:L)*$D225)</f>
        <v/>
      </c>
      <c r="J225" s="72" t="str">
        <f t="array" ref="J225">if($C225="","",_xlfn.xlookup($C225,'Hiker Food'!$C:$C,'Hiker Food'!M:M)*$D225)</f>
        <v/>
      </c>
      <c r="K225" s="72" t="str">
        <f t="array" ref="K225">if($C225="","",_xlfn.xlookup($C225,'Hiker Food'!$C:$C,'Hiker Food'!N:N)*$D225)</f>
        <v/>
      </c>
      <c r="L225" s="72" t="str">
        <f t="array" ref="L225">if($C225="","",_xlfn.xlookup($C225,'Hiker Food'!$C:$C,'Hiker Food'!O:O)*$D225)</f>
        <v/>
      </c>
      <c r="M225" s="72" t="str">
        <f t="array" ref="M225">if($C225="","",_xlfn.xlookup($C225,'Hiker Food'!$C:$C,'Hiker Food'!P:P)*$D225)</f>
        <v/>
      </c>
      <c r="N225" s="72" t="str">
        <f t="array" ref="N225">if($C225="","",_xlfn.xlookup($C225,'Hiker Food'!$C:$C,'Hiker Food'!Q:Q)*$D225)</f>
        <v/>
      </c>
      <c r="O225" s="72" t="str">
        <f t="array" ref="O225">if($C225="","",_xlfn.xlookup($C225,'Hiker Food'!$C:$C,'Hiker Food'!I:I)*$D225)</f>
        <v/>
      </c>
      <c r="P225" s="71" t="str">
        <f t="array" ref="P225">if($C225="","",_xlfn.xlookup($C225,'Hiker Food'!$C:$C,'Hiker Food'!T:T))</f>
        <v/>
      </c>
      <c r="Q225" s="73" t="str">
        <f t="array" ref="Q225">if($C225="","",_xlfn.xlookup($C225,'Hiker Food'!$C:$C,'Hiker Food'!U:U))</f>
        <v/>
      </c>
      <c r="R225" s="73" t="str">
        <f t="array" ref="R225">if($C225="","",_xlfn.xlookup($C225,'Hiker Food'!$C:$C,'Hiker Food'!V:V))</f>
        <v/>
      </c>
      <c r="S225" s="74" t="str">
        <f t="array" ref="S225">if($C225="","",_xlfn.xlookup($C225,'Hiker Food'!$C:$C,'Hiker Food'!W:W))</f>
        <v/>
      </c>
      <c r="T225" s="75" t="s">
        <v>179</v>
      </c>
      <c r="U225" s="76" t="str">
        <f>if(C225="","",Y225/V225)</f>
        <v/>
      </c>
      <c r="V225" s="96" t="str">
        <f>if($C225="","",sum(E225:E227))</f>
        <v/>
      </c>
      <c r="W225" s="77" t="str">
        <f>if($C225="","",$Y225/X225)</f>
        <v/>
      </c>
      <c r="X225" s="96" t="str">
        <f>if($C225="","",sum(F225:F227))</f>
        <v/>
      </c>
      <c r="Y225" s="96" t="str">
        <f>if($C225="","",sum(O225:O227))</f>
        <v/>
      </c>
      <c r="Z225" s="77" t="str">
        <f>if($C225="","",(sum(J225:J227)/sum(N225:N227)))</f>
        <v/>
      </c>
      <c r="AA225" s="78" t="str">
        <f>if($C225="","",sum(G225:G227)*9/sum(sum(G225:G227)*9+sum(J225:J227)*4+sum(N225:N227)*4))</f>
        <v/>
      </c>
      <c r="AB225" s="78" t="str">
        <f>if($C225="","",sum(L225:L227)*4/sum(sum(G225:G227)*9+sum(J225:J227)*4+sum(N225:N227)*4))</f>
        <v/>
      </c>
      <c r="AC225" s="79" t="str">
        <f>if($C225="","",(sum(H225:H227)/sum(O225:O227)))</f>
        <v/>
      </c>
    </row>
    <row r="226">
      <c r="A226" s="52"/>
      <c r="B226" s="53"/>
      <c r="C226" s="54"/>
      <c r="D226" s="55">
        <v>2.0</v>
      </c>
      <c r="E226" s="56" t="str">
        <f t="array" ref="E226">if(C226="","",_xlfn.xlookup(C226,'Hiker Food'!$C:$C,'Hiker Food'!G:G)*D226)</f>
        <v/>
      </c>
      <c r="F226" s="42" t="str">
        <f t="array" ref="F226">if(C226="","",_xlfn.xlookup(C226,'Hiker Food'!$C:$C,'Hiker Food'!H:H)*D226)</f>
        <v/>
      </c>
      <c r="G226" s="42" t="str">
        <f t="array" ref="G226">if($C226="","",_xlfn.xlookup($C226,'Hiker Food'!$C:$C,'Hiker Food'!J:J)*$D226)</f>
        <v/>
      </c>
      <c r="H226" s="42" t="str">
        <f t="array" ref="H226">if($C226="","",_xlfn.xlookup($C226,'Hiker Food'!$C:$C,'Hiker Food'!K:K)*$D226)</f>
        <v/>
      </c>
      <c r="I226" s="42" t="str">
        <f t="array" ref="I226">if($C226="","",_xlfn.xlookup($C226,'Hiker Food'!$C:$C,'Hiker Food'!L:L)*$D226)</f>
        <v/>
      </c>
      <c r="J226" s="42" t="str">
        <f t="array" ref="J226">if($C226="","",_xlfn.xlookup($C226,'Hiker Food'!$C:$C,'Hiker Food'!M:M)*$D226)</f>
        <v/>
      </c>
      <c r="K226" s="42" t="str">
        <f t="array" ref="K226">if($C226="","",_xlfn.xlookup($C226,'Hiker Food'!$C:$C,'Hiker Food'!N:N)*$D226)</f>
        <v/>
      </c>
      <c r="L226" s="42" t="str">
        <f t="array" ref="L226">if($C226="","",_xlfn.xlookup($C226,'Hiker Food'!$C:$C,'Hiker Food'!O:O)*$D226)</f>
        <v/>
      </c>
      <c r="M226" s="42" t="str">
        <f t="array" ref="M226">if($C226="","",_xlfn.xlookup($C226,'Hiker Food'!$C:$C,'Hiker Food'!P:P)*$D226)</f>
        <v/>
      </c>
      <c r="N226" s="42" t="str">
        <f t="array" ref="N226">if($C226="","",_xlfn.xlookup($C226,'Hiker Food'!$C:$C,'Hiker Food'!Q:Q)*$D226)</f>
        <v/>
      </c>
      <c r="O226" s="42" t="str">
        <f t="array" ref="O226">if($C226="","",_xlfn.xlookup($C226,'Hiker Food'!$C:$C,'Hiker Food'!I:I)*$D226)</f>
        <v/>
      </c>
      <c r="P226" s="56" t="str">
        <f t="array" ref="P226">if($C226="","",_xlfn.xlookup($C226,'Hiker Food'!$C:$C,'Hiker Food'!T:T))</f>
        <v/>
      </c>
      <c r="Q226" s="57" t="str">
        <f t="array" ref="Q226">if($C226="","",_xlfn.xlookup($C226,'Hiker Food'!$C:$C,'Hiker Food'!U:U))</f>
        <v/>
      </c>
      <c r="R226" s="57" t="str">
        <f t="array" ref="R226">if($C226="","",_xlfn.xlookup($C226,'Hiker Food'!$C:$C,'Hiker Food'!V:V))</f>
        <v/>
      </c>
      <c r="S226" s="58" t="str">
        <f t="array" ref="S226">if($C226="","",_xlfn.xlookup($C226,'Hiker Food'!$C:$C,'Hiker Food'!W:W))</f>
        <v/>
      </c>
      <c r="T226" s="80"/>
      <c r="AC226" s="60"/>
    </row>
    <row r="227">
      <c r="A227" s="52"/>
      <c r="B227" s="61"/>
      <c r="C227" s="54"/>
      <c r="D227" s="63">
        <v>1.0</v>
      </c>
      <c r="E227" s="81" t="str">
        <f t="array" ref="E227">if(C227="","",_xlfn.xlookup(C227,'Hiker Food'!$C:$C,'Hiker Food'!G:G)*D227)</f>
        <v/>
      </c>
      <c r="F227" s="64" t="str">
        <f t="array" ref="F227">if(C227="","",_xlfn.xlookup(C227,'Hiker Food'!$C:$C,'Hiker Food'!H:H)*D227)</f>
        <v/>
      </c>
      <c r="G227" s="64" t="str">
        <f t="array" ref="G227">if($C227="","",_xlfn.xlookup($C227,'Hiker Food'!$C:$C,'Hiker Food'!J:J)*$D227)</f>
        <v/>
      </c>
      <c r="H227" s="64" t="str">
        <f t="array" ref="H227">if($C227="","",_xlfn.xlookup($C227,'Hiker Food'!$C:$C,'Hiker Food'!K:K)*$D227)</f>
        <v/>
      </c>
      <c r="I227" s="64" t="str">
        <f t="array" ref="I227">if($C227="","",_xlfn.xlookup($C227,'Hiker Food'!$C:$C,'Hiker Food'!L:L)*$D227)</f>
        <v/>
      </c>
      <c r="J227" s="64" t="str">
        <f t="array" ref="J227">if($C227="","",_xlfn.xlookup($C227,'Hiker Food'!$C:$C,'Hiker Food'!M:M)*$D227)</f>
        <v/>
      </c>
      <c r="K227" s="64" t="str">
        <f t="array" ref="K227">if($C227="","",_xlfn.xlookup($C227,'Hiker Food'!$C:$C,'Hiker Food'!N:N)*$D227)</f>
        <v/>
      </c>
      <c r="L227" s="64" t="str">
        <f t="array" ref="L227">if($C227="","",_xlfn.xlookup($C227,'Hiker Food'!$C:$C,'Hiker Food'!O:O)*$D227)</f>
        <v/>
      </c>
      <c r="M227" s="64" t="str">
        <f t="array" ref="M227">if($C227="","",_xlfn.xlookup($C227,'Hiker Food'!$C:$C,'Hiker Food'!P:P)*$D227)</f>
        <v/>
      </c>
      <c r="N227" s="64" t="str">
        <f t="array" ref="N227">if($C227="","",_xlfn.xlookup($C227,'Hiker Food'!$C:$C,'Hiker Food'!Q:Q)*$D227)</f>
        <v/>
      </c>
      <c r="O227" s="64" t="str">
        <f t="array" ref="O227">if($C227="","",_xlfn.xlookup($C227,'Hiker Food'!$C:$C,'Hiker Food'!I:I)*$D227)</f>
        <v/>
      </c>
      <c r="P227" s="81" t="str">
        <f t="array" ref="P227">if($C227="","",_xlfn.xlookup($C227,'Hiker Food'!$C:$C,'Hiker Food'!T:T))</f>
        <v/>
      </c>
      <c r="Q227" s="82" t="str">
        <f t="array" ref="Q227">if($C227="","",_xlfn.xlookup($C227,'Hiker Food'!$C:$C,'Hiker Food'!U:U))</f>
        <v/>
      </c>
      <c r="R227" s="82" t="str">
        <f t="array" ref="R227">if($C227="","",_xlfn.xlookup($C227,'Hiker Food'!$C:$C,'Hiker Food'!V:V))</f>
        <v/>
      </c>
      <c r="S227" s="83" t="str">
        <f t="array" ref="S227">if($C227="","",_xlfn.xlookup($C227,'Hiker Food'!$C:$C,'Hiker Food'!W:W))</f>
        <v/>
      </c>
      <c r="T227" s="84"/>
      <c r="U227" s="66"/>
      <c r="V227" s="66"/>
      <c r="W227" s="66"/>
      <c r="X227" s="66"/>
      <c r="Y227" s="66"/>
      <c r="Z227" s="66"/>
      <c r="AA227" s="66"/>
      <c r="AB227" s="66"/>
      <c r="AC227" s="67"/>
    </row>
    <row r="228">
      <c r="A228" s="52"/>
      <c r="B228" s="68" t="s">
        <v>257</v>
      </c>
      <c r="C228" s="85"/>
      <c r="D228" s="70">
        <v>3.0</v>
      </c>
      <c r="E228" s="56" t="str">
        <f t="array" ref="E228">if(C228="","",_xlfn.xlookup(C228,'Hiker Food'!$C:$C,'Hiker Food'!G:G)*D228)</f>
        <v/>
      </c>
      <c r="F228" s="86" t="str">
        <f t="array" ref="F228">if(C228="","",_xlfn.xlookup(C228,'Hiker Food'!$C:$C,'Hiker Food'!H:H)*D228)</f>
        <v/>
      </c>
      <c r="G228" s="72" t="str">
        <f t="array" ref="G228">if($C228="","",_xlfn.xlookup($C228,'Hiker Food'!$C:$C,'Hiker Food'!J:J)*$D228)</f>
        <v/>
      </c>
      <c r="H228" s="72" t="str">
        <f t="array" ref="H228">if($C228="","",_xlfn.xlookup($C228,'Hiker Food'!$C:$C,'Hiker Food'!K:K)*$D228)</f>
        <v/>
      </c>
      <c r="I228" s="72" t="str">
        <f t="array" ref="I228">if($C228="","",_xlfn.xlookup($C228,'Hiker Food'!$C:$C,'Hiker Food'!L:L)*$D228)</f>
        <v/>
      </c>
      <c r="J228" s="72" t="str">
        <f t="array" ref="J228">if($C228="","",_xlfn.xlookup($C228,'Hiker Food'!$C:$C,'Hiker Food'!M:M)*$D228)</f>
        <v/>
      </c>
      <c r="K228" s="72" t="str">
        <f t="array" ref="K228">if($C228="","",_xlfn.xlookup($C228,'Hiker Food'!$C:$C,'Hiker Food'!N:N)*$D228)</f>
        <v/>
      </c>
      <c r="L228" s="72" t="str">
        <f t="array" ref="L228">if($C228="","",_xlfn.xlookup($C228,'Hiker Food'!$C:$C,'Hiker Food'!O:O)*$D228)</f>
        <v/>
      </c>
      <c r="M228" s="72" t="str">
        <f t="array" ref="M228">if($C228="","",_xlfn.xlookup($C228,'Hiker Food'!$C:$C,'Hiker Food'!P:P)*$D228)</f>
        <v/>
      </c>
      <c r="N228" s="72" t="str">
        <f t="array" ref="N228">if($C228="","",_xlfn.xlookup($C228,'Hiker Food'!$C:$C,'Hiker Food'!Q:Q)*$D228)</f>
        <v/>
      </c>
      <c r="O228" s="42" t="str">
        <f t="array" ref="O228">if($C228="","",_xlfn.xlookup($C228,'Hiker Food'!$C:$C,'Hiker Food'!I:I)*$D228)</f>
        <v/>
      </c>
      <c r="P228" s="56" t="str">
        <f t="array" ref="P228">if($C228="","",_xlfn.xlookup($C228,'Hiker Food'!$C:$C,'Hiker Food'!T:T))</f>
        <v/>
      </c>
      <c r="Q228" s="57" t="str">
        <f t="array" ref="Q228">if($C228="","",_xlfn.xlookup($C228,'Hiker Food'!$C:$C,'Hiker Food'!U:U))</f>
        <v/>
      </c>
      <c r="R228" s="57" t="str">
        <f t="array" ref="R228">if($C228="","",_xlfn.xlookup($C228,'Hiker Food'!$C:$C,'Hiker Food'!V:V))</f>
        <v/>
      </c>
      <c r="S228" s="58" t="str">
        <f t="array" ref="S228">if($C228="","",_xlfn.xlookup($C228,'Hiker Food'!$C:$C,'Hiker Food'!W:W))</f>
        <v/>
      </c>
      <c r="T228" s="87" t="s">
        <v>257</v>
      </c>
      <c r="U228" s="76" t="str">
        <f>if(C228="","",Y228/V228)</f>
        <v/>
      </c>
      <c r="V228" s="96" t="str">
        <f>if($C228="","",sum(E228:E230))</f>
        <v/>
      </c>
      <c r="W228" s="77" t="str">
        <f>if($C228="","",$Y228/X228)</f>
        <v/>
      </c>
      <c r="X228" s="96" t="str">
        <f>if($C228="","",sum(F228:F230))</f>
        <v/>
      </c>
      <c r="Y228" s="96" t="str">
        <f>if($C228="","",sum(O228:O230))</f>
        <v/>
      </c>
      <c r="Z228" s="77" t="str">
        <f>if($C228="","",(sum(J228:J230)/sum(N228:N230)))</f>
        <v/>
      </c>
      <c r="AA228" s="78" t="str">
        <f>if($C228="","",sum(G228:G230)*9/sum(sum(G228:G230)*9+sum(J228:J230)*4+sum(N228:N230)*4))</f>
        <v/>
      </c>
      <c r="AB228" s="78" t="str">
        <f>if($C228="","",sum(L228:L230)*4/sum(sum(G228:G230)*9+sum(J228:J230)*4+sum(N228:N230)*4))</f>
        <v/>
      </c>
      <c r="AC228" s="79" t="str">
        <f>if($C228="","",(sum(H228:H230)/sum(O228:O230)))</f>
        <v/>
      </c>
    </row>
    <row r="229">
      <c r="A229" s="52"/>
      <c r="B229" s="53"/>
      <c r="C229" s="88"/>
      <c r="D229" s="55">
        <v>3.0</v>
      </c>
      <c r="E229" s="56" t="str">
        <f t="array" ref="E229">if(C229="","",_xlfn.xlookup(C229,'Hiker Food'!$C:$C,'Hiker Food'!G:G)*D229)</f>
        <v/>
      </c>
      <c r="F229" s="86" t="str">
        <f t="array" ref="F229">if(C229="","",_xlfn.xlookup(C229,'Hiker Food'!$C:$C,'Hiker Food'!H:H)*D229)</f>
        <v/>
      </c>
      <c r="G229" s="42" t="str">
        <f t="array" ref="G229">if($C229="","",_xlfn.xlookup($C229,'Hiker Food'!$C:$C,'Hiker Food'!J:J)*$D229)</f>
        <v/>
      </c>
      <c r="H229" s="42" t="str">
        <f t="array" ref="H229">if($C229="","",_xlfn.xlookup($C229,'Hiker Food'!$C:$C,'Hiker Food'!K:K)*$D229)</f>
        <v/>
      </c>
      <c r="I229" s="42" t="str">
        <f t="array" ref="I229">if($C229="","",_xlfn.xlookup($C229,'Hiker Food'!$C:$C,'Hiker Food'!L:L)*$D229)</f>
        <v/>
      </c>
      <c r="J229" s="42" t="str">
        <f t="array" ref="J229">if($C229="","",_xlfn.xlookup($C229,'Hiker Food'!$C:$C,'Hiker Food'!M:M)*$D229)</f>
        <v/>
      </c>
      <c r="K229" s="42" t="str">
        <f t="array" ref="K229">if($C229="","",_xlfn.xlookup($C229,'Hiker Food'!$C:$C,'Hiker Food'!N:N)*$D229)</f>
        <v/>
      </c>
      <c r="L229" s="42" t="str">
        <f t="array" ref="L229">if($C229="","",_xlfn.xlookup($C229,'Hiker Food'!$C:$C,'Hiker Food'!O:O)*$D229)</f>
        <v/>
      </c>
      <c r="M229" s="42" t="str">
        <f t="array" ref="M229">if($C229="","",_xlfn.xlookup($C229,'Hiker Food'!$C:$C,'Hiker Food'!P:P)*$D229)</f>
        <v/>
      </c>
      <c r="N229" s="42" t="str">
        <f t="array" ref="N229">if($C229="","",_xlfn.xlookup($C229,'Hiker Food'!$C:$C,'Hiker Food'!Q:Q)*$D229)</f>
        <v/>
      </c>
      <c r="O229" s="42" t="str">
        <f t="array" ref="O229">if($C229="","",_xlfn.xlookup($C229,'Hiker Food'!$C:$C,'Hiker Food'!I:I)*$D229)</f>
        <v/>
      </c>
      <c r="P229" s="56" t="str">
        <f t="array" ref="P229">if($C229="","",_xlfn.xlookup($C229,'Hiker Food'!$C:$C,'Hiker Food'!T:T))</f>
        <v/>
      </c>
      <c r="Q229" s="57" t="str">
        <f t="array" ref="Q229">if($C229="","",_xlfn.xlookup($C229,'Hiker Food'!$C:$C,'Hiker Food'!U:U))</f>
        <v/>
      </c>
      <c r="R229" s="57" t="str">
        <f t="array" ref="R229">if($C229="","",_xlfn.xlookup($C229,'Hiker Food'!$C:$C,'Hiker Food'!V:V))</f>
        <v/>
      </c>
      <c r="S229" s="58" t="str">
        <f t="array" ref="S229">if($C229="","",_xlfn.xlookup($C229,'Hiker Food'!$C:$C,'Hiker Food'!W:W))</f>
        <v/>
      </c>
      <c r="T229" s="59"/>
      <c r="AC229" s="60"/>
    </row>
    <row r="230">
      <c r="A230" s="52"/>
      <c r="B230" s="61"/>
      <c r="C230" s="62"/>
      <c r="D230" s="63">
        <v>1.0</v>
      </c>
      <c r="E230" s="81" t="str">
        <f t="array" ref="E230">if(C230="","",_xlfn.xlookup(C230,'Hiker Food'!$C:$C,'Hiker Food'!G:G)*D230)</f>
        <v/>
      </c>
      <c r="F230" s="89" t="str">
        <f t="array" ref="F230">if(C230="","",_xlfn.xlookup(C230,'Hiker Food'!$C:$C,'Hiker Food'!H:H)*D230)</f>
        <v/>
      </c>
      <c r="G230" s="64" t="str">
        <f t="array" ref="G230">if($C230="","",_xlfn.xlookup($C230,'Hiker Food'!$C:$C,'Hiker Food'!J:J)*$D230)</f>
        <v/>
      </c>
      <c r="H230" s="64" t="str">
        <f t="array" ref="H230">if($C230="","",_xlfn.xlookup($C230,'Hiker Food'!$C:$C,'Hiker Food'!K:K)*$D230)</f>
        <v/>
      </c>
      <c r="I230" s="64" t="str">
        <f t="array" ref="I230">if($C230="","",_xlfn.xlookup($C230,'Hiker Food'!$C:$C,'Hiker Food'!L:L)*$D230)</f>
        <v/>
      </c>
      <c r="J230" s="64" t="str">
        <f t="array" ref="J230">if($C230="","",_xlfn.xlookup($C230,'Hiker Food'!$C:$C,'Hiker Food'!M:M)*$D230)</f>
        <v/>
      </c>
      <c r="K230" s="64" t="str">
        <f t="array" ref="K230">if($C230="","",_xlfn.xlookup($C230,'Hiker Food'!$C:$C,'Hiker Food'!N:N)*$D230)</f>
        <v/>
      </c>
      <c r="L230" s="64" t="str">
        <f t="array" ref="L230">if($C230="","",_xlfn.xlookup($C230,'Hiker Food'!$C:$C,'Hiker Food'!O:O)*$D230)</f>
        <v/>
      </c>
      <c r="M230" s="64" t="str">
        <f t="array" ref="M230">if($C230="","",_xlfn.xlookup($C230,'Hiker Food'!$C:$C,'Hiker Food'!P:P)*$D230)</f>
        <v/>
      </c>
      <c r="N230" s="64" t="str">
        <f t="array" ref="N230">if($C230="","",_xlfn.xlookup($C230,'Hiker Food'!$C:$C,'Hiker Food'!Q:Q)*$D230)</f>
        <v/>
      </c>
      <c r="O230" s="64" t="str">
        <f t="array" ref="O230">if($C230="","",_xlfn.xlookup($C230,'Hiker Food'!$C:$C,'Hiker Food'!I:I)*$D230)</f>
        <v/>
      </c>
      <c r="P230" s="81" t="str">
        <f t="array" ref="P230">if($C230="","",_xlfn.xlookup($C230,'Hiker Food'!$C:$C,'Hiker Food'!T:T))</f>
        <v/>
      </c>
      <c r="Q230" s="82" t="str">
        <f t="array" ref="Q230">if($C230="","",_xlfn.xlookup($C230,'Hiker Food'!$C:$C,'Hiker Food'!U:U))</f>
        <v/>
      </c>
      <c r="R230" s="82" t="str">
        <f t="array" ref="R230">if($C230="","",_xlfn.xlookup($C230,'Hiker Food'!$C:$C,'Hiker Food'!V:V))</f>
        <v/>
      </c>
      <c r="S230" s="83" t="str">
        <f t="array" ref="S230">if($C230="","",_xlfn.xlookup($C230,'Hiker Food'!$C:$C,'Hiker Food'!W:W))</f>
        <v/>
      </c>
      <c r="T230" s="65"/>
      <c r="U230" s="66"/>
      <c r="V230" s="66"/>
      <c r="W230" s="66"/>
      <c r="X230" s="66"/>
      <c r="Y230" s="66"/>
      <c r="Z230" s="66"/>
      <c r="AA230" s="66"/>
      <c r="AB230" s="66"/>
      <c r="AC230" s="67"/>
    </row>
    <row r="231">
      <c r="A231" s="52"/>
      <c r="B231" s="68" t="s">
        <v>314</v>
      </c>
      <c r="C231" s="90"/>
      <c r="D231" s="70">
        <v>1.0</v>
      </c>
      <c r="E231" s="71" t="str">
        <f t="array" ref="E231">if(C231="","",_xlfn.xlookup(C231,'Hiker Food'!$C:$C,'Hiker Food'!G:G)*D231)</f>
        <v/>
      </c>
      <c r="F231" s="42" t="str">
        <f t="array" ref="F231">if(C231="","",_xlfn.xlookup(C231,'Hiker Food'!$C:$C,'Hiker Food'!H:H)*D231)</f>
        <v/>
      </c>
      <c r="G231" s="72" t="str">
        <f t="array" ref="G231">if($C231="","",_xlfn.xlookup($C231,'Hiker Food'!$C:$C,'Hiker Food'!J:J)*$D231)</f>
        <v/>
      </c>
      <c r="H231" s="72" t="str">
        <f t="array" ref="H231">if($C231="","",_xlfn.xlookup($C231,'Hiker Food'!$C:$C,'Hiker Food'!K:K)*$D231)</f>
        <v/>
      </c>
      <c r="I231" s="72" t="str">
        <f t="array" ref="I231">if($C231="","",_xlfn.xlookup($C231,'Hiker Food'!$C:$C,'Hiker Food'!L:L)*$D231)</f>
        <v/>
      </c>
      <c r="J231" s="72" t="str">
        <f t="array" ref="J231">if($C231="","",_xlfn.xlookup($C231,'Hiker Food'!$C:$C,'Hiker Food'!M:M)*$D231)</f>
        <v/>
      </c>
      <c r="K231" s="72" t="str">
        <f t="array" ref="K231">if($C231="","",_xlfn.xlookup($C231,'Hiker Food'!$C:$C,'Hiker Food'!N:N)*$D231)</f>
        <v/>
      </c>
      <c r="L231" s="72" t="str">
        <f t="array" ref="L231">if($C231="","",_xlfn.xlookup($C231,'Hiker Food'!$C:$C,'Hiker Food'!O:O)*$D231)</f>
        <v/>
      </c>
      <c r="M231" s="72" t="str">
        <f t="array" ref="M231">if($C231="","",_xlfn.xlookup($C231,'Hiker Food'!$C:$C,'Hiker Food'!P:P)*$D231)</f>
        <v/>
      </c>
      <c r="N231" s="72" t="str">
        <f t="array" ref="N231">if($C231="","",_xlfn.xlookup($C231,'Hiker Food'!$C:$C,'Hiker Food'!Q:Q)*$D231)</f>
        <v/>
      </c>
      <c r="O231" s="72" t="str">
        <f t="array" ref="O231">if($C231="","",_xlfn.xlookup($C231,'Hiker Food'!$C:$C,'Hiker Food'!I:I)*$D231)</f>
        <v/>
      </c>
      <c r="P231" s="71" t="str">
        <f t="array" ref="P231">if($C231="","",_xlfn.xlookup($C231,'Hiker Food'!$C:$C,'Hiker Food'!T:T))</f>
        <v/>
      </c>
      <c r="Q231" s="73" t="str">
        <f t="array" ref="Q231">if($C231="","",_xlfn.xlookup($C231,'Hiker Food'!$C:$C,'Hiker Food'!U:U))</f>
        <v/>
      </c>
      <c r="R231" s="73" t="str">
        <f t="array" ref="R231">if($C231="","",_xlfn.xlookup($C231,'Hiker Food'!$C:$C,'Hiker Food'!V:V))</f>
        <v/>
      </c>
      <c r="S231" s="74" t="str">
        <f t="array" ref="S231">if($C231="","",_xlfn.xlookup($C231,'Hiker Food'!$C:$C,'Hiker Food'!W:W))</f>
        <v/>
      </c>
      <c r="T231" s="91" t="s">
        <v>314</v>
      </c>
      <c r="U231" s="76" t="str">
        <f>if(C231="","",Y231/V231)</f>
        <v/>
      </c>
      <c r="V231" s="96" t="str">
        <f>if($C231="","",sum(E231:E233))</f>
        <v/>
      </c>
      <c r="W231" s="77" t="str">
        <f>if($C231="","",$Y231/X231)</f>
        <v/>
      </c>
      <c r="X231" s="96" t="str">
        <f>if($C231="","",sum(F231:F233))</f>
        <v/>
      </c>
      <c r="Y231" s="96" t="str">
        <f>if($C231="","",sum(O231:O233))</f>
        <v/>
      </c>
      <c r="Z231" s="77" t="str">
        <f>if($C231="","",(sum(J231:J233)/sum(N231:N233)))</f>
        <v/>
      </c>
      <c r="AA231" s="78" t="str">
        <f>if($C231="","",sum(G231:G233)*9/sum(sum(G231:G233)*9+sum(J231:J233)*4+sum(N231:N233)*4))</f>
        <v/>
      </c>
      <c r="AB231" s="78" t="str">
        <f>if($C231="","",sum(L231:L233)*4/sum(sum(G231:G233)*9+sum(J231:J233)*4+sum(N231:N233)*4))</f>
        <v/>
      </c>
      <c r="AC231" s="79" t="str">
        <f>if($C231="","",(sum(H231:H233)/sum(O231:O233)))</f>
        <v/>
      </c>
    </row>
    <row r="232">
      <c r="A232" s="52"/>
      <c r="B232" s="53"/>
      <c r="C232" s="54"/>
      <c r="D232" s="55">
        <v>1.0</v>
      </c>
      <c r="E232" s="56" t="str">
        <f t="array" ref="E232">if(C232="","",_xlfn.xlookup(C232,'Hiker Food'!$C:$C,'Hiker Food'!G:G)*D232)</f>
        <v/>
      </c>
      <c r="F232" s="42" t="str">
        <f t="array" ref="F232">if(C232="","",_xlfn.xlookup(C232,'Hiker Food'!$C:$C,'Hiker Food'!H:H)*D232)</f>
        <v/>
      </c>
      <c r="G232" s="42" t="str">
        <f t="array" ref="G232">if($C232="","",_xlfn.xlookup($C232,'Hiker Food'!$C:$C,'Hiker Food'!J:J)*$D232)</f>
        <v/>
      </c>
      <c r="H232" s="42" t="str">
        <f t="array" ref="H232">if($C232="","",_xlfn.xlookup($C232,'Hiker Food'!$C:$C,'Hiker Food'!K:K)*$D232)</f>
        <v/>
      </c>
      <c r="I232" s="42" t="str">
        <f t="array" ref="I232">if($C232="","",_xlfn.xlookup($C232,'Hiker Food'!$C:$C,'Hiker Food'!L:L)*$D232)</f>
        <v/>
      </c>
      <c r="J232" s="42" t="str">
        <f t="array" ref="J232">if($C232="","",_xlfn.xlookup($C232,'Hiker Food'!$C:$C,'Hiker Food'!M:M)*$D232)</f>
        <v/>
      </c>
      <c r="K232" s="42" t="str">
        <f t="array" ref="K232">if($C232="","",_xlfn.xlookup($C232,'Hiker Food'!$C:$C,'Hiker Food'!N:N)*$D232)</f>
        <v/>
      </c>
      <c r="L232" s="42" t="str">
        <f t="array" ref="L232">if($C232="","",_xlfn.xlookup($C232,'Hiker Food'!$C:$C,'Hiker Food'!O:O)*$D232)</f>
        <v/>
      </c>
      <c r="M232" s="42" t="str">
        <f t="array" ref="M232">if($C232="","",_xlfn.xlookup($C232,'Hiker Food'!$C:$C,'Hiker Food'!P:P)*$D232)</f>
        <v/>
      </c>
      <c r="N232" s="42" t="str">
        <f t="array" ref="N232">if($C232="","",_xlfn.xlookup($C232,'Hiker Food'!$C:$C,'Hiker Food'!Q:Q)*$D232)</f>
        <v/>
      </c>
      <c r="O232" s="42" t="str">
        <f t="array" ref="O232">if($C232="","",_xlfn.xlookup($C232,'Hiker Food'!$C:$C,'Hiker Food'!I:I)*$D232)</f>
        <v/>
      </c>
      <c r="P232" s="56" t="str">
        <f t="array" ref="P232">if($C232="","",_xlfn.xlookup($C232,'Hiker Food'!$C:$C,'Hiker Food'!T:T))</f>
        <v/>
      </c>
      <c r="Q232" s="57" t="str">
        <f t="array" ref="Q232">if($C232="","",_xlfn.xlookup($C232,'Hiker Food'!$C:$C,'Hiker Food'!U:U))</f>
        <v/>
      </c>
      <c r="R232" s="57" t="str">
        <f t="array" ref="R232">if($C232="","",_xlfn.xlookup($C232,'Hiker Food'!$C:$C,'Hiker Food'!V:V))</f>
        <v/>
      </c>
      <c r="S232" s="58" t="str">
        <f t="array" ref="S232">if($C232="","",_xlfn.xlookup($C232,'Hiker Food'!$C:$C,'Hiker Food'!W:W))</f>
        <v/>
      </c>
      <c r="T232" s="59"/>
      <c r="AC232" s="60"/>
    </row>
    <row r="233">
      <c r="A233" s="52"/>
      <c r="B233" s="61"/>
      <c r="C233" s="62"/>
      <c r="D233" s="63">
        <v>1.0</v>
      </c>
      <c r="E233" s="81" t="str">
        <f t="array" ref="E233">if(C233="","",_xlfn.xlookup(C233,'Hiker Food'!$C:$C,'Hiker Food'!G:G)*D233)</f>
        <v/>
      </c>
      <c r="F233" s="64" t="str">
        <f t="array" ref="F233">if(C233="","",_xlfn.xlookup(C233,'Hiker Food'!$C:$C,'Hiker Food'!H:H)*D233)</f>
        <v/>
      </c>
      <c r="G233" s="64" t="str">
        <f t="array" ref="G233">if($C233="","",_xlfn.xlookup($C233,'Hiker Food'!$C:$C,'Hiker Food'!J:J)*$D233)</f>
        <v/>
      </c>
      <c r="H233" s="64" t="str">
        <f t="array" ref="H233">if($C233="","",_xlfn.xlookup($C233,'Hiker Food'!$C:$C,'Hiker Food'!K:K)*$D233)</f>
        <v/>
      </c>
      <c r="I233" s="64" t="str">
        <f t="array" ref="I233">if($C233="","",_xlfn.xlookup($C233,'Hiker Food'!$C:$C,'Hiker Food'!L:L)*$D233)</f>
        <v/>
      </c>
      <c r="J233" s="64" t="str">
        <f t="array" ref="J233">if($C233="","",_xlfn.xlookup($C233,'Hiker Food'!$C:$C,'Hiker Food'!M:M)*$D233)</f>
        <v/>
      </c>
      <c r="K233" s="64" t="str">
        <f t="array" ref="K233">if($C233="","",_xlfn.xlookup($C233,'Hiker Food'!$C:$C,'Hiker Food'!N:N)*$D233)</f>
        <v/>
      </c>
      <c r="L233" s="64" t="str">
        <f t="array" ref="L233">if($C233="","",_xlfn.xlookup($C233,'Hiker Food'!$C:$C,'Hiker Food'!O:O)*$D233)</f>
        <v/>
      </c>
      <c r="M233" s="64" t="str">
        <f t="array" ref="M233">if($C233="","",_xlfn.xlookup($C233,'Hiker Food'!$C:$C,'Hiker Food'!P:P)*$D233)</f>
        <v/>
      </c>
      <c r="N233" s="64" t="str">
        <f t="array" ref="N233">if($C233="","",_xlfn.xlookup($C233,'Hiker Food'!$C:$C,'Hiker Food'!Q:Q)*$D233)</f>
        <v/>
      </c>
      <c r="O233" s="64" t="str">
        <f t="array" ref="O233">if($C233="","",_xlfn.xlookup($C233,'Hiker Food'!$C:$C,'Hiker Food'!I:I)*$D233)</f>
        <v/>
      </c>
      <c r="P233" s="81" t="str">
        <f t="array" ref="P233">if($C233="","",_xlfn.xlookup($C233,'Hiker Food'!$C:$C,'Hiker Food'!T:T))</f>
        <v/>
      </c>
      <c r="Q233" s="82" t="str">
        <f t="array" ref="Q233">if($C233="","",_xlfn.xlookup($C233,'Hiker Food'!$C:$C,'Hiker Food'!U:U))</f>
        <v/>
      </c>
      <c r="R233" s="82" t="str">
        <f t="array" ref="R233">if($C233="","",_xlfn.xlookup($C233,'Hiker Food'!$C:$C,'Hiker Food'!V:V))</f>
        <v/>
      </c>
      <c r="S233" s="83" t="str">
        <f t="array" ref="S233">if($C233="","",_xlfn.xlookup($C233,'Hiker Food'!$C:$C,'Hiker Food'!W:W))</f>
        <v/>
      </c>
      <c r="T233" s="65"/>
      <c r="U233" s="66"/>
      <c r="V233" s="66"/>
      <c r="W233" s="66"/>
      <c r="X233" s="66"/>
      <c r="Y233" s="66"/>
      <c r="Z233" s="66"/>
      <c r="AA233" s="66"/>
      <c r="AB233" s="66"/>
      <c r="AC233" s="67"/>
    </row>
    <row r="234">
      <c r="A234" s="52"/>
      <c r="B234" s="68" t="s">
        <v>366</v>
      </c>
      <c r="C234" s="90"/>
      <c r="D234" s="70">
        <v>1.0</v>
      </c>
      <c r="E234" s="71" t="str">
        <f t="array" ref="E234">if(C234="","",_xlfn.xlookup(C234,'Hiker Food'!$C:$C,'Hiker Food'!G:G)*D234)</f>
        <v/>
      </c>
      <c r="F234" s="42" t="str">
        <f t="array" ref="F234">if(C234="","",_xlfn.xlookup(C234,'Hiker Food'!$C:$C,'Hiker Food'!H:H)*D234)</f>
        <v/>
      </c>
      <c r="G234" s="72" t="str">
        <f t="array" ref="G234">if($C234="","",_xlfn.xlookup($C234,'Hiker Food'!$C:$C,'Hiker Food'!J:J)*$D234)</f>
        <v/>
      </c>
      <c r="H234" s="72" t="str">
        <f t="array" ref="H234">if($C234="","",_xlfn.xlookup($C234,'Hiker Food'!$C:$C,'Hiker Food'!K:K)*$D234)</f>
        <v/>
      </c>
      <c r="I234" s="72" t="str">
        <f t="array" ref="I234">if($C234="","",_xlfn.xlookup($C234,'Hiker Food'!$C:$C,'Hiker Food'!L:L)*$D234)</f>
        <v/>
      </c>
      <c r="J234" s="72" t="str">
        <f t="array" ref="J234">if($C234="","",_xlfn.xlookup($C234,'Hiker Food'!$C:$C,'Hiker Food'!M:M)*$D234)</f>
        <v/>
      </c>
      <c r="K234" s="72" t="str">
        <f t="array" ref="K234">if($C234="","",_xlfn.xlookup($C234,'Hiker Food'!$C:$C,'Hiker Food'!N:N)*$D234)</f>
        <v/>
      </c>
      <c r="L234" s="72" t="str">
        <f t="array" ref="L234">if($C234="","",_xlfn.xlookup($C234,'Hiker Food'!$C:$C,'Hiker Food'!O:O)*$D234)</f>
        <v/>
      </c>
      <c r="M234" s="72" t="str">
        <f t="array" ref="M234">if($C234="","",_xlfn.xlookup($C234,'Hiker Food'!$C:$C,'Hiker Food'!P:P)*$D234)</f>
        <v/>
      </c>
      <c r="N234" s="72" t="str">
        <f t="array" ref="N234">if($C234="","",_xlfn.xlookup($C234,'Hiker Food'!$C:$C,'Hiker Food'!Q:Q)*$D234)</f>
        <v/>
      </c>
      <c r="O234" s="72" t="str">
        <f t="array" ref="O234">if($C234="","",_xlfn.xlookup($C234,'Hiker Food'!$C:$C,'Hiker Food'!I:I)*$D234)</f>
        <v/>
      </c>
      <c r="P234" s="71" t="str">
        <f t="array" ref="P234">if($C234="","",_xlfn.xlookup($C234,'Hiker Food'!$C:$C,'Hiker Food'!T:T))</f>
        <v/>
      </c>
      <c r="Q234" s="73" t="str">
        <f t="array" ref="Q234">if($C234="","",_xlfn.xlookup($C234,'Hiker Food'!$C:$C,'Hiker Food'!U:U))</f>
        <v/>
      </c>
      <c r="R234" s="73" t="str">
        <f t="array" ref="R234">if($C234="","",_xlfn.xlookup($C234,'Hiker Food'!$C:$C,'Hiker Food'!V:V))</f>
        <v/>
      </c>
      <c r="S234" s="74" t="str">
        <f t="array" ref="S234">if($C234="","",_xlfn.xlookup($C234,'Hiker Food'!$C:$C,'Hiker Food'!W:W))</f>
        <v/>
      </c>
      <c r="T234" s="87" t="s">
        <v>366</v>
      </c>
      <c r="U234" s="76" t="str">
        <f>if(C234="","",Y234/V234)</f>
        <v/>
      </c>
      <c r="V234" s="96" t="str">
        <f>if($C234="","",sum(E234:E236))</f>
        <v/>
      </c>
      <c r="W234" s="77" t="str">
        <f>if($C234="","",$Y234/X234)</f>
        <v/>
      </c>
      <c r="X234" s="96" t="str">
        <f>if($C234="","",sum(F234:F236))</f>
        <v/>
      </c>
      <c r="Y234" s="96" t="str">
        <f>if($C234="","",sum(O234:O236))</f>
        <v/>
      </c>
      <c r="Z234" s="77" t="str">
        <f>if($C234="","",(sum(J234:J236)/sum(N234:N236)))</f>
        <v/>
      </c>
      <c r="AA234" s="78" t="str">
        <f>if($C234="","",sum(G234:G236)*9/sum(sum(G234:G236)*9+sum(J234:J236)*4+sum(N234:N236)*4))</f>
        <v/>
      </c>
      <c r="AB234" s="78" t="str">
        <f>if($C234="","",sum(L234:L236)*4/sum(sum(G234:G236)*9+sum(J234:J236)*4+sum(N234:N236)*4))</f>
        <v/>
      </c>
      <c r="AC234" s="79" t="str">
        <f>if($C234="","",(sum(H234:H236)/sum(O234:O236)))</f>
        <v/>
      </c>
    </row>
    <row r="235">
      <c r="A235" s="52"/>
      <c r="B235" s="53"/>
      <c r="C235" s="93"/>
      <c r="D235" s="55">
        <v>1.0</v>
      </c>
      <c r="E235" s="56" t="str">
        <f t="array" ref="E235">if(C235="","",_xlfn.xlookup(C235,'Hiker Food'!$C:$C,'Hiker Food'!G:G)*D235)</f>
        <v/>
      </c>
      <c r="F235" s="42" t="str">
        <f t="array" ref="F235">if(C235="","",_xlfn.xlookup(C235,'Hiker Food'!$C:$C,'Hiker Food'!H:H)*D235)</f>
        <v/>
      </c>
      <c r="G235" s="42" t="str">
        <f t="array" ref="G235">if($C235="","",_xlfn.xlookup($C235,'Hiker Food'!$C:$C,'Hiker Food'!J:J)*$D235)</f>
        <v/>
      </c>
      <c r="H235" s="42" t="str">
        <f t="array" ref="H235">if($C235="","",_xlfn.xlookup($C235,'Hiker Food'!$C:$C,'Hiker Food'!K:K)*$D235)</f>
        <v/>
      </c>
      <c r="I235" s="42" t="str">
        <f t="array" ref="I235">if($C235="","",_xlfn.xlookup($C235,'Hiker Food'!$C:$C,'Hiker Food'!L:L)*$D235)</f>
        <v/>
      </c>
      <c r="J235" s="42" t="str">
        <f t="array" ref="J235">if($C235="","",_xlfn.xlookup($C235,'Hiker Food'!$C:$C,'Hiker Food'!M:M)*$D235)</f>
        <v/>
      </c>
      <c r="K235" s="42" t="str">
        <f t="array" ref="K235">if($C235="","",_xlfn.xlookup($C235,'Hiker Food'!$C:$C,'Hiker Food'!N:N)*$D235)</f>
        <v/>
      </c>
      <c r="L235" s="42" t="str">
        <f t="array" ref="L235">if($C235="","",_xlfn.xlookup($C235,'Hiker Food'!$C:$C,'Hiker Food'!O:O)*$D235)</f>
        <v/>
      </c>
      <c r="M235" s="42" t="str">
        <f t="array" ref="M235">if($C235="","",_xlfn.xlookup($C235,'Hiker Food'!$C:$C,'Hiker Food'!P:P)*$D235)</f>
        <v/>
      </c>
      <c r="N235" s="42" t="str">
        <f t="array" ref="N235">if($C235="","",_xlfn.xlookup($C235,'Hiker Food'!$C:$C,'Hiker Food'!Q:Q)*$D235)</f>
        <v/>
      </c>
      <c r="O235" s="42" t="str">
        <f t="array" ref="O235">if($C235="","",_xlfn.xlookup($C235,'Hiker Food'!$C:$C,'Hiker Food'!I:I)*$D235)</f>
        <v/>
      </c>
      <c r="P235" s="56" t="str">
        <f t="array" ref="P235">if($C235="","",_xlfn.xlookup($C235,'Hiker Food'!$C:$C,'Hiker Food'!T:T))</f>
        <v/>
      </c>
      <c r="Q235" s="57" t="str">
        <f t="array" ref="Q235">if($C235="","",_xlfn.xlookup($C235,'Hiker Food'!$C:$C,'Hiker Food'!U:U))</f>
        <v/>
      </c>
      <c r="R235" s="57" t="str">
        <f t="array" ref="R235">if($C235="","",_xlfn.xlookup($C235,'Hiker Food'!$C:$C,'Hiker Food'!V:V))</f>
        <v/>
      </c>
      <c r="S235" s="58" t="str">
        <f t="array" ref="S235">if($C235="","",_xlfn.xlookup($C235,'Hiker Food'!$C:$C,'Hiker Food'!W:W))</f>
        <v/>
      </c>
      <c r="T235" s="59"/>
      <c r="AC235" s="60"/>
    </row>
    <row r="236">
      <c r="A236" s="52"/>
      <c r="B236" s="61"/>
      <c r="C236" s="54"/>
      <c r="D236" s="63">
        <v>1.0</v>
      </c>
      <c r="E236" s="81" t="str">
        <f t="array" ref="E236">if(C236="","",_xlfn.xlookup(C236,'Hiker Food'!$C:$C,'Hiker Food'!G:G)*D236)</f>
        <v/>
      </c>
      <c r="F236" s="64" t="str">
        <f t="array" ref="F236">if(C236="","",_xlfn.xlookup(C236,'Hiker Food'!$C:$C,'Hiker Food'!H:H)*D236)</f>
        <v/>
      </c>
      <c r="G236" s="64" t="str">
        <f t="array" ref="G236">if($C236="","",_xlfn.xlookup($C236,'Hiker Food'!$C:$C,'Hiker Food'!J:J)*$D236)</f>
        <v/>
      </c>
      <c r="H236" s="64" t="str">
        <f t="array" ref="H236">if($C236="","",_xlfn.xlookup($C236,'Hiker Food'!$C:$C,'Hiker Food'!K:K)*$D236)</f>
        <v/>
      </c>
      <c r="I236" s="64" t="str">
        <f t="array" ref="I236">if($C236="","",_xlfn.xlookup($C236,'Hiker Food'!$C:$C,'Hiker Food'!L:L)*$D236)</f>
        <v/>
      </c>
      <c r="J236" s="64" t="str">
        <f t="array" ref="J236">if($C236="","",_xlfn.xlookup($C236,'Hiker Food'!$C:$C,'Hiker Food'!M:M)*$D236)</f>
        <v/>
      </c>
      <c r="K236" s="64" t="str">
        <f t="array" ref="K236">if($C236="","",_xlfn.xlookup($C236,'Hiker Food'!$C:$C,'Hiker Food'!N:N)*$D236)</f>
        <v/>
      </c>
      <c r="L236" s="64" t="str">
        <f t="array" ref="L236">if($C236="","",_xlfn.xlookup($C236,'Hiker Food'!$C:$C,'Hiker Food'!O:O)*$D236)</f>
        <v/>
      </c>
      <c r="M236" s="64" t="str">
        <f t="array" ref="M236">if($C236="","",_xlfn.xlookup($C236,'Hiker Food'!$C:$C,'Hiker Food'!P:P)*$D236)</f>
        <v/>
      </c>
      <c r="N236" s="64" t="str">
        <f t="array" ref="N236">if($C236="","",_xlfn.xlookup($C236,'Hiker Food'!$C:$C,'Hiker Food'!Q:Q)*$D236)</f>
        <v/>
      </c>
      <c r="O236" s="64" t="str">
        <f t="array" ref="O236">if($C236="","",_xlfn.xlookup($C236,'Hiker Food'!$C:$C,'Hiker Food'!I:I)*$D236)</f>
        <v/>
      </c>
      <c r="P236" s="81" t="str">
        <f t="array" ref="P236">if($C236="","",_xlfn.xlookup($C236,'Hiker Food'!$C:$C,'Hiker Food'!T:T))</f>
        <v/>
      </c>
      <c r="Q236" s="82" t="str">
        <f t="array" ref="Q236">if($C236="","",_xlfn.xlookup($C236,'Hiker Food'!$C:$C,'Hiker Food'!U:U))</f>
        <v/>
      </c>
      <c r="R236" s="82" t="str">
        <f t="array" ref="R236">if($C236="","",_xlfn.xlookup($C236,'Hiker Food'!$C:$C,'Hiker Food'!V:V))</f>
        <v/>
      </c>
      <c r="S236" s="83" t="str">
        <f t="array" ref="S236">if($C236="","",_xlfn.xlookup($C236,'Hiker Food'!$C:$C,'Hiker Food'!W:W))</f>
        <v/>
      </c>
      <c r="T236" s="65"/>
      <c r="U236" s="66"/>
      <c r="V236" s="66"/>
      <c r="W236" s="66"/>
      <c r="X236" s="66"/>
      <c r="Y236" s="66"/>
      <c r="Z236" s="66"/>
      <c r="AA236" s="66"/>
      <c r="AB236" s="66"/>
      <c r="AC236" s="67"/>
    </row>
    <row r="237">
      <c r="A237" s="52"/>
      <c r="B237" s="94" t="s">
        <v>424</v>
      </c>
      <c r="C237" s="90"/>
      <c r="D237" s="70">
        <v>1.0</v>
      </c>
      <c r="E237" s="71" t="str">
        <f t="array" ref="E237">if(C237="","",_xlfn.xlookup(C237,'Hiker Food'!$C:$C,'Hiker Food'!G:G)*D237)</f>
        <v/>
      </c>
      <c r="F237" s="42" t="str">
        <f t="array" ref="F237">if(C237="","",_xlfn.xlookup(C237,'Hiker Food'!$C:$C,'Hiker Food'!H:H)*D237)</f>
        <v/>
      </c>
      <c r="G237" s="72" t="str">
        <f t="array" ref="G237">if($C237="","",_xlfn.xlookup($C237,'Hiker Food'!$C:$C,'Hiker Food'!J:J)*$D237)</f>
        <v/>
      </c>
      <c r="H237" s="72" t="str">
        <f t="array" ref="H237">if($C237="","",_xlfn.xlookup($C237,'Hiker Food'!$C:$C,'Hiker Food'!K:K)*$D237)</f>
        <v/>
      </c>
      <c r="I237" s="72" t="str">
        <f t="array" ref="I237">if($C237="","",_xlfn.xlookup($C237,'Hiker Food'!$C:$C,'Hiker Food'!L:L)*$D237)</f>
        <v/>
      </c>
      <c r="J237" s="72" t="str">
        <f t="array" ref="J237">if($C237="","",_xlfn.xlookup($C237,'Hiker Food'!$C:$C,'Hiker Food'!M:M)*$D237)</f>
        <v/>
      </c>
      <c r="K237" s="72" t="str">
        <f t="array" ref="K237">if($C237="","",_xlfn.xlookup($C237,'Hiker Food'!$C:$C,'Hiker Food'!N:N)*$D237)</f>
        <v/>
      </c>
      <c r="L237" s="72" t="str">
        <f t="array" ref="L237">if($C237="","",_xlfn.xlookup($C237,'Hiker Food'!$C:$C,'Hiker Food'!O:O)*$D237)</f>
        <v/>
      </c>
      <c r="M237" s="72" t="str">
        <f t="array" ref="M237">if($C237="","",_xlfn.xlookup($C237,'Hiker Food'!$C:$C,'Hiker Food'!P:P)*$D237)</f>
        <v/>
      </c>
      <c r="N237" s="72" t="str">
        <f t="array" ref="N237">if($C237="","",_xlfn.xlookup($C237,'Hiker Food'!$C:$C,'Hiker Food'!Q:Q)*$D237)</f>
        <v/>
      </c>
      <c r="O237" s="72" t="str">
        <f t="array" ref="O237">if($C237="","",_xlfn.xlookup($C237,'Hiker Food'!$C:$C,'Hiker Food'!I:I)*$D237)</f>
        <v/>
      </c>
      <c r="P237" s="71" t="str">
        <f t="array" ref="P237">if($C237="","",_xlfn.xlookup($C237,'Hiker Food'!$C:$C,'Hiker Food'!T:T))</f>
        <v/>
      </c>
      <c r="Q237" s="73" t="str">
        <f t="array" ref="Q237">if($C237="","",_xlfn.xlookup($C237,'Hiker Food'!$C:$C,'Hiker Food'!U:U))</f>
        <v/>
      </c>
      <c r="R237" s="73" t="str">
        <f t="array" ref="R237">if($C237="","",_xlfn.xlookup($C237,'Hiker Food'!$C:$C,'Hiker Food'!V:V))</f>
        <v/>
      </c>
      <c r="S237" s="74" t="str">
        <f t="array" ref="S237">if($C237="","",_xlfn.xlookup($C237,'Hiker Food'!$C:$C,'Hiker Food'!W:W))</f>
        <v/>
      </c>
      <c r="T237" s="95" t="s">
        <v>424</v>
      </c>
      <c r="U237" s="76" t="str">
        <f>if(C237="","",Y237/V237)</f>
        <v/>
      </c>
      <c r="V237" s="96" t="str">
        <f>if($C237="","",sum(E237:E239))</f>
        <v/>
      </c>
      <c r="W237" s="77" t="str">
        <f>if($C237="","",$Y237/X237)</f>
        <v/>
      </c>
      <c r="X237" s="96" t="str">
        <f>if($C237="","",sum(F237:F239))</f>
        <v/>
      </c>
      <c r="Y237" s="96" t="str">
        <f>if($C237="","",sum(O237:O239))</f>
        <v/>
      </c>
      <c r="Z237" s="77" t="str">
        <f>if($C237="","",(sum(J237:J239)/sum(N237:N239)))</f>
        <v/>
      </c>
      <c r="AA237" s="78" t="str">
        <f>if($C237="","",sum(G237:G239)*9/sum(sum(G237:G239)*9+sum(J237:J239)*4+sum(N237:N239)*4))</f>
        <v/>
      </c>
      <c r="AB237" s="78" t="str">
        <f>if($C237="","",sum(L237:L239)*4/sum(sum(G237:G239)*9+sum(J237:J239)*4+sum(N237:N239)*4))</f>
        <v/>
      </c>
      <c r="AC237" s="79" t="str">
        <f>if($C237="","",(sum(H237:H239)/sum(O237:O239)))</f>
        <v/>
      </c>
    </row>
    <row r="238">
      <c r="A238" s="52"/>
      <c r="B238" s="53"/>
      <c r="C238" s="54"/>
      <c r="D238" s="55">
        <v>1.0</v>
      </c>
      <c r="E238" s="56" t="str">
        <f t="array" ref="E238">if(C238="","",_xlfn.xlookup(C238,'Hiker Food'!$C:$C,'Hiker Food'!G:G)*D238)</f>
        <v/>
      </c>
      <c r="F238" s="42" t="str">
        <f t="array" ref="F238">if(C238="","",_xlfn.xlookup(C238,'Hiker Food'!$C:$C,'Hiker Food'!H:H)*D238)</f>
        <v/>
      </c>
      <c r="G238" s="42" t="str">
        <f t="array" ref="G238">if($C238="","",_xlfn.xlookup($C238,'Hiker Food'!$C:$C,'Hiker Food'!J:J)*$D238)</f>
        <v/>
      </c>
      <c r="H238" s="42" t="str">
        <f t="array" ref="H238">if($C238="","",_xlfn.xlookup($C238,'Hiker Food'!$C:$C,'Hiker Food'!K:K)*$D238)</f>
        <v/>
      </c>
      <c r="I238" s="42" t="str">
        <f t="array" ref="I238">if($C238="","",_xlfn.xlookup($C238,'Hiker Food'!$C:$C,'Hiker Food'!L:L)*$D238)</f>
        <v/>
      </c>
      <c r="J238" s="42" t="str">
        <f t="array" ref="J238">if($C238="","",_xlfn.xlookup($C238,'Hiker Food'!$C:$C,'Hiker Food'!M:M)*$D238)</f>
        <v/>
      </c>
      <c r="K238" s="42" t="str">
        <f t="array" ref="K238">if($C238="","",_xlfn.xlookup($C238,'Hiker Food'!$C:$C,'Hiker Food'!N:N)*$D238)</f>
        <v/>
      </c>
      <c r="L238" s="42" t="str">
        <f t="array" ref="L238">if($C238="","",_xlfn.xlookup($C238,'Hiker Food'!$C:$C,'Hiker Food'!O:O)*$D238)</f>
        <v/>
      </c>
      <c r="M238" s="42" t="str">
        <f t="array" ref="M238">if($C238="","",_xlfn.xlookup($C238,'Hiker Food'!$C:$C,'Hiker Food'!P:P)*$D238)</f>
        <v/>
      </c>
      <c r="N238" s="42" t="str">
        <f t="array" ref="N238">if($C238="","",_xlfn.xlookup($C238,'Hiker Food'!$C:$C,'Hiker Food'!Q:Q)*$D238)</f>
        <v/>
      </c>
      <c r="O238" s="42" t="str">
        <f t="array" ref="O238">if($C238="","",_xlfn.xlookup($C238,'Hiker Food'!$C:$C,'Hiker Food'!I:I)*$D238)</f>
        <v/>
      </c>
      <c r="P238" s="56" t="str">
        <f t="array" ref="P238">if($C238="","",_xlfn.xlookup($C238,'Hiker Food'!$C:$C,'Hiker Food'!T:T))</f>
        <v/>
      </c>
      <c r="Q238" s="57" t="str">
        <f t="array" ref="Q238">if($C238="","",_xlfn.xlookup($C238,'Hiker Food'!$C:$C,'Hiker Food'!U:U))</f>
        <v/>
      </c>
      <c r="R238" s="57" t="str">
        <f t="array" ref="R238">if($C238="","",_xlfn.xlookup($C238,'Hiker Food'!$C:$C,'Hiker Food'!V:V))</f>
        <v/>
      </c>
      <c r="S238" s="58" t="str">
        <f t="array" ref="S238">if($C238="","",_xlfn.xlookup($C238,'Hiker Food'!$C:$C,'Hiker Food'!W:W))</f>
        <v/>
      </c>
      <c r="T238" s="59"/>
      <c r="AC238" s="60"/>
    </row>
    <row r="239">
      <c r="A239" s="52"/>
      <c r="B239" s="61"/>
      <c r="C239" s="54"/>
      <c r="D239" s="63">
        <v>1.0</v>
      </c>
      <c r="E239" s="81" t="str">
        <f t="array" ref="E239">if(C239="","",_xlfn.xlookup(C239,'Hiker Food'!$C:$C,'Hiker Food'!G:G)*D239)</f>
        <v/>
      </c>
      <c r="F239" s="64" t="str">
        <f t="array" ref="F239">if(C239="","",_xlfn.xlookup(C239,'Hiker Food'!$C:$C,'Hiker Food'!H:H)*D239)</f>
        <v/>
      </c>
      <c r="G239" s="64" t="str">
        <f t="array" ref="G239">if($C239="","",_xlfn.xlookup($C239,'Hiker Food'!$C:$C,'Hiker Food'!J:J)*$D239)</f>
        <v/>
      </c>
      <c r="H239" s="64" t="str">
        <f t="array" ref="H239">if($C239="","",_xlfn.xlookup($C239,'Hiker Food'!$C:$C,'Hiker Food'!K:K)*$D239)</f>
        <v/>
      </c>
      <c r="I239" s="64" t="str">
        <f t="array" ref="I239">if($C239="","",_xlfn.xlookup($C239,'Hiker Food'!$C:$C,'Hiker Food'!L:L)*$D239)</f>
        <v/>
      </c>
      <c r="J239" s="64" t="str">
        <f t="array" ref="J239">if($C239="","",_xlfn.xlookup($C239,'Hiker Food'!$C:$C,'Hiker Food'!M:M)*$D239)</f>
        <v/>
      </c>
      <c r="K239" s="64" t="str">
        <f t="array" ref="K239">if($C239="","",_xlfn.xlookup($C239,'Hiker Food'!$C:$C,'Hiker Food'!N:N)*$D239)</f>
        <v/>
      </c>
      <c r="L239" s="64" t="str">
        <f t="array" ref="L239">if($C239="","",_xlfn.xlookup($C239,'Hiker Food'!$C:$C,'Hiker Food'!O:O)*$D239)</f>
        <v/>
      </c>
      <c r="M239" s="64" t="str">
        <f t="array" ref="M239">if($C239="","",_xlfn.xlookup($C239,'Hiker Food'!$C:$C,'Hiker Food'!P:P)*$D239)</f>
        <v/>
      </c>
      <c r="N239" s="64" t="str">
        <f t="array" ref="N239">if($C239="","",_xlfn.xlookup($C239,'Hiker Food'!$C:$C,'Hiker Food'!Q:Q)*$D239)</f>
        <v/>
      </c>
      <c r="O239" s="64" t="str">
        <f t="array" ref="O239">if($C239="","",_xlfn.xlookup($C239,'Hiker Food'!$C:$C,'Hiker Food'!I:I)*$D239)</f>
        <v/>
      </c>
      <c r="P239" s="81" t="str">
        <f t="array" ref="P239">if($C239="","",_xlfn.xlookup($C239,'Hiker Food'!$C:$C,'Hiker Food'!T:T))</f>
        <v/>
      </c>
      <c r="Q239" s="82" t="str">
        <f t="array" ref="Q239">if($C239="","",_xlfn.xlookup($C239,'Hiker Food'!$C:$C,'Hiker Food'!U:U))</f>
        <v/>
      </c>
      <c r="R239" s="82" t="str">
        <f t="array" ref="R239">if($C239="","",_xlfn.xlookup($C239,'Hiker Food'!$C:$C,'Hiker Food'!V:V))</f>
        <v/>
      </c>
      <c r="S239" s="83" t="str">
        <f t="array" ref="S239">if($C239="","",_xlfn.xlookup($C239,'Hiker Food'!$C:$C,'Hiker Food'!W:W))</f>
        <v/>
      </c>
      <c r="T239" s="65"/>
      <c r="U239" s="66"/>
      <c r="V239" s="66"/>
      <c r="W239" s="66"/>
      <c r="X239" s="66"/>
      <c r="Y239" s="66"/>
      <c r="Z239" s="66"/>
      <c r="AA239" s="66"/>
      <c r="AB239" s="66"/>
      <c r="AC239" s="67"/>
    </row>
    <row r="240">
      <c r="A240" s="52"/>
      <c r="B240" s="94" t="s">
        <v>478</v>
      </c>
      <c r="C240" s="90"/>
      <c r="D240" s="70">
        <v>1.0</v>
      </c>
      <c r="E240" s="71" t="str">
        <f t="array" ref="E240">if(C240="","",_xlfn.xlookup(C240,'Hiker Food'!$C:$C,'Hiker Food'!G:G)*D240)</f>
        <v/>
      </c>
      <c r="F240" s="42" t="str">
        <f t="array" ref="F240">if(C240="","",_xlfn.xlookup(C240,'Hiker Food'!$C:$C,'Hiker Food'!H:H)*D240)</f>
        <v/>
      </c>
      <c r="G240" s="72" t="str">
        <f t="array" ref="G240">if($C240="","",_xlfn.xlookup($C240,'Hiker Food'!$C:$C,'Hiker Food'!J:J)*$D240)</f>
        <v/>
      </c>
      <c r="H240" s="72" t="str">
        <f t="array" ref="H240">if($C240="","",_xlfn.xlookup($C240,'Hiker Food'!$C:$C,'Hiker Food'!K:K)*$D240)</f>
        <v/>
      </c>
      <c r="I240" s="72" t="str">
        <f t="array" ref="I240">if($C240="","",_xlfn.xlookup($C240,'Hiker Food'!$C:$C,'Hiker Food'!L:L)*$D240)</f>
        <v/>
      </c>
      <c r="J240" s="72" t="str">
        <f t="array" ref="J240">if($C240="","",_xlfn.xlookup($C240,'Hiker Food'!$C:$C,'Hiker Food'!M:M)*$D240)</f>
        <v/>
      </c>
      <c r="K240" s="72" t="str">
        <f t="array" ref="K240">if($C240="","",_xlfn.xlookup($C240,'Hiker Food'!$C:$C,'Hiker Food'!N:N)*$D240)</f>
        <v/>
      </c>
      <c r="L240" s="72" t="str">
        <f t="array" ref="L240">if($C240="","",_xlfn.xlookup($C240,'Hiker Food'!$C:$C,'Hiker Food'!O:O)*$D240)</f>
        <v/>
      </c>
      <c r="M240" s="72" t="str">
        <f t="array" ref="M240">if($C240="","",_xlfn.xlookup($C240,'Hiker Food'!$C:$C,'Hiker Food'!P:P)*$D240)</f>
        <v/>
      </c>
      <c r="N240" s="72" t="str">
        <f t="array" ref="N240">if($C240="","",_xlfn.xlookup($C240,'Hiker Food'!$C:$C,'Hiker Food'!Q:Q)*$D240)</f>
        <v/>
      </c>
      <c r="O240" s="72" t="str">
        <f t="array" ref="O240">if($C240="","",_xlfn.xlookup($C240,'Hiker Food'!$C:$C,'Hiker Food'!I:I)*$D240)</f>
        <v/>
      </c>
      <c r="P240" s="71" t="str">
        <f t="array" ref="P240">if($C240="","",_xlfn.xlookup($C240,'Hiker Food'!$C:$C,'Hiker Food'!T:T))</f>
        <v/>
      </c>
      <c r="Q240" s="73" t="str">
        <f t="array" ref="Q240">if($C240="","",_xlfn.xlookup($C240,'Hiker Food'!$C:$C,'Hiker Food'!U:U))</f>
        <v/>
      </c>
      <c r="R240" s="73" t="str">
        <f t="array" ref="R240">if($C240="","",_xlfn.xlookup($C240,'Hiker Food'!$C:$C,'Hiker Food'!V:V))</f>
        <v/>
      </c>
      <c r="S240" s="74" t="str">
        <f t="array" ref="S240">if($C240="","",_xlfn.xlookup($C240,'Hiker Food'!$C:$C,'Hiker Food'!W:W))</f>
        <v/>
      </c>
      <c r="T240" s="95" t="s">
        <v>478</v>
      </c>
      <c r="U240" s="76" t="str">
        <f>if(C240="","",Y240/V240)</f>
        <v/>
      </c>
      <c r="V240" s="96" t="str">
        <f>if($C240="","",sum(E240:E242))</f>
        <v/>
      </c>
      <c r="W240" s="77" t="str">
        <f>if($C240="","",$Y240/X240)</f>
        <v/>
      </c>
      <c r="X240" s="96" t="str">
        <f>if($C240="","",sum(F240:F242))</f>
        <v/>
      </c>
      <c r="Y240" s="96" t="str">
        <f>if($C240="","",sum(O240:O242))</f>
        <v/>
      </c>
      <c r="Z240" s="77" t="str">
        <f>if($C240="","",(sum(J240:J242)/sum(N240:N242)))</f>
        <v/>
      </c>
      <c r="AA240" s="78" t="str">
        <f>if($C240="","",sum(G240:G242)*9/sum(sum(G240:G242)*9+sum(J240:J242)*4+sum(N240:N242)*4))</f>
        <v/>
      </c>
      <c r="AB240" s="78" t="str">
        <f>if($C240="","",sum(L240:L242)*4/sum(sum(G240:G242)*9+sum(J240:J242)*4+sum(N240:N242)*4))</f>
        <v/>
      </c>
      <c r="AC240" s="79" t="str">
        <f>if($C240="","",(sum(H240:H242)/sum(O240:O242)))</f>
        <v/>
      </c>
    </row>
    <row r="241">
      <c r="A241" s="52"/>
      <c r="B241" s="53"/>
      <c r="C241" s="93"/>
      <c r="D241" s="55">
        <v>1.0</v>
      </c>
      <c r="E241" s="56" t="str">
        <f t="array" ref="E241">if(C241="","",_xlfn.xlookup(C241,'Hiker Food'!$C:$C,'Hiker Food'!G:G)*D241)</f>
        <v/>
      </c>
      <c r="F241" s="42" t="str">
        <f t="array" ref="F241">if(C241="","",_xlfn.xlookup(C241,'Hiker Food'!$C:$C,'Hiker Food'!H:H)*D241)</f>
        <v/>
      </c>
      <c r="G241" s="42" t="str">
        <f t="array" ref="G241">if($C241="","",_xlfn.xlookup($C241,'Hiker Food'!$C:$C,'Hiker Food'!J:J)*$D241)</f>
        <v/>
      </c>
      <c r="H241" s="42" t="str">
        <f t="array" ref="H241">if($C241="","",_xlfn.xlookup($C241,'Hiker Food'!$C:$C,'Hiker Food'!K:K)*$D241)</f>
        <v/>
      </c>
      <c r="I241" s="42" t="str">
        <f t="array" ref="I241">if($C241="","",_xlfn.xlookup($C241,'Hiker Food'!$C:$C,'Hiker Food'!L:L)*$D241)</f>
        <v/>
      </c>
      <c r="J241" s="42" t="str">
        <f t="array" ref="J241">if($C241="","",_xlfn.xlookup($C241,'Hiker Food'!$C:$C,'Hiker Food'!M:M)*$D241)</f>
        <v/>
      </c>
      <c r="K241" s="42" t="str">
        <f t="array" ref="K241">if($C241="","",_xlfn.xlookup($C241,'Hiker Food'!$C:$C,'Hiker Food'!N:N)*$D241)</f>
        <v/>
      </c>
      <c r="L241" s="42" t="str">
        <f t="array" ref="L241">if($C241="","",_xlfn.xlookup($C241,'Hiker Food'!$C:$C,'Hiker Food'!O:O)*$D241)</f>
        <v/>
      </c>
      <c r="M241" s="42" t="str">
        <f t="array" ref="M241">if($C241="","",_xlfn.xlookup($C241,'Hiker Food'!$C:$C,'Hiker Food'!P:P)*$D241)</f>
        <v/>
      </c>
      <c r="N241" s="42" t="str">
        <f t="array" ref="N241">if($C241="","",_xlfn.xlookup($C241,'Hiker Food'!$C:$C,'Hiker Food'!Q:Q)*$D241)</f>
        <v/>
      </c>
      <c r="O241" s="42" t="str">
        <f t="array" ref="O241">if($C241="","",_xlfn.xlookup($C241,'Hiker Food'!$C:$C,'Hiker Food'!I:I)*$D241)</f>
        <v/>
      </c>
      <c r="P241" s="56" t="str">
        <f t="array" ref="P241">if($C241="","",_xlfn.xlookup($C241,'Hiker Food'!$C:$C,'Hiker Food'!T:T))</f>
        <v/>
      </c>
      <c r="Q241" s="57" t="str">
        <f t="array" ref="Q241">if($C241="","",_xlfn.xlookup($C241,'Hiker Food'!$C:$C,'Hiker Food'!U:U))</f>
        <v/>
      </c>
      <c r="R241" s="57" t="str">
        <f t="array" ref="R241">if($C241="","",_xlfn.xlookup($C241,'Hiker Food'!$C:$C,'Hiker Food'!V:V))</f>
        <v/>
      </c>
      <c r="S241" s="58" t="str">
        <f t="array" ref="S241">if($C241="","",_xlfn.xlookup($C241,'Hiker Food'!$C:$C,'Hiker Food'!W:W))</f>
        <v/>
      </c>
      <c r="T241" s="59"/>
      <c r="AC241" s="60"/>
    </row>
    <row r="242">
      <c r="A242" s="52"/>
      <c r="B242" s="61"/>
      <c r="C242" s="62"/>
      <c r="D242" s="63">
        <v>1.0</v>
      </c>
      <c r="E242" s="81" t="str">
        <f t="array" ref="E242">if(C242="","",_xlfn.xlookup(C242,'Hiker Food'!$C:$C,'Hiker Food'!G:G)*D242)</f>
        <v/>
      </c>
      <c r="F242" s="64" t="str">
        <f t="array" ref="F242">if(C242="","",_xlfn.xlookup(C242,'Hiker Food'!$C:$C,'Hiker Food'!H:H)*D242)</f>
        <v/>
      </c>
      <c r="G242" s="64" t="str">
        <f t="array" ref="G242">if($C242="","",_xlfn.xlookup($C242,'Hiker Food'!$C:$C,'Hiker Food'!J:J)*$D242)</f>
        <v/>
      </c>
      <c r="H242" s="64" t="str">
        <f t="array" ref="H242">if($C242="","",_xlfn.xlookup($C242,'Hiker Food'!$C:$C,'Hiker Food'!K:K)*$D242)</f>
        <v/>
      </c>
      <c r="I242" s="64" t="str">
        <f t="array" ref="I242">if($C242="","",_xlfn.xlookup($C242,'Hiker Food'!$C:$C,'Hiker Food'!L:L)*$D242)</f>
        <v/>
      </c>
      <c r="J242" s="64" t="str">
        <f t="array" ref="J242">if($C242="","",_xlfn.xlookup($C242,'Hiker Food'!$C:$C,'Hiker Food'!M:M)*$D242)</f>
        <v/>
      </c>
      <c r="K242" s="64" t="str">
        <f t="array" ref="K242">if($C242="","",_xlfn.xlookup($C242,'Hiker Food'!$C:$C,'Hiker Food'!N:N)*$D242)</f>
        <v/>
      </c>
      <c r="L242" s="64" t="str">
        <f t="array" ref="L242">if($C242="","",_xlfn.xlookup($C242,'Hiker Food'!$C:$C,'Hiker Food'!O:O)*$D242)</f>
        <v/>
      </c>
      <c r="M242" s="64" t="str">
        <f t="array" ref="M242">if($C242="","",_xlfn.xlookup($C242,'Hiker Food'!$C:$C,'Hiker Food'!P:P)*$D242)</f>
        <v/>
      </c>
      <c r="N242" s="64" t="str">
        <f t="array" ref="N242">if($C242="","",_xlfn.xlookup($C242,'Hiker Food'!$C:$C,'Hiker Food'!Q:Q)*$D242)</f>
        <v/>
      </c>
      <c r="O242" s="64" t="str">
        <f t="array" ref="O242">if($C242="","",_xlfn.xlookup($C242,'Hiker Food'!$C:$C,'Hiker Food'!I:I)*$D242)</f>
        <v/>
      </c>
      <c r="P242" s="81" t="str">
        <f t="array" ref="P242">if($C242="","",_xlfn.xlookup($C242,'Hiker Food'!$C:$C,'Hiker Food'!T:T))</f>
        <v/>
      </c>
      <c r="Q242" s="82" t="str">
        <f t="array" ref="Q242">if($C242="","",_xlfn.xlookup($C242,'Hiker Food'!$C:$C,'Hiker Food'!U:U))</f>
        <v/>
      </c>
      <c r="R242" s="82" t="str">
        <f t="array" ref="R242">if($C242="","",_xlfn.xlookup($C242,'Hiker Food'!$C:$C,'Hiker Food'!V:V))</f>
        <v/>
      </c>
      <c r="S242" s="83" t="str">
        <f t="array" ref="S242">if($C242="","",_xlfn.xlookup($C242,'Hiker Food'!$C:$C,'Hiker Food'!W:W))</f>
        <v/>
      </c>
      <c r="T242" s="65"/>
      <c r="U242" s="66"/>
      <c r="V242" s="66"/>
      <c r="W242" s="66"/>
      <c r="X242" s="66"/>
      <c r="Y242" s="66"/>
      <c r="Z242" s="66"/>
      <c r="AA242" s="66"/>
      <c r="AB242" s="66"/>
      <c r="AC242" s="67"/>
    </row>
    <row r="243">
      <c r="A243" s="97"/>
      <c r="B243" s="98" t="s">
        <v>532</v>
      </c>
      <c r="C243" s="99" t="str">
        <f>IF(COUNTIF(C222:C242,"")=COUNTA(C222:C242), "", "zzzz - subtotal line - ignore")</f>
        <v>zzzz - subtotal line - ignore</v>
      </c>
      <c r="D243" s="99"/>
      <c r="E243" s="100" t="str">
        <f t="shared" ref="E243:O243" si="11">if(counta($C222:$C242)=0,"",SUM(E222:E242))</f>
        <v/>
      </c>
      <c r="F243" s="101" t="str">
        <f t="shared" si="11"/>
        <v/>
      </c>
      <c r="G243" s="101" t="str">
        <f t="shared" si="11"/>
        <v/>
      </c>
      <c r="H243" s="101" t="str">
        <f t="shared" si="11"/>
        <v/>
      </c>
      <c r="I243" s="101" t="str">
        <f t="shared" si="11"/>
        <v/>
      </c>
      <c r="J243" s="101" t="str">
        <f t="shared" si="11"/>
        <v/>
      </c>
      <c r="K243" s="101" t="str">
        <f t="shared" si="11"/>
        <v/>
      </c>
      <c r="L243" s="101" t="str">
        <f t="shared" si="11"/>
        <v/>
      </c>
      <c r="M243" s="101" t="str">
        <f t="shared" si="11"/>
        <v/>
      </c>
      <c r="N243" s="101" t="str">
        <f t="shared" si="11"/>
        <v/>
      </c>
      <c r="O243" s="101" t="str">
        <f t="shared" si="11"/>
        <v/>
      </c>
      <c r="P243" s="102"/>
      <c r="Q243" s="102"/>
      <c r="R243" s="102"/>
      <c r="S243" s="102"/>
      <c r="T243" s="98" t="s">
        <v>532</v>
      </c>
      <c r="U243" s="100"/>
      <c r="V243" s="100" t="str">
        <f>if(counta($C222:$C242)=0,"",SUM(E222:E242))</f>
        <v/>
      </c>
      <c r="W243" s="101"/>
      <c r="X243" s="101" t="str">
        <f>if(counta($C222:$C242)=0,"",SUM(F222:F242))</f>
        <v/>
      </c>
      <c r="Y243" s="101" t="str">
        <f>if(counta($C222:$C242)=0,"",SUM(O222:O242))</f>
        <v/>
      </c>
      <c r="Z243" s="103" t="str">
        <f>if($V243="","",sum(J222:J242)/sum(N222:N242))</f>
        <v/>
      </c>
      <c r="AA243" s="104" t="str">
        <f>if($V243="","",sum(G222:G242)*9/sum(sum(G222:G242)*9+sum(J222:J242)*4+sum(N222:N242)*4))</f>
        <v/>
      </c>
      <c r="AB243" s="104" t="str">
        <f>if($V243="","",sum(L222:L242)*4/sum(sum(G222:G242)*9+sum(J222:J242)*4+sum(N222:N242)*4))</f>
        <v/>
      </c>
      <c r="AC243" s="105" t="str">
        <f>if($V243="","",sum(H222:H242)/sum(O222:O242))</f>
        <v/>
      </c>
    </row>
    <row r="244">
      <c r="A244" s="37">
        <v>12.0</v>
      </c>
      <c r="B244" s="38" t="s">
        <v>92</v>
      </c>
      <c r="C244" s="39"/>
      <c r="D244" s="40">
        <v>1.0</v>
      </c>
      <c r="E244" s="41" t="str">
        <f t="array" ref="E244">if(C244="","",_xlfn.xlookup(C244,'Hiker Food'!$C:$C,'Hiker Food'!G:G)*D244)</f>
        <v/>
      </c>
      <c r="F244" s="42" t="str">
        <f t="array" ref="F244">if(C244="","",_xlfn.xlookup(C244,'Hiker Food'!$C:$C,'Hiker Food'!H:H)*D244)</f>
        <v/>
      </c>
      <c r="G244" s="43" t="str">
        <f t="array" ref="G244">if($C244="","",_xlfn.xlookup($C244,'Hiker Food'!$C:$C,'Hiker Food'!J:J)*$D244)</f>
        <v/>
      </c>
      <c r="H244" s="43" t="str">
        <f t="array" ref="H244">if($C244="","",_xlfn.xlookup($C244,'Hiker Food'!$C:$C,'Hiker Food'!K:K)*$D244)</f>
        <v/>
      </c>
      <c r="I244" s="43" t="str">
        <f t="array" ref="I244">if($C244="","",_xlfn.xlookup($C244,'Hiker Food'!$C:$C,'Hiker Food'!L:L)*$D244)</f>
        <v/>
      </c>
      <c r="J244" s="43" t="str">
        <f t="array" ref="J244">if($C244="","",_xlfn.xlookup($C244,'Hiker Food'!$C:$C,'Hiker Food'!M:M)*$D244)</f>
        <v/>
      </c>
      <c r="K244" s="43" t="str">
        <f t="array" ref="K244">if($C244="","",_xlfn.xlookup($C244,'Hiker Food'!$C:$C,'Hiker Food'!N:N)*$D244)</f>
        <v/>
      </c>
      <c r="L244" s="43" t="str">
        <f t="array" ref="L244">if($C244="","",_xlfn.xlookup($C244,'Hiker Food'!$C:$C,'Hiker Food'!O:O)*$D244)</f>
        <v/>
      </c>
      <c r="M244" s="43" t="str">
        <f t="array" ref="M244">if($C244="","",_xlfn.xlookup($C244,'Hiker Food'!$C:$C,'Hiker Food'!P:P)*$D244)</f>
        <v/>
      </c>
      <c r="N244" s="43" t="str">
        <f t="array" ref="N244">if($C244="","",_xlfn.xlookup($C244,'Hiker Food'!$C:$C,'Hiker Food'!Q:Q)*$D244)</f>
        <v/>
      </c>
      <c r="O244" s="43" t="str">
        <f t="array" ref="O244">if($C244="","",_xlfn.xlookup($C244,'Hiker Food'!$C:$C,'Hiker Food'!I:I)*$D244)</f>
        <v/>
      </c>
      <c r="P244" s="41" t="str">
        <f t="array" ref="P244">if($C244="","",_xlfn.xlookup($C244,'Hiker Food'!$C:$C,'Hiker Food'!T:T))</f>
        <v/>
      </c>
      <c r="Q244" s="44" t="str">
        <f t="array" ref="Q244">if($C244="","",_xlfn.xlookup($C244,'Hiker Food'!$C:$C,'Hiker Food'!U:U))</f>
        <v/>
      </c>
      <c r="R244" s="44" t="str">
        <f t="array" ref="R244">if($C244="","",_xlfn.xlookup($C244,'Hiker Food'!$C:$C,'Hiker Food'!V:V))</f>
        <v/>
      </c>
      <c r="S244" s="45" t="str">
        <f t="array" ref="S244">if($C244="","",_xlfn.xlookup($C244,'Hiker Food'!$C:$C,'Hiker Food'!W:W))</f>
        <v/>
      </c>
      <c r="T244" s="46" t="s">
        <v>92</v>
      </c>
      <c r="U244" s="47" t="str">
        <f>if($C244="","",$Y244/V244)</f>
        <v/>
      </c>
      <c r="V244" s="114" t="str">
        <f>if($C244="","",sum(E244:E246))</f>
        <v/>
      </c>
      <c r="W244" s="48" t="str">
        <f>if($C244="","",$Y244/X244)</f>
        <v/>
      </c>
      <c r="X244" s="114" t="str">
        <f>if($C244="","",sum(F244:F246))</f>
        <v/>
      </c>
      <c r="Y244" s="114" t="str">
        <f>if($C244="","",sum(O244:O246))</f>
        <v/>
      </c>
      <c r="Z244" s="49" t="str">
        <f>if($C244="","",(sum(J244:J246)/sum(N244:N246)))</f>
        <v/>
      </c>
      <c r="AA244" s="50" t="str">
        <f>if($C244="","",sum(G244:G246)*9/sum(sum(G244:G246)*9+sum(J244:J246)*4+sum(N244:N246)*4))</f>
        <v/>
      </c>
      <c r="AB244" s="50" t="str">
        <f>if($C244="","",sum(L244:L246)*4/sum(sum(G244:G246)*9+sum(J244:J246)*4+sum(N244:N246)*4))</f>
        <v/>
      </c>
      <c r="AC244" s="51" t="str">
        <f>if($C244="","",(sum(H244:H246)/sum(O244:O246)))</f>
        <v/>
      </c>
    </row>
    <row r="245">
      <c r="A245" s="52"/>
      <c r="B245" s="53"/>
      <c r="C245" s="54"/>
      <c r="D245" s="55">
        <v>1.0</v>
      </c>
      <c r="E245" s="56" t="str">
        <f t="array" ref="E245">if(C245="","",_xlfn.xlookup(C245,'Hiker Food'!$C:$C,'Hiker Food'!G:G)*D245)</f>
        <v/>
      </c>
      <c r="F245" s="42" t="str">
        <f t="array" ref="F245">if(C245="","",_xlfn.xlookup(C245,'Hiker Food'!$C:$C,'Hiker Food'!H:H)*D245)</f>
        <v/>
      </c>
      <c r="G245" s="42" t="str">
        <f t="array" ref="G245">if($C245="","",_xlfn.xlookup($C245,'Hiker Food'!$C:$C,'Hiker Food'!J:J)*$D245)</f>
        <v/>
      </c>
      <c r="H245" s="42" t="str">
        <f t="array" ref="H245">if($C245="","",_xlfn.xlookup($C245,'Hiker Food'!$C:$C,'Hiker Food'!K:K)*$D245)</f>
        <v/>
      </c>
      <c r="I245" s="42" t="str">
        <f t="array" ref="I245">if($C245="","",_xlfn.xlookup($C245,'Hiker Food'!$C:$C,'Hiker Food'!L:L)*$D245)</f>
        <v/>
      </c>
      <c r="J245" s="42" t="str">
        <f t="array" ref="J245">if($C245="","",_xlfn.xlookup($C245,'Hiker Food'!$C:$C,'Hiker Food'!M:M)*$D245)</f>
        <v/>
      </c>
      <c r="K245" s="42" t="str">
        <f t="array" ref="K245">if($C245="","",_xlfn.xlookup($C245,'Hiker Food'!$C:$C,'Hiker Food'!N:N)*$D245)</f>
        <v/>
      </c>
      <c r="L245" s="42" t="str">
        <f t="array" ref="L245">if($C245="","",_xlfn.xlookup($C245,'Hiker Food'!$C:$C,'Hiker Food'!O:O)*$D245)</f>
        <v/>
      </c>
      <c r="M245" s="42" t="str">
        <f t="array" ref="M245">if($C245="","",_xlfn.xlookup($C245,'Hiker Food'!$C:$C,'Hiker Food'!P:P)*$D245)</f>
        <v/>
      </c>
      <c r="N245" s="42" t="str">
        <f t="array" ref="N245">if($C245="","",_xlfn.xlookup($C245,'Hiker Food'!$C:$C,'Hiker Food'!Q:Q)*$D245)</f>
        <v/>
      </c>
      <c r="O245" s="42" t="str">
        <f t="array" ref="O245">if($C245="","",_xlfn.xlookup($C245,'Hiker Food'!$C:$C,'Hiker Food'!I:I)*$D245)</f>
        <v/>
      </c>
      <c r="P245" s="56" t="str">
        <f t="array" ref="P245">if($C245="","",_xlfn.xlookup($C245,'Hiker Food'!$C:$C,'Hiker Food'!T:T))</f>
        <v/>
      </c>
      <c r="Q245" s="57" t="str">
        <f t="array" ref="Q245">if($C245="","",_xlfn.xlookup($C245,'Hiker Food'!$C:$C,'Hiker Food'!U:U))</f>
        <v/>
      </c>
      <c r="R245" s="57" t="str">
        <f t="array" ref="R245">if($C245="","",_xlfn.xlookup($C245,'Hiker Food'!$C:$C,'Hiker Food'!V:V))</f>
        <v/>
      </c>
      <c r="S245" s="58" t="str">
        <f t="array" ref="S245">if($C245="","",_xlfn.xlookup($C245,'Hiker Food'!$C:$C,'Hiker Food'!W:W))</f>
        <v/>
      </c>
      <c r="T245" s="59"/>
      <c r="AC245" s="60"/>
    </row>
    <row r="246">
      <c r="A246" s="52"/>
      <c r="B246" s="61"/>
      <c r="C246" s="62"/>
      <c r="D246" s="63">
        <v>1.0</v>
      </c>
      <c r="E246" s="56" t="str">
        <f t="array" ref="E246">if(C246="","",_xlfn.xlookup(C246,'Hiker Food'!$C:$C,'Hiker Food'!G:G)*D246)</f>
        <v/>
      </c>
      <c r="F246" s="64" t="str">
        <f t="array" ref="F246">if(C246="","",_xlfn.xlookup(C246,'Hiker Food'!$C:$C,'Hiker Food'!H:H)*D246)</f>
        <v/>
      </c>
      <c r="G246" s="64" t="str">
        <f t="array" ref="G246">if($C246="","",_xlfn.xlookup($C246,'Hiker Food'!$C:$C,'Hiker Food'!J:J)*$D246)</f>
        <v/>
      </c>
      <c r="H246" s="64" t="str">
        <f t="array" ref="H246">if($C246="","",_xlfn.xlookup($C246,'Hiker Food'!$C:$C,'Hiker Food'!K:K)*$D246)</f>
        <v/>
      </c>
      <c r="I246" s="64" t="str">
        <f t="array" ref="I246">if($C246="","",_xlfn.xlookup($C246,'Hiker Food'!$C:$C,'Hiker Food'!L:L)*$D246)</f>
        <v/>
      </c>
      <c r="J246" s="64" t="str">
        <f t="array" ref="J246">if($C246="","",_xlfn.xlookup($C246,'Hiker Food'!$C:$C,'Hiker Food'!M:M)*$D246)</f>
        <v/>
      </c>
      <c r="K246" s="64" t="str">
        <f t="array" ref="K246">if($C246="","",_xlfn.xlookup($C246,'Hiker Food'!$C:$C,'Hiker Food'!N:N)*$D246)</f>
        <v/>
      </c>
      <c r="L246" s="64" t="str">
        <f t="array" ref="L246">if($C246="","",_xlfn.xlookup($C246,'Hiker Food'!$C:$C,'Hiker Food'!O:O)*$D246)</f>
        <v/>
      </c>
      <c r="M246" s="64" t="str">
        <f t="array" ref="M246">if($C246="","",_xlfn.xlookup($C246,'Hiker Food'!$C:$C,'Hiker Food'!P:P)*$D246)</f>
        <v/>
      </c>
      <c r="N246" s="64" t="str">
        <f t="array" ref="N246">if($C246="","",_xlfn.xlookup($C246,'Hiker Food'!$C:$C,'Hiker Food'!Q:Q)*$D246)</f>
        <v/>
      </c>
      <c r="O246" s="42" t="str">
        <f t="array" ref="O246">if($C246="","",_xlfn.xlookup($C246,'Hiker Food'!$C:$C,'Hiker Food'!I:I)*$D246)</f>
        <v/>
      </c>
      <c r="P246" s="56" t="str">
        <f t="array" ref="P246">if($C246="","",_xlfn.xlookup($C246,'Hiker Food'!$C:$C,'Hiker Food'!T:T))</f>
        <v/>
      </c>
      <c r="Q246" s="57" t="str">
        <f t="array" ref="Q246">if($C246="","",_xlfn.xlookup($C246,'Hiker Food'!$C:$C,'Hiker Food'!U:U))</f>
        <v/>
      </c>
      <c r="R246" s="57" t="str">
        <f t="array" ref="R246">if($C246="","",_xlfn.xlookup($C246,'Hiker Food'!$C:$C,'Hiker Food'!V:V))</f>
        <v/>
      </c>
      <c r="S246" s="58" t="str">
        <f t="array" ref="S246">if($C246="","",_xlfn.xlookup($C246,'Hiker Food'!$C:$C,'Hiker Food'!W:W))</f>
        <v/>
      </c>
      <c r="T246" s="65"/>
      <c r="U246" s="66"/>
      <c r="V246" s="66"/>
      <c r="W246" s="66"/>
      <c r="X246" s="66"/>
      <c r="Y246" s="66"/>
      <c r="Z246" s="66"/>
      <c r="AA246" s="66"/>
      <c r="AB246" s="66"/>
      <c r="AC246" s="67"/>
    </row>
    <row r="247">
      <c r="A247" s="52"/>
      <c r="B247" s="68" t="s">
        <v>179</v>
      </c>
      <c r="C247" s="69"/>
      <c r="D247" s="70">
        <v>2.0</v>
      </c>
      <c r="E247" s="71" t="str">
        <f t="array" ref="E247">if(C247="","",_xlfn.xlookup(C247,'Hiker Food'!$C:$C,'Hiker Food'!G:G)*D247)</f>
        <v/>
      </c>
      <c r="F247" s="42" t="str">
        <f t="array" ref="F247">if(C247="","",_xlfn.xlookup(C247,'Hiker Food'!$C:$C,'Hiker Food'!H:H)*D247)</f>
        <v/>
      </c>
      <c r="G247" s="72" t="str">
        <f t="array" ref="G247">if($C247="","",_xlfn.xlookup($C247,'Hiker Food'!$C:$C,'Hiker Food'!J:J)*$D247)</f>
        <v/>
      </c>
      <c r="H247" s="72" t="str">
        <f t="array" ref="H247">if($C247="","",_xlfn.xlookup($C247,'Hiker Food'!$C:$C,'Hiker Food'!K:K)*$D247)</f>
        <v/>
      </c>
      <c r="I247" s="72" t="str">
        <f t="array" ref="I247">if($C247="","",_xlfn.xlookup($C247,'Hiker Food'!$C:$C,'Hiker Food'!L:L)*$D247)</f>
        <v/>
      </c>
      <c r="J247" s="72" t="str">
        <f t="array" ref="J247">if($C247="","",_xlfn.xlookup($C247,'Hiker Food'!$C:$C,'Hiker Food'!M:M)*$D247)</f>
        <v/>
      </c>
      <c r="K247" s="72" t="str">
        <f t="array" ref="K247">if($C247="","",_xlfn.xlookup($C247,'Hiker Food'!$C:$C,'Hiker Food'!N:N)*$D247)</f>
        <v/>
      </c>
      <c r="L247" s="72" t="str">
        <f t="array" ref="L247">if($C247="","",_xlfn.xlookup($C247,'Hiker Food'!$C:$C,'Hiker Food'!O:O)*$D247)</f>
        <v/>
      </c>
      <c r="M247" s="72" t="str">
        <f t="array" ref="M247">if($C247="","",_xlfn.xlookup($C247,'Hiker Food'!$C:$C,'Hiker Food'!P:P)*$D247)</f>
        <v/>
      </c>
      <c r="N247" s="72" t="str">
        <f t="array" ref="N247">if($C247="","",_xlfn.xlookup($C247,'Hiker Food'!$C:$C,'Hiker Food'!Q:Q)*$D247)</f>
        <v/>
      </c>
      <c r="O247" s="72" t="str">
        <f t="array" ref="O247">if($C247="","",_xlfn.xlookup($C247,'Hiker Food'!$C:$C,'Hiker Food'!I:I)*$D247)</f>
        <v/>
      </c>
      <c r="P247" s="71" t="str">
        <f t="array" ref="P247">if($C247="","",_xlfn.xlookup($C247,'Hiker Food'!$C:$C,'Hiker Food'!T:T))</f>
        <v/>
      </c>
      <c r="Q247" s="73" t="str">
        <f t="array" ref="Q247">if($C247="","",_xlfn.xlookup($C247,'Hiker Food'!$C:$C,'Hiker Food'!U:U))</f>
        <v/>
      </c>
      <c r="R247" s="73" t="str">
        <f t="array" ref="R247">if($C247="","",_xlfn.xlookup($C247,'Hiker Food'!$C:$C,'Hiker Food'!V:V))</f>
        <v/>
      </c>
      <c r="S247" s="74" t="str">
        <f t="array" ref="S247">if($C247="","",_xlfn.xlookup($C247,'Hiker Food'!$C:$C,'Hiker Food'!W:W))</f>
        <v/>
      </c>
      <c r="T247" s="75" t="s">
        <v>179</v>
      </c>
      <c r="U247" s="76" t="str">
        <f>if(C247="","",Y247/V247)</f>
        <v/>
      </c>
      <c r="V247" s="96" t="str">
        <f>if($C247="","",sum(E247:E249))</f>
        <v/>
      </c>
      <c r="W247" s="77" t="str">
        <f>if($C247="","",$Y247/X247)</f>
        <v/>
      </c>
      <c r="X247" s="96" t="str">
        <f>if($C247="","",sum(F247:F249))</f>
        <v/>
      </c>
      <c r="Y247" s="96" t="str">
        <f>if($C247="","",sum(O247:O249))</f>
        <v/>
      </c>
      <c r="Z247" s="77" t="str">
        <f>if($C247="","",(sum(J247:J249)/sum(N247:N249)))</f>
        <v/>
      </c>
      <c r="AA247" s="78" t="str">
        <f>if($C247="","",sum(G247:G249)*9/sum(sum(G247:G249)*9+sum(J247:J249)*4+sum(N247:N249)*4))</f>
        <v/>
      </c>
      <c r="AB247" s="78" t="str">
        <f>if($C247="","",sum(L247:L249)*4/sum(sum(G247:G249)*9+sum(J247:J249)*4+sum(N247:N249)*4))</f>
        <v/>
      </c>
      <c r="AC247" s="79" t="str">
        <f>if($C247="","",(sum(H247:H249)/sum(O247:O249)))</f>
        <v/>
      </c>
    </row>
    <row r="248">
      <c r="A248" s="52"/>
      <c r="B248" s="53"/>
      <c r="C248" s="54"/>
      <c r="D248" s="55">
        <v>2.0</v>
      </c>
      <c r="E248" s="56" t="str">
        <f t="array" ref="E248">if(C248="","",_xlfn.xlookup(C248,'Hiker Food'!$C:$C,'Hiker Food'!G:G)*D248)</f>
        <v/>
      </c>
      <c r="F248" s="42" t="str">
        <f t="array" ref="F248">if(C248="","",_xlfn.xlookup(C248,'Hiker Food'!$C:$C,'Hiker Food'!H:H)*D248)</f>
        <v/>
      </c>
      <c r="G248" s="42" t="str">
        <f t="array" ref="G248">if($C248="","",_xlfn.xlookup($C248,'Hiker Food'!$C:$C,'Hiker Food'!J:J)*$D248)</f>
        <v/>
      </c>
      <c r="H248" s="42" t="str">
        <f t="array" ref="H248">if($C248="","",_xlfn.xlookup($C248,'Hiker Food'!$C:$C,'Hiker Food'!K:K)*$D248)</f>
        <v/>
      </c>
      <c r="I248" s="42" t="str">
        <f t="array" ref="I248">if($C248="","",_xlfn.xlookup($C248,'Hiker Food'!$C:$C,'Hiker Food'!L:L)*$D248)</f>
        <v/>
      </c>
      <c r="J248" s="42" t="str">
        <f t="array" ref="J248">if($C248="","",_xlfn.xlookup($C248,'Hiker Food'!$C:$C,'Hiker Food'!M:M)*$D248)</f>
        <v/>
      </c>
      <c r="K248" s="42" t="str">
        <f t="array" ref="K248">if($C248="","",_xlfn.xlookup($C248,'Hiker Food'!$C:$C,'Hiker Food'!N:N)*$D248)</f>
        <v/>
      </c>
      <c r="L248" s="42" t="str">
        <f t="array" ref="L248">if($C248="","",_xlfn.xlookup($C248,'Hiker Food'!$C:$C,'Hiker Food'!O:O)*$D248)</f>
        <v/>
      </c>
      <c r="M248" s="42" t="str">
        <f t="array" ref="M248">if($C248="","",_xlfn.xlookup($C248,'Hiker Food'!$C:$C,'Hiker Food'!P:P)*$D248)</f>
        <v/>
      </c>
      <c r="N248" s="42" t="str">
        <f t="array" ref="N248">if($C248="","",_xlfn.xlookup($C248,'Hiker Food'!$C:$C,'Hiker Food'!Q:Q)*$D248)</f>
        <v/>
      </c>
      <c r="O248" s="42" t="str">
        <f t="array" ref="O248">if($C248="","",_xlfn.xlookup($C248,'Hiker Food'!$C:$C,'Hiker Food'!I:I)*$D248)</f>
        <v/>
      </c>
      <c r="P248" s="56" t="str">
        <f t="array" ref="P248">if($C248="","",_xlfn.xlookup($C248,'Hiker Food'!$C:$C,'Hiker Food'!T:T))</f>
        <v/>
      </c>
      <c r="Q248" s="57" t="str">
        <f t="array" ref="Q248">if($C248="","",_xlfn.xlookup($C248,'Hiker Food'!$C:$C,'Hiker Food'!U:U))</f>
        <v/>
      </c>
      <c r="R248" s="57" t="str">
        <f t="array" ref="R248">if($C248="","",_xlfn.xlookup($C248,'Hiker Food'!$C:$C,'Hiker Food'!V:V))</f>
        <v/>
      </c>
      <c r="S248" s="58" t="str">
        <f t="array" ref="S248">if($C248="","",_xlfn.xlookup($C248,'Hiker Food'!$C:$C,'Hiker Food'!W:W))</f>
        <v/>
      </c>
      <c r="T248" s="80"/>
      <c r="AC248" s="60"/>
    </row>
    <row r="249">
      <c r="A249" s="52"/>
      <c r="B249" s="61"/>
      <c r="C249" s="54"/>
      <c r="D249" s="63">
        <v>1.0</v>
      </c>
      <c r="E249" s="81" t="str">
        <f t="array" ref="E249">if(C249="","",_xlfn.xlookup(C249,'Hiker Food'!$C:$C,'Hiker Food'!G:G)*D249)</f>
        <v/>
      </c>
      <c r="F249" s="64" t="str">
        <f t="array" ref="F249">if(C249="","",_xlfn.xlookup(C249,'Hiker Food'!$C:$C,'Hiker Food'!H:H)*D249)</f>
        <v/>
      </c>
      <c r="G249" s="64" t="str">
        <f t="array" ref="G249">if($C249="","",_xlfn.xlookup($C249,'Hiker Food'!$C:$C,'Hiker Food'!J:J)*$D249)</f>
        <v/>
      </c>
      <c r="H249" s="64" t="str">
        <f t="array" ref="H249">if($C249="","",_xlfn.xlookup($C249,'Hiker Food'!$C:$C,'Hiker Food'!K:K)*$D249)</f>
        <v/>
      </c>
      <c r="I249" s="64" t="str">
        <f t="array" ref="I249">if($C249="","",_xlfn.xlookup($C249,'Hiker Food'!$C:$C,'Hiker Food'!L:L)*$D249)</f>
        <v/>
      </c>
      <c r="J249" s="64" t="str">
        <f t="array" ref="J249">if($C249="","",_xlfn.xlookup($C249,'Hiker Food'!$C:$C,'Hiker Food'!M:M)*$D249)</f>
        <v/>
      </c>
      <c r="K249" s="64" t="str">
        <f t="array" ref="K249">if($C249="","",_xlfn.xlookup($C249,'Hiker Food'!$C:$C,'Hiker Food'!N:N)*$D249)</f>
        <v/>
      </c>
      <c r="L249" s="64" t="str">
        <f t="array" ref="L249">if($C249="","",_xlfn.xlookup($C249,'Hiker Food'!$C:$C,'Hiker Food'!O:O)*$D249)</f>
        <v/>
      </c>
      <c r="M249" s="64" t="str">
        <f t="array" ref="M249">if($C249="","",_xlfn.xlookup($C249,'Hiker Food'!$C:$C,'Hiker Food'!P:P)*$D249)</f>
        <v/>
      </c>
      <c r="N249" s="64" t="str">
        <f t="array" ref="N249">if($C249="","",_xlfn.xlookup($C249,'Hiker Food'!$C:$C,'Hiker Food'!Q:Q)*$D249)</f>
        <v/>
      </c>
      <c r="O249" s="64" t="str">
        <f t="array" ref="O249">if($C249="","",_xlfn.xlookup($C249,'Hiker Food'!$C:$C,'Hiker Food'!I:I)*$D249)</f>
        <v/>
      </c>
      <c r="P249" s="81" t="str">
        <f t="array" ref="P249">if($C249="","",_xlfn.xlookup($C249,'Hiker Food'!$C:$C,'Hiker Food'!T:T))</f>
        <v/>
      </c>
      <c r="Q249" s="82" t="str">
        <f t="array" ref="Q249">if($C249="","",_xlfn.xlookup($C249,'Hiker Food'!$C:$C,'Hiker Food'!U:U))</f>
        <v/>
      </c>
      <c r="R249" s="82" t="str">
        <f t="array" ref="R249">if($C249="","",_xlfn.xlookup($C249,'Hiker Food'!$C:$C,'Hiker Food'!V:V))</f>
        <v/>
      </c>
      <c r="S249" s="83" t="str">
        <f t="array" ref="S249">if($C249="","",_xlfn.xlookup($C249,'Hiker Food'!$C:$C,'Hiker Food'!W:W))</f>
        <v/>
      </c>
      <c r="T249" s="84"/>
      <c r="U249" s="66"/>
      <c r="V249" s="66"/>
      <c r="W249" s="66"/>
      <c r="X249" s="66"/>
      <c r="Y249" s="66"/>
      <c r="Z249" s="66"/>
      <c r="AA249" s="66"/>
      <c r="AB249" s="66"/>
      <c r="AC249" s="67"/>
    </row>
    <row r="250">
      <c r="A250" s="52"/>
      <c r="B250" s="68" t="s">
        <v>257</v>
      </c>
      <c r="C250" s="85"/>
      <c r="D250" s="70">
        <v>3.0</v>
      </c>
      <c r="E250" s="56" t="str">
        <f t="array" ref="E250">if(C250="","",_xlfn.xlookup(C250,'Hiker Food'!$C:$C,'Hiker Food'!G:G)*D250)</f>
        <v/>
      </c>
      <c r="F250" s="86" t="str">
        <f t="array" ref="F250">if(C250="","",_xlfn.xlookup(C250,'Hiker Food'!$C:$C,'Hiker Food'!H:H)*D250)</f>
        <v/>
      </c>
      <c r="G250" s="72" t="str">
        <f t="array" ref="G250">if($C250="","",_xlfn.xlookup($C250,'Hiker Food'!$C:$C,'Hiker Food'!J:J)*$D250)</f>
        <v/>
      </c>
      <c r="H250" s="72" t="str">
        <f t="array" ref="H250">if($C250="","",_xlfn.xlookup($C250,'Hiker Food'!$C:$C,'Hiker Food'!K:K)*$D250)</f>
        <v/>
      </c>
      <c r="I250" s="72" t="str">
        <f t="array" ref="I250">if($C250="","",_xlfn.xlookup($C250,'Hiker Food'!$C:$C,'Hiker Food'!L:L)*$D250)</f>
        <v/>
      </c>
      <c r="J250" s="72" t="str">
        <f t="array" ref="J250">if($C250="","",_xlfn.xlookup($C250,'Hiker Food'!$C:$C,'Hiker Food'!M:M)*$D250)</f>
        <v/>
      </c>
      <c r="K250" s="72" t="str">
        <f t="array" ref="K250">if($C250="","",_xlfn.xlookup($C250,'Hiker Food'!$C:$C,'Hiker Food'!N:N)*$D250)</f>
        <v/>
      </c>
      <c r="L250" s="72" t="str">
        <f t="array" ref="L250">if($C250="","",_xlfn.xlookup($C250,'Hiker Food'!$C:$C,'Hiker Food'!O:O)*$D250)</f>
        <v/>
      </c>
      <c r="M250" s="72" t="str">
        <f t="array" ref="M250">if($C250="","",_xlfn.xlookup($C250,'Hiker Food'!$C:$C,'Hiker Food'!P:P)*$D250)</f>
        <v/>
      </c>
      <c r="N250" s="72" t="str">
        <f t="array" ref="N250">if($C250="","",_xlfn.xlookup($C250,'Hiker Food'!$C:$C,'Hiker Food'!Q:Q)*$D250)</f>
        <v/>
      </c>
      <c r="O250" s="42" t="str">
        <f t="array" ref="O250">if($C250="","",_xlfn.xlookup($C250,'Hiker Food'!$C:$C,'Hiker Food'!I:I)*$D250)</f>
        <v/>
      </c>
      <c r="P250" s="56" t="str">
        <f t="array" ref="P250">if($C250="","",_xlfn.xlookup($C250,'Hiker Food'!$C:$C,'Hiker Food'!T:T))</f>
        <v/>
      </c>
      <c r="Q250" s="57" t="str">
        <f t="array" ref="Q250">if($C250="","",_xlfn.xlookup($C250,'Hiker Food'!$C:$C,'Hiker Food'!U:U))</f>
        <v/>
      </c>
      <c r="R250" s="57" t="str">
        <f t="array" ref="R250">if($C250="","",_xlfn.xlookup($C250,'Hiker Food'!$C:$C,'Hiker Food'!V:V))</f>
        <v/>
      </c>
      <c r="S250" s="58" t="str">
        <f t="array" ref="S250">if($C250="","",_xlfn.xlookup($C250,'Hiker Food'!$C:$C,'Hiker Food'!W:W))</f>
        <v/>
      </c>
      <c r="T250" s="87" t="s">
        <v>257</v>
      </c>
      <c r="U250" s="76" t="str">
        <f>if(C250="","",Y250/V250)</f>
        <v/>
      </c>
      <c r="V250" s="96" t="str">
        <f>if($C250="","",sum(E250:E252))</f>
        <v/>
      </c>
      <c r="W250" s="77" t="str">
        <f>if($C250="","",$Y250/X250)</f>
        <v/>
      </c>
      <c r="X250" s="96" t="str">
        <f>if($C250="","",sum(F250:F252))</f>
        <v/>
      </c>
      <c r="Y250" s="96" t="str">
        <f>if($C250="","",sum(O250:O252))</f>
        <v/>
      </c>
      <c r="Z250" s="77" t="str">
        <f>if($C250="","",(sum(J250:J252)/sum(N250:N252)))</f>
        <v/>
      </c>
      <c r="AA250" s="78" t="str">
        <f>if($C250="","",sum(G250:G252)*9/sum(sum(G250:G252)*9+sum(J250:J252)*4+sum(N250:N252)*4))</f>
        <v/>
      </c>
      <c r="AB250" s="78" t="str">
        <f>if($C250="","",sum(L250:L252)*4/sum(sum(G250:G252)*9+sum(J250:J252)*4+sum(N250:N252)*4))</f>
        <v/>
      </c>
      <c r="AC250" s="79" t="str">
        <f>if($C250="","",(sum(H250:H252)/sum(O250:O252)))</f>
        <v/>
      </c>
    </row>
    <row r="251">
      <c r="A251" s="52"/>
      <c r="B251" s="53"/>
      <c r="C251" s="88"/>
      <c r="D251" s="55">
        <v>3.0</v>
      </c>
      <c r="E251" s="56" t="str">
        <f t="array" ref="E251">if(C251="","",_xlfn.xlookup(C251,'Hiker Food'!$C:$C,'Hiker Food'!G:G)*D251)</f>
        <v/>
      </c>
      <c r="F251" s="86" t="str">
        <f t="array" ref="F251">if(C251="","",_xlfn.xlookup(C251,'Hiker Food'!$C:$C,'Hiker Food'!H:H)*D251)</f>
        <v/>
      </c>
      <c r="G251" s="42" t="str">
        <f t="array" ref="G251">if($C251="","",_xlfn.xlookup($C251,'Hiker Food'!$C:$C,'Hiker Food'!J:J)*$D251)</f>
        <v/>
      </c>
      <c r="H251" s="42" t="str">
        <f t="array" ref="H251">if($C251="","",_xlfn.xlookup($C251,'Hiker Food'!$C:$C,'Hiker Food'!K:K)*$D251)</f>
        <v/>
      </c>
      <c r="I251" s="42" t="str">
        <f t="array" ref="I251">if($C251="","",_xlfn.xlookup($C251,'Hiker Food'!$C:$C,'Hiker Food'!L:L)*$D251)</f>
        <v/>
      </c>
      <c r="J251" s="42" t="str">
        <f t="array" ref="J251">if($C251="","",_xlfn.xlookup($C251,'Hiker Food'!$C:$C,'Hiker Food'!M:M)*$D251)</f>
        <v/>
      </c>
      <c r="K251" s="42" t="str">
        <f t="array" ref="K251">if($C251="","",_xlfn.xlookup($C251,'Hiker Food'!$C:$C,'Hiker Food'!N:N)*$D251)</f>
        <v/>
      </c>
      <c r="L251" s="42" t="str">
        <f t="array" ref="L251">if($C251="","",_xlfn.xlookup($C251,'Hiker Food'!$C:$C,'Hiker Food'!O:O)*$D251)</f>
        <v/>
      </c>
      <c r="M251" s="42" t="str">
        <f t="array" ref="M251">if($C251="","",_xlfn.xlookup($C251,'Hiker Food'!$C:$C,'Hiker Food'!P:P)*$D251)</f>
        <v/>
      </c>
      <c r="N251" s="42" t="str">
        <f t="array" ref="N251">if($C251="","",_xlfn.xlookup($C251,'Hiker Food'!$C:$C,'Hiker Food'!Q:Q)*$D251)</f>
        <v/>
      </c>
      <c r="O251" s="42" t="str">
        <f t="array" ref="O251">if($C251="","",_xlfn.xlookup($C251,'Hiker Food'!$C:$C,'Hiker Food'!I:I)*$D251)</f>
        <v/>
      </c>
      <c r="P251" s="56" t="str">
        <f t="array" ref="P251">if($C251="","",_xlfn.xlookup($C251,'Hiker Food'!$C:$C,'Hiker Food'!T:T))</f>
        <v/>
      </c>
      <c r="Q251" s="57" t="str">
        <f t="array" ref="Q251">if($C251="","",_xlfn.xlookup($C251,'Hiker Food'!$C:$C,'Hiker Food'!U:U))</f>
        <v/>
      </c>
      <c r="R251" s="57" t="str">
        <f t="array" ref="R251">if($C251="","",_xlfn.xlookup($C251,'Hiker Food'!$C:$C,'Hiker Food'!V:V))</f>
        <v/>
      </c>
      <c r="S251" s="58" t="str">
        <f t="array" ref="S251">if($C251="","",_xlfn.xlookup($C251,'Hiker Food'!$C:$C,'Hiker Food'!W:W))</f>
        <v/>
      </c>
      <c r="T251" s="59"/>
      <c r="AC251" s="60"/>
    </row>
    <row r="252">
      <c r="A252" s="52"/>
      <c r="B252" s="61"/>
      <c r="C252" s="62"/>
      <c r="D252" s="63">
        <v>1.0</v>
      </c>
      <c r="E252" s="81" t="str">
        <f t="array" ref="E252">if(C252="","",_xlfn.xlookup(C252,'Hiker Food'!$C:$C,'Hiker Food'!G:G)*D252)</f>
        <v/>
      </c>
      <c r="F252" s="89" t="str">
        <f t="array" ref="F252">if(C252="","",_xlfn.xlookup(C252,'Hiker Food'!$C:$C,'Hiker Food'!H:H)*D252)</f>
        <v/>
      </c>
      <c r="G252" s="64" t="str">
        <f t="array" ref="G252">if($C252="","",_xlfn.xlookup($C252,'Hiker Food'!$C:$C,'Hiker Food'!J:J)*$D252)</f>
        <v/>
      </c>
      <c r="H252" s="64" t="str">
        <f t="array" ref="H252">if($C252="","",_xlfn.xlookup($C252,'Hiker Food'!$C:$C,'Hiker Food'!K:K)*$D252)</f>
        <v/>
      </c>
      <c r="I252" s="64" t="str">
        <f t="array" ref="I252">if($C252="","",_xlfn.xlookup($C252,'Hiker Food'!$C:$C,'Hiker Food'!L:L)*$D252)</f>
        <v/>
      </c>
      <c r="J252" s="64" t="str">
        <f t="array" ref="J252">if($C252="","",_xlfn.xlookup($C252,'Hiker Food'!$C:$C,'Hiker Food'!M:M)*$D252)</f>
        <v/>
      </c>
      <c r="K252" s="64" t="str">
        <f t="array" ref="K252">if($C252="","",_xlfn.xlookup($C252,'Hiker Food'!$C:$C,'Hiker Food'!N:N)*$D252)</f>
        <v/>
      </c>
      <c r="L252" s="64" t="str">
        <f t="array" ref="L252">if($C252="","",_xlfn.xlookup($C252,'Hiker Food'!$C:$C,'Hiker Food'!O:O)*$D252)</f>
        <v/>
      </c>
      <c r="M252" s="64" t="str">
        <f t="array" ref="M252">if($C252="","",_xlfn.xlookup($C252,'Hiker Food'!$C:$C,'Hiker Food'!P:P)*$D252)</f>
        <v/>
      </c>
      <c r="N252" s="64" t="str">
        <f t="array" ref="N252">if($C252="","",_xlfn.xlookup($C252,'Hiker Food'!$C:$C,'Hiker Food'!Q:Q)*$D252)</f>
        <v/>
      </c>
      <c r="O252" s="64" t="str">
        <f t="array" ref="O252">if($C252="","",_xlfn.xlookup($C252,'Hiker Food'!$C:$C,'Hiker Food'!I:I)*$D252)</f>
        <v/>
      </c>
      <c r="P252" s="81" t="str">
        <f t="array" ref="P252">if($C252="","",_xlfn.xlookup($C252,'Hiker Food'!$C:$C,'Hiker Food'!T:T))</f>
        <v/>
      </c>
      <c r="Q252" s="82" t="str">
        <f t="array" ref="Q252">if($C252="","",_xlfn.xlookup($C252,'Hiker Food'!$C:$C,'Hiker Food'!U:U))</f>
        <v/>
      </c>
      <c r="R252" s="82" t="str">
        <f t="array" ref="R252">if($C252="","",_xlfn.xlookup($C252,'Hiker Food'!$C:$C,'Hiker Food'!V:V))</f>
        <v/>
      </c>
      <c r="S252" s="83" t="str">
        <f t="array" ref="S252">if($C252="","",_xlfn.xlookup($C252,'Hiker Food'!$C:$C,'Hiker Food'!W:W))</f>
        <v/>
      </c>
      <c r="T252" s="65"/>
      <c r="U252" s="66"/>
      <c r="V252" s="66"/>
      <c r="W252" s="66"/>
      <c r="X252" s="66"/>
      <c r="Y252" s="66"/>
      <c r="Z252" s="66"/>
      <c r="AA252" s="66"/>
      <c r="AB252" s="66"/>
      <c r="AC252" s="67"/>
    </row>
    <row r="253">
      <c r="A253" s="52"/>
      <c r="B253" s="68" t="s">
        <v>314</v>
      </c>
      <c r="C253" s="90"/>
      <c r="D253" s="70">
        <v>1.0</v>
      </c>
      <c r="E253" s="71" t="str">
        <f t="array" ref="E253">if(C253="","",_xlfn.xlookup(C253,'Hiker Food'!$C:$C,'Hiker Food'!G:G)*D253)</f>
        <v/>
      </c>
      <c r="F253" s="42" t="str">
        <f t="array" ref="F253">if(C253="","",_xlfn.xlookup(C253,'Hiker Food'!$C:$C,'Hiker Food'!H:H)*D253)</f>
        <v/>
      </c>
      <c r="G253" s="72" t="str">
        <f t="array" ref="G253">if($C253="","",_xlfn.xlookup($C253,'Hiker Food'!$C:$C,'Hiker Food'!J:J)*$D253)</f>
        <v/>
      </c>
      <c r="H253" s="72" t="str">
        <f t="array" ref="H253">if($C253="","",_xlfn.xlookup($C253,'Hiker Food'!$C:$C,'Hiker Food'!K:K)*$D253)</f>
        <v/>
      </c>
      <c r="I253" s="72" t="str">
        <f t="array" ref="I253">if($C253="","",_xlfn.xlookup($C253,'Hiker Food'!$C:$C,'Hiker Food'!L:L)*$D253)</f>
        <v/>
      </c>
      <c r="J253" s="72" t="str">
        <f t="array" ref="J253">if($C253="","",_xlfn.xlookup($C253,'Hiker Food'!$C:$C,'Hiker Food'!M:M)*$D253)</f>
        <v/>
      </c>
      <c r="K253" s="72" t="str">
        <f t="array" ref="K253">if($C253="","",_xlfn.xlookup($C253,'Hiker Food'!$C:$C,'Hiker Food'!N:N)*$D253)</f>
        <v/>
      </c>
      <c r="L253" s="72" t="str">
        <f t="array" ref="L253">if($C253="","",_xlfn.xlookup($C253,'Hiker Food'!$C:$C,'Hiker Food'!O:O)*$D253)</f>
        <v/>
      </c>
      <c r="M253" s="72" t="str">
        <f t="array" ref="M253">if($C253="","",_xlfn.xlookup($C253,'Hiker Food'!$C:$C,'Hiker Food'!P:P)*$D253)</f>
        <v/>
      </c>
      <c r="N253" s="72" t="str">
        <f t="array" ref="N253">if($C253="","",_xlfn.xlookup($C253,'Hiker Food'!$C:$C,'Hiker Food'!Q:Q)*$D253)</f>
        <v/>
      </c>
      <c r="O253" s="72" t="str">
        <f t="array" ref="O253">if($C253="","",_xlfn.xlookup($C253,'Hiker Food'!$C:$C,'Hiker Food'!I:I)*$D253)</f>
        <v/>
      </c>
      <c r="P253" s="71" t="str">
        <f t="array" ref="P253">if($C253="","",_xlfn.xlookup($C253,'Hiker Food'!$C:$C,'Hiker Food'!T:T))</f>
        <v/>
      </c>
      <c r="Q253" s="73" t="str">
        <f t="array" ref="Q253">if($C253="","",_xlfn.xlookup($C253,'Hiker Food'!$C:$C,'Hiker Food'!U:U))</f>
        <v/>
      </c>
      <c r="R253" s="73" t="str">
        <f t="array" ref="R253">if($C253="","",_xlfn.xlookup($C253,'Hiker Food'!$C:$C,'Hiker Food'!V:V))</f>
        <v/>
      </c>
      <c r="S253" s="74" t="str">
        <f t="array" ref="S253">if($C253="","",_xlfn.xlookup($C253,'Hiker Food'!$C:$C,'Hiker Food'!W:W))</f>
        <v/>
      </c>
      <c r="T253" s="91" t="s">
        <v>314</v>
      </c>
      <c r="U253" s="76" t="str">
        <f>if(C253="","",Y253/V253)</f>
        <v/>
      </c>
      <c r="V253" s="96" t="str">
        <f>if($C253="","",sum(E253:E255))</f>
        <v/>
      </c>
      <c r="W253" s="77" t="str">
        <f>if($C253="","",$Y253/X253)</f>
        <v/>
      </c>
      <c r="X253" s="96" t="str">
        <f>if($C253="","",sum(F253:F255))</f>
        <v/>
      </c>
      <c r="Y253" s="96" t="str">
        <f>if($C253="","",sum(O253:O255))</f>
        <v/>
      </c>
      <c r="Z253" s="77" t="str">
        <f>if($C253="","",(sum(J253:J255)/sum(N253:N255)))</f>
        <v/>
      </c>
      <c r="AA253" s="78" t="str">
        <f>if($C253="","",sum(G253:G255)*9/sum(sum(G253:G255)*9+sum(J253:J255)*4+sum(N253:N255)*4))</f>
        <v/>
      </c>
      <c r="AB253" s="78" t="str">
        <f>if($C253="","",sum(L253:L255)*4/sum(sum(G253:G255)*9+sum(J253:J255)*4+sum(N253:N255)*4))</f>
        <v/>
      </c>
      <c r="AC253" s="79" t="str">
        <f>if($C253="","",(sum(H253:H255)/sum(O253:O255)))</f>
        <v/>
      </c>
    </row>
    <row r="254">
      <c r="A254" s="52"/>
      <c r="B254" s="53"/>
      <c r="C254" s="54"/>
      <c r="D254" s="55">
        <v>1.0</v>
      </c>
      <c r="E254" s="56" t="str">
        <f t="array" ref="E254">if(C254="","",_xlfn.xlookup(C254,'Hiker Food'!$C:$C,'Hiker Food'!G:G)*D254)</f>
        <v/>
      </c>
      <c r="F254" s="42" t="str">
        <f t="array" ref="F254">if(C254="","",_xlfn.xlookup(C254,'Hiker Food'!$C:$C,'Hiker Food'!H:H)*D254)</f>
        <v/>
      </c>
      <c r="G254" s="42" t="str">
        <f t="array" ref="G254">if($C254="","",_xlfn.xlookup($C254,'Hiker Food'!$C:$C,'Hiker Food'!J:J)*$D254)</f>
        <v/>
      </c>
      <c r="H254" s="42" t="str">
        <f t="array" ref="H254">if($C254="","",_xlfn.xlookup($C254,'Hiker Food'!$C:$C,'Hiker Food'!K:K)*$D254)</f>
        <v/>
      </c>
      <c r="I254" s="42" t="str">
        <f t="array" ref="I254">if($C254="","",_xlfn.xlookup($C254,'Hiker Food'!$C:$C,'Hiker Food'!L:L)*$D254)</f>
        <v/>
      </c>
      <c r="J254" s="42" t="str">
        <f t="array" ref="J254">if($C254="","",_xlfn.xlookup($C254,'Hiker Food'!$C:$C,'Hiker Food'!M:M)*$D254)</f>
        <v/>
      </c>
      <c r="K254" s="42" t="str">
        <f t="array" ref="K254">if($C254="","",_xlfn.xlookup($C254,'Hiker Food'!$C:$C,'Hiker Food'!N:N)*$D254)</f>
        <v/>
      </c>
      <c r="L254" s="42" t="str">
        <f t="array" ref="L254">if($C254="","",_xlfn.xlookup($C254,'Hiker Food'!$C:$C,'Hiker Food'!O:O)*$D254)</f>
        <v/>
      </c>
      <c r="M254" s="42" t="str">
        <f t="array" ref="M254">if($C254="","",_xlfn.xlookup($C254,'Hiker Food'!$C:$C,'Hiker Food'!P:P)*$D254)</f>
        <v/>
      </c>
      <c r="N254" s="42" t="str">
        <f t="array" ref="N254">if($C254="","",_xlfn.xlookup($C254,'Hiker Food'!$C:$C,'Hiker Food'!Q:Q)*$D254)</f>
        <v/>
      </c>
      <c r="O254" s="42" t="str">
        <f t="array" ref="O254">if($C254="","",_xlfn.xlookup($C254,'Hiker Food'!$C:$C,'Hiker Food'!I:I)*$D254)</f>
        <v/>
      </c>
      <c r="P254" s="56" t="str">
        <f t="array" ref="P254">if($C254="","",_xlfn.xlookup($C254,'Hiker Food'!$C:$C,'Hiker Food'!T:T))</f>
        <v/>
      </c>
      <c r="Q254" s="57" t="str">
        <f t="array" ref="Q254">if($C254="","",_xlfn.xlookup($C254,'Hiker Food'!$C:$C,'Hiker Food'!U:U))</f>
        <v/>
      </c>
      <c r="R254" s="57" t="str">
        <f t="array" ref="R254">if($C254="","",_xlfn.xlookup($C254,'Hiker Food'!$C:$C,'Hiker Food'!V:V))</f>
        <v/>
      </c>
      <c r="S254" s="58" t="str">
        <f t="array" ref="S254">if($C254="","",_xlfn.xlookup($C254,'Hiker Food'!$C:$C,'Hiker Food'!W:W))</f>
        <v/>
      </c>
      <c r="T254" s="59"/>
      <c r="AC254" s="60"/>
    </row>
    <row r="255">
      <c r="A255" s="52"/>
      <c r="B255" s="61"/>
      <c r="C255" s="62"/>
      <c r="D255" s="63">
        <v>1.0</v>
      </c>
      <c r="E255" s="81" t="str">
        <f t="array" ref="E255">if(C255="","",_xlfn.xlookup(C255,'Hiker Food'!$C:$C,'Hiker Food'!G:G)*D255)</f>
        <v/>
      </c>
      <c r="F255" s="64" t="str">
        <f t="array" ref="F255">if(C255="","",_xlfn.xlookup(C255,'Hiker Food'!$C:$C,'Hiker Food'!H:H)*D255)</f>
        <v/>
      </c>
      <c r="G255" s="64" t="str">
        <f t="array" ref="G255">if($C255="","",_xlfn.xlookup($C255,'Hiker Food'!$C:$C,'Hiker Food'!J:J)*$D255)</f>
        <v/>
      </c>
      <c r="H255" s="64" t="str">
        <f t="array" ref="H255">if($C255="","",_xlfn.xlookup($C255,'Hiker Food'!$C:$C,'Hiker Food'!K:K)*$D255)</f>
        <v/>
      </c>
      <c r="I255" s="64" t="str">
        <f t="array" ref="I255">if($C255="","",_xlfn.xlookup($C255,'Hiker Food'!$C:$C,'Hiker Food'!L:L)*$D255)</f>
        <v/>
      </c>
      <c r="J255" s="64" t="str">
        <f t="array" ref="J255">if($C255="","",_xlfn.xlookup($C255,'Hiker Food'!$C:$C,'Hiker Food'!M:M)*$D255)</f>
        <v/>
      </c>
      <c r="K255" s="64" t="str">
        <f t="array" ref="K255">if($C255="","",_xlfn.xlookup($C255,'Hiker Food'!$C:$C,'Hiker Food'!N:N)*$D255)</f>
        <v/>
      </c>
      <c r="L255" s="64" t="str">
        <f t="array" ref="L255">if($C255="","",_xlfn.xlookup($C255,'Hiker Food'!$C:$C,'Hiker Food'!O:O)*$D255)</f>
        <v/>
      </c>
      <c r="M255" s="64" t="str">
        <f t="array" ref="M255">if($C255="","",_xlfn.xlookup($C255,'Hiker Food'!$C:$C,'Hiker Food'!P:P)*$D255)</f>
        <v/>
      </c>
      <c r="N255" s="64" t="str">
        <f t="array" ref="N255">if($C255="","",_xlfn.xlookup($C255,'Hiker Food'!$C:$C,'Hiker Food'!Q:Q)*$D255)</f>
        <v/>
      </c>
      <c r="O255" s="64" t="str">
        <f t="array" ref="O255">if($C255="","",_xlfn.xlookup($C255,'Hiker Food'!$C:$C,'Hiker Food'!I:I)*$D255)</f>
        <v/>
      </c>
      <c r="P255" s="81" t="str">
        <f t="array" ref="P255">if($C255="","",_xlfn.xlookup($C255,'Hiker Food'!$C:$C,'Hiker Food'!T:T))</f>
        <v/>
      </c>
      <c r="Q255" s="82" t="str">
        <f t="array" ref="Q255">if($C255="","",_xlfn.xlookup($C255,'Hiker Food'!$C:$C,'Hiker Food'!U:U))</f>
        <v/>
      </c>
      <c r="R255" s="82" t="str">
        <f t="array" ref="R255">if($C255="","",_xlfn.xlookup($C255,'Hiker Food'!$C:$C,'Hiker Food'!V:V))</f>
        <v/>
      </c>
      <c r="S255" s="83" t="str">
        <f t="array" ref="S255">if($C255="","",_xlfn.xlookup($C255,'Hiker Food'!$C:$C,'Hiker Food'!W:W))</f>
        <v/>
      </c>
      <c r="T255" s="65"/>
      <c r="U255" s="66"/>
      <c r="V255" s="66"/>
      <c r="W255" s="66"/>
      <c r="X255" s="66"/>
      <c r="Y255" s="66"/>
      <c r="Z255" s="66"/>
      <c r="AA255" s="66"/>
      <c r="AB255" s="66"/>
      <c r="AC255" s="67"/>
    </row>
    <row r="256">
      <c r="A256" s="52"/>
      <c r="B256" s="68" t="s">
        <v>366</v>
      </c>
      <c r="C256" s="90"/>
      <c r="D256" s="70">
        <v>1.0</v>
      </c>
      <c r="E256" s="71" t="str">
        <f t="array" ref="E256">if(C256="","",_xlfn.xlookup(C256,'Hiker Food'!$C:$C,'Hiker Food'!G:G)*D256)</f>
        <v/>
      </c>
      <c r="F256" s="42" t="str">
        <f t="array" ref="F256">if(C256="","",_xlfn.xlookup(C256,'Hiker Food'!$C:$C,'Hiker Food'!H:H)*D256)</f>
        <v/>
      </c>
      <c r="G256" s="72" t="str">
        <f t="array" ref="G256">if($C256="","",_xlfn.xlookup($C256,'Hiker Food'!$C:$C,'Hiker Food'!J:J)*$D256)</f>
        <v/>
      </c>
      <c r="H256" s="72" t="str">
        <f t="array" ref="H256">if($C256="","",_xlfn.xlookup($C256,'Hiker Food'!$C:$C,'Hiker Food'!K:K)*$D256)</f>
        <v/>
      </c>
      <c r="I256" s="72" t="str">
        <f t="array" ref="I256">if($C256="","",_xlfn.xlookup($C256,'Hiker Food'!$C:$C,'Hiker Food'!L:L)*$D256)</f>
        <v/>
      </c>
      <c r="J256" s="72" t="str">
        <f t="array" ref="J256">if($C256="","",_xlfn.xlookup($C256,'Hiker Food'!$C:$C,'Hiker Food'!M:M)*$D256)</f>
        <v/>
      </c>
      <c r="K256" s="72" t="str">
        <f t="array" ref="K256">if($C256="","",_xlfn.xlookup($C256,'Hiker Food'!$C:$C,'Hiker Food'!N:N)*$D256)</f>
        <v/>
      </c>
      <c r="L256" s="72" t="str">
        <f t="array" ref="L256">if($C256="","",_xlfn.xlookup($C256,'Hiker Food'!$C:$C,'Hiker Food'!O:O)*$D256)</f>
        <v/>
      </c>
      <c r="M256" s="72" t="str">
        <f t="array" ref="M256">if($C256="","",_xlfn.xlookup($C256,'Hiker Food'!$C:$C,'Hiker Food'!P:P)*$D256)</f>
        <v/>
      </c>
      <c r="N256" s="72" t="str">
        <f t="array" ref="N256">if($C256="","",_xlfn.xlookup($C256,'Hiker Food'!$C:$C,'Hiker Food'!Q:Q)*$D256)</f>
        <v/>
      </c>
      <c r="O256" s="72" t="str">
        <f t="array" ref="O256">if($C256="","",_xlfn.xlookup($C256,'Hiker Food'!$C:$C,'Hiker Food'!I:I)*$D256)</f>
        <v/>
      </c>
      <c r="P256" s="71" t="str">
        <f t="array" ref="P256">if($C256="","",_xlfn.xlookup($C256,'Hiker Food'!$C:$C,'Hiker Food'!T:T))</f>
        <v/>
      </c>
      <c r="Q256" s="73" t="str">
        <f t="array" ref="Q256">if($C256="","",_xlfn.xlookup($C256,'Hiker Food'!$C:$C,'Hiker Food'!U:U))</f>
        <v/>
      </c>
      <c r="R256" s="73" t="str">
        <f t="array" ref="R256">if($C256="","",_xlfn.xlookup($C256,'Hiker Food'!$C:$C,'Hiker Food'!V:V))</f>
        <v/>
      </c>
      <c r="S256" s="74" t="str">
        <f t="array" ref="S256">if($C256="","",_xlfn.xlookup($C256,'Hiker Food'!$C:$C,'Hiker Food'!W:W))</f>
        <v/>
      </c>
      <c r="T256" s="87" t="s">
        <v>366</v>
      </c>
      <c r="U256" s="76" t="str">
        <f>if(C256="","",Y256/V256)</f>
        <v/>
      </c>
      <c r="V256" s="96" t="str">
        <f>if($C256="","",sum(E256:E258))</f>
        <v/>
      </c>
      <c r="W256" s="77" t="str">
        <f>if($C256="","",$Y256/X256)</f>
        <v/>
      </c>
      <c r="X256" s="96" t="str">
        <f>if($C256="","",sum(F256:F258))</f>
        <v/>
      </c>
      <c r="Y256" s="96" t="str">
        <f>if($C256="","",sum(O256:O258))</f>
        <v/>
      </c>
      <c r="Z256" s="77" t="str">
        <f>if($C256="","",(sum(J256:J258)/sum(N256:N258)))</f>
        <v/>
      </c>
      <c r="AA256" s="78" t="str">
        <f>if($C256="","",sum(G256:G258)*9/sum(sum(G256:G258)*9+sum(J256:J258)*4+sum(N256:N258)*4))</f>
        <v/>
      </c>
      <c r="AB256" s="78" t="str">
        <f>if($C256="","",sum(L256:L258)*4/sum(sum(G256:G258)*9+sum(J256:J258)*4+sum(N256:N258)*4))</f>
        <v/>
      </c>
      <c r="AC256" s="79" t="str">
        <f>if($C256="","",(sum(H256:H258)/sum(O256:O258)))</f>
        <v/>
      </c>
    </row>
    <row r="257">
      <c r="A257" s="52"/>
      <c r="B257" s="53"/>
      <c r="C257" s="93"/>
      <c r="D257" s="55">
        <v>1.0</v>
      </c>
      <c r="E257" s="56" t="str">
        <f t="array" ref="E257">if(C257="","",_xlfn.xlookup(C257,'Hiker Food'!$C:$C,'Hiker Food'!G:G)*D257)</f>
        <v/>
      </c>
      <c r="F257" s="42" t="str">
        <f t="array" ref="F257">if(C257="","",_xlfn.xlookup(C257,'Hiker Food'!$C:$C,'Hiker Food'!H:H)*D257)</f>
        <v/>
      </c>
      <c r="G257" s="42" t="str">
        <f t="array" ref="G257">if($C257="","",_xlfn.xlookup($C257,'Hiker Food'!$C:$C,'Hiker Food'!J:J)*$D257)</f>
        <v/>
      </c>
      <c r="H257" s="42" t="str">
        <f t="array" ref="H257">if($C257="","",_xlfn.xlookup($C257,'Hiker Food'!$C:$C,'Hiker Food'!K:K)*$D257)</f>
        <v/>
      </c>
      <c r="I257" s="42" t="str">
        <f t="array" ref="I257">if($C257="","",_xlfn.xlookup($C257,'Hiker Food'!$C:$C,'Hiker Food'!L:L)*$D257)</f>
        <v/>
      </c>
      <c r="J257" s="42" t="str">
        <f t="array" ref="J257">if($C257="","",_xlfn.xlookup($C257,'Hiker Food'!$C:$C,'Hiker Food'!M:M)*$D257)</f>
        <v/>
      </c>
      <c r="K257" s="42" t="str">
        <f t="array" ref="K257">if($C257="","",_xlfn.xlookup($C257,'Hiker Food'!$C:$C,'Hiker Food'!N:N)*$D257)</f>
        <v/>
      </c>
      <c r="L257" s="42" t="str">
        <f t="array" ref="L257">if($C257="","",_xlfn.xlookup($C257,'Hiker Food'!$C:$C,'Hiker Food'!O:O)*$D257)</f>
        <v/>
      </c>
      <c r="M257" s="42" t="str">
        <f t="array" ref="M257">if($C257="","",_xlfn.xlookup($C257,'Hiker Food'!$C:$C,'Hiker Food'!P:P)*$D257)</f>
        <v/>
      </c>
      <c r="N257" s="42" t="str">
        <f t="array" ref="N257">if($C257="","",_xlfn.xlookup($C257,'Hiker Food'!$C:$C,'Hiker Food'!Q:Q)*$D257)</f>
        <v/>
      </c>
      <c r="O257" s="42" t="str">
        <f t="array" ref="O257">if($C257="","",_xlfn.xlookup($C257,'Hiker Food'!$C:$C,'Hiker Food'!I:I)*$D257)</f>
        <v/>
      </c>
      <c r="P257" s="56" t="str">
        <f t="array" ref="P257">if($C257="","",_xlfn.xlookup($C257,'Hiker Food'!$C:$C,'Hiker Food'!T:T))</f>
        <v/>
      </c>
      <c r="Q257" s="57" t="str">
        <f t="array" ref="Q257">if($C257="","",_xlfn.xlookup($C257,'Hiker Food'!$C:$C,'Hiker Food'!U:U))</f>
        <v/>
      </c>
      <c r="R257" s="57" t="str">
        <f t="array" ref="R257">if($C257="","",_xlfn.xlookup($C257,'Hiker Food'!$C:$C,'Hiker Food'!V:V))</f>
        <v/>
      </c>
      <c r="S257" s="58" t="str">
        <f t="array" ref="S257">if($C257="","",_xlfn.xlookup($C257,'Hiker Food'!$C:$C,'Hiker Food'!W:W))</f>
        <v/>
      </c>
      <c r="T257" s="59"/>
      <c r="AC257" s="60"/>
    </row>
    <row r="258">
      <c r="A258" s="52"/>
      <c r="B258" s="61"/>
      <c r="C258" s="54"/>
      <c r="D258" s="63">
        <v>1.0</v>
      </c>
      <c r="E258" s="81" t="str">
        <f t="array" ref="E258">if(C258="","",_xlfn.xlookup(C258,'Hiker Food'!$C:$C,'Hiker Food'!G:G)*D258)</f>
        <v/>
      </c>
      <c r="F258" s="64" t="str">
        <f t="array" ref="F258">if(C258="","",_xlfn.xlookup(C258,'Hiker Food'!$C:$C,'Hiker Food'!H:H)*D258)</f>
        <v/>
      </c>
      <c r="G258" s="64" t="str">
        <f t="array" ref="G258">if($C258="","",_xlfn.xlookup($C258,'Hiker Food'!$C:$C,'Hiker Food'!J:J)*$D258)</f>
        <v/>
      </c>
      <c r="H258" s="64" t="str">
        <f t="array" ref="H258">if($C258="","",_xlfn.xlookup($C258,'Hiker Food'!$C:$C,'Hiker Food'!K:K)*$D258)</f>
        <v/>
      </c>
      <c r="I258" s="64" t="str">
        <f t="array" ref="I258">if($C258="","",_xlfn.xlookup($C258,'Hiker Food'!$C:$C,'Hiker Food'!L:L)*$D258)</f>
        <v/>
      </c>
      <c r="J258" s="64" t="str">
        <f t="array" ref="J258">if($C258="","",_xlfn.xlookup($C258,'Hiker Food'!$C:$C,'Hiker Food'!M:M)*$D258)</f>
        <v/>
      </c>
      <c r="K258" s="64" t="str">
        <f t="array" ref="K258">if($C258="","",_xlfn.xlookup($C258,'Hiker Food'!$C:$C,'Hiker Food'!N:N)*$D258)</f>
        <v/>
      </c>
      <c r="L258" s="64" t="str">
        <f t="array" ref="L258">if($C258="","",_xlfn.xlookup($C258,'Hiker Food'!$C:$C,'Hiker Food'!O:O)*$D258)</f>
        <v/>
      </c>
      <c r="M258" s="64" t="str">
        <f t="array" ref="M258">if($C258="","",_xlfn.xlookup($C258,'Hiker Food'!$C:$C,'Hiker Food'!P:P)*$D258)</f>
        <v/>
      </c>
      <c r="N258" s="64" t="str">
        <f t="array" ref="N258">if($C258="","",_xlfn.xlookup($C258,'Hiker Food'!$C:$C,'Hiker Food'!Q:Q)*$D258)</f>
        <v/>
      </c>
      <c r="O258" s="64" t="str">
        <f t="array" ref="O258">if($C258="","",_xlfn.xlookup($C258,'Hiker Food'!$C:$C,'Hiker Food'!I:I)*$D258)</f>
        <v/>
      </c>
      <c r="P258" s="81" t="str">
        <f t="array" ref="P258">if($C258="","",_xlfn.xlookup($C258,'Hiker Food'!$C:$C,'Hiker Food'!T:T))</f>
        <v/>
      </c>
      <c r="Q258" s="82" t="str">
        <f t="array" ref="Q258">if($C258="","",_xlfn.xlookup($C258,'Hiker Food'!$C:$C,'Hiker Food'!U:U))</f>
        <v/>
      </c>
      <c r="R258" s="82" t="str">
        <f t="array" ref="R258">if($C258="","",_xlfn.xlookup($C258,'Hiker Food'!$C:$C,'Hiker Food'!V:V))</f>
        <v/>
      </c>
      <c r="S258" s="83" t="str">
        <f t="array" ref="S258">if($C258="","",_xlfn.xlookup($C258,'Hiker Food'!$C:$C,'Hiker Food'!W:W))</f>
        <v/>
      </c>
      <c r="T258" s="65"/>
      <c r="U258" s="66"/>
      <c r="V258" s="66"/>
      <c r="W258" s="66"/>
      <c r="X258" s="66"/>
      <c r="Y258" s="66"/>
      <c r="Z258" s="66"/>
      <c r="AA258" s="66"/>
      <c r="AB258" s="66"/>
      <c r="AC258" s="67"/>
    </row>
    <row r="259">
      <c r="A259" s="52"/>
      <c r="B259" s="94" t="s">
        <v>424</v>
      </c>
      <c r="C259" s="90"/>
      <c r="D259" s="70">
        <v>1.0</v>
      </c>
      <c r="E259" s="71" t="str">
        <f t="array" ref="E259">if(C259="","",_xlfn.xlookup(C259,'Hiker Food'!$C:$C,'Hiker Food'!G:G)*D259)</f>
        <v/>
      </c>
      <c r="F259" s="42" t="str">
        <f t="array" ref="F259">if(C259="","",_xlfn.xlookup(C259,'Hiker Food'!$C:$C,'Hiker Food'!H:H)*D259)</f>
        <v/>
      </c>
      <c r="G259" s="72" t="str">
        <f t="array" ref="G259">if($C259="","",_xlfn.xlookup($C259,'Hiker Food'!$C:$C,'Hiker Food'!J:J)*$D259)</f>
        <v/>
      </c>
      <c r="H259" s="72" t="str">
        <f t="array" ref="H259">if($C259="","",_xlfn.xlookup($C259,'Hiker Food'!$C:$C,'Hiker Food'!K:K)*$D259)</f>
        <v/>
      </c>
      <c r="I259" s="72" t="str">
        <f t="array" ref="I259">if($C259="","",_xlfn.xlookup($C259,'Hiker Food'!$C:$C,'Hiker Food'!L:L)*$D259)</f>
        <v/>
      </c>
      <c r="J259" s="72" t="str">
        <f t="array" ref="J259">if($C259="","",_xlfn.xlookup($C259,'Hiker Food'!$C:$C,'Hiker Food'!M:M)*$D259)</f>
        <v/>
      </c>
      <c r="K259" s="72" t="str">
        <f t="array" ref="K259">if($C259="","",_xlfn.xlookup($C259,'Hiker Food'!$C:$C,'Hiker Food'!N:N)*$D259)</f>
        <v/>
      </c>
      <c r="L259" s="72" t="str">
        <f t="array" ref="L259">if($C259="","",_xlfn.xlookup($C259,'Hiker Food'!$C:$C,'Hiker Food'!O:O)*$D259)</f>
        <v/>
      </c>
      <c r="M259" s="72" t="str">
        <f t="array" ref="M259">if($C259="","",_xlfn.xlookup($C259,'Hiker Food'!$C:$C,'Hiker Food'!P:P)*$D259)</f>
        <v/>
      </c>
      <c r="N259" s="72" t="str">
        <f t="array" ref="N259">if($C259="","",_xlfn.xlookup($C259,'Hiker Food'!$C:$C,'Hiker Food'!Q:Q)*$D259)</f>
        <v/>
      </c>
      <c r="O259" s="72" t="str">
        <f t="array" ref="O259">if($C259="","",_xlfn.xlookup($C259,'Hiker Food'!$C:$C,'Hiker Food'!I:I)*$D259)</f>
        <v/>
      </c>
      <c r="P259" s="71" t="str">
        <f t="array" ref="P259">if($C259="","",_xlfn.xlookup($C259,'Hiker Food'!$C:$C,'Hiker Food'!T:T))</f>
        <v/>
      </c>
      <c r="Q259" s="73" t="str">
        <f t="array" ref="Q259">if($C259="","",_xlfn.xlookup($C259,'Hiker Food'!$C:$C,'Hiker Food'!U:U))</f>
        <v/>
      </c>
      <c r="R259" s="73" t="str">
        <f t="array" ref="R259">if($C259="","",_xlfn.xlookup($C259,'Hiker Food'!$C:$C,'Hiker Food'!V:V))</f>
        <v/>
      </c>
      <c r="S259" s="74" t="str">
        <f t="array" ref="S259">if($C259="","",_xlfn.xlookup($C259,'Hiker Food'!$C:$C,'Hiker Food'!W:W))</f>
        <v/>
      </c>
      <c r="T259" s="95" t="s">
        <v>424</v>
      </c>
      <c r="U259" s="76" t="str">
        <f>if(C259="","",Y259/V259)</f>
        <v/>
      </c>
      <c r="V259" s="96" t="str">
        <f>if($C259="","",sum(E259:E261))</f>
        <v/>
      </c>
      <c r="W259" s="77" t="str">
        <f>if($C259="","",$Y259/X259)</f>
        <v/>
      </c>
      <c r="X259" s="96" t="str">
        <f>if($C259="","",sum(F259:F261))</f>
        <v/>
      </c>
      <c r="Y259" s="96" t="str">
        <f>if($C259="","",sum(O259:O261))</f>
        <v/>
      </c>
      <c r="Z259" s="77" t="str">
        <f>if($C259="","",(sum(J259:J261)/sum(N259:N261)))</f>
        <v/>
      </c>
      <c r="AA259" s="78" t="str">
        <f>if($C259="","",sum(G259:G261)*9/sum(sum(G259:G261)*9+sum(J259:J261)*4+sum(N259:N261)*4))</f>
        <v/>
      </c>
      <c r="AB259" s="78" t="str">
        <f>if($C259="","",sum(L259:L261)*4/sum(sum(G259:G261)*9+sum(J259:J261)*4+sum(N259:N261)*4))</f>
        <v/>
      </c>
      <c r="AC259" s="79" t="str">
        <f>if($C259="","",(sum(H259:H261)/sum(O259:O261)))</f>
        <v/>
      </c>
    </row>
    <row r="260">
      <c r="A260" s="52"/>
      <c r="B260" s="53"/>
      <c r="C260" s="54"/>
      <c r="D260" s="55">
        <v>1.0</v>
      </c>
      <c r="E260" s="56" t="str">
        <f t="array" ref="E260">if(C260="","",_xlfn.xlookup(C260,'Hiker Food'!$C:$C,'Hiker Food'!G:G)*D260)</f>
        <v/>
      </c>
      <c r="F260" s="42" t="str">
        <f t="array" ref="F260">if(C260="","",_xlfn.xlookup(C260,'Hiker Food'!$C:$C,'Hiker Food'!H:H)*D260)</f>
        <v/>
      </c>
      <c r="G260" s="42" t="str">
        <f t="array" ref="G260">if($C260="","",_xlfn.xlookup($C260,'Hiker Food'!$C:$C,'Hiker Food'!J:J)*$D260)</f>
        <v/>
      </c>
      <c r="H260" s="42" t="str">
        <f t="array" ref="H260">if($C260="","",_xlfn.xlookup($C260,'Hiker Food'!$C:$C,'Hiker Food'!K:K)*$D260)</f>
        <v/>
      </c>
      <c r="I260" s="42" t="str">
        <f t="array" ref="I260">if($C260="","",_xlfn.xlookup($C260,'Hiker Food'!$C:$C,'Hiker Food'!L:L)*$D260)</f>
        <v/>
      </c>
      <c r="J260" s="42" t="str">
        <f t="array" ref="J260">if($C260="","",_xlfn.xlookup($C260,'Hiker Food'!$C:$C,'Hiker Food'!M:M)*$D260)</f>
        <v/>
      </c>
      <c r="K260" s="42" t="str">
        <f t="array" ref="K260">if($C260="","",_xlfn.xlookup($C260,'Hiker Food'!$C:$C,'Hiker Food'!N:N)*$D260)</f>
        <v/>
      </c>
      <c r="L260" s="42" t="str">
        <f t="array" ref="L260">if($C260="","",_xlfn.xlookup($C260,'Hiker Food'!$C:$C,'Hiker Food'!O:O)*$D260)</f>
        <v/>
      </c>
      <c r="M260" s="42" t="str">
        <f t="array" ref="M260">if($C260="","",_xlfn.xlookup($C260,'Hiker Food'!$C:$C,'Hiker Food'!P:P)*$D260)</f>
        <v/>
      </c>
      <c r="N260" s="42" t="str">
        <f t="array" ref="N260">if($C260="","",_xlfn.xlookup($C260,'Hiker Food'!$C:$C,'Hiker Food'!Q:Q)*$D260)</f>
        <v/>
      </c>
      <c r="O260" s="42" t="str">
        <f t="array" ref="O260">if($C260="","",_xlfn.xlookup($C260,'Hiker Food'!$C:$C,'Hiker Food'!I:I)*$D260)</f>
        <v/>
      </c>
      <c r="P260" s="56" t="str">
        <f t="array" ref="P260">if($C260="","",_xlfn.xlookup($C260,'Hiker Food'!$C:$C,'Hiker Food'!T:T))</f>
        <v/>
      </c>
      <c r="Q260" s="57" t="str">
        <f t="array" ref="Q260">if($C260="","",_xlfn.xlookup($C260,'Hiker Food'!$C:$C,'Hiker Food'!U:U))</f>
        <v/>
      </c>
      <c r="R260" s="57" t="str">
        <f t="array" ref="R260">if($C260="","",_xlfn.xlookup($C260,'Hiker Food'!$C:$C,'Hiker Food'!V:V))</f>
        <v/>
      </c>
      <c r="S260" s="58" t="str">
        <f t="array" ref="S260">if($C260="","",_xlfn.xlookup($C260,'Hiker Food'!$C:$C,'Hiker Food'!W:W))</f>
        <v/>
      </c>
      <c r="T260" s="59"/>
      <c r="AC260" s="60"/>
    </row>
    <row r="261">
      <c r="A261" s="52"/>
      <c r="B261" s="61"/>
      <c r="C261" s="54"/>
      <c r="D261" s="63">
        <v>1.0</v>
      </c>
      <c r="E261" s="81" t="str">
        <f t="array" ref="E261">if(C261="","",_xlfn.xlookup(C261,'Hiker Food'!$C:$C,'Hiker Food'!G:G)*D261)</f>
        <v/>
      </c>
      <c r="F261" s="64" t="str">
        <f t="array" ref="F261">if(C261="","",_xlfn.xlookup(C261,'Hiker Food'!$C:$C,'Hiker Food'!H:H)*D261)</f>
        <v/>
      </c>
      <c r="G261" s="64" t="str">
        <f t="array" ref="G261">if($C261="","",_xlfn.xlookup($C261,'Hiker Food'!$C:$C,'Hiker Food'!J:J)*$D261)</f>
        <v/>
      </c>
      <c r="H261" s="64" t="str">
        <f t="array" ref="H261">if($C261="","",_xlfn.xlookup($C261,'Hiker Food'!$C:$C,'Hiker Food'!K:K)*$D261)</f>
        <v/>
      </c>
      <c r="I261" s="64" t="str">
        <f t="array" ref="I261">if($C261="","",_xlfn.xlookup($C261,'Hiker Food'!$C:$C,'Hiker Food'!L:L)*$D261)</f>
        <v/>
      </c>
      <c r="J261" s="64" t="str">
        <f t="array" ref="J261">if($C261="","",_xlfn.xlookup($C261,'Hiker Food'!$C:$C,'Hiker Food'!M:M)*$D261)</f>
        <v/>
      </c>
      <c r="K261" s="64" t="str">
        <f t="array" ref="K261">if($C261="","",_xlfn.xlookup($C261,'Hiker Food'!$C:$C,'Hiker Food'!N:N)*$D261)</f>
        <v/>
      </c>
      <c r="L261" s="64" t="str">
        <f t="array" ref="L261">if($C261="","",_xlfn.xlookup($C261,'Hiker Food'!$C:$C,'Hiker Food'!O:O)*$D261)</f>
        <v/>
      </c>
      <c r="M261" s="64" t="str">
        <f t="array" ref="M261">if($C261="","",_xlfn.xlookup($C261,'Hiker Food'!$C:$C,'Hiker Food'!P:P)*$D261)</f>
        <v/>
      </c>
      <c r="N261" s="64" t="str">
        <f t="array" ref="N261">if($C261="","",_xlfn.xlookup($C261,'Hiker Food'!$C:$C,'Hiker Food'!Q:Q)*$D261)</f>
        <v/>
      </c>
      <c r="O261" s="64" t="str">
        <f t="array" ref="O261">if($C261="","",_xlfn.xlookup($C261,'Hiker Food'!$C:$C,'Hiker Food'!I:I)*$D261)</f>
        <v/>
      </c>
      <c r="P261" s="81" t="str">
        <f t="array" ref="P261">if($C261="","",_xlfn.xlookup($C261,'Hiker Food'!$C:$C,'Hiker Food'!T:T))</f>
        <v/>
      </c>
      <c r="Q261" s="82" t="str">
        <f t="array" ref="Q261">if($C261="","",_xlfn.xlookup($C261,'Hiker Food'!$C:$C,'Hiker Food'!U:U))</f>
        <v/>
      </c>
      <c r="R261" s="82" t="str">
        <f t="array" ref="R261">if($C261="","",_xlfn.xlookup($C261,'Hiker Food'!$C:$C,'Hiker Food'!V:V))</f>
        <v/>
      </c>
      <c r="S261" s="83" t="str">
        <f t="array" ref="S261">if($C261="","",_xlfn.xlookup($C261,'Hiker Food'!$C:$C,'Hiker Food'!W:W))</f>
        <v/>
      </c>
      <c r="T261" s="65"/>
      <c r="U261" s="66"/>
      <c r="V261" s="66"/>
      <c r="W261" s="66"/>
      <c r="X261" s="66"/>
      <c r="Y261" s="66"/>
      <c r="Z261" s="66"/>
      <c r="AA261" s="66"/>
      <c r="AB261" s="66"/>
      <c r="AC261" s="67"/>
    </row>
    <row r="262">
      <c r="A262" s="52"/>
      <c r="B262" s="94" t="s">
        <v>478</v>
      </c>
      <c r="C262" s="90"/>
      <c r="D262" s="70">
        <v>1.0</v>
      </c>
      <c r="E262" s="71" t="str">
        <f t="array" ref="E262">if(C262="","",_xlfn.xlookup(C262,'Hiker Food'!$C:$C,'Hiker Food'!G:G)*D262)</f>
        <v/>
      </c>
      <c r="F262" s="42" t="str">
        <f t="array" ref="F262">if(C262="","",_xlfn.xlookup(C262,'Hiker Food'!$C:$C,'Hiker Food'!H:H)*D262)</f>
        <v/>
      </c>
      <c r="G262" s="72" t="str">
        <f t="array" ref="G262">if($C262="","",_xlfn.xlookup($C262,'Hiker Food'!$C:$C,'Hiker Food'!J:J)*$D262)</f>
        <v/>
      </c>
      <c r="H262" s="72" t="str">
        <f t="array" ref="H262">if($C262="","",_xlfn.xlookup($C262,'Hiker Food'!$C:$C,'Hiker Food'!K:K)*$D262)</f>
        <v/>
      </c>
      <c r="I262" s="72" t="str">
        <f t="array" ref="I262">if($C262="","",_xlfn.xlookup($C262,'Hiker Food'!$C:$C,'Hiker Food'!L:L)*$D262)</f>
        <v/>
      </c>
      <c r="J262" s="72" t="str">
        <f t="array" ref="J262">if($C262="","",_xlfn.xlookup($C262,'Hiker Food'!$C:$C,'Hiker Food'!M:M)*$D262)</f>
        <v/>
      </c>
      <c r="K262" s="72" t="str">
        <f t="array" ref="K262">if($C262="","",_xlfn.xlookup($C262,'Hiker Food'!$C:$C,'Hiker Food'!N:N)*$D262)</f>
        <v/>
      </c>
      <c r="L262" s="72" t="str">
        <f t="array" ref="L262">if($C262="","",_xlfn.xlookup($C262,'Hiker Food'!$C:$C,'Hiker Food'!O:O)*$D262)</f>
        <v/>
      </c>
      <c r="M262" s="72" t="str">
        <f t="array" ref="M262">if($C262="","",_xlfn.xlookup($C262,'Hiker Food'!$C:$C,'Hiker Food'!P:P)*$D262)</f>
        <v/>
      </c>
      <c r="N262" s="72" t="str">
        <f t="array" ref="N262">if($C262="","",_xlfn.xlookup($C262,'Hiker Food'!$C:$C,'Hiker Food'!Q:Q)*$D262)</f>
        <v/>
      </c>
      <c r="O262" s="72" t="str">
        <f t="array" ref="O262">if($C262="","",_xlfn.xlookup($C262,'Hiker Food'!$C:$C,'Hiker Food'!I:I)*$D262)</f>
        <v/>
      </c>
      <c r="P262" s="71" t="str">
        <f t="array" ref="P262">if($C262="","",_xlfn.xlookup($C262,'Hiker Food'!$C:$C,'Hiker Food'!T:T))</f>
        <v/>
      </c>
      <c r="Q262" s="73" t="str">
        <f t="array" ref="Q262">if($C262="","",_xlfn.xlookup($C262,'Hiker Food'!$C:$C,'Hiker Food'!U:U))</f>
        <v/>
      </c>
      <c r="R262" s="73" t="str">
        <f t="array" ref="R262">if($C262="","",_xlfn.xlookup($C262,'Hiker Food'!$C:$C,'Hiker Food'!V:V))</f>
        <v/>
      </c>
      <c r="S262" s="74" t="str">
        <f t="array" ref="S262">if($C262="","",_xlfn.xlookup($C262,'Hiker Food'!$C:$C,'Hiker Food'!W:W))</f>
        <v/>
      </c>
      <c r="T262" s="95" t="s">
        <v>478</v>
      </c>
      <c r="U262" s="76" t="str">
        <f>if(C262="","",Y262/V262)</f>
        <v/>
      </c>
      <c r="V262" s="96" t="str">
        <f>if($C262="","",sum(E262:E264))</f>
        <v/>
      </c>
      <c r="W262" s="77" t="str">
        <f>if($C262="","",$Y262/X262)</f>
        <v/>
      </c>
      <c r="X262" s="96" t="str">
        <f>if($C262="","",sum(F262:F264))</f>
        <v/>
      </c>
      <c r="Y262" s="96" t="str">
        <f>if($C262="","",sum(O262:O264))</f>
        <v/>
      </c>
      <c r="Z262" s="77" t="str">
        <f>if($C262="","",(sum(J262:J264)/sum(N262:N264)))</f>
        <v/>
      </c>
      <c r="AA262" s="78" t="str">
        <f>if($C262="","",sum(G262:G264)*9/sum(sum(G262:G264)*9+sum(J262:J264)*4+sum(N262:N264)*4))</f>
        <v/>
      </c>
      <c r="AB262" s="78" t="str">
        <f>if($C262="","",sum(L262:L264)*4/sum(sum(G262:G264)*9+sum(J262:J264)*4+sum(N262:N264)*4))</f>
        <v/>
      </c>
      <c r="AC262" s="79" t="str">
        <f>if($C262="","",(sum(H262:H264)/sum(O262:O264)))</f>
        <v/>
      </c>
    </row>
    <row r="263">
      <c r="A263" s="52"/>
      <c r="B263" s="53"/>
      <c r="C263" s="93"/>
      <c r="D263" s="55">
        <v>1.0</v>
      </c>
      <c r="E263" s="56" t="str">
        <f t="array" ref="E263">if(C263="","",_xlfn.xlookup(C263,'Hiker Food'!$C:$C,'Hiker Food'!G:G)*D263)</f>
        <v/>
      </c>
      <c r="F263" s="42" t="str">
        <f t="array" ref="F263">if(C263="","",_xlfn.xlookup(C263,'Hiker Food'!$C:$C,'Hiker Food'!H:H)*D263)</f>
        <v/>
      </c>
      <c r="G263" s="42" t="str">
        <f t="array" ref="G263">if($C263="","",_xlfn.xlookup($C263,'Hiker Food'!$C:$C,'Hiker Food'!J:J)*$D263)</f>
        <v/>
      </c>
      <c r="H263" s="42" t="str">
        <f t="array" ref="H263">if($C263="","",_xlfn.xlookup($C263,'Hiker Food'!$C:$C,'Hiker Food'!K:K)*$D263)</f>
        <v/>
      </c>
      <c r="I263" s="42" t="str">
        <f t="array" ref="I263">if($C263="","",_xlfn.xlookup($C263,'Hiker Food'!$C:$C,'Hiker Food'!L:L)*$D263)</f>
        <v/>
      </c>
      <c r="J263" s="42" t="str">
        <f t="array" ref="J263">if($C263="","",_xlfn.xlookup($C263,'Hiker Food'!$C:$C,'Hiker Food'!M:M)*$D263)</f>
        <v/>
      </c>
      <c r="K263" s="42" t="str">
        <f t="array" ref="K263">if($C263="","",_xlfn.xlookup($C263,'Hiker Food'!$C:$C,'Hiker Food'!N:N)*$D263)</f>
        <v/>
      </c>
      <c r="L263" s="42" t="str">
        <f t="array" ref="L263">if($C263="","",_xlfn.xlookup($C263,'Hiker Food'!$C:$C,'Hiker Food'!O:O)*$D263)</f>
        <v/>
      </c>
      <c r="M263" s="42" t="str">
        <f t="array" ref="M263">if($C263="","",_xlfn.xlookup($C263,'Hiker Food'!$C:$C,'Hiker Food'!P:P)*$D263)</f>
        <v/>
      </c>
      <c r="N263" s="42" t="str">
        <f t="array" ref="N263">if($C263="","",_xlfn.xlookup($C263,'Hiker Food'!$C:$C,'Hiker Food'!Q:Q)*$D263)</f>
        <v/>
      </c>
      <c r="O263" s="42" t="str">
        <f t="array" ref="O263">if($C263="","",_xlfn.xlookup($C263,'Hiker Food'!$C:$C,'Hiker Food'!I:I)*$D263)</f>
        <v/>
      </c>
      <c r="P263" s="56" t="str">
        <f t="array" ref="P263">if($C263="","",_xlfn.xlookup($C263,'Hiker Food'!$C:$C,'Hiker Food'!T:T))</f>
        <v/>
      </c>
      <c r="Q263" s="57" t="str">
        <f t="array" ref="Q263">if($C263="","",_xlfn.xlookup($C263,'Hiker Food'!$C:$C,'Hiker Food'!U:U))</f>
        <v/>
      </c>
      <c r="R263" s="57" t="str">
        <f t="array" ref="R263">if($C263="","",_xlfn.xlookup($C263,'Hiker Food'!$C:$C,'Hiker Food'!V:V))</f>
        <v/>
      </c>
      <c r="S263" s="58" t="str">
        <f t="array" ref="S263">if($C263="","",_xlfn.xlookup($C263,'Hiker Food'!$C:$C,'Hiker Food'!W:W))</f>
        <v/>
      </c>
      <c r="T263" s="59"/>
      <c r="AC263" s="60"/>
    </row>
    <row r="264">
      <c r="A264" s="52"/>
      <c r="B264" s="61"/>
      <c r="C264" s="62"/>
      <c r="D264" s="63">
        <v>1.0</v>
      </c>
      <c r="E264" s="81" t="str">
        <f t="array" ref="E264">if(C264="","",_xlfn.xlookup(C264,'Hiker Food'!$C:$C,'Hiker Food'!G:G)*D264)</f>
        <v/>
      </c>
      <c r="F264" s="64" t="str">
        <f t="array" ref="F264">if(C264="","",_xlfn.xlookup(C264,'Hiker Food'!$C:$C,'Hiker Food'!H:H)*D264)</f>
        <v/>
      </c>
      <c r="G264" s="64" t="str">
        <f t="array" ref="G264">if($C264="","",_xlfn.xlookup($C264,'Hiker Food'!$C:$C,'Hiker Food'!J:J)*$D264)</f>
        <v/>
      </c>
      <c r="H264" s="64" t="str">
        <f t="array" ref="H264">if($C264="","",_xlfn.xlookup($C264,'Hiker Food'!$C:$C,'Hiker Food'!K:K)*$D264)</f>
        <v/>
      </c>
      <c r="I264" s="64" t="str">
        <f t="array" ref="I264">if($C264="","",_xlfn.xlookup($C264,'Hiker Food'!$C:$C,'Hiker Food'!L:L)*$D264)</f>
        <v/>
      </c>
      <c r="J264" s="64" t="str">
        <f t="array" ref="J264">if($C264="","",_xlfn.xlookup($C264,'Hiker Food'!$C:$C,'Hiker Food'!M:M)*$D264)</f>
        <v/>
      </c>
      <c r="K264" s="64" t="str">
        <f t="array" ref="K264">if($C264="","",_xlfn.xlookup($C264,'Hiker Food'!$C:$C,'Hiker Food'!N:N)*$D264)</f>
        <v/>
      </c>
      <c r="L264" s="64" t="str">
        <f t="array" ref="L264">if($C264="","",_xlfn.xlookup($C264,'Hiker Food'!$C:$C,'Hiker Food'!O:O)*$D264)</f>
        <v/>
      </c>
      <c r="M264" s="64" t="str">
        <f t="array" ref="M264">if($C264="","",_xlfn.xlookup($C264,'Hiker Food'!$C:$C,'Hiker Food'!P:P)*$D264)</f>
        <v/>
      </c>
      <c r="N264" s="64" t="str">
        <f t="array" ref="N264">if($C264="","",_xlfn.xlookup($C264,'Hiker Food'!$C:$C,'Hiker Food'!Q:Q)*$D264)</f>
        <v/>
      </c>
      <c r="O264" s="64" t="str">
        <f t="array" ref="O264">if($C264="","",_xlfn.xlookup($C264,'Hiker Food'!$C:$C,'Hiker Food'!I:I)*$D264)</f>
        <v/>
      </c>
      <c r="P264" s="81" t="str">
        <f t="array" ref="P264">if($C264="","",_xlfn.xlookup($C264,'Hiker Food'!$C:$C,'Hiker Food'!T:T))</f>
        <v/>
      </c>
      <c r="Q264" s="82" t="str">
        <f t="array" ref="Q264">if($C264="","",_xlfn.xlookup($C264,'Hiker Food'!$C:$C,'Hiker Food'!U:U))</f>
        <v/>
      </c>
      <c r="R264" s="82" t="str">
        <f t="array" ref="R264">if($C264="","",_xlfn.xlookup($C264,'Hiker Food'!$C:$C,'Hiker Food'!V:V))</f>
        <v/>
      </c>
      <c r="S264" s="83" t="str">
        <f t="array" ref="S264">if($C264="","",_xlfn.xlookup($C264,'Hiker Food'!$C:$C,'Hiker Food'!W:W))</f>
        <v/>
      </c>
      <c r="T264" s="65"/>
      <c r="U264" s="66"/>
      <c r="V264" s="66"/>
      <c r="W264" s="66"/>
      <c r="X264" s="66"/>
      <c r="Y264" s="66"/>
      <c r="Z264" s="66"/>
      <c r="AA264" s="66"/>
      <c r="AB264" s="66"/>
      <c r="AC264" s="67"/>
    </row>
    <row r="265">
      <c r="A265" s="97"/>
      <c r="B265" s="98" t="s">
        <v>532</v>
      </c>
      <c r="C265" s="99" t="str">
        <f>IF(COUNTIF(C244:C264,"")=COUNTA(C244:C264), "", "zzzz - subtotal line - ignore")</f>
        <v>zzzz - subtotal line - ignore</v>
      </c>
      <c r="D265" s="99"/>
      <c r="E265" s="100" t="str">
        <f t="shared" ref="E265:O265" si="12">if(counta($C244:$C264)=0,"",SUM(E244:E264))</f>
        <v/>
      </c>
      <c r="F265" s="101" t="str">
        <f t="shared" si="12"/>
        <v/>
      </c>
      <c r="G265" s="101" t="str">
        <f t="shared" si="12"/>
        <v/>
      </c>
      <c r="H265" s="101" t="str">
        <f t="shared" si="12"/>
        <v/>
      </c>
      <c r="I265" s="101" t="str">
        <f t="shared" si="12"/>
        <v/>
      </c>
      <c r="J265" s="101" t="str">
        <f t="shared" si="12"/>
        <v/>
      </c>
      <c r="K265" s="101" t="str">
        <f t="shared" si="12"/>
        <v/>
      </c>
      <c r="L265" s="101" t="str">
        <f t="shared" si="12"/>
        <v/>
      </c>
      <c r="M265" s="101" t="str">
        <f t="shared" si="12"/>
        <v/>
      </c>
      <c r="N265" s="101" t="str">
        <f t="shared" si="12"/>
        <v/>
      </c>
      <c r="O265" s="101" t="str">
        <f t="shared" si="12"/>
        <v/>
      </c>
      <c r="P265" s="102"/>
      <c r="Q265" s="102"/>
      <c r="R265" s="102"/>
      <c r="S265" s="102"/>
      <c r="T265" s="98" t="s">
        <v>532</v>
      </c>
      <c r="U265" s="100"/>
      <c r="V265" s="100" t="str">
        <f>if(counta($C244:$C264)=0,"",SUM(E244:E264))</f>
        <v/>
      </c>
      <c r="W265" s="101"/>
      <c r="X265" s="101" t="str">
        <f>if(counta($C244:$C264)=0,"",SUM(F244:F264))</f>
        <v/>
      </c>
      <c r="Y265" s="101" t="str">
        <f>if(counta($C244:$C264)=0,"",SUM(O244:O264))</f>
        <v/>
      </c>
      <c r="Z265" s="103" t="str">
        <f>if($V265="","",sum(J244:J264)/sum(N244:N264))</f>
        <v/>
      </c>
      <c r="AA265" s="104" t="str">
        <f>if($V265="","",sum(G244:G264)*9/sum(sum(G244:G264)*9+sum(J244:J264)*4+sum(N244:N264)*4))</f>
        <v/>
      </c>
      <c r="AB265" s="104" t="str">
        <f>if($V265="","",sum(L244:L264)*4/sum(sum(G244:G264)*9+sum(J244:J264)*4+sum(N244:N264)*4))</f>
        <v/>
      </c>
      <c r="AC265" s="105" t="str">
        <f>if($V265="","",sum(H244:H264)/sum(O244:O264))</f>
        <v/>
      </c>
    </row>
    <row r="266">
      <c r="A266" s="37">
        <v>13.0</v>
      </c>
      <c r="B266" s="38" t="s">
        <v>92</v>
      </c>
      <c r="C266" s="39"/>
      <c r="D266" s="40">
        <v>1.0</v>
      </c>
      <c r="E266" s="41" t="str">
        <f t="array" ref="E266">if(C266="","",_xlfn.xlookup(C266,'Hiker Food'!$C:$C,'Hiker Food'!G:G)*D266)</f>
        <v/>
      </c>
      <c r="F266" s="42" t="str">
        <f t="array" ref="F266">if(C266="","",_xlfn.xlookup(C266,'Hiker Food'!$C:$C,'Hiker Food'!H:H)*D266)</f>
        <v/>
      </c>
      <c r="G266" s="43" t="str">
        <f t="array" ref="G266">if($C266="","",_xlfn.xlookup($C266,'Hiker Food'!$C:$C,'Hiker Food'!J:J)*$D266)</f>
        <v/>
      </c>
      <c r="H266" s="43" t="str">
        <f t="array" ref="H266">if($C266="","",_xlfn.xlookup($C266,'Hiker Food'!$C:$C,'Hiker Food'!K:K)*$D266)</f>
        <v/>
      </c>
      <c r="I266" s="43" t="str">
        <f t="array" ref="I266">if($C266="","",_xlfn.xlookup($C266,'Hiker Food'!$C:$C,'Hiker Food'!L:L)*$D266)</f>
        <v/>
      </c>
      <c r="J266" s="43" t="str">
        <f t="array" ref="J266">if($C266="","",_xlfn.xlookup($C266,'Hiker Food'!$C:$C,'Hiker Food'!M:M)*$D266)</f>
        <v/>
      </c>
      <c r="K266" s="43" t="str">
        <f t="array" ref="K266">if($C266="","",_xlfn.xlookup($C266,'Hiker Food'!$C:$C,'Hiker Food'!N:N)*$D266)</f>
        <v/>
      </c>
      <c r="L266" s="43" t="str">
        <f t="array" ref="L266">if($C266="","",_xlfn.xlookup($C266,'Hiker Food'!$C:$C,'Hiker Food'!O:O)*$D266)</f>
        <v/>
      </c>
      <c r="M266" s="43" t="str">
        <f t="array" ref="M266">if($C266="","",_xlfn.xlookup($C266,'Hiker Food'!$C:$C,'Hiker Food'!P:P)*$D266)</f>
        <v/>
      </c>
      <c r="N266" s="43" t="str">
        <f t="array" ref="N266">if($C266="","",_xlfn.xlookup($C266,'Hiker Food'!$C:$C,'Hiker Food'!Q:Q)*$D266)</f>
        <v/>
      </c>
      <c r="O266" s="43" t="str">
        <f t="array" ref="O266">if($C266="","",_xlfn.xlookup($C266,'Hiker Food'!$C:$C,'Hiker Food'!I:I)*$D266)</f>
        <v/>
      </c>
      <c r="P266" s="41" t="str">
        <f t="array" ref="P266">if($C266="","",_xlfn.xlookup($C266,'Hiker Food'!$C:$C,'Hiker Food'!T:T))</f>
        <v/>
      </c>
      <c r="Q266" s="44" t="str">
        <f t="array" ref="Q266">if($C266="","",_xlfn.xlookup($C266,'Hiker Food'!$C:$C,'Hiker Food'!U:U))</f>
        <v/>
      </c>
      <c r="R266" s="44" t="str">
        <f t="array" ref="R266">if($C266="","",_xlfn.xlookup($C266,'Hiker Food'!$C:$C,'Hiker Food'!V:V))</f>
        <v/>
      </c>
      <c r="S266" s="45" t="str">
        <f t="array" ref="S266">if($C266="","",_xlfn.xlookup($C266,'Hiker Food'!$C:$C,'Hiker Food'!W:W))</f>
        <v/>
      </c>
      <c r="T266" s="46" t="s">
        <v>92</v>
      </c>
      <c r="U266" s="47" t="str">
        <f>if($C266="","",$Y266/V266)</f>
        <v/>
      </c>
      <c r="V266" s="114" t="str">
        <f>if($C266="","",sum(E266:E268))</f>
        <v/>
      </c>
      <c r="W266" s="48" t="str">
        <f>if($C266="","",$Y266/X266)</f>
        <v/>
      </c>
      <c r="X266" s="114" t="str">
        <f>if($C266="","",sum(F266:F268))</f>
        <v/>
      </c>
      <c r="Y266" s="114" t="str">
        <f>if($C266="","",sum(O266:O268))</f>
        <v/>
      </c>
      <c r="Z266" s="49" t="str">
        <f>if($C266="","",(sum(J266:J268)/sum(N266:N268)))</f>
        <v/>
      </c>
      <c r="AA266" s="50" t="str">
        <f>if($C266="","",sum(G266:G268)*9/sum(sum(G266:G268)*9+sum(J266:J268)*4+sum(N266:N268)*4))</f>
        <v/>
      </c>
      <c r="AB266" s="50" t="str">
        <f>if($C266="","",sum(L266:L268)*4/sum(sum(G266:G268)*9+sum(J266:J268)*4+sum(N266:N268)*4))</f>
        <v/>
      </c>
      <c r="AC266" s="51" t="str">
        <f>if($C266="","",(sum(H266:H268)/sum(O266:O268)))</f>
        <v/>
      </c>
    </row>
    <row r="267">
      <c r="A267" s="52"/>
      <c r="B267" s="53"/>
      <c r="C267" s="54"/>
      <c r="D267" s="55">
        <v>1.0</v>
      </c>
      <c r="E267" s="56" t="str">
        <f t="array" ref="E267">if(C267="","",_xlfn.xlookup(C267,'Hiker Food'!$C:$C,'Hiker Food'!G:G)*D267)</f>
        <v/>
      </c>
      <c r="F267" s="42" t="str">
        <f t="array" ref="F267">if(C267="","",_xlfn.xlookup(C267,'Hiker Food'!$C:$C,'Hiker Food'!H:H)*D267)</f>
        <v/>
      </c>
      <c r="G267" s="42" t="str">
        <f t="array" ref="G267">if($C267="","",_xlfn.xlookup($C267,'Hiker Food'!$C:$C,'Hiker Food'!J:J)*$D267)</f>
        <v/>
      </c>
      <c r="H267" s="42" t="str">
        <f t="array" ref="H267">if($C267="","",_xlfn.xlookup($C267,'Hiker Food'!$C:$C,'Hiker Food'!K:K)*$D267)</f>
        <v/>
      </c>
      <c r="I267" s="42" t="str">
        <f t="array" ref="I267">if($C267="","",_xlfn.xlookup($C267,'Hiker Food'!$C:$C,'Hiker Food'!L:L)*$D267)</f>
        <v/>
      </c>
      <c r="J267" s="42" t="str">
        <f t="array" ref="J267">if($C267="","",_xlfn.xlookup($C267,'Hiker Food'!$C:$C,'Hiker Food'!M:M)*$D267)</f>
        <v/>
      </c>
      <c r="K267" s="42" t="str">
        <f t="array" ref="K267">if($C267="","",_xlfn.xlookup($C267,'Hiker Food'!$C:$C,'Hiker Food'!N:N)*$D267)</f>
        <v/>
      </c>
      <c r="L267" s="42" t="str">
        <f t="array" ref="L267">if($C267="","",_xlfn.xlookup($C267,'Hiker Food'!$C:$C,'Hiker Food'!O:O)*$D267)</f>
        <v/>
      </c>
      <c r="M267" s="42" t="str">
        <f t="array" ref="M267">if($C267="","",_xlfn.xlookup($C267,'Hiker Food'!$C:$C,'Hiker Food'!P:P)*$D267)</f>
        <v/>
      </c>
      <c r="N267" s="42" t="str">
        <f t="array" ref="N267">if($C267="","",_xlfn.xlookup($C267,'Hiker Food'!$C:$C,'Hiker Food'!Q:Q)*$D267)</f>
        <v/>
      </c>
      <c r="O267" s="42" t="str">
        <f t="array" ref="O267">if($C267="","",_xlfn.xlookup($C267,'Hiker Food'!$C:$C,'Hiker Food'!I:I)*$D267)</f>
        <v/>
      </c>
      <c r="P267" s="56" t="str">
        <f t="array" ref="P267">if($C267="","",_xlfn.xlookup($C267,'Hiker Food'!$C:$C,'Hiker Food'!T:T))</f>
        <v/>
      </c>
      <c r="Q267" s="57" t="str">
        <f t="array" ref="Q267">if($C267="","",_xlfn.xlookup($C267,'Hiker Food'!$C:$C,'Hiker Food'!U:U))</f>
        <v/>
      </c>
      <c r="R267" s="57" t="str">
        <f t="array" ref="R267">if($C267="","",_xlfn.xlookup($C267,'Hiker Food'!$C:$C,'Hiker Food'!V:V))</f>
        <v/>
      </c>
      <c r="S267" s="58" t="str">
        <f t="array" ref="S267">if($C267="","",_xlfn.xlookup($C267,'Hiker Food'!$C:$C,'Hiker Food'!W:W))</f>
        <v/>
      </c>
      <c r="T267" s="59"/>
      <c r="AC267" s="60"/>
    </row>
    <row r="268">
      <c r="A268" s="52"/>
      <c r="B268" s="61"/>
      <c r="C268" s="62"/>
      <c r="D268" s="63">
        <v>1.0</v>
      </c>
      <c r="E268" s="56" t="str">
        <f t="array" ref="E268">if(C268="","",_xlfn.xlookup(C268,'Hiker Food'!$C:$C,'Hiker Food'!G:G)*D268)</f>
        <v/>
      </c>
      <c r="F268" s="64" t="str">
        <f t="array" ref="F268">if(C268="","",_xlfn.xlookup(C268,'Hiker Food'!$C:$C,'Hiker Food'!H:H)*D268)</f>
        <v/>
      </c>
      <c r="G268" s="64" t="str">
        <f t="array" ref="G268">if($C268="","",_xlfn.xlookup($C268,'Hiker Food'!$C:$C,'Hiker Food'!J:J)*$D268)</f>
        <v/>
      </c>
      <c r="H268" s="64" t="str">
        <f t="array" ref="H268">if($C268="","",_xlfn.xlookup($C268,'Hiker Food'!$C:$C,'Hiker Food'!K:K)*$D268)</f>
        <v/>
      </c>
      <c r="I268" s="64" t="str">
        <f t="array" ref="I268">if($C268="","",_xlfn.xlookup($C268,'Hiker Food'!$C:$C,'Hiker Food'!L:L)*$D268)</f>
        <v/>
      </c>
      <c r="J268" s="64" t="str">
        <f t="array" ref="J268">if($C268="","",_xlfn.xlookup($C268,'Hiker Food'!$C:$C,'Hiker Food'!M:M)*$D268)</f>
        <v/>
      </c>
      <c r="K268" s="64" t="str">
        <f t="array" ref="K268">if($C268="","",_xlfn.xlookup($C268,'Hiker Food'!$C:$C,'Hiker Food'!N:N)*$D268)</f>
        <v/>
      </c>
      <c r="L268" s="64" t="str">
        <f t="array" ref="L268">if($C268="","",_xlfn.xlookup($C268,'Hiker Food'!$C:$C,'Hiker Food'!O:O)*$D268)</f>
        <v/>
      </c>
      <c r="M268" s="64" t="str">
        <f t="array" ref="M268">if($C268="","",_xlfn.xlookup($C268,'Hiker Food'!$C:$C,'Hiker Food'!P:P)*$D268)</f>
        <v/>
      </c>
      <c r="N268" s="64" t="str">
        <f t="array" ref="N268">if($C268="","",_xlfn.xlookup($C268,'Hiker Food'!$C:$C,'Hiker Food'!Q:Q)*$D268)</f>
        <v/>
      </c>
      <c r="O268" s="42" t="str">
        <f t="array" ref="O268">if($C268="","",_xlfn.xlookup($C268,'Hiker Food'!$C:$C,'Hiker Food'!I:I)*$D268)</f>
        <v/>
      </c>
      <c r="P268" s="56" t="str">
        <f t="array" ref="P268">if($C268="","",_xlfn.xlookup($C268,'Hiker Food'!$C:$C,'Hiker Food'!T:T))</f>
        <v/>
      </c>
      <c r="Q268" s="57" t="str">
        <f t="array" ref="Q268">if($C268="","",_xlfn.xlookup($C268,'Hiker Food'!$C:$C,'Hiker Food'!U:U))</f>
        <v/>
      </c>
      <c r="R268" s="57" t="str">
        <f t="array" ref="R268">if($C268="","",_xlfn.xlookup($C268,'Hiker Food'!$C:$C,'Hiker Food'!V:V))</f>
        <v/>
      </c>
      <c r="S268" s="58" t="str">
        <f t="array" ref="S268">if($C268="","",_xlfn.xlookup($C268,'Hiker Food'!$C:$C,'Hiker Food'!W:W))</f>
        <v/>
      </c>
      <c r="T268" s="65"/>
      <c r="U268" s="66"/>
      <c r="V268" s="66"/>
      <c r="W268" s="66"/>
      <c r="X268" s="66"/>
      <c r="Y268" s="66"/>
      <c r="Z268" s="66"/>
      <c r="AA268" s="66"/>
      <c r="AB268" s="66"/>
      <c r="AC268" s="67"/>
    </row>
    <row r="269">
      <c r="A269" s="52"/>
      <c r="B269" s="68" t="s">
        <v>179</v>
      </c>
      <c r="C269" s="69"/>
      <c r="D269" s="70">
        <v>2.0</v>
      </c>
      <c r="E269" s="71" t="str">
        <f t="array" ref="E269">if(C269="","",_xlfn.xlookup(C269,'Hiker Food'!$C:$C,'Hiker Food'!G:G)*D269)</f>
        <v/>
      </c>
      <c r="F269" s="42" t="str">
        <f t="array" ref="F269">if(C269="","",_xlfn.xlookup(C269,'Hiker Food'!$C:$C,'Hiker Food'!H:H)*D269)</f>
        <v/>
      </c>
      <c r="G269" s="72" t="str">
        <f t="array" ref="G269">if($C269="","",_xlfn.xlookup($C269,'Hiker Food'!$C:$C,'Hiker Food'!J:J)*$D269)</f>
        <v/>
      </c>
      <c r="H269" s="72" t="str">
        <f t="array" ref="H269">if($C269="","",_xlfn.xlookup($C269,'Hiker Food'!$C:$C,'Hiker Food'!K:K)*$D269)</f>
        <v/>
      </c>
      <c r="I269" s="72" t="str">
        <f t="array" ref="I269">if($C269="","",_xlfn.xlookup($C269,'Hiker Food'!$C:$C,'Hiker Food'!L:L)*$D269)</f>
        <v/>
      </c>
      <c r="J269" s="72" t="str">
        <f t="array" ref="J269">if($C269="","",_xlfn.xlookup($C269,'Hiker Food'!$C:$C,'Hiker Food'!M:M)*$D269)</f>
        <v/>
      </c>
      <c r="K269" s="72" t="str">
        <f t="array" ref="K269">if($C269="","",_xlfn.xlookup($C269,'Hiker Food'!$C:$C,'Hiker Food'!N:N)*$D269)</f>
        <v/>
      </c>
      <c r="L269" s="72" t="str">
        <f t="array" ref="L269">if($C269="","",_xlfn.xlookup($C269,'Hiker Food'!$C:$C,'Hiker Food'!O:O)*$D269)</f>
        <v/>
      </c>
      <c r="M269" s="72" t="str">
        <f t="array" ref="M269">if($C269="","",_xlfn.xlookup($C269,'Hiker Food'!$C:$C,'Hiker Food'!P:P)*$D269)</f>
        <v/>
      </c>
      <c r="N269" s="72" t="str">
        <f t="array" ref="N269">if($C269="","",_xlfn.xlookup($C269,'Hiker Food'!$C:$C,'Hiker Food'!Q:Q)*$D269)</f>
        <v/>
      </c>
      <c r="O269" s="72" t="str">
        <f t="array" ref="O269">if($C269="","",_xlfn.xlookup($C269,'Hiker Food'!$C:$C,'Hiker Food'!I:I)*$D269)</f>
        <v/>
      </c>
      <c r="P269" s="71" t="str">
        <f t="array" ref="P269">if($C269="","",_xlfn.xlookup($C269,'Hiker Food'!$C:$C,'Hiker Food'!T:T))</f>
        <v/>
      </c>
      <c r="Q269" s="73" t="str">
        <f t="array" ref="Q269">if($C269="","",_xlfn.xlookup($C269,'Hiker Food'!$C:$C,'Hiker Food'!U:U))</f>
        <v/>
      </c>
      <c r="R269" s="73" t="str">
        <f t="array" ref="R269">if($C269="","",_xlfn.xlookup($C269,'Hiker Food'!$C:$C,'Hiker Food'!V:V))</f>
        <v/>
      </c>
      <c r="S269" s="74" t="str">
        <f t="array" ref="S269">if($C269="","",_xlfn.xlookup($C269,'Hiker Food'!$C:$C,'Hiker Food'!W:W))</f>
        <v/>
      </c>
      <c r="T269" s="75" t="s">
        <v>179</v>
      </c>
      <c r="U269" s="76" t="str">
        <f>if(C269="","",Y269/V269)</f>
        <v/>
      </c>
      <c r="V269" s="96" t="str">
        <f>if($C269="","",sum(E269:E271))</f>
        <v/>
      </c>
      <c r="W269" s="77" t="str">
        <f>if($C269="","",$Y269/X269)</f>
        <v/>
      </c>
      <c r="X269" s="96" t="str">
        <f>if($C269="","",sum(F269:F271))</f>
        <v/>
      </c>
      <c r="Y269" s="96" t="str">
        <f>if($C269="","",sum(O269:O271))</f>
        <v/>
      </c>
      <c r="Z269" s="77" t="str">
        <f>if($C269="","",(sum(J269:J271)/sum(N269:N271)))</f>
        <v/>
      </c>
      <c r="AA269" s="78" t="str">
        <f>if($C269="","",sum(G269:G271)*9/sum(sum(G269:G271)*9+sum(J269:J271)*4+sum(N269:N271)*4))</f>
        <v/>
      </c>
      <c r="AB269" s="78" t="str">
        <f>if($C269="","",sum(L269:L271)*4/sum(sum(G269:G271)*9+sum(J269:J271)*4+sum(N269:N271)*4))</f>
        <v/>
      </c>
      <c r="AC269" s="79" t="str">
        <f>if($C269="","",(sum(H269:H271)/sum(O269:O271)))</f>
        <v/>
      </c>
    </row>
    <row r="270">
      <c r="A270" s="52"/>
      <c r="B270" s="53"/>
      <c r="C270" s="54"/>
      <c r="D270" s="55">
        <v>2.0</v>
      </c>
      <c r="E270" s="56" t="str">
        <f t="array" ref="E270">if(C270="","",_xlfn.xlookup(C270,'Hiker Food'!$C:$C,'Hiker Food'!G:G)*D270)</f>
        <v/>
      </c>
      <c r="F270" s="42" t="str">
        <f t="array" ref="F270">if(C270="","",_xlfn.xlookup(C270,'Hiker Food'!$C:$C,'Hiker Food'!H:H)*D270)</f>
        <v/>
      </c>
      <c r="G270" s="42" t="str">
        <f t="array" ref="G270">if($C270="","",_xlfn.xlookup($C270,'Hiker Food'!$C:$C,'Hiker Food'!J:J)*$D270)</f>
        <v/>
      </c>
      <c r="H270" s="42" t="str">
        <f t="array" ref="H270">if($C270="","",_xlfn.xlookup($C270,'Hiker Food'!$C:$C,'Hiker Food'!K:K)*$D270)</f>
        <v/>
      </c>
      <c r="I270" s="42" t="str">
        <f t="array" ref="I270">if($C270="","",_xlfn.xlookup($C270,'Hiker Food'!$C:$C,'Hiker Food'!L:L)*$D270)</f>
        <v/>
      </c>
      <c r="J270" s="42" t="str">
        <f t="array" ref="J270">if($C270="","",_xlfn.xlookup($C270,'Hiker Food'!$C:$C,'Hiker Food'!M:M)*$D270)</f>
        <v/>
      </c>
      <c r="K270" s="42" t="str">
        <f t="array" ref="K270">if($C270="","",_xlfn.xlookup($C270,'Hiker Food'!$C:$C,'Hiker Food'!N:N)*$D270)</f>
        <v/>
      </c>
      <c r="L270" s="42" t="str">
        <f t="array" ref="L270">if($C270="","",_xlfn.xlookup($C270,'Hiker Food'!$C:$C,'Hiker Food'!O:O)*$D270)</f>
        <v/>
      </c>
      <c r="M270" s="42" t="str">
        <f t="array" ref="M270">if($C270="","",_xlfn.xlookup($C270,'Hiker Food'!$C:$C,'Hiker Food'!P:P)*$D270)</f>
        <v/>
      </c>
      <c r="N270" s="42" t="str">
        <f t="array" ref="N270">if($C270="","",_xlfn.xlookup($C270,'Hiker Food'!$C:$C,'Hiker Food'!Q:Q)*$D270)</f>
        <v/>
      </c>
      <c r="O270" s="42" t="str">
        <f t="array" ref="O270">if($C270="","",_xlfn.xlookup($C270,'Hiker Food'!$C:$C,'Hiker Food'!I:I)*$D270)</f>
        <v/>
      </c>
      <c r="P270" s="56" t="str">
        <f t="array" ref="P270">if($C270="","",_xlfn.xlookup($C270,'Hiker Food'!$C:$C,'Hiker Food'!T:T))</f>
        <v/>
      </c>
      <c r="Q270" s="57" t="str">
        <f t="array" ref="Q270">if($C270="","",_xlfn.xlookup($C270,'Hiker Food'!$C:$C,'Hiker Food'!U:U))</f>
        <v/>
      </c>
      <c r="R270" s="57" t="str">
        <f t="array" ref="R270">if($C270="","",_xlfn.xlookup($C270,'Hiker Food'!$C:$C,'Hiker Food'!V:V))</f>
        <v/>
      </c>
      <c r="S270" s="58" t="str">
        <f t="array" ref="S270">if($C270="","",_xlfn.xlookup($C270,'Hiker Food'!$C:$C,'Hiker Food'!W:W))</f>
        <v/>
      </c>
      <c r="T270" s="80"/>
      <c r="AC270" s="60"/>
    </row>
    <row r="271">
      <c r="A271" s="52"/>
      <c r="B271" s="61"/>
      <c r="C271" s="54"/>
      <c r="D271" s="63">
        <v>1.0</v>
      </c>
      <c r="E271" s="81" t="str">
        <f t="array" ref="E271">if(C271="","",_xlfn.xlookup(C271,'Hiker Food'!$C:$C,'Hiker Food'!G:G)*D271)</f>
        <v/>
      </c>
      <c r="F271" s="64" t="str">
        <f t="array" ref="F271">if(C271="","",_xlfn.xlookup(C271,'Hiker Food'!$C:$C,'Hiker Food'!H:H)*D271)</f>
        <v/>
      </c>
      <c r="G271" s="64" t="str">
        <f t="array" ref="G271">if($C271="","",_xlfn.xlookup($C271,'Hiker Food'!$C:$C,'Hiker Food'!J:J)*$D271)</f>
        <v/>
      </c>
      <c r="H271" s="64" t="str">
        <f t="array" ref="H271">if($C271="","",_xlfn.xlookup($C271,'Hiker Food'!$C:$C,'Hiker Food'!K:K)*$D271)</f>
        <v/>
      </c>
      <c r="I271" s="64" t="str">
        <f t="array" ref="I271">if($C271="","",_xlfn.xlookup($C271,'Hiker Food'!$C:$C,'Hiker Food'!L:L)*$D271)</f>
        <v/>
      </c>
      <c r="J271" s="64" t="str">
        <f t="array" ref="J271">if($C271="","",_xlfn.xlookup($C271,'Hiker Food'!$C:$C,'Hiker Food'!M:M)*$D271)</f>
        <v/>
      </c>
      <c r="K271" s="64" t="str">
        <f t="array" ref="K271">if($C271="","",_xlfn.xlookup($C271,'Hiker Food'!$C:$C,'Hiker Food'!N:N)*$D271)</f>
        <v/>
      </c>
      <c r="L271" s="64" t="str">
        <f t="array" ref="L271">if($C271="","",_xlfn.xlookup($C271,'Hiker Food'!$C:$C,'Hiker Food'!O:O)*$D271)</f>
        <v/>
      </c>
      <c r="M271" s="64" t="str">
        <f t="array" ref="M271">if($C271="","",_xlfn.xlookup($C271,'Hiker Food'!$C:$C,'Hiker Food'!P:P)*$D271)</f>
        <v/>
      </c>
      <c r="N271" s="64" t="str">
        <f t="array" ref="N271">if($C271="","",_xlfn.xlookup($C271,'Hiker Food'!$C:$C,'Hiker Food'!Q:Q)*$D271)</f>
        <v/>
      </c>
      <c r="O271" s="64" t="str">
        <f t="array" ref="O271">if($C271="","",_xlfn.xlookup($C271,'Hiker Food'!$C:$C,'Hiker Food'!I:I)*$D271)</f>
        <v/>
      </c>
      <c r="P271" s="81" t="str">
        <f t="array" ref="P271">if($C271="","",_xlfn.xlookup($C271,'Hiker Food'!$C:$C,'Hiker Food'!T:T))</f>
        <v/>
      </c>
      <c r="Q271" s="82" t="str">
        <f t="array" ref="Q271">if($C271="","",_xlfn.xlookup($C271,'Hiker Food'!$C:$C,'Hiker Food'!U:U))</f>
        <v/>
      </c>
      <c r="R271" s="82" t="str">
        <f t="array" ref="R271">if($C271="","",_xlfn.xlookup($C271,'Hiker Food'!$C:$C,'Hiker Food'!V:V))</f>
        <v/>
      </c>
      <c r="S271" s="83" t="str">
        <f t="array" ref="S271">if($C271="","",_xlfn.xlookup($C271,'Hiker Food'!$C:$C,'Hiker Food'!W:W))</f>
        <v/>
      </c>
      <c r="T271" s="84"/>
      <c r="U271" s="66"/>
      <c r="V271" s="66"/>
      <c r="W271" s="66"/>
      <c r="X271" s="66"/>
      <c r="Y271" s="66"/>
      <c r="Z271" s="66"/>
      <c r="AA271" s="66"/>
      <c r="AB271" s="66"/>
      <c r="AC271" s="67"/>
    </row>
    <row r="272">
      <c r="A272" s="52"/>
      <c r="B272" s="68" t="s">
        <v>257</v>
      </c>
      <c r="C272" s="85"/>
      <c r="D272" s="70">
        <v>3.0</v>
      </c>
      <c r="E272" s="56" t="str">
        <f t="array" ref="E272">if(C272="","",_xlfn.xlookup(C272,'Hiker Food'!$C:$C,'Hiker Food'!G:G)*D272)</f>
        <v/>
      </c>
      <c r="F272" s="86" t="str">
        <f t="array" ref="F272">if(C272="","",_xlfn.xlookup(C272,'Hiker Food'!$C:$C,'Hiker Food'!H:H)*D272)</f>
        <v/>
      </c>
      <c r="G272" s="72" t="str">
        <f t="array" ref="G272">if($C272="","",_xlfn.xlookup($C272,'Hiker Food'!$C:$C,'Hiker Food'!J:J)*$D272)</f>
        <v/>
      </c>
      <c r="H272" s="72" t="str">
        <f t="array" ref="H272">if($C272="","",_xlfn.xlookup($C272,'Hiker Food'!$C:$C,'Hiker Food'!K:K)*$D272)</f>
        <v/>
      </c>
      <c r="I272" s="72" t="str">
        <f t="array" ref="I272">if($C272="","",_xlfn.xlookup($C272,'Hiker Food'!$C:$C,'Hiker Food'!L:L)*$D272)</f>
        <v/>
      </c>
      <c r="J272" s="72" t="str">
        <f t="array" ref="J272">if($C272="","",_xlfn.xlookup($C272,'Hiker Food'!$C:$C,'Hiker Food'!M:M)*$D272)</f>
        <v/>
      </c>
      <c r="K272" s="72" t="str">
        <f t="array" ref="K272">if($C272="","",_xlfn.xlookup($C272,'Hiker Food'!$C:$C,'Hiker Food'!N:N)*$D272)</f>
        <v/>
      </c>
      <c r="L272" s="72" t="str">
        <f t="array" ref="L272">if($C272="","",_xlfn.xlookup($C272,'Hiker Food'!$C:$C,'Hiker Food'!O:O)*$D272)</f>
        <v/>
      </c>
      <c r="M272" s="72" t="str">
        <f t="array" ref="M272">if($C272="","",_xlfn.xlookup($C272,'Hiker Food'!$C:$C,'Hiker Food'!P:P)*$D272)</f>
        <v/>
      </c>
      <c r="N272" s="72" t="str">
        <f t="array" ref="N272">if($C272="","",_xlfn.xlookup($C272,'Hiker Food'!$C:$C,'Hiker Food'!Q:Q)*$D272)</f>
        <v/>
      </c>
      <c r="O272" s="42" t="str">
        <f t="array" ref="O272">if($C272="","",_xlfn.xlookup($C272,'Hiker Food'!$C:$C,'Hiker Food'!I:I)*$D272)</f>
        <v/>
      </c>
      <c r="P272" s="56" t="str">
        <f t="array" ref="P272">if($C272="","",_xlfn.xlookup($C272,'Hiker Food'!$C:$C,'Hiker Food'!T:T))</f>
        <v/>
      </c>
      <c r="Q272" s="57" t="str">
        <f t="array" ref="Q272">if($C272="","",_xlfn.xlookup($C272,'Hiker Food'!$C:$C,'Hiker Food'!U:U))</f>
        <v/>
      </c>
      <c r="R272" s="57" t="str">
        <f t="array" ref="R272">if($C272="","",_xlfn.xlookup($C272,'Hiker Food'!$C:$C,'Hiker Food'!V:V))</f>
        <v/>
      </c>
      <c r="S272" s="58" t="str">
        <f t="array" ref="S272">if($C272="","",_xlfn.xlookup($C272,'Hiker Food'!$C:$C,'Hiker Food'!W:W))</f>
        <v/>
      </c>
      <c r="T272" s="87" t="s">
        <v>257</v>
      </c>
      <c r="U272" s="76" t="str">
        <f>if(C272="","",Y272/V272)</f>
        <v/>
      </c>
      <c r="V272" s="96" t="str">
        <f>if($C272="","",sum(E272:E274))</f>
        <v/>
      </c>
      <c r="W272" s="77" t="str">
        <f>if($C272="","",$Y272/X272)</f>
        <v/>
      </c>
      <c r="X272" s="96" t="str">
        <f>if($C272="","",sum(F272:F274))</f>
        <v/>
      </c>
      <c r="Y272" s="96" t="str">
        <f>if($C272="","",sum(O272:O274))</f>
        <v/>
      </c>
      <c r="Z272" s="77" t="str">
        <f>if($C272="","",(sum(J272:J274)/sum(N272:N274)))</f>
        <v/>
      </c>
      <c r="AA272" s="78" t="str">
        <f>if($C272="","",sum(G272:G274)*9/sum(sum(G272:G274)*9+sum(J272:J274)*4+sum(N272:N274)*4))</f>
        <v/>
      </c>
      <c r="AB272" s="78" t="str">
        <f>if($C272="","",sum(L272:L274)*4/sum(sum(G272:G274)*9+sum(J272:J274)*4+sum(N272:N274)*4))</f>
        <v/>
      </c>
      <c r="AC272" s="79" t="str">
        <f>if($C272="","",(sum(H272:H274)/sum(O272:O274)))</f>
        <v/>
      </c>
    </row>
    <row r="273">
      <c r="A273" s="52"/>
      <c r="B273" s="53"/>
      <c r="C273" s="88"/>
      <c r="D273" s="55">
        <v>3.0</v>
      </c>
      <c r="E273" s="56" t="str">
        <f t="array" ref="E273">if(C273="","",_xlfn.xlookup(C273,'Hiker Food'!$C:$C,'Hiker Food'!G:G)*D273)</f>
        <v/>
      </c>
      <c r="F273" s="86" t="str">
        <f t="array" ref="F273">if(C273="","",_xlfn.xlookup(C273,'Hiker Food'!$C:$C,'Hiker Food'!H:H)*D273)</f>
        <v/>
      </c>
      <c r="G273" s="42" t="str">
        <f t="array" ref="G273">if($C273="","",_xlfn.xlookup($C273,'Hiker Food'!$C:$C,'Hiker Food'!J:J)*$D273)</f>
        <v/>
      </c>
      <c r="H273" s="42" t="str">
        <f t="array" ref="H273">if($C273="","",_xlfn.xlookup($C273,'Hiker Food'!$C:$C,'Hiker Food'!K:K)*$D273)</f>
        <v/>
      </c>
      <c r="I273" s="42" t="str">
        <f t="array" ref="I273">if($C273="","",_xlfn.xlookup($C273,'Hiker Food'!$C:$C,'Hiker Food'!L:L)*$D273)</f>
        <v/>
      </c>
      <c r="J273" s="42" t="str">
        <f t="array" ref="J273">if($C273="","",_xlfn.xlookup($C273,'Hiker Food'!$C:$C,'Hiker Food'!M:M)*$D273)</f>
        <v/>
      </c>
      <c r="K273" s="42" t="str">
        <f t="array" ref="K273">if($C273="","",_xlfn.xlookup($C273,'Hiker Food'!$C:$C,'Hiker Food'!N:N)*$D273)</f>
        <v/>
      </c>
      <c r="L273" s="42" t="str">
        <f t="array" ref="L273">if($C273="","",_xlfn.xlookup($C273,'Hiker Food'!$C:$C,'Hiker Food'!O:O)*$D273)</f>
        <v/>
      </c>
      <c r="M273" s="42" t="str">
        <f t="array" ref="M273">if($C273="","",_xlfn.xlookup($C273,'Hiker Food'!$C:$C,'Hiker Food'!P:P)*$D273)</f>
        <v/>
      </c>
      <c r="N273" s="42" t="str">
        <f t="array" ref="N273">if($C273="","",_xlfn.xlookup($C273,'Hiker Food'!$C:$C,'Hiker Food'!Q:Q)*$D273)</f>
        <v/>
      </c>
      <c r="O273" s="42" t="str">
        <f t="array" ref="O273">if($C273="","",_xlfn.xlookup($C273,'Hiker Food'!$C:$C,'Hiker Food'!I:I)*$D273)</f>
        <v/>
      </c>
      <c r="P273" s="56" t="str">
        <f t="array" ref="P273">if($C273="","",_xlfn.xlookup($C273,'Hiker Food'!$C:$C,'Hiker Food'!T:T))</f>
        <v/>
      </c>
      <c r="Q273" s="57" t="str">
        <f t="array" ref="Q273">if($C273="","",_xlfn.xlookup($C273,'Hiker Food'!$C:$C,'Hiker Food'!U:U))</f>
        <v/>
      </c>
      <c r="R273" s="57" t="str">
        <f t="array" ref="R273">if($C273="","",_xlfn.xlookup($C273,'Hiker Food'!$C:$C,'Hiker Food'!V:V))</f>
        <v/>
      </c>
      <c r="S273" s="58" t="str">
        <f t="array" ref="S273">if($C273="","",_xlfn.xlookup($C273,'Hiker Food'!$C:$C,'Hiker Food'!W:W))</f>
        <v/>
      </c>
      <c r="T273" s="59"/>
      <c r="AC273" s="60"/>
    </row>
    <row r="274">
      <c r="A274" s="52"/>
      <c r="B274" s="61"/>
      <c r="C274" s="62"/>
      <c r="D274" s="63">
        <v>1.0</v>
      </c>
      <c r="E274" s="81" t="str">
        <f t="array" ref="E274">if(C274="","",_xlfn.xlookup(C274,'Hiker Food'!$C:$C,'Hiker Food'!G:G)*D274)</f>
        <v/>
      </c>
      <c r="F274" s="89" t="str">
        <f t="array" ref="F274">if(C274="","",_xlfn.xlookup(C274,'Hiker Food'!$C:$C,'Hiker Food'!H:H)*D274)</f>
        <v/>
      </c>
      <c r="G274" s="64" t="str">
        <f t="array" ref="G274">if($C274="","",_xlfn.xlookup($C274,'Hiker Food'!$C:$C,'Hiker Food'!J:J)*$D274)</f>
        <v/>
      </c>
      <c r="H274" s="64" t="str">
        <f t="array" ref="H274">if($C274="","",_xlfn.xlookup($C274,'Hiker Food'!$C:$C,'Hiker Food'!K:K)*$D274)</f>
        <v/>
      </c>
      <c r="I274" s="64" t="str">
        <f t="array" ref="I274">if($C274="","",_xlfn.xlookup($C274,'Hiker Food'!$C:$C,'Hiker Food'!L:L)*$D274)</f>
        <v/>
      </c>
      <c r="J274" s="64" t="str">
        <f t="array" ref="J274">if($C274="","",_xlfn.xlookup($C274,'Hiker Food'!$C:$C,'Hiker Food'!M:M)*$D274)</f>
        <v/>
      </c>
      <c r="K274" s="64" t="str">
        <f t="array" ref="K274">if($C274="","",_xlfn.xlookup($C274,'Hiker Food'!$C:$C,'Hiker Food'!N:N)*$D274)</f>
        <v/>
      </c>
      <c r="L274" s="64" t="str">
        <f t="array" ref="L274">if($C274="","",_xlfn.xlookup($C274,'Hiker Food'!$C:$C,'Hiker Food'!O:O)*$D274)</f>
        <v/>
      </c>
      <c r="M274" s="64" t="str">
        <f t="array" ref="M274">if($C274="","",_xlfn.xlookup($C274,'Hiker Food'!$C:$C,'Hiker Food'!P:P)*$D274)</f>
        <v/>
      </c>
      <c r="N274" s="64" t="str">
        <f t="array" ref="N274">if($C274="","",_xlfn.xlookup($C274,'Hiker Food'!$C:$C,'Hiker Food'!Q:Q)*$D274)</f>
        <v/>
      </c>
      <c r="O274" s="64" t="str">
        <f t="array" ref="O274">if($C274="","",_xlfn.xlookup($C274,'Hiker Food'!$C:$C,'Hiker Food'!I:I)*$D274)</f>
        <v/>
      </c>
      <c r="P274" s="81" t="str">
        <f t="array" ref="P274">if($C274="","",_xlfn.xlookup($C274,'Hiker Food'!$C:$C,'Hiker Food'!T:T))</f>
        <v/>
      </c>
      <c r="Q274" s="82" t="str">
        <f t="array" ref="Q274">if($C274="","",_xlfn.xlookup($C274,'Hiker Food'!$C:$C,'Hiker Food'!U:U))</f>
        <v/>
      </c>
      <c r="R274" s="82" t="str">
        <f t="array" ref="R274">if($C274="","",_xlfn.xlookup($C274,'Hiker Food'!$C:$C,'Hiker Food'!V:V))</f>
        <v/>
      </c>
      <c r="S274" s="83" t="str">
        <f t="array" ref="S274">if($C274="","",_xlfn.xlookup($C274,'Hiker Food'!$C:$C,'Hiker Food'!W:W))</f>
        <v/>
      </c>
      <c r="T274" s="65"/>
      <c r="U274" s="66"/>
      <c r="V274" s="66"/>
      <c r="W274" s="66"/>
      <c r="X274" s="66"/>
      <c r="Y274" s="66"/>
      <c r="Z274" s="66"/>
      <c r="AA274" s="66"/>
      <c r="AB274" s="66"/>
      <c r="AC274" s="67"/>
    </row>
    <row r="275">
      <c r="A275" s="52"/>
      <c r="B275" s="68" t="s">
        <v>314</v>
      </c>
      <c r="C275" s="90"/>
      <c r="D275" s="70">
        <v>1.0</v>
      </c>
      <c r="E275" s="71" t="str">
        <f t="array" ref="E275">if(C275="","",_xlfn.xlookup(C275,'Hiker Food'!$C:$C,'Hiker Food'!G:G)*D275)</f>
        <v/>
      </c>
      <c r="F275" s="42" t="str">
        <f t="array" ref="F275">if(C275="","",_xlfn.xlookup(C275,'Hiker Food'!$C:$C,'Hiker Food'!H:H)*D275)</f>
        <v/>
      </c>
      <c r="G275" s="72" t="str">
        <f t="array" ref="G275">if($C275="","",_xlfn.xlookup($C275,'Hiker Food'!$C:$C,'Hiker Food'!J:J)*$D275)</f>
        <v/>
      </c>
      <c r="H275" s="72" t="str">
        <f t="array" ref="H275">if($C275="","",_xlfn.xlookup($C275,'Hiker Food'!$C:$C,'Hiker Food'!K:K)*$D275)</f>
        <v/>
      </c>
      <c r="I275" s="72" t="str">
        <f t="array" ref="I275">if($C275="","",_xlfn.xlookup($C275,'Hiker Food'!$C:$C,'Hiker Food'!L:L)*$D275)</f>
        <v/>
      </c>
      <c r="J275" s="72" t="str">
        <f t="array" ref="J275">if($C275="","",_xlfn.xlookup($C275,'Hiker Food'!$C:$C,'Hiker Food'!M:M)*$D275)</f>
        <v/>
      </c>
      <c r="K275" s="72" t="str">
        <f t="array" ref="K275">if($C275="","",_xlfn.xlookup($C275,'Hiker Food'!$C:$C,'Hiker Food'!N:N)*$D275)</f>
        <v/>
      </c>
      <c r="L275" s="72" t="str">
        <f t="array" ref="L275">if($C275="","",_xlfn.xlookup($C275,'Hiker Food'!$C:$C,'Hiker Food'!O:O)*$D275)</f>
        <v/>
      </c>
      <c r="M275" s="72" t="str">
        <f t="array" ref="M275">if($C275="","",_xlfn.xlookup($C275,'Hiker Food'!$C:$C,'Hiker Food'!P:P)*$D275)</f>
        <v/>
      </c>
      <c r="N275" s="72" t="str">
        <f t="array" ref="N275">if($C275="","",_xlfn.xlookup($C275,'Hiker Food'!$C:$C,'Hiker Food'!Q:Q)*$D275)</f>
        <v/>
      </c>
      <c r="O275" s="72" t="str">
        <f t="array" ref="O275">if($C275="","",_xlfn.xlookup($C275,'Hiker Food'!$C:$C,'Hiker Food'!I:I)*$D275)</f>
        <v/>
      </c>
      <c r="P275" s="71" t="str">
        <f t="array" ref="P275">if($C275="","",_xlfn.xlookup($C275,'Hiker Food'!$C:$C,'Hiker Food'!T:T))</f>
        <v/>
      </c>
      <c r="Q275" s="73" t="str">
        <f t="array" ref="Q275">if($C275="","",_xlfn.xlookup($C275,'Hiker Food'!$C:$C,'Hiker Food'!U:U))</f>
        <v/>
      </c>
      <c r="R275" s="73" t="str">
        <f t="array" ref="R275">if($C275="","",_xlfn.xlookup($C275,'Hiker Food'!$C:$C,'Hiker Food'!V:V))</f>
        <v/>
      </c>
      <c r="S275" s="74" t="str">
        <f t="array" ref="S275">if($C275="","",_xlfn.xlookup($C275,'Hiker Food'!$C:$C,'Hiker Food'!W:W))</f>
        <v/>
      </c>
      <c r="T275" s="91" t="s">
        <v>314</v>
      </c>
      <c r="U275" s="76" t="str">
        <f>if(C275="","",Y275/V275)</f>
        <v/>
      </c>
      <c r="V275" s="96" t="str">
        <f>if($C275="","",sum(E275:E277))</f>
        <v/>
      </c>
      <c r="W275" s="77" t="str">
        <f>if($C275="","",$Y275/X275)</f>
        <v/>
      </c>
      <c r="X275" s="96" t="str">
        <f>if($C275="","",sum(F275:F277))</f>
        <v/>
      </c>
      <c r="Y275" s="96" t="str">
        <f>if($C275="","",sum(O275:O277))</f>
        <v/>
      </c>
      <c r="Z275" s="77" t="str">
        <f>if($C275="","",(sum(J275:J277)/sum(N275:N277)))</f>
        <v/>
      </c>
      <c r="AA275" s="78" t="str">
        <f>if($C275="","",sum(G275:G277)*9/sum(sum(G275:G277)*9+sum(J275:J277)*4+sum(N275:N277)*4))</f>
        <v/>
      </c>
      <c r="AB275" s="78" t="str">
        <f>if($C275="","",sum(L275:L277)*4/sum(sum(G275:G277)*9+sum(J275:J277)*4+sum(N275:N277)*4))</f>
        <v/>
      </c>
      <c r="AC275" s="79" t="str">
        <f>if($C275="","",(sum(H275:H277)/sum(O275:O277)))</f>
        <v/>
      </c>
    </row>
    <row r="276">
      <c r="A276" s="52"/>
      <c r="B276" s="53"/>
      <c r="C276" s="54"/>
      <c r="D276" s="55">
        <v>1.0</v>
      </c>
      <c r="E276" s="56" t="str">
        <f t="array" ref="E276">if(C276="","",_xlfn.xlookup(C276,'Hiker Food'!$C:$C,'Hiker Food'!G:G)*D276)</f>
        <v/>
      </c>
      <c r="F276" s="42" t="str">
        <f t="array" ref="F276">if(C276="","",_xlfn.xlookup(C276,'Hiker Food'!$C:$C,'Hiker Food'!H:H)*D276)</f>
        <v/>
      </c>
      <c r="G276" s="42" t="str">
        <f t="array" ref="G276">if($C276="","",_xlfn.xlookup($C276,'Hiker Food'!$C:$C,'Hiker Food'!J:J)*$D276)</f>
        <v/>
      </c>
      <c r="H276" s="42" t="str">
        <f t="array" ref="H276">if($C276="","",_xlfn.xlookup($C276,'Hiker Food'!$C:$C,'Hiker Food'!K:K)*$D276)</f>
        <v/>
      </c>
      <c r="I276" s="42" t="str">
        <f t="array" ref="I276">if($C276="","",_xlfn.xlookup($C276,'Hiker Food'!$C:$C,'Hiker Food'!L:L)*$D276)</f>
        <v/>
      </c>
      <c r="J276" s="42" t="str">
        <f t="array" ref="J276">if($C276="","",_xlfn.xlookup($C276,'Hiker Food'!$C:$C,'Hiker Food'!M:M)*$D276)</f>
        <v/>
      </c>
      <c r="K276" s="42" t="str">
        <f t="array" ref="K276">if($C276="","",_xlfn.xlookup($C276,'Hiker Food'!$C:$C,'Hiker Food'!N:N)*$D276)</f>
        <v/>
      </c>
      <c r="L276" s="42" t="str">
        <f t="array" ref="L276">if($C276="","",_xlfn.xlookup($C276,'Hiker Food'!$C:$C,'Hiker Food'!O:O)*$D276)</f>
        <v/>
      </c>
      <c r="M276" s="42" t="str">
        <f t="array" ref="M276">if($C276="","",_xlfn.xlookup($C276,'Hiker Food'!$C:$C,'Hiker Food'!P:P)*$D276)</f>
        <v/>
      </c>
      <c r="N276" s="42" t="str">
        <f t="array" ref="N276">if($C276="","",_xlfn.xlookup($C276,'Hiker Food'!$C:$C,'Hiker Food'!Q:Q)*$D276)</f>
        <v/>
      </c>
      <c r="O276" s="42" t="str">
        <f t="array" ref="O276">if($C276="","",_xlfn.xlookup($C276,'Hiker Food'!$C:$C,'Hiker Food'!I:I)*$D276)</f>
        <v/>
      </c>
      <c r="P276" s="56" t="str">
        <f t="array" ref="P276">if($C276="","",_xlfn.xlookup($C276,'Hiker Food'!$C:$C,'Hiker Food'!T:T))</f>
        <v/>
      </c>
      <c r="Q276" s="57" t="str">
        <f t="array" ref="Q276">if($C276="","",_xlfn.xlookup($C276,'Hiker Food'!$C:$C,'Hiker Food'!U:U))</f>
        <v/>
      </c>
      <c r="R276" s="57" t="str">
        <f t="array" ref="R276">if($C276="","",_xlfn.xlookup($C276,'Hiker Food'!$C:$C,'Hiker Food'!V:V))</f>
        <v/>
      </c>
      <c r="S276" s="58" t="str">
        <f t="array" ref="S276">if($C276="","",_xlfn.xlookup($C276,'Hiker Food'!$C:$C,'Hiker Food'!W:W))</f>
        <v/>
      </c>
      <c r="T276" s="59"/>
      <c r="AC276" s="60"/>
    </row>
    <row r="277">
      <c r="A277" s="52"/>
      <c r="B277" s="61"/>
      <c r="C277" s="62"/>
      <c r="D277" s="63">
        <v>1.0</v>
      </c>
      <c r="E277" s="81" t="str">
        <f t="array" ref="E277">if(C277="","",_xlfn.xlookup(C277,'Hiker Food'!$C:$C,'Hiker Food'!G:G)*D277)</f>
        <v/>
      </c>
      <c r="F277" s="64" t="str">
        <f t="array" ref="F277">if(C277="","",_xlfn.xlookup(C277,'Hiker Food'!$C:$C,'Hiker Food'!H:H)*D277)</f>
        <v/>
      </c>
      <c r="G277" s="64" t="str">
        <f t="array" ref="G277">if($C277="","",_xlfn.xlookup($C277,'Hiker Food'!$C:$C,'Hiker Food'!J:J)*$D277)</f>
        <v/>
      </c>
      <c r="H277" s="64" t="str">
        <f t="array" ref="H277">if($C277="","",_xlfn.xlookup($C277,'Hiker Food'!$C:$C,'Hiker Food'!K:K)*$D277)</f>
        <v/>
      </c>
      <c r="I277" s="64" t="str">
        <f t="array" ref="I277">if($C277="","",_xlfn.xlookup($C277,'Hiker Food'!$C:$C,'Hiker Food'!L:L)*$D277)</f>
        <v/>
      </c>
      <c r="J277" s="64" t="str">
        <f t="array" ref="J277">if($C277="","",_xlfn.xlookup($C277,'Hiker Food'!$C:$C,'Hiker Food'!M:M)*$D277)</f>
        <v/>
      </c>
      <c r="K277" s="64" t="str">
        <f t="array" ref="K277">if($C277="","",_xlfn.xlookup($C277,'Hiker Food'!$C:$C,'Hiker Food'!N:N)*$D277)</f>
        <v/>
      </c>
      <c r="L277" s="64" t="str">
        <f t="array" ref="L277">if($C277="","",_xlfn.xlookup($C277,'Hiker Food'!$C:$C,'Hiker Food'!O:O)*$D277)</f>
        <v/>
      </c>
      <c r="M277" s="64" t="str">
        <f t="array" ref="M277">if($C277="","",_xlfn.xlookup($C277,'Hiker Food'!$C:$C,'Hiker Food'!P:P)*$D277)</f>
        <v/>
      </c>
      <c r="N277" s="64" t="str">
        <f t="array" ref="N277">if($C277="","",_xlfn.xlookup($C277,'Hiker Food'!$C:$C,'Hiker Food'!Q:Q)*$D277)</f>
        <v/>
      </c>
      <c r="O277" s="64" t="str">
        <f t="array" ref="O277">if($C277="","",_xlfn.xlookup($C277,'Hiker Food'!$C:$C,'Hiker Food'!I:I)*$D277)</f>
        <v/>
      </c>
      <c r="P277" s="81" t="str">
        <f t="array" ref="P277">if($C277="","",_xlfn.xlookup($C277,'Hiker Food'!$C:$C,'Hiker Food'!T:T))</f>
        <v/>
      </c>
      <c r="Q277" s="82" t="str">
        <f t="array" ref="Q277">if($C277="","",_xlfn.xlookup($C277,'Hiker Food'!$C:$C,'Hiker Food'!U:U))</f>
        <v/>
      </c>
      <c r="R277" s="82" t="str">
        <f t="array" ref="R277">if($C277="","",_xlfn.xlookup($C277,'Hiker Food'!$C:$C,'Hiker Food'!V:V))</f>
        <v/>
      </c>
      <c r="S277" s="83" t="str">
        <f t="array" ref="S277">if($C277="","",_xlfn.xlookup($C277,'Hiker Food'!$C:$C,'Hiker Food'!W:W))</f>
        <v/>
      </c>
      <c r="T277" s="65"/>
      <c r="U277" s="66"/>
      <c r="V277" s="66"/>
      <c r="W277" s="66"/>
      <c r="X277" s="66"/>
      <c r="Y277" s="66"/>
      <c r="Z277" s="66"/>
      <c r="AA277" s="66"/>
      <c r="AB277" s="66"/>
      <c r="AC277" s="67"/>
    </row>
    <row r="278">
      <c r="A278" s="52"/>
      <c r="B278" s="68" t="s">
        <v>366</v>
      </c>
      <c r="C278" s="90"/>
      <c r="D278" s="70">
        <v>1.0</v>
      </c>
      <c r="E278" s="71" t="str">
        <f t="array" ref="E278">if(C278="","",_xlfn.xlookup(C278,'Hiker Food'!$C:$C,'Hiker Food'!G:G)*D278)</f>
        <v/>
      </c>
      <c r="F278" s="42" t="str">
        <f t="array" ref="F278">if(C278="","",_xlfn.xlookup(C278,'Hiker Food'!$C:$C,'Hiker Food'!H:H)*D278)</f>
        <v/>
      </c>
      <c r="G278" s="72" t="str">
        <f t="array" ref="G278">if($C278="","",_xlfn.xlookup($C278,'Hiker Food'!$C:$C,'Hiker Food'!J:J)*$D278)</f>
        <v/>
      </c>
      <c r="H278" s="72" t="str">
        <f t="array" ref="H278">if($C278="","",_xlfn.xlookup($C278,'Hiker Food'!$C:$C,'Hiker Food'!K:K)*$D278)</f>
        <v/>
      </c>
      <c r="I278" s="72" t="str">
        <f t="array" ref="I278">if($C278="","",_xlfn.xlookup($C278,'Hiker Food'!$C:$C,'Hiker Food'!L:L)*$D278)</f>
        <v/>
      </c>
      <c r="J278" s="72" t="str">
        <f t="array" ref="J278">if($C278="","",_xlfn.xlookup($C278,'Hiker Food'!$C:$C,'Hiker Food'!M:M)*$D278)</f>
        <v/>
      </c>
      <c r="K278" s="72" t="str">
        <f t="array" ref="K278">if($C278="","",_xlfn.xlookup($C278,'Hiker Food'!$C:$C,'Hiker Food'!N:N)*$D278)</f>
        <v/>
      </c>
      <c r="L278" s="72" t="str">
        <f t="array" ref="L278">if($C278="","",_xlfn.xlookup($C278,'Hiker Food'!$C:$C,'Hiker Food'!O:O)*$D278)</f>
        <v/>
      </c>
      <c r="M278" s="72" t="str">
        <f t="array" ref="M278">if($C278="","",_xlfn.xlookup($C278,'Hiker Food'!$C:$C,'Hiker Food'!P:P)*$D278)</f>
        <v/>
      </c>
      <c r="N278" s="72" t="str">
        <f t="array" ref="N278">if($C278="","",_xlfn.xlookup($C278,'Hiker Food'!$C:$C,'Hiker Food'!Q:Q)*$D278)</f>
        <v/>
      </c>
      <c r="O278" s="72" t="str">
        <f t="array" ref="O278">if($C278="","",_xlfn.xlookup($C278,'Hiker Food'!$C:$C,'Hiker Food'!I:I)*$D278)</f>
        <v/>
      </c>
      <c r="P278" s="71" t="str">
        <f t="array" ref="P278">if($C278="","",_xlfn.xlookup($C278,'Hiker Food'!$C:$C,'Hiker Food'!T:T))</f>
        <v/>
      </c>
      <c r="Q278" s="73" t="str">
        <f t="array" ref="Q278">if($C278="","",_xlfn.xlookup($C278,'Hiker Food'!$C:$C,'Hiker Food'!U:U))</f>
        <v/>
      </c>
      <c r="R278" s="73" t="str">
        <f t="array" ref="R278">if($C278="","",_xlfn.xlookup($C278,'Hiker Food'!$C:$C,'Hiker Food'!V:V))</f>
        <v/>
      </c>
      <c r="S278" s="74" t="str">
        <f t="array" ref="S278">if($C278="","",_xlfn.xlookup($C278,'Hiker Food'!$C:$C,'Hiker Food'!W:W))</f>
        <v/>
      </c>
      <c r="T278" s="87" t="s">
        <v>366</v>
      </c>
      <c r="U278" s="76" t="str">
        <f>if(C278="","",Y278/V278)</f>
        <v/>
      </c>
      <c r="V278" s="96" t="str">
        <f>if($C278="","",sum(E278:E280))</f>
        <v/>
      </c>
      <c r="W278" s="77" t="str">
        <f>if($C278="","",$Y278/X278)</f>
        <v/>
      </c>
      <c r="X278" s="96" t="str">
        <f>if($C278="","",sum(F278:F280))</f>
        <v/>
      </c>
      <c r="Y278" s="96" t="str">
        <f>if($C278="","",sum(O278:O280))</f>
        <v/>
      </c>
      <c r="Z278" s="77" t="str">
        <f>if($C278="","",(sum(J278:J280)/sum(N278:N280)))</f>
        <v/>
      </c>
      <c r="AA278" s="78" t="str">
        <f>if($C278="","",sum(G278:G280)*9/sum(sum(G278:G280)*9+sum(J278:J280)*4+sum(N278:N280)*4))</f>
        <v/>
      </c>
      <c r="AB278" s="78" t="str">
        <f>if($C278="","",sum(L278:L280)*4/sum(sum(G278:G280)*9+sum(J278:J280)*4+sum(N278:N280)*4))</f>
        <v/>
      </c>
      <c r="AC278" s="79" t="str">
        <f>if($C278="","",(sum(H278:H280)/sum(O278:O280)))</f>
        <v/>
      </c>
    </row>
    <row r="279">
      <c r="A279" s="52"/>
      <c r="B279" s="53"/>
      <c r="C279" s="93"/>
      <c r="D279" s="55">
        <v>1.0</v>
      </c>
      <c r="E279" s="56" t="str">
        <f t="array" ref="E279">if(C279="","",_xlfn.xlookup(C279,'Hiker Food'!$C:$C,'Hiker Food'!G:G)*D279)</f>
        <v/>
      </c>
      <c r="F279" s="42" t="str">
        <f t="array" ref="F279">if(C279="","",_xlfn.xlookup(C279,'Hiker Food'!$C:$C,'Hiker Food'!H:H)*D279)</f>
        <v/>
      </c>
      <c r="G279" s="42" t="str">
        <f t="array" ref="G279">if($C279="","",_xlfn.xlookup($C279,'Hiker Food'!$C:$C,'Hiker Food'!J:J)*$D279)</f>
        <v/>
      </c>
      <c r="H279" s="42" t="str">
        <f t="array" ref="H279">if($C279="","",_xlfn.xlookup($C279,'Hiker Food'!$C:$C,'Hiker Food'!K:K)*$D279)</f>
        <v/>
      </c>
      <c r="I279" s="42" t="str">
        <f t="array" ref="I279">if($C279="","",_xlfn.xlookup($C279,'Hiker Food'!$C:$C,'Hiker Food'!L:L)*$D279)</f>
        <v/>
      </c>
      <c r="J279" s="42" t="str">
        <f t="array" ref="J279">if($C279="","",_xlfn.xlookup($C279,'Hiker Food'!$C:$C,'Hiker Food'!M:M)*$D279)</f>
        <v/>
      </c>
      <c r="K279" s="42" t="str">
        <f t="array" ref="K279">if($C279="","",_xlfn.xlookup($C279,'Hiker Food'!$C:$C,'Hiker Food'!N:N)*$D279)</f>
        <v/>
      </c>
      <c r="L279" s="42" t="str">
        <f t="array" ref="L279">if($C279="","",_xlfn.xlookup($C279,'Hiker Food'!$C:$C,'Hiker Food'!O:O)*$D279)</f>
        <v/>
      </c>
      <c r="M279" s="42" t="str">
        <f t="array" ref="M279">if($C279="","",_xlfn.xlookup($C279,'Hiker Food'!$C:$C,'Hiker Food'!P:P)*$D279)</f>
        <v/>
      </c>
      <c r="N279" s="42" t="str">
        <f t="array" ref="N279">if($C279="","",_xlfn.xlookup($C279,'Hiker Food'!$C:$C,'Hiker Food'!Q:Q)*$D279)</f>
        <v/>
      </c>
      <c r="O279" s="42" t="str">
        <f t="array" ref="O279">if($C279="","",_xlfn.xlookup($C279,'Hiker Food'!$C:$C,'Hiker Food'!I:I)*$D279)</f>
        <v/>
      </c>
      <c r="P279" s="56" t="str">
        <f t="array" ref="P279">if($C279="","",_xlfn.xlookup($C279,'Hiker Food'!$C:$C,'Hiker Food'!T:T))</f>
        <v/>
      </c>
      <c r="Q279" s="57" t="str">
        <f t="array" ref="Q279">if($C279="","",_xlfn.xlookup($C279,'Hiker Food'!$C:$C,'Hiker Food'!U:U))</f>
        <v/>
      </c>
      <c r="R279" s="57" t="str">
        <f t="array" ref="R279">if($C279="","",_xlfn.xlookup($C279,'Hiker Food'!$C:$C,'Hiker Food'!V:V))</f>
        <v/>
      </c>
      <c r="S279" s="58" t="str">
        <f t="array" ref="S279">if($C279="","",_xlfn.xlookup($C279,'Hiker Food'!$C:$C,'Hiker Food'!W:W))</f>
        <v/>
      </c>
      <c r="T279" s="59"/>
      <c r="AC279" s="60"/>
    </row>
    <row r="280">
      <c r="A280" s="52"/>
      <c r="B280" s="61"/>
      <c r="C280" s="54"/>
      <c r="D280" s="63">
        <v>1.0</v>
      </c>
      <c r="E280" s="81" t="str">
        <f t="array" ref="E280">if(C280="","",_xlfn.xlookup(C280,'Hiker Food'!$C:$C,'Hiker Food'!G:G)*D280)</f>
        <v/>
      </c>
      <c r="F280" s="64" t="str">
        <f t="array" ref="F280">if(C280="","",_xlfn.xlookup(C280,'Hiker Food'!$C:$C,'Hiker Food'!H:H)*D280)</f>
        <v/>
      </c>
      <c r="G280" s="64" t="str">
        <f t="array" ref="G280">if($C280="","",_xlfn.xlookup($C280,'Hiker Food'!$C:$C,'Hiker Food'!J:J)*$D280)</f>
        <v/>
      </c>
      <c r="H280" s="64" t="str">
        <f t="array" ref="H280">if($C280="","",_xlfn.xlookup($C280,'Hiker Food'!$C:$C,'Hiker Food'!K:K)*$D280)</f>
        <v/>
      </c>
      <c r="I280" s="64" t="str">
        <f t="array" ref="I280">if($C280="","",_xlfn.xlookup($C280,'Hiker Food'!$C:$C,'Hiker Food'!L:L)*$D280)</f>
        <v/>
      </c>
      <c r="J280" s="64" t="str">
        <f t="array" ref="J280">if($C280="","",_xlfn.xlookup($C280,'Hiker Food'!$C:$C,'Hiker Food'!M:M)*$D280)</f>
        <v/>
      </c>
      <c r="K280" s="64" t="str">
        <f t="array" ref="K280">if($C280="","",_xlfn.xlookup($C280,'Hiker Food'!$C:$C,'Hiker Food'!N:N)*$D280)</f>
        <v/>
      </c>
      <c r="L280" s="64" t="str">
        <f t="array" ref="L280">if($C280="","",_xlfn.xlookup($C280,'Hiker Food'!$C:$C,'Hiker Food'!O:O)*$D280)</f>
        <v/>
      </c>
      <c r="M280" s="64" t="str">
        <f t="array" ref="M280">if($C280="","",_xlfn.xlookup($C280,'Hiker Food'!$C:$C,'Hiker Food'!P:P)*$D280)</f>
        <v/>
      </c>
      <c r="N280" s="64" t="str">
        <f t="array" ref="N280">if($C280="","",_xlfn.xlookup($C280,'Hiker Food'!$C:$C,'Hiker Food'!Q:Q)*$D280)</f>
        <v/>
      </c>
      <c r="O280" s="64" t="str">
        <f t="array" ref="O280">if($C280="","",_xlfn.xlookup($C280,'Hiker Food'!$C:$C,'Hiker Food'!I:I)*$D280)</f>
        <v/>
      </c>
      <c r="P280" s="81" t="str">
        <f t="array" ref="P280">if($C280="","",_xlfn.xlookup($C280,'Hiker Food'!$C:$C,'Hiker Food'!T:T))</f>
        <v/>
      </c>
      <c r="Q280" s="82" t="str">
        <f t="array" ref="Q280">if($C280="","",_xlfn.xlookup($C280,'Hiker Food'!$C:$C,'Hiker Food'!U:U))</f>
        <v/>
      </c>
      <c r="R280" s="82" t="str">
        <f t="array" ref="R280">if($C280="","",_xlfn.xlookup($C280,'Hiker Food'!$C:$C,'Hiker Food'!V:V))</f>
        <v/>
      </c>
      <c r="S280" s="83" t="str">
        <f t="array" ref="S280">if($C280="","",_xlfn.xlookup($C280,'Hiker Food'!$C:$C,'Hiker Food'!W:W))</f>
        <v/>
      </c>
      <c r="T280" s="65"/>
      <c r="U280" s="66"/>
      <c r="V280" s="66"/>
      <c r="W280" s="66"/>
      <c r="X280" s="66"/>
      <c r="Y280" s="66"/>
      <c r="Z280" s="66"/>
      <c r="AA280" s="66"/>
      <c r="AB280" s="66"/>
      <c r="AC280" s="67"/>
    </row>
    <row r="281">
      <c r="A281" s="52"/>
      <c r="B281" s="94" t="s">
        <v>424</v>
      </c>
      <c r="C281" s="90"/>
      <c r="D281" s="70">
        <v>1.0</v>
      </c>
      <c r="E281" s="71" t="str">
        <f t="array" ref="E281">if(C281="","",_xlfn.xlookup(C281,'Hiker Food'!$C:$C,'Hiker Food'!G:G)*D281)</f>
        <v/>
      </c>
      <c r="F281" s="42" t="str">
        <f t="array" ref="F281">if(C281="","",_xlfn.xlookup(C281,'Hiker Food'!$C:$C,'Hiker Food'!H:H)*D281)</f>
        <v/>
      </c>
      <c r="G281" s="72" t="str">
        <f t="array" ref="G281">if($C281="","",_xlfn.xlookup($C281,'Hiker Food'!$C:$C,'Hiker Food'!J:J)*$D281)</f>
        <v/>
      </c>
      <c r="H281" s="72" t="str">
        <f t="array" ref="H281">if($C281="","",_xlfn.xlookup($C281,'Hiker Food'!$C:$C,'Hiker Food'!K:K)*$D281)</f>
        <v/>
      </c>
      <c r="I281" s="72" t="str">
        <f t="array" ref="I281">if($C281="","",_xlfn.xlookup($C281,'Hiker Food'!$C:$C,'Hiker Food'!L:L)*$D281)</f>
        <v/>
      </c>
      <c r="J281" s="72" t="str">
        <f t="array" ref="J281">if($C281="","",_xlfn.xlookup($C281,'Hiker Food'!$C:$C,'Hiker Food'!M:M)*$D281)</f>
        <v/>
      </c>
      <c r="K281" s="72" t="str">
        <f t="array" ref="K281">if($C281="","",_xlfn.xlookup($C281,'Hiker Food'!$C:$C,'Hiker Food'!N:N)*$D281)</f>
        <v/>
      </c>
      <c r="L281" s="72" t="str">
        <f t="array" ref="L281">if($C281="","",_xlfn.xlookup($C281,'Hiker Food'!$C:$C,'Hiker Food'!O:O)*$D281)</f>
        <v/>
      </c>
      <c r="M281" s="72" t="str">
        <f t="array" ref="M281">if($C281="","",_xlfn.xlookup($C281,'Hiker Food'!$C:$C,'Hiker Food'!P:P)*$D281)</f>
        <v/>
      </c>
      <c r="N281" s="72" t="str">
        <f t="array" ref="N281">if($C281="","",_xlfn.xlookup($C281,'Hiker Food'!$C:$C,'Hiker Food'!Q:Q)*$D281)</f>
        <v/>
      </c>
      <c r="O281" s="72" t="str">
        <f t="array" ref="O281">if($C281="","",_xlfn.xlookup($C281,'Hiker Food'!$C:$C,'Hiker Food'!I:I)*$D281)</f>
        <v/>
      </c>
      <c r="P281" s="71" t="str">
        <f t="array" ref="P281">if($C281="","",_xlfn.xlookup($C281,'Hiker Food'!$C:$C,'Hiker Food'!T:T))</f>
        <v/>
      </c>
      <c r="Q281" s="73" t="str">
        <f t="array" ref="Q281">if($C281="","",_xlfn.xlookup($C281,'Hiker Food'!$C:$C,'Hiker Food'!U:U))</f>
        <v/>
      </c>
      <c r="R281" s="73" t="str">
        <f t="array" ref="R281">if($C281="","",_xlfn.xlookup($C281,'Hiker Food'!$C:$C,'Hiker Food'!V:V))</f>
        <v/>
      </c>
      <c r="S281" s="74" t="str">
        <f t="array" ref="S281">if($C281="","",_xlfn.xlookup($C281,'Hiker Food'!$C:$C,'Hiker Food'!W:W))</f>
        <v/>
      </c>
      <c r="T281" s="95" t="s">
        <v>424</v>
      </c>
      <c r="U281" s="76" t="str">
        <f>if(C281="","",Y281/V281)</f>
        <v/>
      </c>
      <c r="V281" s="96" t="str">
        <f>if($C281="","",sum(E281:E283))</f>
        <v/>
      </c>
      <c r="W281" s="77" t="str">
        <f>if($C281="","",$Y281/X281)</f>
        <v/>
      </c>
      <c r="X281" s="96" t="str">
        <f>if($C281="","",sum(F281:F283))</f>
        <v/>
      </c>
      <c r="Y281" s="96" t="str">
        <f>if($C281="","",sum(O281:O283))</f>
        <v/>
      </c>
      <c r="Z281" s="77" t="str">
        <f>if($C281="","",(sum(J281:J283)/sum(N281:N283)))</f>
        <v/>
      </c>
      <c r="AA281" s="78" t="str">
        <f>if($C281="","",sum(G281:G283)*9/sum(sum(G281:G283)*9+sum(J281:J283)*4+sum(N281:N283)*4))</f>
        <v/>
      </c>
      <c r="AB281" s="78" t="str">
        <f>if($C281="","",sum(L281:L283)*4/sum(sum(G281:G283)*9+sum(J281:J283)*4+sum(N281:N283)*4))</f>
        <v/>
      </c>
      <c r="AC281" s="79" t="str">
        <f>if($C281="","",(sum(H281:H283)/sum(O281:O283)))</f>
        <v/>
      </c>
    </row>
    <row r="282">
      <c r="A282" s="52"/>
      <c r="B282" s="53"/>
      <c r="C282" s="54"/>
      <c r="D282" s="55">
        <v>1.0</v>
      </c>
      <c r="E282" s="56" t="str">
        <f t="array" ref="E282">if(C282="","",_xlfn.xlookup(C282,'Hiker Food'!$C:$C,'Hiker Food'!G:G)*D282)</f>
        <v/>
      </c>
      <c r="F282" s="42" t="str">
        <f t="array" ref="F282">if(C282="","",_xlfn.xlookup(C282,'Hiker Food'!$C:$C,'Hiker Food'!H:H)*D282)</f>
        <v/>
      </c>
      <c r="G282" s="42" t="str">
        <f t="array" ref="G282">if($C282="","",_xlfn.xlookup($C282,'Hiker Food'!$C:$C,'Hiker Food'!J:J)*$D282)</f>
        <v/>
      </c>
      <c r="H282" s="42" t="str">
        <f t="array" ref="H282">if($C282="","",_xlfn.xlookup($C282,'Hiker Food'!$C:$C,'Hiker Food'!K:K)*$D282)</f>
        <v/>
      </c>
      <c r="I282" s="42" t="str">
        <f t="array" ref="I282">if($C282="","",_xlfn.xlookup($C282,'Hiker Food'!$C:$C,'Hiker Food'!L:L)*$D282)</f>
        <v/>
      </c>
      <c r="J282" s="42" t="str">
        <f t="array" ref="J282">if($C282="","",_xlfn.xlookup($C282,'Hiker Food'!$C:$C,'Hiker Food'!M:M)*$D282)</f>
        <v/>
      </c>
      <c r="K282" s="42" t="str">
        <f t="array" ref="K282">if($C282="","",_xlfn.xlookup($C282,'Hiker Food'!$C:$C,'Hiker Food'!N:N)*$D282)</f>
        <v/>
      </c>
      <c r="L282" s="42" t="str">
        <f t="array" ref="L282">if($C282="","",_xlfn.xlookup($C282,'Hiker Food'!$C:$C,'Hiker Food'!O:O)*$D282)</f>
        <v/>
      </c>
      <c r="M282" s="42" t="str">
        <f t="array" ref="M282">if($C282="","",_xlfn.xlookup($C282,'Hiker Food'!$C:$C,'Hiker Food'!P:P)*$D282)</f>
        <v/>
      </c>
      <c r="N282" s="42" t="str">
        <f t="array" ref="N282">if($C282="","",_xlfn.xlookup($C282,'Hiker Food'!$C:$C,'Hiker Food'!Q:Q)*$D282)</f>
        <v/>
      </c>
      <c r="O282" s="42" t="str">
        <f t="array" ref="O282">if($C282="","",_xlfn.xlookup($C282,'Hiker Food'!$C:$C,'Hiker Food'!I:I)*$D282)</f>
        <v/>
      </c>
      <c r="P282" s="56" t="str">
        <f t="array" ref="P282">if($C282="","",_xlfn.xlookup($C282,'Hiker Food'!$C:$C,'Hiker Food'!T:T))</f>
        <v/>
      </c>
      <c r="Q282" s="57" t="str">
        <f t="array" ref="Q282">if($C282="","",_xlfn.xlookup($C282,'Hiker Food'!$C:$C,'Hiker Food'!U:U))</f>
        <v/>
      </c>
      <c r="R282" s="57" t="str">
        <f t="array" ref="R282">if($C282="","",_xlfn.xlookup($C282,'Hiker Food'!$C:$C,'Hiker Food'!V:V))</f>
        <v/>
      </c>
      <c r="S282" s="58" t="str">
        <f t="array" ref="S282">if($C282="","",_xlfn.xlookup($C282,'Hiker Food'!$C:$C,'Hiker Food'!W:W))</f>
        <v/>
      </c>
      <c r="T282" s="59"/>
      <c r="AC282" s="60"/>
    </row>
    <row r="283">
      <c r="A283" s="52"/>
      <c r="B283" s="61"/>
      <c r="C283" s="54"/>
      <c r="D283" s="63">
        <v>1.0</v>
      </c>
      <c r="E283" s="81" t="str">
        <f t="array" ref="E283">if(C283="","",_xlfn.xlookup(C283,'Hiker Food'!$C:$C,'Hiker Food'!G:G)*D283)</f>
        <v/>
      </c>
      <c r="F283" s="64" t="str">
        <f t="array" ref="F283">if(C283="","",_xlfn.xlookup(C283,'Hiker Food'!$C:$C,'Hiker Food'!H:H)*D283)</f>
        <v/>
      </c>
      <c r="G283" s="64" t="str">
        <f t="array" ref="G283">if($C283="","",_xlfn.xlookup($C283,'Hiker Food'!$C:$C,'Hiker Food'!J:J)*$D283)</f>
        <v/>
      </c>
      <c r="H283" s="64" t="str">
        <f t="array" ref="H283">if($C283="","",_xlfn.xlookup($C283,'Hiker Food'!$C:$C,'Hiker Food'!K:K)*$D283)</f>
        <v/>
      </c>
      <c r="I283" s="64" t="str">
        <f t="array" ref="I283">if($C283="","",_xlfn.xlookup($C283,'Hiker Food'!$C:$C,'Hiker Food'!L:L)*$D283)</f>
        <v/>
      </c>
      <c r="J283" s="64" t="str">
        <f t="array" ref="J283">if($C283="","",_xlfn.xlookup($C283,'Hiker Food'!$C:$C,'Hiker Food'!M:M)*$D283)</f>
        <v/>
      </c>
      <c r="K283" s="64" t="str">
        <f t="array" ref="K283">if($C283="","",_xlfn.xlookup($C283,'Hiker Food'!$C:$C,'Hiker Food'!N:N)*$D283)</f>
        <v/>
      </c>
      <c r="L283" s="64" t="str">
        <f t="array" ref="L283">if($C283="","",_xlfn.xlookup($C283,'Hiker Food'!$C:$C,'Hiker Food'!O:O)*$D283)</f>
        <v/>
      </c>
      <c r="M283" s="64" t="str">
        <f t="array" ref="M283">if($C283="","",_xlfn.xlookup($C283,'Hiker Food'!$C:$C,'Hiker Food'!P:P)*$D283)</f>
        <v/>
      </c>
      <c r="N283" s="64" t="str">
        <f t="array" ref="N283">if($C283="","",_xlfn.xlookup($C283,'Hiker Food'!$C:$C,'Hiker Food'!Q:Q)*$D283)</f>
        <v/>
      </c>
      <c r="O283" s="64" t="str">
        <f t="array" ref="O283">if($C283="","",_xlfn.xlookup($C283,'Hiker Food'!$C:$C,'Hiker Food'!I:I)*$D283)</f>
        <v/>
      </c>
      <c r="P283" s="81" t="str">
        <f t="array" ref="P283">if($C283="","",_xlfn.xlookup($C283,'Hiker Food'!$C:$C,'Hiker Food'!T:T))</f>
        <v/>
      </c>
      <c r="Q283" s="82" t="str">
        <f t="array" ref="Q283">if($C283="","",_xlfn.xlookup($C283,'Hiker Food'!$C:$C,'Hiker Food'!U:U))</f>
        <v/>
      </c>
      <c r="R283" s="82" t="str">
        <f t="array" ref="R283">if($C283="","",_xlfn.xlookup($C283,'Hiker Food'!$C:$C,'Hiker Food'!V:V))</f>
        <v/>
      </c>
      <c r="S283" s="83" t="str">
        <f t="array" ref="S283">if($C283="","",_xlfn.xlookup($C283,'Hiker Food'!$C:$C,'Hiker Food'!W:W))</f>
        <v/>
      </c>
      <c r="T283" s="65"/>
      <c r="U283" s="66"/>
      <c r="V283" s="66"/>
      <c r="W283" s="66"/>
      <c r="X283" s="66"/>
      <c r="Y283" s="66"/>
      <c r="Z283" s="66"/>
      <c r="AA283" s="66"/>
      <c r="AB283" s="66"/>
      <c r="AC283" s="67"/>
    </row>
    <row r="284">
      <c r="A284" s="52"/>
      <c r="B284" s="94" t="s">
        <v>478</v>
      </c>
      <c r="C284" s="90"/>
      <c r="D284" s="70">
        <v>1.0</v>
      </c>
      <c r="E284" s="71" t="str">
        <f t="array" ref="E284">if(C284="","",_xlfn.xlookup(C284,'Hiker Food'!$C:$C,'Hiker Food'!G:G)*D284)</f>
        <v/>
      </c>
      <c r="F284" s="42" t="str">
        <f t="array" ref="F284">if(C284="","",_xlfn.xlookup(C284,'Hiker Food'!$C:$C,'Hiker Food'!H:H)*D284)</f>
        <v/>
      </c>
      <c r="G284" s="72" t="str">
        <f t="array" ref="G284">if($C284="","",_xlfn.xlookup($C284,'Hiker Food'!$C:$C,'Hiker Food'!J:J)*$D284)</f>
        <v/>
      </c>
      <c r="H284" s="72" t="str">
        <f t="array" ref="H284">if($C284="","",_xlfn.xlookup($C284,'Hiker Food'!$C:$C,'Hiker Food'!K:K)*$D284)</f>
        <v/>
      </c>
      <c r="I284" s="72" t="str">
        <f t="array" ref="I284">if($C284="","",_xlfn.xlookup($C284,'Hiker Food'!$C:$C,'Hiker Food'!L:L)*$D284)</f>
        <v/>
      </c>
      <c r="J284" s="72" t="str">
        <f t="array" ref="J284">if($C284="","",_xlfn.xlookup($C284,'Hiker Food'!$C:$C,'Hiker Food'!M:M)*$D284)</f>
        <v/>
      </c>
      <c r="K284" s="72" t="str">
        <f t="array" ref="K284">if($C284="","",_xlfn.xlookup($C284,'Hiker Food'!$C:$C,'Hiker Food'!N:N)*$D284)</f>
        <v/>
      </c>
      <c r="L284" s="72" t="str">
        <f t="array" ref="L284">if($C284="","",_xlfn.xlookup($C284,'Hiker Food'!$C:$C,'Hiker Food'!O:O)*$D284)</f>
        <v/>
      </c>
      <c r="M284" s="72" t="str">
        <f t="array" ref="M284">if($C284="","",_xlfn.xlookup($C284,'Hiker Food'!$C:$C,'Hiker Food'!P:P)*$D284)</f>
        <v/>
      </c>
      <c r="N284" s="72" t="str">
        <f t="array" ref="N284">if($C284="","",_xlfn.xlookup($C284,'Hiker Food'!$C:$C,'Hiker Food'!Q:Q)*$D284)</f>
        <v/>
      </c>
      <c r="O284" s="72" t="str">
        <f t="array" ref="O284">if($C284="","",_xlfn.xlookup($C284,'Hiker Food'!$C:$C,'Hiker Food'!I:I)*$D284)</f>
        <v/>
      </c>
      <c r="P284" s="71" t="str">
        <f t="array" ref="P284">if($C284="","",_xlfn.xlookup($C284,'Hiker Food'!$C:$C,'Hiker Food'!T:T))</f>
        <v/>
      </c>
      <c r="Q284" s="73" t="str">
        <f t="array" ref="Q284">if($C284="","",_xlfn.xlookup($C284,'Hiker Food'!$C:$C,'Hiker Food'!U:U))</f>
        <v/>
      </c>
      <c r="R284" s="73" t="str">
        <f t="array" ref="R284">if($C284="","",_xlfn.xlookup($C284,'Hiker Food'!$C:$C,'Hiker Food'!V:V))</f>
        <v/>
      </c>
      <c r="S284" s="74" t="str">
        <f t="array" ref="S284">if($C284="","",_xlfn.xlookup($C284,'Hiker Food'!$C:$C,'Hiker Food'!W:W))</f>
        <v/>
      </c>
      <c r="T284" s="95" t="s">
        <v>478</v>
      </c>
      <c r="U284" s="76" t="str">
        <f>if(C284="","",Y284/V284)</f>
        <v/>
      </c>
      <c r="V284" s="96" t="str">
        <f>if($C284="","",sum(E284:E286))</f>
        <v/>
      </c>
      <c r="W284" s="77" t="str">
        <f>if($C284="","",$Y284/X284)</f>
        <v/>
      </c>
      <c r="X284" s="96" t="str">
        <f>if($C284="","",sum(F284:F286))</f>
        <v/>
      </c>
      <c r="Y284" s="96" t="str">
        <f>if($C284="","",sum(O284:O286))</f>
        <v/>
      </c>
      <c r="Z284" s="77" t="str">
        <f>if($C284="","",(sum(J284:J286)/sum(N284:N286)))</f>
        <v/>
      </c>
      <c r="AA284" s="78" t="str">
        <f>if($C284="","",sum(G284:G286)*9/sum(sum(G284:G286)*9+sum(J284:J286)*4+sum(N284:N286)*4))</f>
        <v/>
      </c>
      <c r="AB284" s="78" t="str">
        <f>if($C284="","",sum(L284:L286)*4/sum(sum(G284:G286)*9+sum(J284:J286)*4+sum(N284:N286)*4))</f>
        <v/>
      </c>
      <c r="AC284" s="79" t="str">
        <f>if($C284="","",(sum(H284:H286)/sum(O284:O286)))</f>
        <v/>
      </c>
    </row>
    <row r="285">
      <c r="A285" s="52"/>
      <c r="B285" s="53"/>
      <c r="C285" s="93"/>
      <c r="D285" s="55">
        <v>1.0</v>
      </c>
      <c r="E285" s="56" t="str">
        <f t="array" ref="E285">if(C285="","",_xlfn.xlookup(C285,'Hiker Food'!$C:$C,'Hiker Food'!G:G)*D285)</f>
        <v/>
      </c>
      <c r="F285" s="42" t="str">
        <f t="array" ref="F285">if(C285="","",_xlfn.xlookup(C285,'Hiker Food'!$C:$C,'Hiker Food'!H:H)*D285)</f>
        <v/>
      </c>
      <c r="G285" s="42" t="str">
        <f t="array" ref="G285">if($C285="","",_xlfn.xlookup($C285,'Hiker Food'!$C:$C,'Hiker Food'!J:J)*$D285)</f>
        <v/>
      </c>
      <c r="H285" s="42" t="str">
        <f t="array" ref="H285">if($C285="","",_xlfn.xlookup($C285,'Hiker Food'!$C:$C,'Hiker Food'!K:K)*$D285)</f>
        <v/>
      </c>
      <c r="I285" s="42" t="str">
        <f t="array" ref="I285">if($C285="","",_xlfn.xlookup($C285,'Hiker Food'!$C:$C,'Hiker Food'!L:L)*$D285)</f>
        <v/>
      </c>
      <c r="J285" s="42" t="str">
        <f t="array" ref="J285">if($C285="","",_xlfn.xlookup($C285,'Hiker Food'!$C:$C,'Hiker Food'!M:M)*$D285)</f>
        <v/>
      </c>
      <c r="K285" s="42" t="str">
        <f t="array" ref="K285">if($C285="","",_xlfn.xlookup($C285,'Hiker Food'!$C:$C,'Hiker Food'!N:N)*$D285)</f>
        <v/>
      </c>
      <c r="L285" s="42" t="str">
        <f t="array" ref="L285">if($C285="","",_xlfn.xlookup($C285,'Hiker Food'!$C:$C,'Hiker Food'!O:O)*$D285)</f>
        <v/>
      </c>
      <c r="M285" s="42" t="str">
        <f t="array" ref="M285">if($C285="","",_xlfn.xlookup($C285,'Hiker Food'!$C:$C,'Hiker Food'!P:P)*$D285)</f>
        <v/>
      </c>
      <c r="N285" s="42" t="str">
        <f t="array" ref="N285">if($C285="","",_xlfn.xlookup($C285,'Hiker Food'!$C:$C,'Hiker Food'!Q:Q)*$D285)</f>
        <v/>
      </c>
      <c r="O285" s="42" t="str">
        <f t="array" ref="O285">if($C285="","",_xlfn.xlookup($C285,'Hiker Food'!$C:$C,'Hiker Food'!I:I)*$D285)</f>
        <v/>
      </c>
      <c r="P285" s="56" t="str">
        <f t="array" ref="P285">if($C285="","",_xlfn.xlookup($C285,'Hiker Food'!$C:$C,'Hiker Food'!T:T))</f>
        <v/>
      </c>
      <c r="Q285" s="57" t="str">
        <f t="array" ref="Q285">if($C285="","",_xlfn.xlookup($C285,'Hiker Food'!$C:$C,'Hiker Food'!U:U))</f>
        <v/>
      </c>
      <c r="R285" s="57" t="str">
        <f t="array" ref="R285">if($C285="","",_xlfn.xlookup($C285,'Hiker Food'!$C:$C,'Hiker Food'!V:V))</f>
        <v/>
      </c>
      <c r="S285" s="58" t="str">
        <f t="array" ref="S285">if($C285="","",_xlfn.xlookup($C285,'Hiker Food'!$C:$C,'Hiker Food'!W:W))</f>
        <v/>
      </c>
      <c r="T285" s="59"/>
      <c r="AC285" s="60"/>
    </row>
    <row r="286">
      <c r="A286" s="52"/>
      <c r="B286" s="61"/>
      <c r="C286" s="62"/>
      <c r="D286" s="63">
        <v>1.0</v>
      </c>
      <c r="E286" s="81" t="str">
        <f t="array" ref="E286">if(C286="","",_xlfn.xlookup(C286,'Hiker Food'!$C:$C,'Hiker Food'!G:G)*D286)</f>
        <v/>
      </c>
      <c r="F286" s="64" t="str">
        <f t="array" ref="F286">if(C286="","",_xlfn.xlookup(C286,'Hiker Food'!$C:$C,'Hiker Food'!H:H)*D286)</f>
        <v/>
      </c>
      <c r="G286" s="64" t="str">
        <f t="array" ref="G286">if($C286="","",_xlfn.xlookup($C286,'Hiker Food'!$C:$C,'Hiker Food'!J:J)*$D286)</f>
        <v/>
      </c>
      <c r="H286" s="64" t="str">
        <f t="array" ref="H286">if($C286="","",_xlfn.xlookup($C286,'Hiker Food'!$C:$C,'Hiker Food'!K:K)*$D286)</f>
        <v/>
      </c>
      <c r="I286" s="64" t="str">
        <f t="array" ref="I286">if($C286="","",_xlfn.xlookup($C286,'Hiker Food'!$C:$C,'Hiker Food'!L:L)*$D286)</f>
        <v/>
      </c>
      <c r="J286" s="64" t="str">
        <f t="array" ref="J286">if($C286="","",_xlfn.xlookup($C286,'Hiker Food'!$C:$C,'Hiker Food'!M:M)*$D286)</f>
        <v/>
      </c>
      <c r="K286" s="64" t="str">
        <f t="array" ref="K286">if($C286="","",_xlfn.xlookup($C286,'Hiker Food'!$C:$C,'Hiker Food'!N:N)*$D286)</f>
        <v/>
      </c>
      <c r="L286" s="64" t="str">
        <f t="array" ref="L286">if($C286="","",_xlfn.xlookup($C286,'Hiker Food'!$C:$C,'Hiker Food'!O:O)*$D286)</f>
        <v/>
      </c>
      <c r="M286" s="64" t="str">
        <f t="array" ref="M286">if($C286="","",_xlfn.xlookup($C286,'Hiker Food'!$C:$C,'Hiker Food'!P:P)*$D286)</f>
        <v/>
      </c>
      <c r="N286" s="64" t="str">
        <f t="array" ref="N286">if($C286="","",_xlfn.xlookup($C286,'Hiker Food'!$C:$C,'Hiker Food'!Q:Q)*$D286)</f>
        <v/>
      </c>
      <c r="O286" s="64" t="str">
        <f t="array" ref="O286">if($C286="","",_xlfn.xlookup($C286,'Hiker Food'!$C:$C,'Hiker Food'!I:I)*$D286)</f>
        <v/>
      </c>
      <c r="P286" s="81" t="str">
        <f t="array" ref="P286">if($C286="","",_xlfn.xlookup($C286,'Hiker Food'!$C:$C,'Hiker Food'!T:T))</f>
        <v/>
      </c>
      <c r="Q286" s="82" t="str">
        <f t="array" ref="Q286">if($C286="","",_xlfn.xlookup($C286,'Hiker Food'!$C:$C,'Hiker Food'!U:U))</f>
        <v/>
      </c>
      <c r="R286" s="82" t="str">
        <f t="array" ref="R286">if($C286="","",_xlfn.xlookup($C286,'Hiker Food'!$C:$C,'Hiker Food'!V:V))</f>
        <v/>
      </c>
      <c r="S286" s="83" t="str">
        <f t="array" ref="S286">if($C286="","",_xlfn.xlookup($C286,'Hiker Food'!$C:$C,'Hiker Food'!W:W))</f>
        <v/>
      </c>
      <c r="T286" s="65"/>
      <c r="U286" s="66"/>
      <c r="V286" s="66"/>
      <c r="W286" s="66"/>
      <c r="X286" s="66"/>
      <c r="Y286" s="66"/>
      <c r="Z286" s="66"/>
      <c r="AA286" s="66"/>
      <c r="AB286" s="66"/>
      <c r="AC286" s="67"/>
    </row>
    <row r="287">
      <c r="A287" s="97"/>
      <c r="B287" s="98" t="s">
        <v>532</v>
      </c>
      <c r="C287" s="99" t="str">
        <f>IF(COUNTIF(C266:C286,"")=COUNTA(C266:C286), "", "zzzz - subtotal line - ignore")</f>
        <v>zzzz - subtotal line - ignore</v>
      </c>
      <c r="D287" s="99"/>
      <c r="E287" s="100" t="str">
        <f t="shared" ref="E287:O287" si="13">if(counta($C266:$C286)=0,"",SUM(E266:E286))</f>
        <v/>
      </c>
      <c r="F287" s="101" t="str">
        <f t="shared" si="13"/>
        <v/>
      </c>
      <c r="G287" s="101" t="str">
        <f t="shared" si="13"/>
        <v/>
      </c>
      <c r="H287" s="101" t="str">
        <f t="shared" si="13"/>
        <v/>
      </c>
      <c r="I287" s="101" t="str">
        <f t="shared" si="13"/>
        <v/>
      </c>
      <c r="J287" s="101" t="str">
        <f t="shared" si="13"/>
        <v/>
      </c>
      <c r="K287" s="101" t="str">
        <f t="shared" si="13"/>
        <v/>
      </c>
      <c r="L287" s="101" t="str">
        <f t="shared" si="13"/>
        <v/>
      </c>
      <c r="M287" s="101" t="str">
        <f t="shared" si="13"/>
        <v/>
      </c>
      <c r="N287" s="101" t="str">
        <f t="shared" si="13"/>
        <v/>
      </c>
      <c r="O287" s="101" t="str">
        <f t="shared" si="13"/>
        <v/>
      </c>
      <c r="P287" s="102"/>
      <c r="Q287" s="102"/>
      <c r="R287" s="102"/>
      <c r="S287" s="102"/>
      <c r="T287" s="98" t="s">
        <v>532</v>
      </c>
      <c r="U287" s="100"/>
      <c r="V287" s="100" t="str">
        <f>if(counta($C266:$C286)=0,"",SUM(E266:E286))</f>
        <v/>
      </c>
      <c r="W287" s="101"/>
      <c r="X287" s="101" t="str">
        <f>if(counta($C266:$C286)=0,"",SUM(F266:F286))</f>
        <v/>
      </c>
      <c r="Y287" s="101" t="str">
        <f>if(counta($C266:$C286)=0,"",SUM(O266:O286))</f>
        <v/>
      </c>
      <c r="Z287" s="103" t="str">
        <f>if($V287="","",sum(J266:J286)/sum(N266:N286))</f>
        <v/>
      </c>
      <c r="AA287" s="104" t="str">
        <f>if($V287="","",sum(G266:G286)*9/sum(sum(G266:G286)*9+sum(J266:J286)*4+sum(N266:N286)*4))</f>
        <v/>
      </c>
      <c r="AB287" s="104" t="str">
        <f>if($V287="","",sum(L266:L286)*4/sum(sum(G266:G286)*9+sum(J266:J286)*4+sum(N266:N286)*4))</f>
        <v/>
      </c>
      <c r="AC287" s="105" t="str">
        <f>if($V287="","",sum(H266:H286)/sum(O266:O286))</f>
        <v/>
      </c>
    </row>
    <row r="288">
      <c r="A288" s="37">
        <v>14.0</v>
      </c>
      <c r="B288" s="38" t="s">
        <v>92</v>
      </c>
      <c r="C288" s="39"/>
      <c r="D288" s="40">
        <v>1.0</v>
      </c>
      <c r="E288" s="41" t="str">
        <f t="array" ref="E288">if(C288="","",_xlfn.xlookup(C288,'Hiker Food'!$C:$C,'Hiker Food'!G:G)*D288)</f>
        <v/>
      </c>
      <c r="F288" s="42" t="str">
        <f t="array" ref="F288">if(C288="","",_xlfn.xlookup(C288,'Hiker Food'!$C:$C,'Hiker Food'!H:H)*D288)</f>
        <v/>
      </c>
      <c r="G288" s="43" t="str">
        <f t="array" ref="G288">if($C288="","",_xlfn.xlookup($C288,'Hiker Food'!$C:$C,'Hiker Food'!J:J)*$D288)</f>
        <v/>
      </c>
      <c r="H288" s="43" t="str">
        <f t="array" ref="H288">if($C288="","",_xlfn.xlookup($C288,'Hiker Food'!$C:$C,'Hiker Food'!K:K)*$D288)</f>
        <v/>
      </c>
      <c r="I288" s="43" t="str">
        <f t="array" ref="I288">if($C288="","",_xlfn.xlookup($C288,'Hiker Food'!$C:$C,'Hiker Food'!L:L)*$D288)</f>
        <v/>
      </c>
      <c r="J288" s="43" t="str">
        <f t="array" ref="J288">if($C288="","",_xlfn.xlookup($C288,'Hiker Food'!$C:$C,'Hiker Food'!M:M)*$D288)</f>
        <v/>
      </c>
      <c r="K288" s="43" t="str">
        <f t="array" ref="K288">if($C288="","",_xlfn.xlookup($C288,'Hiker Food'!$C:$C,'Hiker Food'!N:N)*$D288)</f>
        <v/>
      </c>
      <c r="L288" s="43" t="str">
        <f t="array" ref="L288">if($C288="","",_xlfn.xlookup($C288,'Hiker Food'!$C:$C,'Hiker Food'!O:O)*$D288)</f>
        <v/>
      </c>
      <c r="M288" s="43" t="str">
        <f t="array" ref="M288">if($C288="","",_xlfn.xlookup($C288,'Hiker Food'!$C:$C,'Hiker Food'!P:P)*$D288)</f>
        <v/>
      </c>
      <c r="N288" s="43" t="str">
        <f t="array" ref="N288">if($C288="","",_xlfn.xlookup($C288,'Hiker Food'!$C:$C,'Hiker Food'!Q:Q)*$D288)</f>
        <v/>
      </c>
      <c r="O288" s="43" t="str">
        <f t="array" ref="O288">if($C288="","",_xlfn.xlookup($C288,'Hiker Food'!$C:$C,'Hiker Food'!I:I)*$D288)</f>
        <v/>
      </c>
      <c r="P288" s="41" t="str">
        <f t="array" ref="P288">if($C288="","",_xlfn.xlookup($C288,'Hiker Food'!$C:$C,'Hiker Food'!T:T))</f>
        <v/>
      </c>
      <c r="Q288" s="44" t="str">
        <f t="array" ref="Q288">if($C288="","",_xlfn.xlookup($C288,'Hiker Food'!$C:$C,'Hiker Food'!U:U))</f>
        <v/>
      </c>
      <c r="R288" s="44" t="str">
        <f t="array" ref="R288">if($C288="","",_xlfn.xlookup($C288,'Hiker Food'!$C:$C,'Hiker Food'!V:V))</f>
        <v/>
      </c>
      <c r="S288" s="45" t="str">
        <f t="array" ref="S288">if($C288="","",_xlfn.xlookup($C288,'Hiker Food'!$C:$C,'Hiker Food'!W:W))</f>
        <v/>
      </c>
      <c r="T288" s="46" t="s">
        <v>92</v>
      </c>
      <c r="U288" s="47" t="str">
        <f>if($C288="","",$Y288/V288)</f>
        <v/>
      </c>
      <c r="V288" s="114" t="str">
        <f>if($C288="","",sum(E288:E290))</f>
        <v/>
      </c>
      <c r="W288" s="48" t="str">
        <f>if($C288="","",$Y288/X288)</f>
        <v/>
      </c>
      <c r="X288" s="114" t="str">
        <f>if($C288="","",sum(F288:F290))</f>
        <v/>
      </c>
      <c r="Y288" s="114" t="str">
        <f>if($C288="","",sum(O288:O290))</f>
        <v/>
      </c>
      <c r="Z288" s="49" t="str">
        <f>if($C288="","",(sum(J288:J290)/sum(N288:N290)))</f>
        <v/>
      </c>
      <c r="AA288" s="50" t="str">
        <f>if($C288="","",sum(G288:G290)*9/sum(sum(G288:G290)*9+sum(J288:J290)*4+sum(N288:N290)*4))</f>
        <v/>
      </c>
      <c r="AB288" s="50" t="str">
        <f>if($C288="","",sum(L288:L290)*4/sum(sum(G288:G290)*9+sum(J288:J290)*4+sum(N288:N290)*4))</f>
        <v/>
      </c>
      <c r="AC288" s="51" t="str">
        <f>if($C288="","",(sum(H288:H290)/sum(O288:O290)))</f>
        <v/>
      </c>
    </row>
    <row r="289">
      <c r="A289" s="52"/>
      <c r="B289" s="53"/>
      <c r="C289" s="54"/>
      <c r="D289" s="55">
        <v>1.0</v>
      </c>
      <c r="E289" s="56" t="str">
        <f t="array" ref="E289">if(C289="","",_xlfn.xlookup(C289,'Hiker Food'!$C:$C,'Hiker Food'!G:G)*D289)</f>
        <v/>
      </c>
      <c r="F289" s="42" t="str">
        <f t="array" ref="F289">if(C289="","",_xlfn.xlookup(C289,'Hiker Food'!$C:$C,'Hiker Food'!H:H)*D289)</f>
        <v/>
      </c>
      <c r="G289" s="42" t="str">
        <f t="array" ref="G289">if($C289="","",_xlfn.xlookup($C289,'Hiker Food'!$C:$C,'Hiker Food'!J:J)*$D289)</f>
        <v/>
      </c>
      <c r="H289" s="42" t="str">
        <f t="array" ref="H289">if($C289="","",_xlfn.xlookup($C289,'Hiker Food'!$C:$C,'Hiker Food'!K:K)*$D289)</f>
        <v/>
      </c>
      <c r="I289" s="42" t="str">
        <f t="array" ref="I289">if($C289="","",_xlfn.xlookup($C289,'Hiker Food'!$C:$C,'Hiker Food'!L:L)*$D289)</f>
        <v/>
      </c>
      <c r="J289" s="42" t="str">
        <f t="array" ref="J289">if($C289="","",_xlfn.xlookup($C289,'Hiker Food'!$C:$C,'Hiker Food'!M:M)*$D289)</f>
        <v/>
      </c>
      <c r="K289" s="42" t="str">
        <f t="array" ref="K289">if($C289="","",_xlfn.xlookup($C289,'Hiker Food'!$C:$C,'Hiker Food'!N:N)*$D289)</f>
        <v/>
      </c>
      <c r="L289" s="42" t="str">
        <f t="array" ref="L289">if($C289="","",_xlfn.xlookup($C289,'Hiker Food'!$C:$C,'Hiker Food'!O:O)*$D289)</f>
        <v/>
      </c>
      <c r="M289" s="42" t="str">
        <f t="array" ref="M289">if($C289="","",_xlfn.xlookup($C289,'Hiker Food'!$C:$C,'Hiker Food'!P:P)*$D289)</f>
        <v/>
      </c>
      <c r="N289" s="42" t="str">
        <f t="array" ref="N289">if($C289="","",_xlfn.xlookup($C289,'Hiker Food'!$C:$C,'Hiker Food'!Q:Q)*$D289)</f>
        <v/>
      </c>
      <c r="O289" s="42" t="str">
        <f t="array" ref="O289">if($C289="","",_xlfn.xlookup($C289,'Hiker Food'!$C:$C,'Hiker Food'!I:I)*$D289)</f>
        <v/>
      </c>
      <c r="P289" s="56" t="str">
        <f t="array" ref="P289">if($C289="","",_xlfn.xlookup($C289,'Hiker Food'!$C:$C,'Hiker Food'!T:T))</f>
        <v/>
      </c>
      <c r="Q289" s="57" t="str">
        <f t="array" ref="Q289">if($C289="","",_xlfn.xlookup($C289,'Hiker Food'!$C:$C,'Hiker Food'!U:U))</f>
        <v/>
      </c>
      <c r="R289" s="57" t="str">
        <f t="array" ref="R289">if($C289="","",_xlfn.xlookup($C289,'Hiker Food'!$C:$C,'Hiker Food'!V:V))</f>
        <v/>
      </c>
      <c r="S289" s="58" t="str">
        <f t="array" ref="S289">if($C289="","",_xlfn.xlookup($C289,'Hiker Food'!$C:$C,'Hiker Food'!W:W))</f>
        <v/>
      </c>
      <c r="T289" s="59"/>
      <c r="AC289" s="60"/>
    </row>
    <row r="290">
      <c r="A290" s="52"/>
      <c r="B290" s="61"/>
      <c r="C290" s="62"/>
      <c r="D290" s="63">
        <v>1.0</v>
      </c>
      <c r="E290" s="56" t="str">
        <f t="array" ref="E290">if(C290="","",_xlfn.xlookup(C290,'Hiker Food'!$C:$C,'Hiker Food'!G:G)*D290)</f>
        <v/>
      </c>
      <c r="F290" s="64" t="str">
        <f t="array" ref="F290">if(C290="","",_xlfn.xlookup(C290,'Hiker Food'!$C:$C,'Hiker Food'!H:H)*D290)</f>
        <v/>
      </c>
      <c r="G290" s="64" t="str">
        <f t="array" ref="G290">if($C290="","",_xlfn.xlookup($C290,'Hiker Food'!$C:$C,'Hiker Food'!J:J)*$D290)</f>
        <v/>
      </c>
      <c r="H290" s="64" t="str">
        <f t="array" ref="H290">if($C290="","",_xlfn.xlookup($C290,'Hiker Food'!$C:$C,'Hiker Food'!K:K)*$D290)</f>
        <v/>
      </c>
      <c r="I290" s="64" t="str">
        <f t="array" ref="I290">if($C290="","",_xlfn.xlookup($C290,'Hiker Food'!$C:$C,'Hiker Food'!L:L)*$D290)</f>
        <v/>
      </c>
      <c r="J290" s="64" t="str">
        <f t="array" ref="J290">if($C290="","",_xlfn.xlookup($C290,'Hiker Food'!$C:$C,'Hiker Food'!M:M)*$D290)</f>
        <v/>
      </c>
      <c r="K290" s="64" t="str">
        <f t="array" ref="K290">if($C290="","",_xlfn.xlookup($C290,'Hiker Food'!$C:$C,'Hiker Food'!N:N)*$D290)</f>
        <v/>
      </c>
      <c r="L290" s="64" t="str">
        <f t="array" ref="L290">if($C290="","",_xlfn.xlookup($C290,'Hiker Food'!$C:$C,'Hiker Food'!O:O)*$D290)</f>
        <v/>
      </c>
      <c r="M290" s="64" t="str">
        <f t="array" ref="M290">if($C290="","",_xlfn.xlookup($C290,'Hiker Food'!$C:$C,'Hiker Food'!P:P)*$D290)</f>
        <v/>
      </c>
      <c r="N290" s="64" t="str">
        <f t="array" ref="N290">if($C290="","",_xlfn.xlookup($C290,'Hiker Food'!$C:$C,'Hiker Food'!Q:Q)*$D290)</f>
        <v/>
      </c>
      <c r="O290" s="42" t="str">
        <f t="array" ref="O290">if($C290="","",_xlfn.xlookup($C290,'Hiker Food'!$C:$C,'Hiker Food'!I:I)*$D290)</f>
        <v/>
      </c>
      <c r="P290" s="56" t="str">
        <f t="array" ref="P290">if($C290="","",_xlfn.xlookup($C290,'Hiker Food'!$C:$C,'Hiker Food'!T:T))</f>
        <v/>
      </c>
      <c r="Q290" s="57" t="str">
        <f t="array" ref="Q290">if($C290="","",_xlfn.xlookup($C290,'Hiker Food'!$C:$C,'Hiker Food'!U:U))</f>
        <v/>
      </c>
      <c r="R290" s="57" t="str">
        <f t="array" ref="R290">if($C290="","",_xlfn.xlookup($C290,'Hiker Food'!$C:$C,'Hiker Food'!V:V))</f>
        <v/>
      </c>
      <c r="S290" s="58" t="str">
        <f t="array" ref="S290">if($C290="","",_xlfn.xlookup($C290,'Hiker Food'!$C:$C,'Hiker Food'!W:W))</f>
        <v/>
      </c>
      <c r="T290" s="65"/>
      <c r="U290" s="66"/>
      <c r="V290" s="66"/>
      <c r="W290" s="66"/>
      <c r="X290" s="66"/>
      <c r="Y290" s="66"/>
      <c r="Z290" s="66"/>
      <c r="AA290" s="66"/>
      <c r="AB290" s="66"/>
      <c r="AC290" s="67"/>
    </row>
    <row r="291">
      <c r="A291" s="52"/>
      <c r="B291" s="68" t="s">
        <v>179</v>
      </c>
      <c r="C291" s="69"/>
      <c r="D291" s="70">
        <v>2.0</v>
      </c>
      <c r="E291" s="71" t="str">
        <f t="array" ref="E291">if(C291="","",_xlfn.xlookup(C291,'Hiker Food'!$C:$C,'Hiker Food'!G:G)*D291)</f>
        <v/>
      </c>
      <c r="F291" s="42" t="str">
        <f t="array" ref="F291">if(C291="","",_xlfn.xlookup(C291,'Hiker Food'!$C:$C,'Hiker Food'!H:H)*D291)</f>
        <v/>
      </c>
      <c r="G291" s="72" t="str">
        <f t="array" ref="G291">if($C291="","",_xlfn.xlookup($C291,'Hiker Food'!$C:$C,'Hiker Food'!J:J)*$D291)</f>
        <v/>
      </c>
      <c r="H291" s="72" t="str">
        <f t="array" ref="H291">if($C291="","",_xlfn.xlookup($C291,'Hiker Food'!$C:$C,'Hiker Food'!K:K)*$D291)</f>
        <v/>
      </c>
      <c r="I291" s="72" t="str">
        <f t="array" ref="I291">if($C291="","",_xlfn.xlookup($C291,'Hiker Food'!$C:$C,'Hiker Food'!L:L)*$D291)</f>
        <v/>
      </c>
      <c r="J291" s="72" t="str">
        <f t="array" ref="J291">if($C291="","",_xlfn.xlookup($C291,'Hiker Food'!$C:$C,'Hiker Food'!M:M)*$D291)</f>
        <v/>
      </c>
      <c r="K291" s="72" t="str">
        <f t="array" ref="K291">if($C291="","",_xlfn.xlookup($C291,'Hiker Food'!$C:$C,'Hiker Food'!N:N)*$D291)</f>
        <v/>
      </c>
      <c r="L291" s="72" t="str">
        <f t="array" ref="L291">if($C291="","",_xlfn.xlookup($C291,'Hiker Food'!$C:$C,'Hiker Food'!O:O)*$D291)</f>
        <v/>
      </c>
      <c r="M291" s="72" t="str">
        <f t="array" ref="M291">if($C291="","",_xlfn.xlookup($C291,'Hiker Food'!$C:$C,'Hiker Food'!P:P)*$D291)</f>
        <v/>
      </c>
      <c r="N291" s="72" t="str">
        <f t="array" ref="N291">if($C291="","",_xlfn.xlookup($C291,'Hiker Food'!$C:$C,'Hiker Food'!Q:Q)*$D291)</f>
        <v/>
      </c>
      <c r="O291" s="72" t="str">
        <f t="array" ref="O291">if($C291="","",_xlfn.xlookup($C291,'Hiker Food'!$C:$C,'Hiker Food'!I:I)*$D291)</f>
        <v/>
      </c>
      <c r="P291" s="71" t="str">
        <f t="array" ref="P291">if($C291="","",_xlfn.xlookup($C291,'Hiker Food'!$C:$C,'Hiker Food'!T:T))</f>
        <v/>
      </c>
      <c r="Q291" s="73" t="str">
        <f t="array" ref="Q291">if($C291="","",_xlfn.xlookup($C291,'Hiker Food'!$C:$C,'Hiker Food'!U:U))</f>
        <v/>
      </c>
      <c r="R291" s="73" t="str">
        <f t="array" ref="R291">if($C291="","",_xlfn.xlookup($C291,'Hiker Food'!$C:$C,'Hiker Food'!V:V))</f>
        <v/>
      </c>
      <c r="S291" s="74" t="str">
        <f t="array" ref="S291">if($C291="","",_xlfn.xlookup($C291,'Hiker Food'!$C:$C,'Hiker Food'!W:W))</f>
        <v/>
      </c>
      <c r="T291" s="75" t="s">
        <v>179</v>
      </c>
      <c r="U291" s="76" t="str">
        <f>if(C291="","",Y291/V291)</f>
        <v/>
      </c>
      <c r="V291" s="96" t="str">
        <f>if($C291="","",sum(E291:E293))</f>
        <v/>
      </c>
      <c r="W291" s="77" t="str">
        <f>if($C291="","",$Y291/X291)</f>
        <v/>
      </c>
      <c r="X291" s="96" t="str">
        <f>if($C291="","",sum(F291:F293))</f>
        <v/>
      </c>
      <c r="Y291" s="96" t="str">
        <f>if($C291="","",sum(O291:O293))</f>
        <v/>
      </c>
      <c r="Z291" s="77" t="str">
        <f>if($C291="","",(sum(J291:J293)/sum(N291:N293)))</f>
        <v/>
      </c>
      <c r="AA291" s="78" t="str">
        <f>if($C291="","",sum(G291:G293)*9/sum(sum(G291:G293)*9+sum(J291:J293)*4+sum(N291:N293)*4))</f>
        <v/>
      </c>
      <c r="AB291" s="78" t="str">
        <f>if($C291="","",sum(L291:L293)*4/sum(sum(G291:G293)*9+sum(J291:J293)*4+sum(N291:N293)*4))</f>
        <v/>
      </c>
      <c r="AC291" s="79" t="str">
        <f>if($C291="","",(sum(H291:H293)/sum(O291:O293)))</f>
        <v/>
      </c>
    </row>
    <row r="292">
      <c r="A292" s="52"/>
      <c r="B292" s="53"/>
      <c r="C292" s="54"/>
      <c r="D292" s="55">
        <v>2.0</v>
      </c>
      <c r="E292" s="56" t="str">
        <f t="array" ref="E292">if(C292="","",_xlfn.xlookup(C292,'Hiker Food'!$C:$C,'Hiker Food'!G:G)*D292)</f>
        <v/>
      </c>
      <c r="F292" s="42" t="str">
        <f t="array" ref="F292">if(C292="","",_xlfn.xlookup(C292,'Hiker Food'!$C:$C,'Hiker Food'!H:H)*D292)</f>
        <v/>
      </c>
      <c r="G292" s="42" t="str">
        <f t="array" ref="G292">if($C292="","",_xlfn.xlookup($C292,'Hiker Food'!$C:$C,'Hiker Food'!J:J)*$D292)</f>
        <v/>
      </c>
      <c r="H292" s="42" t="str">
        <f t="array" ref="H292">if($C292="","",_xlfn.xlookup($C292,'Hiker Food'!$C:$C,'Hiker Food'!K:K)*$D292)</f>
        <v/>
      </c>
      <c r="I292" s="42" t="str">
        <f t="array" ref="I292">if($C292="","",_xlfn.xlookup($C292,'Hiker Food'!$C:$C,'Hiker Food'!L:L)*$D292)</f>
        <v/>
      </c>
      <c r="J292" s="42" t="str">
        <f t="array" ref="J292">if($C292="","",_xlfn.xlookup($C292,'Hiker Food'!$C:$C,'Hiker Food'!M:M)*$D292)</f>
        <v/>
      </c>
      <c r="K292" s="42" t="str">
        <f t="array" ref="K292">if($C292="","",_xlfn.xlookup($C292,'Hiker Food'!$C:$C,'Hiker Food'!N:N)*$D292)</f>
        <v/>
      </c>
      <c r="L292" s="42" t="str">
        <f t="array" ref="L292">if($C292="","",_xlfn.xlookup($C292,'Hiker Food'!$C:$C,'Hiker Food'!O:O)*$D292)</f>
        <v/>
      </c>
      <c r="M292" s="42" t="str">
        <f t="array" ref="M292">if($C292="","",_xlfn.xlookup($C292,'Hiker Food'!$C:$C,'Hiker Food'!P:P)*$D292)</f>
        <v/>
      </c>
      <c r="N292" s="42" t="str">
        <f t="array" ref="N292">if($C292="","",_xlfn.xlookup($C292,'Hiker Food'!$C:$C,'Hiker Food'!Q:Q)*$D292)</f>
        <v/>
      </c>
      <c r="O292" s="42" t="str">
        <f t="array" ref="O292">if($C292="","",_xlfn.xlookup($C292,'Hiker Food'!$C:$C,'Hiker Food'!I:I)*$D292)</f>
        <v/>
      </c>
      <c r="P292" s="56" t="str">
        <f t="array" ref="P292">if($C292="","",_xlfn.xlookup($C292,'Hiker Food'!$C:$C,'Hiker Food'!T:T))</f>
        <v/>
      </c>
      <c r="Q292" s="57" t="str">
        <f t="array" ref="Q292">if($C292="","",_xlfn.xlookup($C292,'Hiker Food'!$C:$C,'Hiker Food'!U:U))</f>
        <v/>
      </c>
      <c r="R292" s="57" t="str">
        <f t="array" ref="R292">if($C292="","",_xlfn.xlookup($C292,'Hiker Food'!$C:$C,'Hiker Food'!V:V))</f>
        <v/>
      </c>
      <c r="S292" s="58" t="str">
        <f t="array" ref="S292">if($C292="","",_xlfn.xlookup($C292,'Hiker Food'!$C:$C,'Hiker Food'!W:W))</f>
        <v/>
      </c>
      <c r="T292" s="80"/>
      <c r="AC292" s="60"/>
    </row>
    <row r="293">
      <c r="A293" s="52"/>
      <c r="B293" s="61"/>
      <c r="C293" s="54"/>
      <c r="D293" s="63">
        <v>1.0</v>
      </c>
      <c r="E293" s="81" t="str">
        <f t="array" ref="E293">if(C293="","",_xlfn.xlookup(C293,'Hiker Food'!$C:$C,'Hiker Food'!G:G)*D293)</f>
        <v/>
      </c>
      <c r="F293" s="64" t="str">
        <f t="array" ref="F293">if(C293="","",_xlfn.xlookup(C293,'Hiker Food'!$C:$C,'Hiker Food'!H:H)*D293)</f>
        <v/>
      </c>
      <c r="G293" s="64" t="str">
        <f t="array" ref="G293">if($C293="","",_xlfn.xlookup($C293,'Hiker Food'!$C:$C,'Hiker Food'!J:J)*$D293)</f>
        <v/>
      </c>
      <c r="H293" s="64" t="str">
        <f t="array" ref="H293">if($C293="","",_xlfn.xlookup($C293,'Hiker Food'!$C:$C,'Hiker Food'!K:K)*$D293)</f>
        <v/>
      </c>
      <c r="I293" s="64" t="str">
        <f t="array" ref="I293">if($C293="","",_xlfn.xlookup($C293,'Hiker Food'!$C:$C,'Hiker Food'!L:L)*$D293)</f>
        <v/>
      </c>
      <c r="J293" s="64" t="str">
        <f t="array" ref="J293">if($C293="","",_xlfn.xlookup($C293,'Hiker Food'!$C:$C,'Hiker Food'!M:M)*$D293)</f>
        <v/>
      </c>
      <c r="K293" s="64" t="str">
        <f t="array" ref="K293">if($C293="","",_xlfn.xlookup($C293,'Hiker Food'!$C:$C,'Hiker Food'!N:N)*$D293)</f>
        <v/>
      </c>
      <c r="L293" s="64" t="str">
        <f t="array" ref="L293">if($C293="","",_xlfn.xlookup($C293,'Hiker Food'!$C:$C,'Hiker Food'!O:O)*$D293)</f>
        <v/>
      </c>
      <c r="M293" s="64" t="str">
        <f t="array" ref="M293">if($C293="","",_xlfn.xlookup($C293,'Hiker Food'!$C:$C,'Hiker Food'!P:P)*$D293)</f>
        <v/>
      </c>
      <c r="N293" s="64" t="str">
        <f t="array" ref="N293">if($C293="","",_xlfn.xlookup($C293,'Hiker Food'!$C:$C,'Hiker Food'!Q:Q)*$D293)</f>
        <v/>
      </c>
      <c r="O293" s="64" t="str">
        <f t="array" ref="O293">if($C293="","",_xlfn.xlookup($C293,'Hiker Food'!$C:$C,'Hiker Food'!I:I)*$D293)</f>
        <v/>
      </c>
      <c r="P293" s="81" t="str">
        <f t="array" ref="P293">if($C293="","",_xlfn.xlookup($C293,'Hiker Food'!$C:$C,'Hiker Food'!T:T))</f>
        <v/>
      </c>
      <c r="Q293" s="82" t="str">
        <f t="array" ref="Q293">if($C293="","",_xlfn.xlookup($C293,'Hiker Food'!$C:$C,'Hiker Food'!U:U))</f>
        <v/>
      </c>
      <c r="R293" s="82" t="str">
        <f t="array" ref="R293">if($C293="","",_xlfn.xlookup($C293,'Hiker Food'!$C:$C,'Hiker Food'!V:V))</f>
        <v/>
      </c>
      <c r="S293" s="83" t="str">
        <f t="array" ref="S293">if($C293="","",_xlfn.xlookup($C293,'Hiker Food'!$C:$C,'Hiker Food'!W:W))</f>
        <v/>
      </c>
      <c r="T293" s="84"/>
      <c r="U293" s="66"/>
      <c r="V293" s="66"/>
      <c r="W293" s="66"/>
      <c r="X293" s="66"/>
      <c r="Y293" s="66"/>
      <c r="Z293" s="66"/>
      <c r="AA293" s="66"/>
      <c r="AB293" s="66"/>
      <c r="AC293" s="67"/>
    </row>
    <row r="294">
      <c r="A294" s="52"/>
      <c r="B294" s="68" t="s">
        <v>257</v>
      </c>
      <c r="C294" s="85"/>
      <c r="D294" s="70">
        <v>3.0</v>
      </c>
      <c r="E294" s="56" t="str">
        <f t="array" ref="E294">if(C294="","",_xlfn.xlookup(C294,'Hiker Food'!$C:$C,'Hiker Food'!G:G)*D294)</f>
        <v/>
      </c>
      <c r="F294" s="86" t="str">
        <f t="array" ref="F294">if(C294="","",_xlfn.xlookup(C294,'Hiker Food'!$C:$C,'Hiker Food'!H:H)*D294)</f>
        <v/>
      </c>
      <c r="G294" s="72" t="str">
        <f t="array" ref="G294">if($C294="","",_xlfn.xlookup($C294,'Hiker Food'!$C:$C,'Hiker Food'!J:J)*$D294)</f>
        <v/>
      </c>
      <c r="H294" s="72" t="str">
        <f t="array" ref="H294">if($C294="","",_xlfn.xlookup($C294,'Hiker Food'!$C:$C,'Hiker Food'!K:K)*$D294)</f>
        <v/>
      </c>
      <c r="I294" s="72" t="str">
        <f t="array" ref="I294">if($C294="","",_xlfn.xlookup($C294,'Hiker Food'!$C:$C,'Hiker Food'!L:L)*$D294)</f>
        <v/>
      </c>
      <c r="J294" s="72" t="str">
        <f t="array" ref="J294">if($C294="","",_xlfn.xlookup($C294,'Hiker Food'!$C:$C,'Hiker Food'!M:M)*$D294)</f>
        <v/>
      </c>
      <c r="K294" s="72" t="str">
        <f t="array" ref="K294">if($C294="","",_xlfn.xlookup($C294,'Hiker Food'!$C:$C,'Hiker Food'!N:N)*$D294)</f>
        <v/>
      </c>
      <c r="L294" s="72" t="str">
        <f t="array" ref="L294">if($C294="","",_xlfn.xlookup($C294,'Hiker Food'!$C:$C,'Hiker Food'!O:O)*$D294)</f>
        <v/>
      </c>
      <c r="M294" s="72" t="str">
        <f t="array" ref="M294">if($C294="","",_xlfn.xlookup($C294,'Hiker Food'!$C:$C,'Hiker Food'!P:P)*$D294)</f>
        <v/>
      </c>
      <c r="N294" s="72" t="str">
        <f t="array" ref="N294">if($C294="","",_xlfn.xlookup($C294,'Hiker Food'!$C:$C,'Hiker Food'!Q:Q)*$D294)</f>
        <v/>
      </c>
      <c r="O294" s="42" t="str">
        <f t="array" ref="O294">if($C294="","",_xlfn.xlookup($C294,'Hiker Food'!$C:$C,'Hiker Food'!I:I)*$D294)</f>
        <v/>
      </c>
      <c r="P294" s="56" t="str">
        <f t="array" ref="P294">if($C294="","",_xlfn.xlookup($C294,'Hiker Food'!$C:$C,'Hiker Food'!T:T))</f>
        <v/>
      </c>
      <c r="Q294" s="57" t="str">
        <f t="array" ref="Q294">if($C294="","",_xlfn.xlookup($C294,'Hiker Food'!$C:$C,'Hiker Food'!U:U))</f>
        <v/>
      </c>
      <c r="R294" s="57" t="str">
        <f t="array" ref="R294">if($C294="","",_xlfn.xlookup($C294,'Hiker Food'!$C:$C,'Hiker Food'!V:V))</f>
        <v/>
      </c>
      <c r="S294" s="58" t="str">
        <f t="array" ref="S294">if($C294="","",_xlfn.xlookup($C294,'Hiker Food'!$C:$C,'Hiker Food'!W:W))</f>
        <v/>
      </c>
      <c r="T294" s="87" t="s">
        <v>257</v>
      </c>
      <c r="U294" s="76" t="str">
        <f>if(C294="","",Y294/V294)</f>
        <v/>
      </c>
      <c r="V294" s="96" t="str">
        <f>if($C294="","",sum(E294:E296))</f>
        <v/>
      </c>
      <c r="W294" s="77" t="str">
        <f>if($C294="","",$Y294/X294)</f>
        <v/>
      </c>
      <c r="X294" s="96" t="str">
        <f>if($C294="","",sum(F294:F296))</f>
        <v/>
      </c>
      <c r="Y294" s="96" t="str">
        <f>if($C294="","",sum(O294:O296))</f>
        <v/>
      </c>
      <c r="Z294" s="77" t="str">
        <f>if($C294="","",(sum(J294:J296)/sum(N294:N296)))</f>
        <v/>
      </c>
      <c r="AA294" s="78" t="str">
        <f>if($C294="","",sum(G294:G296)*9/sum(sum(G294:G296)*9+sum(J294:J296)*4+sum(N294:N296)*4))</f>
        <v/>
      </c>
      <c r="AB294" s="78" t="str">
        <f>if($C294="","",sum(L294:L296)*4/sum(sum(G294:G296)*9+sum(J294:J296)*4+sum(N294:N296)*4))</f>
        <v/>
      </c>
      <c r="AC294" s="79" t="str">
        <f>if($C294="","",(sum(H294:H296)/sum(O294:O296)))</f>
        <v/>
      </c>
    </row>
    <row r="295">
      <c r="A295" s="52"/>
      <c r="B295" s="53"/>
      <c r="C295" s="88"/>
      <c r="D295" s="55">
        <v>3.0</v>
      </c>
      <c r="E295" s="56" t="str">
        <f t="array" ref="E295">if(C295="","",_xlfn.xlookup(C295,'Hiker Food'!$C:$C,'Hiker Food'!G:G)*D295)</f>
        <v/>
      </c>
      <c r="F295" s="86" t="str">
        <f t="array" ref="F295">if(C295="","",_xlfn.xlookup(C295,'Hiker Food'!$C:$C,'Hiker Food'!H:H)*D295)</f>
        <v/>
      </c>
      <c r="G295" s="42" t="str">
        <f t="array" ref="G295">if($C295="","",_xlfn.xlookup($C295,'Hiker Food'!$C:$C,'Hiker Food'!J:J)*$D295)</f>
        <v/>
      </c>
      <c r="H295" s="42" t="str">
        <f t="array" ref="H295">if($C295="","",_xlfn.xlookup($C295,'Hiker Food'!$C:$C,'Hiker Food'!K:K)*$D295)</f>
        <v/>
      </c>
      <c r="I295" s="42" t="str">
        <f t="array" ref="I295">if($C295="","",_xlfn.xlookup($C295,'Hiker Food'!$C:$C,'Hiker Food'!L:L)*$D295)</f>
        <v/>
      </c>
      <c r="J295" s="42" t="str">
        <f t="array" ref="J295">if($C295="","",_xlfn.xlookup($C295,'Hiker Food'!$C:$C,'Hiker Food'!M:M)*$D295)</f>
        <v/>
      </c>
      <c r="K295" s="42" t="str">
        <f t="array" ref="K295">if($C295="","",_xlfn.xlookup($C295,'Hiker Food'!$C:$C,'Hiker Food'!N:N)*$D295)</f>
        <v/>
      </c>
      <c r="L295" s="42" t="str">
        <f t="array" ref="L295">if($C295="","",_xlfn.xlookup($C295,'Hiker Food'!$C:$C,'Hiker Food'!O:O)*$D295)</f>
        <v/>
      </c>
      <c r="M295" s="42" t="str">
        <f t="array" ref="M295">if($C295="","",_xlfn.xlookup($C295,'Hiker Food'!$C:$C,'Hiker Food'!P:P)*$D295)</f>
        <v/>
      </c>
      <c r="N295" s="42" t="str">
        <f t="array" ref="N295">if($C295="","",_xlfn.xlookup($C295,'Hiker Food'!$C:$C,'Hiker Food'!Q:Q)*$D295)</f>
        <v/>
      </c>
      <c r="O295" s="42" t="str">
        <f t="array" ref="O295">if($C295="","",_xlfn.xlookup($C295,'Hiker Food'!$C:$C,'Hiker Food'!I:I)*$D295)</f>
        <v/>
      </c>
      <c r="P295" s="56" t="str">
        <f t="array" ref="P295">if($C295="","",_xlfn.xlookup($C295,'Hiker Food'!$C:$C,'Hiker Food'!T:T))</f>
        <v/>
      </c>
      <c r="Q295" s="57" t="str">
        <f t="array" ref="Q295">if($C295="","",_xlfn.xlookup($C295,'Hiker Food'!$C:$C,'Hiker Food'!U:U))</f>
        <v/>
      </c>
      <c r="R295" s="57" t="str">
        <f t="array" ref="R295">if($C295="","",_xlfn.xlookup($C295,'Hiker Food'!$C:$C,'Hiker Food'!V:V))</f>
        <v/>
      </c>
      <c r="S295" s="58" t="str">
        <f t="array" ref="S295">if($C295="","",_xlfn.xlookup($C295,'Hiker Food'!$C:$C,'Hiker Food'!W:W))</f>
        <v/>
      </c>
      <c r="T295" s="59"/>
      <c r="AC295" s="60"/>
    </row>
    <row r="296">
      <c r="A296" s="52"/>
      <c r="B296" s="61"/>
      <c r="C296" s="62"/>
      <c r="D296" s="63">
        <v>1.0</v>
      </c>
      <c r="E296" s="81" t="str">
        <f t="array" ref="E296">if(C296="","",_xlfn.xlookup(C296,'Hiker Food'!$C:$C,'Hiker Food'!G:G)*D296)</f>
        <v/>
      </c>
      <c r="F296" s="89" t="str">
        <f t="array" ref="F296">if(C296="","",_xlfn.xlookup(C296,'Hiker Food'!$C:$C,'Hiker Food'!H:H)*D296)</f>
        <v/>
      </c>
      <c r="G296" s="64" t="str">
        <f t="array" ref="G296">if($C296="","",_xlfn.xlookup($C296,'Hiker Food'!$C:$C,'Hiker Food'!J:J)*$D296)</f>
        <v/>
      </c>
      <c r="H296" s="64" t="str">
        <f t="array" ref="H296">if($C296="","",_xlfn.xlookup($C296,'Hiker Food'!$C:$C,'Hiker Food'!K:K)*$D296)</f>
        <v/>
      </c>
      <c r="I296" s="64" t="str">
        <f t="array" ref="I296">if($C296="","",_xlfn.xlookup($C296,'Hiker Food'!$C:$C,'Hiker Food'!L:L)*$D296)</f>
        <v/>
      </c>
      <c r="J296" s="64" t="str">
        <f t="array" ref="J296">if($C296="","",_xlfn.xlookup($C296,'Hiker Food'!$C:$C,'Hiker Food'!M:M)*$D296)</f>
        <v/>
      </c>
      <c r="K296" s="64" t="str">
        <f t="array" ref="K296">if($C296="","",_xlfn.xlookup($C296,'Hiker Food'!$C:$C,'Hiker Food'!N:N)*$D296)</f>
        <v/>
      </c>
      <c r="L296" s="64" t="str">
        <f t="array" ref="L296">if($C296="","",_xlfn.xlookup($C296,'Hiker Food'!$C:$C,'Hiker Food'!O:O)*$D296)</f>
        <v/>
      </c>
      <c r="M296" s="64" t="str">
        <f t="array" ref="M296">if($C296="","",_xlfn.xlookup($C296,'Hiker Food'!$C:$C,'Hiker Food'!P:P)*$D296)</f>
        <v/>
      </c>
      <c r="N296" s="64" t="str">
        <f t="array" ref="N296">if($C296="","",_xlfn.xlookup($C296,'Hiker Food'!$C:$C,'Hiker Food'!Q:Q)*$D296)</f>
        <v/>
      </c>
      <c r="O296" s="64" t="str">
        <f t="array" ref="O296">if($C296="","",_xlfn.xlookup($C296,'Hiker Food'!$C:$C,'Hiker Food'!I:I)*$D296)</f>
        <v/>
      </c>
      <c r="P296" s="81" t="str">
        <f t="array" ref="P296">if($C296="","",_xlfn.xlookup($C296,'Hiker Food'!$C:$C,'Hiker Food'!T:T))</f>
        <v/>
      </c>
      <c r="Q296" s="82" t="str">
        <f t="array" ref="Q296">if($C296="","",_xlfn.xlookup($C296,'Hiker Food'!$C:$C,'Hiker Food'!U:U))</f>
        <v/>
      </c>
      <c r="R296" s="82" t="str">
        <f t="array" ref="R296">if($C296="","",_xlfn.xlookup($C296,'Hiker Food'!$C:$C,'Hiker Food'!V:V))</f>
        <v/>
      </c>
      <c r="S296" s="83" t="str">
        <f t="array" ref="S296">if($C296="","",_xlfn.xlookup($C296,'Hiker Food'!$C:$C,'Hiker Food'!W:W))</f>
        <v/>
      </c>
      <c r="T296" s="65"/>
      <c r="U296" s="66"/>
      <c r="V296" s="66"/>
      <c r="W296" s="66"/>
      <c r="X296" s="66"/>
      <c r="Y296" s="66"/>
      <c r="Z296" s="66"/>
      <c r="AA296" s="66"/>
      <c r="AB296" s="66"/>
      <c r="AC296" s="67"/>
    </row>
    <row r="297">
      <c r="A297" s="52"/>
      <c r="B297" s="68" t="s">
        <v>314</v>
      </c>
      <c r="C297" s="90"/>
      <c r="D297" s="70">
        <v>1.0</v>
      </c>
      <c r="E297" s="71" t="str">
        <f t="array" ref="E297">if(C297="","",_xlfn.xlookup(C297,'Hiker Food'!$C:$C,'Hiker Food'!G:G)*D297)</f>
        <v/>
      </c>
      <c r="F297" s="42" t="str">
        <f t="array" ref="F297">if(C297="","",_xlfn.xlookup(C297,'Hiker Food'!$C:$C,'Hiker Food'!H:H)*D297)</f>
        <v/>
      </c>
      <c r="G297" s="72" t="str">
        <f t="array" ref="G297">if($C297="","",_xlfn.xlookup($C297,'Hiker Food'!$C:$C,'Hiker Food'!J:J)*$D297)</f>
        <v/>
      </c>
      <c r="H297" s="72" t="str">
        <f t="array" ref="H297">if($C297="","",_xlfn.xlookup($C297,'Hiker Food'!$C:$C,'Hiker Food'!K:K)*$D297)</f>
        <v/>
      </c>
      <c r="I297" s="72" t="str">
        <f t="array" ref="I297">if($C297="","",_xlfn.xlookup($C297,'Hiker Food'!$C:$C,'Hiker Food'!L:L)*$D297)</f>
        <v/>
      </c>
      <c r="J297" s="72" t="str">
        <f t="array" ref="J297">if($C297="","",_xlfn.xlookup($C297,'Hiker Food'!$C:$C,'Hiker Food'!M:M)*$D297)</f>
        <v/>
      </c>
      <c r="K297" s="72" t="str">
        <f t="array" ref="K297">if($C297="","",_xlfn.xlookup($C297,'Hiker Food'!$C:$C,'Hiker Food'!N:N)*$D297)</f>
        <v/>
      </c>
      <c r="L297" s="72" t="str">
        <f t="array" ref="L297">if($C297="","",_xlfn.xlookup($C297,'Hiker Food'!$C:$C,'Hiker Food'!O:O)*$D297)</f>
        <v/>
      </c>
      <c r="M297" s="72" t="str">
        <f t="array" ref="M297">if($C297="","",_xlfn.xlookup($C297,'Hiker Food'!$C:$C,'Hiker Food'!P:P)*$D297)</f>
        <v/>
      </c>
      <c r="N297" s="72" t="str">
        <f t="array" ref="N297">if($C297="","",_xlfn.xlookup($C297,'Hiker Food'!$C:$C,'Hiker Food'!Q:Q)*$D297)</f>
        <v/>
      </c>
      <c r="O297" s="72" t="str">
        <f t="array" ref="O297">if($C297="","",_xlfn.xlookup($C297,'Hiker Food'!$C:$C,'Hiker Food'!I:I)*$D297)</f>
        <v/>
      </c>
      <c r="P297" s="71" t="str">
        <f t="array" ref="P297">if($C297="","",_xlfn.xlookup($C297,'Hiker Food'!$C:$C,'Hiker Food'!T:T))</f>
        <v/>
      </c>
      <c r="Q297" s="73" t="str">
        <f t="array" ref="Q297">if($C297="","",_xlfn.xlookup($C297,'Hiker Food'!$C:$C,'Hiker Food'!U:U))</f>
        <v/>
      </c>
      <c r="R297" s="73" t="str">
        <f t="array" ref="R297">if($C297="","",_xlfn.xlookup($C297,'Hiker Food'!$C:$C,'Hiker Food'!V:V))</f>
        <v/>
      </c>
      <c r="S297" s="74" t="str">
        <f t="array" ref="S297">if($C297="","",_xlfn.xlookup($C297,'Hiker Food'!$C:$C,'Hiker Food'!W:W))</f>
        <v/>
      </c>
      <c r="T297" s="91" t="s">
        <v>314</v>
      </c>
      <c r="U297" s="76" t="str">
        <f>if(C297="","",Y297/V297)</f>
        <v/>
      </c>
      <c r="V297" s="96" t="str">
        <f>if($C297="","",sum(E297:E299))</f>
        <v/>
      </c>
      <c r="W297" s="77" t="str">
        <f>if($C297="","",$Y297/X297)</f>
        <v/>
      </c>
      <c r="X297" s="96" t="str">
        <f>if($C297="","",sum(F297:F299))</f>
        <v/>
      </c>
      <c r="Y297" s="96" t="str">
        <f>if($C297="","",sum(O297:O299))</f>
        <v/>
      </c>
      <c r="Z297" s="77" t="str">
        <f>if($C297="","",(sum(J297:J299)/sum(N297:N299)))</f>
        <v/>
      </c>
      <c r="AA297" s="78" t="str">
        <f>if($C297="","",sum(G297:G299)*9/sum(sum(G297:G299)*9+sum(J297:J299)*4+sum(N297:N299)*4))</f>
        <v/>
      </c>
      <c r="AB297" s="78" t="str">
        <f>if($C297="","",sum(L297:L299)*4/sum(sum(G297:G299)*9+sum(J297:J299)*4+sum(N297:N299)*4))</f>
        <v/>
      </c>
      <c r="AC297" s="79" t="str">
        <f>if($C297="","",(sum(H297:H299)/sum(O297:O299)))</f>
        <v/>
      </c>
    </row>
    <row r="298">
      <c r="A298" s="52"/>
      <c r="B298" s="53"/>
      <c r="C298" s="54"/>
      <c r="D298" s="55">
        <v>1.0</v>
      </c>
      <c r="E298" s="56" t="str">
        <f t="array" ref="E298">if(C298="","",_xlfn.xlookup(C298,'Hiker Food'!$C:$C,'Hiker Food'!G:G)*D298)</f>
        <v/>
      </c>
      <c r="F298" s="42" t="str">
        <f t="array" ref="F298">if(C298="","",_xlfn.xlookup(C298,'Hiker Food'!$C:$C,'Hiker Food'!H:H)*D298)</f>
        <v/>
      </c>
      <c r="G298" s="42" t="str">
        <f t="array" ref="G298">if($C298="","",_xlfn.xlookup($C298,'Hiker Food'!$C:$C,'Hiker Food'!J:J)*$D298)</f>
        <v/>
      </c>
      <c r="H298" s="42" t="str">
        <f t="array" ref="H298">if($C298="","",_xlfn.xlookup($C298,'Hiker Food'!$C:$C,'Hiker Food'!K:K)*$D298)</f>
        <v/>
      </c>
      <c r="I298" s="42" t="str">
        <f t="array" ref="I298">if($C298="","",_xlfn.xlookup($C298,'Hiker Food'!$C:$C,'Hiker Food'!L:L)*$D298)</f>
        <v/>
      </c>
      <c r="J298" s="42" t="str">
        <f t="array" ref="J298">if($C298="","",_xlfn.xlookup($C298,'Hiker Food'!$C:$C,'Hiker Food'!M:M)*$D298)</f>
        <v/>
      </c>
      <c r="K298" s="42" t="str">
        <f t="array" ref="K298">if($C298="","",_xlfn.xlookup($C298,'Hiker Food'!$C:$C,'Hiker Food'!N:N)*$D298)</f>
        <v/>
      </c>
      <c r="L298" s="42" t="str">
        <f t="array" ref="L298">if($C298="","",_xlfn.xlookup($C298,'Hiker Food'!$C:$C,'Hiker Food'!O:O)*$D298)</f>
        <v/>
      </c>
      <c r="M298" s="42" t="str">
        <f t="array" ref="M298">if($C298="","",_xlfn.xlookup($C298,'Hiker Food'!$C:$C,'Hiker Food'!P:P)*$D298)</f>
        <v/>
      </c>
      <c r="N298" s="42" t="str">
        <f t="array" ref="N298">if($C298="","",_xlfn.xlookup($C298,'Hiker Food'!$C:$C,'Hiker Food'!Q:Q)*$D298)</f>
        <v/>
      </c>
      <c r="O298" s="42" t="str">
        <f t="array" ref="O298">if($C298="","",_xlfn.xlookup($C298,'Hiker Food'!$C:$C,'Hiker Food'!I:I)*$D298)</f>
        <v/>
      </c>
      <c r="P298" s="56" t="str">
        <f t="array" ref="P298">if($C298="","",_xlfn.xlookup($C298,'Hiker Food'!$C:$C,'Hiker Food'!T:T))</f>
        <v/>
      </c>
      <c r="Q298" s="57" t="str">
        <f t="array" ref="Q298">if($C298="","",_xlfn.xlookup($C298,'Hiker Food'!$C:$C,'Hiker Food'!U:U))</f>
        <v/>
      </c>
      <c r="R298" s="57" t="str">
        <f t="array" ref="R298">if($C298="","",_xlfn.xlookup($C298,'Hiker Food'!$C:$C,'Hiker Food'!V:V))</f>
        <v/>
      </c>
      <c r="S298" s="58" t="str">
        <f t="array" ref="S298">if($C298="","",_xlfn.xlookup($C298,'Hiker Food'!$C:$C,'Hiker Food'!W:W))</f>
        <v/>
      </c>
      <c r="T298" s="59"/>
      <c r="AC298" s="60"/>
    </row>
    <row r="299">
      <c r="A299" s="52"/>
      <c r="B299" s="61"/>
      <c r="C299" s="62"/>
      <c r="D299" s="63">
        <v>1.0</v>
      </c>
      <c r="E299" s="81" t="str">
        <f t="array" ref="E299">if(C299="","",_xlfn.xlookup(C299,'Hiker Food'!$C:$C,'Hiker Food'!G:G)*D299)</f>
        <v/>
      </c>
      <c r="F299" s="64" t="str">
        <f t="array" ref="F299">if(C299="","",_xlfn.xlookup(C299,'Hiker Food'!$C:$C,'Hiker Food'!H:H)*D299)</f>
        <v/>
      </c>
      <c r="G299" s="64" t="str">
        <f t="array" ref="G299">if($C299="","",_xlfn.xlookup($C299,'Hiker Food'!$C:$C,'Hiker Food'!J:J)*$D299)</f>
        <v/>
      </c>
      <c r="H299" s="64" t="str">
        <f t="array" ref="H299">if($C299="","",_xlfn.xlookup($C299,'Hiker Food'!$C:$C,'Hiker Food'!K:K)*$D299)</f>
        <v/>
      </c>
      <c r="I299" s="64" t="str">
        <f t="array" ref="I299">if($C299="","",_xlfn.xlookup($C299,'Hiker Food'!$C:$C,'Hiker Food'!L:L)*$D299)</f>
        <v/>
      </c>
      <c r="J299" s="64" t="str">
        <f t="array" ref="J299">if($C299="","",_xlfn.xlookup($C299,'Hiker Food'!$C:$C,'Hiker Food'!M:M)*$D299)</f>
        <v/>
      </c>
      <c r="K299" s="64" t="str">
        <f t="array" ref="K299">if($C299="","",_xlfn.xlookup($C299,'Hiker Food'!$C:$C,'Hiker Food'!N:N)*$D299)</f>
        <v/>
      </c>
      <c r="L299" s="64" t="str">
        <f t="array" ref="L299">if($C299="","",_xlfn.xlookup($C299,'Hiker Food'!$C:$C,'Hiker Food'!O:O)*$D299)</f>
        <v/>
      </c>
      <c r="M299" s="64" t="str">
        <f t="array" ref="M299">if($C299="","",_xlfn.xlookup($C299,'Hiker Food'!$C:$C,'Hiker Food'!P:P)*$D299)</f>
        <v/>
      </c>
      <c r="N299" s="64" t="str">
        <f t="array" ref="N299">if($C299="","",_xlfn.xlookup($C299,'Hiker Food'!$C:$C,'Hiker Food'!Q:Q)*$D299)</f>
        <v/>
      </c>
      <c r="O299" s="64" t="str">
        <f t="array" ref="O299">if($C299="","",_xlfn.xlookup($C299,'Hiker Food'!$C:$C,'Hiker Food'!I:I)*$D299)</f>
        <v/>
      </c>
      <c r="P299" s="81" t="str">
        <f t="array" ref="P299">if($C299="","",_xlfn.xlookup($C299,'Hiker Food'!$C:$C,'Hiker Food'!T:T))</f>
        <v/>
      </c>
      <c r="Q299" s="82" t="str">
        <f t="array" ref="Q299">if($C299="","",_xlfn.xlookup($C299,'Hiker Food'!$C:$C,'Hiker Food'!U:U))</f>
        <v/>
      </c>
      <c r="R299" s="82" t="str">
        <f t="array" ref="R299">if($C299="","",_xlfn.xlookup($C299,'Hiker Food'!$C:$C,'Hiker Food'!V:V))</f>
        <v/>
      </c>
      <c r="S299" s="83" t="str">
        <f t="array" ref="S299">if($C299="","",_xlfn.xlookup($C299,'Hiker Food'!$C:$C,'Hiker Food'!W:W))</f>
        <v/>
      </c>
      <c r="T299" s="65"/>
      <c r="U299" s="66"/>
      <c r="V299" s="66"/>
      <c r="W299" s="66"/>
      <c r="X299" s="66"/>
      <c r="Y299" s="66"/>
      <c r="Z299" s="66"/>
      <c r="AA299" s="66"/>
      <c r="AB299" s="66"/>
      <c r="AC299" s="67"/>
    </row>
    <row r="300">
      <c r="A300" s="52"/>
      <c r="B300" s="68" t="s">
        <v>366</v>
      </c>
      <c r="C300" s="90"/>
      <c r="D300" s="70">
        <v>1.0</v>
      </c>
      <c r="E300" s="71" t="str">
        <f t="array" ref="E300">if(C300="","",_xlfn.xlookup(C300,'Hiker Food'!$C:$C,'Hiker Food'!G:G)*D300)</f>
        <v/>
      </c>
      <c r="F300" s="42" t="str">
        <f t="array" ref="F300">if(C300="","",_xlfn.xlookup(C300,'Hiker Food'!$C:$C,'Hiker Food'!H:H)*D300)</f>
        <v/>
      </c>
      <c r="G300" s="72" t="str">
        <f t="array" ref="G300">if($C300="","",_xlfn.xlookup($C300,'Hiker Food'!$C:$C,'Hiker Food'!J:J)*$D300)</f>
        <v/>
      </c>
      <c r="H300" s="72" t="str">
        <f t="array" ref="H300">if($C300="","",_xlfn.xlookup($C300,'Hiker Food'!$C:$C,'Hiker Food'!K:K)*$D300)</f>
        <v/>
      </c>
      <c r="I300" s="72" t="str">
        <f t="array" ref="I300">if($C300="","",_xlfn.xlookup($C300,'Hiker Food'!$C:$C,'Hiker Food'!L:L)*$D300)</f>
        <v/>
      </c>
      <c r="J300" s="72" t="str">
        <f t="array" ref="J300">if($C300="","",_xlfn.xlookup($C300,'Hiker Food'!$C:$C,'Hiker Food'!M:M)*$D300)</f>
        <v/>
      </c>
      <c r="K300" s="72" t="str">
        <f t="array" ref="K300">if($C300="","",_xlfn.xlookup($C300,'Hiker Food'!$C:$C,'Hiker Food'!N:N)*$D300)</f>
        <v/>
      </c>
      <c r="L300" s="72" t="str">
        <f t="array" ref="L300">if($C300="","",_xlfn.xlookup($C300,'Hiker Food'!$C:$C,'Hiker Food'!O:O)*$D300)</f>
        <v/>
      </c>
      <c r="M300" s="72" t="str">
        <f t="array" ref="M300">if($C300="","",_xlfn.xlookup($C300,'Hiker Food'!$C:$C,'Hiker Food'!P:P)*$D300)</f>
        <v/>
      </c>
      <c r="N300" s="72" t="str">
        <f t="array" ref="N300">if($C300="","",_xlfn.xlookup($C300,'Hiker Food'!$C:$C,'Hiker Food'!Q:Q)*$D300)</f>
        <v/>
      </c>
      <c r="O300" s="72" t="str">
        <f t="array" ref="O300">if($C300="","",_xlfn.xlookup($C300,'Hiker Food'!$C:$C,'Hiker Food'!I:I)*$D300)</f>
        <v/>
      </c>
      <c r="P300" s="71" t="str">
        <f t="array" ref="P300">if($C300="","",_xlfn.xlookup($C300,'Hiker Food'!$C:$C,'Hiker Food'!T:T))</f>
        <v/>
      </c>
      <c r="Q300" s="73" t="str">
        <f t="array" ref="Q300">if($C300="","",_xlfn.xlookup($C300,'Hiker Food'!$C:$C,'Hiker Food'!U:U))</f>
        <v/>
      </c>
      <c r="R300" s="73" t="str">
        <f t="array" ref="R300">if($C300="","",_xlfn.xlookup($C300,'Hiker Food'!$C:$C,'Hiker Food'!V:V))</f>
        <v/>
      </c>
      <c r="S300" s="74" t="str">
        <f t="array" ref="S300">if($C300="","",_xlfn.xlookup($C300,'Hiker Food'!$C:$C,'Hiker Food'!W:W))</f>
        <v/>
      </c>
      <c r="T300" s="87" t="s">
        <v>366</v>
      </c>
      <c r="U300" s="76" t="str">
        <f>if(C300="","",Y300/V300)</f>
        <v/>
      </c>
      <c r="V300" s="96" t="str">
        <f>if($C300="","",sum(E300:E302))</f>
        <v/>
      </c>
      <c r="W300" s="77" t="str">
        <f>if($C300="","",$Y300/X300)</f>
        <v/>
      </c>
      <c r="X300" s="96" t="str">
        <f>if($C300="","",sum(F300:F302))</f>
        <v/>
      </c>
      <c r="Y300" s="96" t="str">
        <f>if($C300="","",sum(O300:O302))</f>
        <v/>
      </c>
      <c r="Z300" s="77" t="str">
        <f>if($C300="","",(sum(J300:J302)/sum(N300:N302)))</f>
        <v/>
      </c>
      <c r="AA300" s="78" t="str">
        <f>if($C300="","",sum(G300:G302)*9/sum(sum(G300:G302)*9+sum(J300:J302)*4+sum(N300:N302)*4))</f>
        <v/>
      </c>
      <c r="AB300" s="78" t="str">
        <f>if($C300="","",sum(L300:L302)*4/sum(sum(G300:G302)*9+sum(J300:J302)*4+sum(N300:N302)*4))</f>
        <v/>
      </c>
      <c r="AC300" s="79" t="str">
        <f>if($C300="","",(sum(H300:H302)/sum(O300:O302)))</f>
        <v/>
      </c>
    </row>
    <row r="301">
      <c r="A301" s="52"/>
      <c r="B301" s="53"/>
      <c r="C301" s="93"/>
      <c r="D301" s="55">
        <v>1.0</v>
      </c>
      <c r="E301" s="56" t="str">
        <f t="array" ref="E301">if(C301="","",_xlfn.xlookup(C301,'Hiker Food'!$C:$C,'Hiker Food'!G:G)*D301)</f>
        <v/>
      </c>
      <c r="F301" s="42" t="str">
        <f t="array" ref="F301">if(C301="","",_xlfn.xlookup(C301,'Hiker Food'!$C:$C,'Hiker Food'!H:H)*D301)</f>
        <v/>
      </c>
      <c r="G301" s="42" t="str">
        <f t="array" ref="G301">if($C301="","",_xlfn.xlookup($C301,'Hiker Food'!$C:$C,'Hiker Food'!J:J)*$D301)</f>
        <v/>
      </c>
      <c r="H301" s="42" t="str">
        <f t="array" ref="H301">if($C301="","",_xlfn.xlookup($C301,'Hiker Food'!$C:$C,'Hiker Food'!K:K)*$D301)</f>
        <v/>
      </c>
      <c r="I301" s="42" t="str">
        <f t="array" ref="I301">if($C301="","",_xlfn.xlookup($C301,'Hiker Food'!$C:$C,'Hiker Food'!L:L)*$D301)</f>
        <v/>
      </c>
      <c r="J301" s="42" t="str">
        <f t="array" ref="J301">if($C301="","",_xlfn.xlookup($C301,'Hiker Food'!$C:$C,'Hiker Food'!M:M)*$D301)</f>
        <v/>
      </c>
      <c r="K301" s="42" t="str">
        <f t="array" ref="K301">if($C301="","",_xlfn.xlookup($C301,'Hiker Food'!$C:$C,'Hiker Food'!N:N)*$D301)</f>
        <v/>
      </c>
      <c r="L301" s="42" t="str">
        <f t="array" ref="L301">if($C301="","",_xlfn.xlookup($C301,'Hiker Food'!$C:$C,'Hiker Food'!O:O)*$D301)</f>
        <v/>
      </c>
      <c r="M301" s="42" t="str">
        <f t="array" ref="M301">if($C301="","",_xlfn.xlookup($C301,'Hiker Food'!$C:$C,'Hiker Food'!P:P)*$D301)</f>
        <v/>
      </c>
      <c r="N301" s="42" t="str">
        <f t="array" ref="N301">if($C301="","",_xlfn.xlookup($C301,'Hiker Food'!$C:$C,'Hiker Food'!Q:Q)*$D301)</f>
        <v/>
      </c>
      <c r="O301" s="42" t="str">
        <f t="array" ref="O301">if($C301="","",_xlfn.xlookup($C301,'Hiker Food'!$C:$C,'Hiker Food'!I:I)*$D301)</f>
        <v/>
      </c>
      <c r="P301" s="56" t="str">
        <f t="array" ref="P301">if($C301="","",_xlfn.xlookup($C301,'Hiker Food'!$C:$C,'Hiker Food'!T:T))</f>
        <v/>
      </c>
      <c r="Q301" s="57" t="str">
        <f t="array" ref="Q301">if($C301="","",_xlfn.xlookup($C301,'Hiker Food'!$C:$C,'Hiker Food'!U:U))</f>
        <v/>
      </c>
      <c r="R301" s="57" t="str">
        <f t="array" ref="R301">if($C301="","",_xlfn.xlookup($C301,'Hiker Food'!$C:$C,'Hiker Food'!V:V))</f>
        <v/>
      </c>
      <c r="S301" s="58" t="str">
        <f t="array" ref="S301">if($C301="","",_xlfn.xlookup($C301,'Hiker Food'!$C:$C,'Hiker Food'!W:W))</f>
        <v/>
      </c>
      <c r="T301" s="59"/>
      <c r="AC301" s="60"/>
    </row>
    <row r="302">
      <c r="A302" s="52"/>
      <c r="B302" s="61"/>
      <c r="C302" s="54"/>
      <c r="D302" s="63">
        <v>1.0</v>
      </c>
      <c r="E302" s="81" t="str">
        <f t="array" ref="E302">if(C302="","",_xlfn.xlookup(C302,'Hiker Food'!$C:$C,'Hiker Food'!G:G)*D302)</f>
        <v/>
      </c>
      <c r="F302" s="64" t="str">
        <f t="array" ref="F302">if(C302="","",_xlfn.xlookup(C302,'Hiker Food'!$C:$C,'Hiker Food'!H:H)*D302)</f>
        <v/>
      </c>
      <c r="G302" s="64" t="str">
        <f t="array" ref="G302">if($C302="","",_xlfn.xlookup($C302,'Hiker Food'!$C:$C,'Hiker Food'!J:J)*$D302)</f>
        <v/>
      </c>
      <c r="H302" s="64" t="str">
        <f t="array" ref="H302">if($C302="","",_xlfn.xlookup($C302,'Hiker Food'!$C:$C,'Hiker Food'!K:K)*$D302)</f>
        <v/>
      </c>
      <c r="I302" s="64" t="str">
        <f t="array" ref="I302">if($C302="","",_xlfn.xlookup($C302,'Hiker Food'!$C:$C,'Hiker Food'!L:L)*$D302)</f>
        <v/>
      </c>
      <c r="J302" s="64" t="str">
        <f t="array" ref="J302">if($C302="","",_xlfn.xlookup($C302,'Hiker Food'!$C:$C,'Hiker Food'!M:M)*$D302)</f>
        <v/>
      </c>
      <c r="K302" s="64" t="str">
        <f t="array" ref="K302">if($C302="","",_xlfn.xlookup($C302,'Hiker Food'!$C:$C,'Hiker Food'!N:N)*$D302)</f>
        <v/>
      </c>
      <c r="L302" s="64" t="str">
        <f t="array" ref="L302">if($C302="","",_xlfn.xlookup($C302,'Hiker Food'!$C:$C,'Hiker Food'!O:O)*$D302)</f>
        <v/>
      </c>
      <c r="M302" s="64" t="str">
        <f t="array" ref="M302">if($C302="","",_xlfn.xlookup($C302,'Hiker Food'!$C:$C,'Hiker Food'!P:P)*$D302)</f>
        <v/>
      </c>
      <c r="N302" s="64" t="str">
        <f t="array" ref="N302">if($C302="","",_xlfn.xlookup($C302,'Hiker Food'!$C:$C,'Hiker Food'!Q:Q)*$D302)</f>
        <v/>
      </c>
      <c r="O302" s="64" t="str">
        <f t="array" ref="O302">if($C302="","",_xlfn.xlookup($C302,'Hiker Food'!$C:$C,'Hiker Food'!I:I)*$D302)</f>
        <v/>
      </c>
      <c r="P302" s="81" t="str">
        <f t="array" ref="P302">if($C302="","",_xlfn.xlookup($C302,'Hiker Food'!$C:$C,'Hiker Food'!T:T))</f>
        <v/>
      </c>
      <c r="Q302" s="82" t="str">
        <f t="array" ref="Q302">if($C302="","",_xlfn.xlookup($C302,'Hiker Food'!$C:$C,'Hiker Food'!U:U))</f>
        <v/>
      </c>
      <c r="R302" s="82" t="str">
        <f t="array" ref="R302">if($C302="","",_xlfn.xlookup($C302,'Hiker Food'!$C:$C,'Hiker Food'!V:V))</f>
        <v/>
      </c>
      <c r="S302" s="83" t="str">
        <f t="array" ref="S302">if($C302="","",_xlfn.xlookup($C302,'Hiker Food'!$C:$C,'Hiker Food'!W:W))</f>
        <v/>
      </c>
      <c r="T302" s="65"/>
      <c r="U302" s="66"/>
      <c r="V302" s="66"/>
      <c r="W302" s="66"/>
      <c r="X302" s="66"/>
      <c r="Y302" s="66"/>
      <c r="Z302" s="66"/>
      <c r="AA302" s="66"/>
      <c r="AB302" s="66"/>
      <c r="AC302" s="67"/>
    </row>
    <row r="303">
      <c r="A303" s="52"/>
      <c r="B303" s="94" t="s">
        <v>424</v>
      </c>
      <c r="C303" s="90"/>
      <c r="D303" s="70">
        <v>1.0</v>
      </c>
      <c r="E303" s="71" t="str">
        <f t="array" ref="E303">if(C303="","",_xlfn.xlookup(C303,'Hiker Food'!$C:$C,'Hiker Food'!G:G)*D303)</f>
        <v/>
      </c>
      <c r="F303" s="42" t="str">
        <f t="array" ref="F303">if(C303="","",_xlfn.xlookup(C303,'Hiker Food'!$C:$C,'Hiker Food'!H:H)*D303)</f>
        <v/>
      </c>
      <c r="G303" s="72" t="str">
        <f t="array" ref="G303">if($C303="","",_xlfn.xlookup($C303,'Hiker Food'!$C:$C,'Hiker Food'!J:J)*$D303)</f>
        <v/>
      </c>
      <c r="H303" s="72" t="str">
        <f t="array" ref="H303">if($C303="","",_xlfn.xlookup($C303,'Hiker Food'!$C:$C,'Hiker Food'!K:K)*$D303)</f>
        <v/>
      </c>
      <c r="I303" s="72" t="str">
        <f t="array" ref="I303">if($C303="","",_xlfn.xlookup($C303,'Hiker Food'!$C:$C,'Hiker Food'!L:L)*$D303)</f>
        <v/>
      </c>
      <c r="J303" s="72" t="str">
        <f t="array" ref="J303">if($C303="","",_xlfn.xlookup($C303,'Hiker Food'!$C:$C,'Hiker Food'!M:M)*$D303)</f>
        <v/>
      </c>
      <c r="K303" s="72" t="str">
        <f t="array" ref="K303">if($C303="","",_xlfn.xlookup($C303,'Hiker Food'!$C:$C,'Hiker Food'!N:N)*$D303)</f>
        <v/>
      </c>
      <c r="L303" s="72" t="str">
        <f t="array" ref="L303">if($C303="","",_xlfn.xlookup($C303,'Hiker Food'!$C:$C,'Hiker Food'!O:O)*$D303)</f>
        <v/>
      </c>
      <c r="M303" s="72" t="str">
        <f t="array" ref="M303">if($C303="","",_xlfn.xlookup($C303,'Hiker Food'!$C:$C,'Hiker Food'!P:P)*$D303)</f>
        <v/>
      </c>
      <c r="N303" s="72" t="str">
        <f t="array" ref="N303">if($C303="","",_xlfn.xlookup($C303,'Hiker Food'!$C:$C,'Hiker Food'!Q:Q)*$D303)</f>
        <v/>
      </c>
      <c r="O303" s="72" t="str">
        <f t="array" ref="O303">if($C303="","",_xlfn.xlookup($C303,'Hiker Food'!$C:$C,'Hiker Food'!I:I)*$D303)</f>
        <v/>
      </c>
      <c r="P303" s="71" t="str">
        <f t="array" ref="P303">if($C303="","",_xlfn.xlookup($C303,'Hiker Food'!$C:$C,'Hiker Food'!T:T))</f>
        <v/>
      </c>
      <c r="Q303" s="73" t="str">
        <f t="array" ref="Q303">if($C303="","",_xlfn.xlookup($C303,'Hiker Food'!$C:$C,'Hiker Food'!U:U))</f>
        <v/>
      </c>
      <c r="R303" s="73" t="str">
        <f t="array" ref="R303">if($C303="","",_xlfn.xlookup($C303,'Hiker Food'!$C:$C,'Hiker Food'!V:V))</f>
        <v/>
      </c>
      <c r="S303" s="74" t="str">
        <f t="array" ref="S303">if($C303="","",_xlfn.xlookup($C303,'Hiker Food'!$C:$C,'Hiker Food'!W:W))</f>
        <v/>
      </c>
      <c r="T303" s="95" t="s">
        <v>424</v>
      </c>
      <c r="U303" s="76" t="str">
        <f>if(C303="","",Y303/V303)</f>
        <v/>
      </c>
      <c r="V303" s="96" t="str">
        <f>if($C303="","",sum(E303:E305))</f>
        <v/>
      </c>
      <c r="W303" s="77" t="str">
        <f>if($C303="","",$Y303/X303)</f>
        <v/>
      </c>
      <c r="X303" s="96" t="str">
        <f>if($C303="","",sum(F303:F305))</f>
        <v/>
      </c>
      <c r="Y303" s="96" t="str">
        <f>if($C303="","",sum(O303:O305))</f>
        <v/>
      </c>
      <c r="Z303" s="77" t="str">
        <f>if($C303="","",(sum(J303:J305)/sum(N303:N305)))</f>
        <v/>
      </c>
      <c r="AA303" s="78" t="str">
        <f>if($C303="","",sum(G303:G305)*9/sum(sum(G303:G305)*9+sum(J303:J305)*4+sum(N303:N305)*4))</f>
        <v/>
      </c>
      <c r="AB303" s="78" t="str">
        <f>if($C303="","",sum(L303:L305)*4/sum(sum(G303:G305)*9+sum(J303:J305)*4+sum(N303:N305)*4))</f>
        <v/>
      </c>
      <c r="AC303" s="79" t="str">
        <f>if($C303="","",(sum(H303:H305)/sum(O303:O305)))</f>
        <v/>
      </c>
    </row>
    <row r="304">
      <c r="A304" s="52"/>
      <c r="B304" s="53"/>
      <c r="C304" s="54"/>
      <c r="D304" s="55">
        <v>1.0</v>
      </c>
      <c r="E304" s="56" t="str">
        <f t="array" ref="E304">if(C304="","",_xlfn.xlookup(C304,'Hiker Food'!$C:$C,'Hiker Food'!G:G)*D304)</f>
        <v/>
      </c>
      <c r="F304" s="42" t="str">
        <f t="array" ref="F304">if(C304="","",_xlfn.xlookup(C304,'Hiker Food'!$C:$C,'Hiker Food'!H:H)*D304)</f>
        <v/>
      </c>
      <c r="G304" s="42" t="str">
        <f t="array" ref="G304">if($C304="","",_xlfn.xlookup($C304,'Hiker Food'!$C:$C,'Hiker Food'!J:J)*$D304)</f>
        <v/>
      </c>
      <c r="H304" s="42" t="str">
        <f t="array" ref="H304">if($C304="","",_xlfn.xlookup($C304,'Hiker Food'!$C:$C,'Hiker Food'!K:K)*$D304)</f>
        <v/>
      </c>
      <c r="I304" s="42" t="str">
        <f t="array" ref="I304">if($C304="","",_xlfn.xlookup($C304,'Hiker Food'!$C:$C,'Hiker Food'!L:L)*$D304)</f>
        <v/>
      </c>
      <c r="J304" s="42" t="str">
        <f t="array" ref="J304">if($C304="","",_xlfn.xlookup($C304,'Hiker Food'!$C:$C,'Hiker Food'!M:M)*$D304)</f>
        <v/>
      </c>
      <c r="K304" s="42" t="str">
        <f t="array" ref="K304">if($C304="","",_xlfn.xlookup($C304,'Hiker Food'!$C:$C,'Hiker Food'!N:N)*$D304)</f>
        <v/>
      </c>
      <c r="L304" s="42" t="str">
        <f t="array" ref="L304">if($C304="","",_xlfn.xlookup($C304,'Hiker Food'!$C:$C,'Hiker Food'!O:O)*$D304)</f>
        <v/>
      </c>
      <c r="M304" s="42" t="str">
        <f t="array" ref="M304">if($C304="","",_xlfn.xlookup($C304,'Hiker Food'!$C:$C,'Hiker Food'!P:P)*$D304)</f>
        <v/>
      </c>
      <c r="N304" s="42" t="str">
        <f t="array" ref="N304">if($C304="","",_xlfn.xlookup($C304,'Hiker Food'!$C:$C,'Hiker Food'!Q:Q)*$D304)</f>
        <v/>
      </c>
      <c r="O304" s="42" t="str">
        <f t="array" ref="O304">if($C304="","",_xlfn.xlookup($C304,'Hiker Food'!$C:$C,'Hiker Food'!I:I)*$D304)</f>
        <v/>
      </c>
      <c r="P304" s="56" t="str">
        <f t="array" ref="P304">if($C304="","",_xlfn.xlookup($C304,'Hiker Food'!$C:$C,'Hiker Food'!T:T))</f>
        <v/>
      </c>
      <c r="Q304" s="57" t="str">
        <f t="array" ref="Q304">if($C304="","",_xlfn.xlookup($C304,'Hiker Food'!$C:$C,'Hiker Food'!U:U))</f>
        <v/>
      </c>
      <c r="R304" s="57" t="str">
        <f t="array" ref="R304">if($C304="","",_xlfn.xlookup($C304,'Hiker Food'!$C:$C,'Hiker Food'!V:V))</f>
        <v/>
      </c>
      <c r="S304" s="58" t="str">
        <f t="array" ref="S304">if($C304="","",_xlfn.xlookup($C304,'Hiker Food'!$C:$C,'Hiker Food'!W:W))</f>
        <v/>
      </c>
      <c r="T304" s="59"/>
      <c r="AC304" s="60"/>
    </row>
    <row r="305">
      <c r="A305" s="52"/>
      <c r="B305" s="61"/>
      <c r="C305" s="54"/>
      <c r="D305" s="63">
        <v>1.0</v>
      </c>
      <c r="E305" s="81" t="str">
        <f t="array" ref="E305">if(C305="","",_xlfn.xlookup(C305,'Hiker Food'!$C:$C,'Hiker Food'!G:G)*D305)</f>
        <v/>
      </c>
      <c r="F305" s="64" t="str">
        <f t="array" ref="F305">if(C305="","",_xlfn.xlookup(C305,'Hiker Food'!$C:$C,'Hiker Food'!H:H)*D305)</f>
        <v/>
      </c>
      <c r="G305" s="64" t="str">
        <f t="array" ref="G305">if($C305="","",_xlfn.xlookup($C305,'Hiker Food'!$C:$C,'Hiker Food'!J:J)*$D305)</f>
        <v/>
      </c>
      <c r="H305" s="64" t="str">
        <f t="array" ref="H305">if($C305="","",_xlfn.xlookup($C305,'Hiker Food'!$C:$C,'Hiker Food'!K:K)*$D305)</f>
        <v/>
      </c>
      <c r="I305" s="64" t="str">
        <f t="array" ref="I305">if($C305="","",_xlfn.xlookup($C305,'Hiker Food'!$C:$C,'Hiker Food'!L:L)*$D305)</f>
        <v/>
      </c>
      <c r="J305" s="64" t="str">
        <f t="array" ref="J305">if($C305="","",_xlfn.xlookup($C305,'Hiker Food'!$C:$C,'Hiker Food'!M:M)*$D305)</f>
        <v/>
      </c>
      <c r="K305" s="64" t="str">
        <f t="array" ref="K305">if($C305="","",_xlfn.xlookup($C305,'Hiker Food'!$C:$C,'Hiker Food'!N:N)*$D305)</f>
        <v/>
      </c>
      <c r="L305" s="64" t="str">
        <f t="array" ref="L305">if($C305="","",_xlfn.xlookup($C305,'Hiker Food'!$C:$C,'Hiker Food'!O:O)*$D305)</f>
        <v/>
      </c>
      <c r="M305" s="64" t="str">
        <f t="array" ref="M305">if($C305="","",_xlfn.xlookup($C305,'Hiker Food'!$C:$C,'Hiker Food'!P:P)*$D305)</f>
        <v/>
      </c>
      <c r="N305" s="64" t="str">
        <f t="array" ref="N305">if($C305="","",_xlfn.xlookup($C305,'Hiker Food'!$C:$C,'Hiker Food'!Q:Q)*$D305)</f>
        <v/>
      </c>
      <c r="O305" s="64" t="str">
        <f t="array" ref="O305">if($C305="","",_xlfn.xlookup($C305,'Hiker Food'!$C:$C,'Hiker Food'!I:I)*$D305)</f>
        <v/>
      </c>
      <c r="P305" s="81" t="str">
        <f t="array" ref="P305">if($C305="","",_xlfn.xlookup($C305,'Hiker Food'!$C:$C,'Hiker Food'!T:T))</f>
        <v/>
      </c>
      <c r="Q305" s="82" t="str">
        <f t="array" ref="Q305">if($C305="","",_xlfn.xlookup($C305,'Hiker Food'!$C:$C,'Hiker Food'!U:U))</f>
        <v/>
      </c>
      <c r="R305" s="82" t="str">
        <f t="array" ref="R305">if($C305="","",_xlfn.xlookup($C305,'Hiker Food'!$C:$C,'Hiker Food'!V:V))</f>
        <v/>
      </c>
      <c r="S305" s="83" t="str">
        <f t="array" ref="S305">if($C305="","",_xlfn.xlookup($C305,'Hiker Food'!$C:$C,'Hiker Food'!W:W))</f>
        <v/>
      </c>
      <c r="T305" s="65"/>
      <c r="U305" s="66"/>
      <c r="V305" s="66"/>
      <c r="W305" s="66"/>
      <c r="X305" s="66"/>
      <c r="Y305" s="66"/>
      <c r="Z305" s="66"/>
      <c r="AA305" s="66"/>
      <c r="AB305" s="66"/>
      <c r="AC305" s="67"/>
    </row>
    <row r="306">
      <c r="A306" s="52"/>
      <c r="B306" s="94" t="s">
        <v>478</v>
      </c>
      <c r="C306" s="90"/>
      <c r="D306" s="70">
        <v>1.0</v>
      </c>
      <c r="E306" s="71" t="str">
        <f t="array" ref="E306">if(C306="","",_xlfn.xlookup(C306,'Hiker Food'!$C:$C,'Hiker Food'!G:G)*D306)</f>
        <v/>
      </c>
      <c r="F306" s="42" t="str">
        <f t="array" ref="F306">if(C306="","",_xlfn.xlookup(C306,'Hiker Food'!$C:$C,'Hiker Food'!H:H)*D306)</f>
        <v/>
      </c>
      <c r="G306" s="72" t="str">
        <f t="array" ref="G306">if($C306="","",_xlfn.xlookup($C306,'Hiker Food'!$C:$C,'Hiker Food'!J:J)*$D306)</f>
        <v/>
      </c>
      <c r="H306" s="72" t="str">
        <f t="array" ref="H306">if($C306="","",_xlfn.xlookup($C306,'Hiker Food'!$C:$C,'Hiker Food'!K:K)*$D306)</f>
        <v/>
      </c>
      <c r="I306" s="72" t="str">
        <f t="array" ref="I306">if($C306="","",_xlfn.xlookup($C306,'Hiker Food'!$C:$C,'Hiker Food'!L:L)*$D306)</f>
        <v/>
      </c>
      <c r="J306" s="72" t="str">
        <f t="array" ref="J306">if($C306="","",_xlfn.xlookup($C306,'Hiker Food'!$C:$C,'Hiker Food'!M:M)*$D306)</f>
        <v/>
      </c>
      <c r="K306" s="72" t="str">
        <f t="array" ref="K306">if($C306="","",_xlfn.xlookup($C306,'Hiker Food'!$C:$C,'Hiker Food'!N:N)*$D306)</f>
        <v/>
      </c>
      <c r="L306" s="72" t="str">
        <f t="array" ref="L306">if($C306="","",_xlfn.xlookup($C306,'Hiker Food'!$C:$C,'Hiker Food'!O:O)*$D306)</f>
        <v/>
      </c>
      <c r="M306" s="72" t="str">
        <f t="array" ref="M306">if($C306="","",_xlfn.xlookup($C306,'Hiker Food'!$C:$C,'Hiker Food'!P:P)*$D306)</f>
        <v/>
      </c>
      <c r="N306" s="72" t="str">
        <f t="array" ref="N306">if($C306="","",_xlfn.xlookup($C306,'Hiker Food'!$C:$C,'Hiker Food'!Q:Q)*$D306)</f>
        <v/>
      </c>
      <c r="O306" s="72" t="str">
        <f t="array" ref="O306">if($C306="","",_xlfn.xlookup($C306,'Hiker Food'!$C:$C,'Hiker Food'!I:I)*$D306)</f>
        <v/>
      </c>
      <c r="P306" s="71" t="str">
        <f t="array" ref="P306">if($C306="","",_xlfn.xlookup($C306,'Hiker Food'!$C:$C,'Hiker Food'!T:T))</f>
        <v/>
      </c>
      <c r="Q306" s="73" t="str">
        <f t="array" ref="Q306">if($C306="","",_xlfn.xlookup($C306,'Hiker Food'!$C:$C,'Hiker Food'!U:U))</f>
        <v/>
      </c>
      <c r="R306" s="73" t="str">
        <f t="array" ref="R306">if($C306="","",_xlfn.xlookup($C306,'Hiker Food'!$C:$C,'Hiker Food'!V:V))</f>
        <v/>
      </c>
      <c r="S306" s="74" t="str">
        <f t="array" ref="S306">if($C306="","",_xlfn.xlookup($C306,'Hiker Food'!$C:$C,'Hiker Food'!W:W))</f>
        <v/>
      </c>
      <c r="T306" s="95" t="s">
        <v>478</v>
      </c>
      <c r="U306" s="76" t="str">
        <f>if(C306="","",Y306/V306)</f>
        <v/>
      </c>
      <c r="V306" s="96" t="str">
        <f>if($C306="","",sum(E306:E308))</f>
        <v/>
      </c>
      <c r="W306" s="77" t="str">
        <f>if($C306="","",$Y306/X306)</f>
        <v/>
      </c>
      <c r="X306" s="96" t="str">
        <f>if($C306="","",sum(F306:F308))</f>
        <v/>
      </c>
      <c r="Y306" s="96" t="str">
        <f>if($C306="","",sum(O306:O308))</f>
        <v/>
      </c>
      <c r="Z306" s="77" t="str">
        <f>if($C306="","",(sum(J306:J308)/sum(N306:N308)))</f>
        <v/>
      </c>
      <c r="AA306" s="78" t="str">
        <f>if($C306="","",sum(G306:G308)*9/sum(sum(G306:G308)*9+sum(J306:J308)*4+sum(N306:N308)*4))</f>
        <v/>
      </c>
      <c r="AB306" s="78" t="str">
        <f>if($C306="","",sum(L306:L308)*4/sum(sum(G306:G308)*9+sum(J306:J308)*4+sum(N306:N308)*4))</f>
        <v/>
      </c>
      <c r="AC306" s="79" t="str">
        <f>if($C306="","",(sum(H306:H308)/sum(O306:O308)))</f>
        <v/>
      </c>
    </row>
    <row r="307">
      <c r="A307" s="52"/>
      <c r="B307" s="53"/>
      <c r="C307" s="93"/>
      <c r="D307" s="55">
        <v>1.0</v>
      </c>
      <c r="E307" s="56" t="str">
        <f t="array" ref="E307">if(C307="","",_xlfn.xlookup(C307,'Hiker Food'!$C:$C,'Hiker Food'!G:G)*D307)</f>
        <v/>
      </c>
      <c r="F307" s="42" t="str">
        <f t="array" ref="F307">if(C307="","",_xlfn.xlookup(C307,'Hiker Food'!$C:$C,'Hiker Food'!H:H)*D307)</f>
        <v/>
      </c>
      <c r="G307" s="42" t="str">
        <f t="array" ref="G307">if($C307="","",_xlfn.xlookup($C307,'Hiker Food'!$C:$C,'Hiker Food'!J:J)*$D307)</f>
        <v/>
      </c>
      <c r="H307" s="42" t="str">
        <f t="array" ref="H307">if($C307="","",_xlfn.xlookup($C307,'Hiker Food'!$C:$C,'Hiker Food'!K:K)*$D307)</f>
        <v/>
      </c>
      <c r="I307" s="42" t="str">
        <f t="array" ref="I307">if($C307="","",_xlfn.xlookup($C307,'Hiker Food'!$C:$C,'Hiker Food'!L:L)*$D307)</f>
        <v/>
      </c>
      <c r="J307" s="42" t="str">
        <f t="array" ref="J307">if($C307="","",_xlfn.xlookup($C307,'Hiker Food'!$C:$C,'Hiker Food'!M:M)*$D307)</f>
        <v/>
      </c>
      <c r="K307" s="42" t="str">
        <f t="array" ref="K307">if($C307="","",_xlfn.xlookup($C307,'Hiker Food'!$C:$C,'Hiker Food'!N:N)*$D307)</f>
        <v/>
      </c>
      <c r="L307" s="42" t="str">
        <f t="array" ref="L307">if($C307="","",_xlfn.xlookup($C307,'Hiker Food'!$C:$C,'Hiker Food'!O:O)*$D307)</f>
        <v/>
      </c>
      <c r="M307" s="42" t="str">
        <f t="array" ref="M307">if($C307="","",_xlfn.xlookup($C307,'Hiker Food'!$C:$C,'Hiker Food'!P:P)*$D307)</f>
        <v/>
      </c>
      <c r="N307" s="42" t="str">
        <f t="array" ref="N307">if($C307="","",_xlfn.xlookup($C307,'Hiker Food'!$C:$C,'Hiker Food'!Q:Q)*$D307)</f>
        <v/>
      </c>
      <c r="O307" s="42" t="str">
        <f t="array" ref="O307">if($C307="","",_xlfn.xlookup($C307,'Hiker Food'!$C:$C,'Hiker Food'!I:I)*$D307)</f>
        <v/>
      </c>
      <c r="P307" s="56" t="str">
        <f t="array" ref="P307">if($C307="","",_xlfn.xlookup($C307,'Hiker Food'!$C:$C,'Hiker Food'!T:T))</f>
        <v/>
      </c>
      <c r="Q307" s="57" t="str">
        <f t="array" ref="Q307">if($C307="","",_xlfn.xlookup($C307,'Hiker Food'!$C:$C,'Hiker Food'!U:U))</f>
        <v/>
      </c>
      <c r="R307" s="57" t="str">
        <f t="array" ref="R307">if($C307="","",_xlfn.xlookup($C307,'Hiker Food'!$C:$C,'Hiker Food'!V:V))</f>
        <v/>
      </c>
      <c r="S307" s="58" t="str">
        <f t="array" ref="S307">if($C307="","",_xlfn.xlookup($C307,'Hiker Food'!$C:$C,'Hiker Food'!W:W))</f>
        <v/>
      </c>
      <c r="T307" s="59"/>
      <c r="AC307" s="60"/>
    </row>
    <row r="308">
      <c r="A308" s="52"/>
      <c r="B308" s="61"/>
      <c r="C308" s="62"/>
      <c r="D308" s="63">
        <v>1.0</v>
      </c>
      <c r="E308" s="81" t="str">
        <f t="array" ref="E308">if(C308="","",_xlfn.xlookup(C308,'Hiker Food'!$C:$C,'Hiker Food'!G:G)*D308)</f>
        <v/>
      </c>
      <c r="F308" s="64" t="str">
        <f t="array" ref="F308">if(C308="","",_xlfn.xlookup(C308,'Hiker Food'!$C:$C,'Hiker Food'!H:H)*D308)</f>
        <v/>
      </c>
      <c r="G308" s="64" t="str">
        <f t="array" ref="G308">if($C308="","",_xlfn.xlookup($C308,'Hiker Food'!$C:$C,'Hiker Food'!J:J)*$D308)</f>
        <v/>
      </c>
      <c r="H308" s="64" t="str">
        <f t="array" ref="H308">if($C308="","",_xlfn.xlookup($C308,'Hiker Food'!$C:$C,'Hiker Food'!K:K)*$D308)</f>
        <v/>
      </c>
      <c r="I308" s="64" t="str">
        <f t="array" ref="I308">if($C308="","",_xlfn.xlookup($C308,'Hiker Food'!$C:$C,'Hiker Food'!L:L)*$D308)</f>
        <v/>
      </c>
      <c r="J308" s="64" t="str">
        <f t="array" ref="J308">if($C308="","",_xlfn.xlookup($C308,'Hiker Food'!$C:$C,'Hiker Food'!M:M)*$D308)</f>
        <v/>
      </c>
      <c r="K308" s="64" t="str">
        <f t="array" ref="K308">if($C308="","",_xlfn.xlookup($C308,'Hiker Food'!$C:$C,'Hiker Food'!N:N)*$D308)</f>
        <v/>
      </c>
      <c r="L308" s="64" t="str">
        <f t="array" ref="L308">if($C308="","",_xlfn.xlookup($C308,'Hiker Food'!$C:$C,'Hiker Food'!O:O)*$D308)</f>
        <v/>
      </c>
      <c r="M308" s="64" t="str">
        <f t="array" ref="M308">if($C308="","",_xlfn.xlookup($C308,'Hiker Food'!$C:$C,'Hiker Food'!P:P)*$D308)</f>
        <v/>
      </c>
      <c r="N308" s="64" t="str">
        <f t="array" ref="N308">if($C308="","",_xlfn.xlookup($C308,'Hiker Food'!$C:$C,'Hiker Food'!Q:Q)*$D308)</f>
        <v/>
      </c>
      <c r="O308" s="64" t="str">
        <f t="array" ref="O308">if($C308="","",_xlfn.xlookup($C308,'Hiker Food'!$C:$C,'Hiker Food'!I:I)*$D308)</f>
        <v/>
      </c>
      <c r="P308" s="81" t="str">
        <f t="array" ref="P308">if($C308="","",_xlfn.xlookup($C308,'Hiker Food'!$C:$C,'Hiker Food'!T:T))</f>
        <v/>
      </c>
      <c r="Q308" s="82" t="str">
        <f t="array" ref="Q308">if($C308="","",_xlfn.xlookup($C308,'Hiker Food'!$C:$C,'Hiker Food'!U:U))</f>
        <v/>
      </c>
      <c r="R308" s="82" t="str">
        <f t="array" ref="R308">if($C308="","",_xlfn.xlookup($C308,'Hiker Food'!$C:$C,'Hiker Food'!V:V))</f>
        <v/>
      </c>
      <c r="S308" s="83" t="str">
        <f t="array" ref="S308">if($C308="","",_xlfn.xlookup($C308,'Hiker Food'!$C:$C,'Hiker Food'!W:W))</f>
        <v/>
      </c>
      <c r="T308" s="65"/>
      <c r="U308" s="66"/>
      <c r="V308" s="66"/>
      <c r="W308" s="66"/>
      <c r="X308" s="66"/>
      <c r="Y308" s="66"/>
      <c r="Z308" s="66"/>
      <c r="AA308" s="66"/>
      <c r="AB308" s="66"/>
      <c r="AC308" s="67"/>
    </row>
    <row r="309">
      <c r="A309" s="97"/>
      <c r="B309" s="98" t="s">
        <v>532</v>
      </c>
      <c r="C309" s="99" t="str">
        <f>IF(COUNTIF(C288:C308,"")=COUNTA(C288:C308), "", "zzzz - subtotal line - ignore")</f>
        <v>zzzz - subtotal line - ignore</v>
      </c>
      <c r="D309" s="99"/>
      <c r="E309" s="100" t="str">
        <f t="shared" ref="E309:O309" si="14">if(counta($C288:$C308)=0,"",SUM(E288:E308))</f>
        <v/>
      </c>
      <c r="F309" s="101" t="str">
        <f t="shared" si="14"/>
        <v/>
      </c>
      <c r="G309" s="101" t="str">
        <f t="shared" si="14"/>
        <v/>
      </c>
      <c r="H309" s="101" t="str">
        <f t="shared" si="14"/>
        <v/>
      </c>
      <c r="I309" s="101" t="str">
        <f t="shared" si="14"/>
        <v/>
      </c>
      <c r="J309" s="101" t="str">
        <f t="shared" si="14"/>
        <v/>
      </c>
      <c r="K309" s="101" t="str">
        <f t="shared" si="14"/>
        <v/>
      </c>
      <c r="L309" s="101" t="str">
        <f t="shared" si="14"/>
        <v/>
      </c>
      <c r="M309" s="101" t="str">
        <f t="shared" si="14"/>
        <v/>
      </c>
      <c r="N309" s="101" t="str">
        <f t="shared" si="14"/>
        <v/>
      </c>
      <c r="O309" s="101" t="str">
        <f t="shared" si="14"/>
        <v/>
      </c>
      <c r="P309" s="102"/>
      <c r="Q309" s="102"/>
      <c r="R309" s="102"/>
      <c r="S309" s="102"/>
      <c r="T309" s="98" t="s">
        <v>532</v>
      </c>
      <c r="U309" s="100"/>
      <c r="V309" s="100" t="str">
        <f>if(counta($C288:$C308)=0,"",SUM(E288:E308))</f>
        <v/>
      </c>
      <c r="W309" s="101"/>
      <c r="X309" s="101" t="str">
        <f>if(counta($C288:$C308)=0,"",SUM(F288:F308))</f>
        <v/>
      </c>
      <c r="Y309" s="101" t="str">
        <f>if(counta($C288:$C308)=0,"",SUM(O288:O308))</f>
        <v/>
      </c>
      <c r="Z309" s="103" t="str">
        <f>if($V309="","",sum(J288:J308)/sum(N288:N308))</f>
        <v/>
      </c>
      <c r="AA309" s="104" t="str">
        <f>if($V309="","",sum(G288:G308)*9/sum(sum(G288:G308)*9+sum(J288:J308)*4+sum(N288:N308)*4))</f>
        <v/>
      </c>
      <c r="AB309" s="104" t="str">
        <f>if($V309="","",sum(L288:L308)*4/sum(sum(G288:G308)*9+sum(J288:J308)*4+sum(N288:N308)*4))</f>
        <v/>
      </c>
      <c r="AC309" s="105" t="str">
        <f>if($V309="","",sum(H288:H308)/sum(O288:O308))</f>
        <v/>
      </c>
    </row>
    <row r="310">
      <c r="A310" s="37">
        <v>15.0</v>
      </c>
      <c r="B310" s="38" t="s">
        <v>92</v>
      </c>
      <c r="C310" s="39"/>
      <c r="D310" s="40">
        <v>1.0</v>
      </c>
      <c r="E310" s="41" t="str">
        <f t="array" ref="E310">if(C310="","",_xlfn.xlookup(C310,'Hiker Food'!$C:$C,'Hiker Food'!G:G)*D310)</f>
        <v/>
      </c>
      <c r="F310" s="42" t="str">
        <f t="array" ref="F310">if(C310="","",_xlfn.xlookup(C310,'Hiker Food'!$C:$C,'Hiker Food'!H:H)*D310)</f>
        <v/>
      </c>
      <c r="G310" s="43" t="str">
        <f t="array" ref="G310">if($C310="","",_xlfn.xlookup($C310,'Hiker Food'!$C:$C,'Hiker Food'!J:J)*$D310)</f>
        <v/>
      </c>
      <c r="H310" s="43" t="str">
        <f t="array" ref="H310">if($C310="","",_xlfn.xlookup($C310,'Hiker Food'!$C:$C,'Hiker Food'!K:K)*$D310)</f>
        <v/>
      </c>
      <c r="I310" s="43" t="str">
        <f t="array" ref="I310">if($C310="","",_xlfn.xlookup($C310,'Hiker Food'!$C:$C,'Hiker Food'!L:L)*$D310)</f>
        <v/>
      </c>
      <c r="J310" s="43" t="str">
        <f t="array" ref="J310">if($C310="","",_xlfn.xlookup($C310,'Hiker Food'!$C:$C,'Hiker Food'!M:M)*$D310)</f>
        <v/>
      </c>
      <c r="K310" s="43" t="str">
        <f t="array" ref="K310">if($C310="","",_xlfn.xlookup($C310,'Hiker Food'!$C:$C,'Hiker Food'!N:N)*$D310)</f>
        <v/>
      </c>
      <c r="L310" s="43" t="str">
        <f t="array" ref="L310">if($C310="","",_xlfn.xlookup($C310,'Hiker Food'!$C:$C,'Hiker Food'!O:O)*$D310)</f>
        <v/>
      </c>
      <c r="M310" s="43" t="str">
        <f t="array" ref="M310">if($C310="","",_xlfn.xlookup($C310,'Hiker Food'!$C:$C,'Hiker Food'!P:P)*$D310)</f>
        <v/>
      </c>
      <c r="N310" s="43" t="str">
        <f t="array" ref="N310">if($C310="","",_xlfn.xlookup($C310,'Hiker Food'!$C:$C,'Hiker Food'!Q:Q)*$D310)</f>
        <v/>
      </c>
      <c r="O310" s="43" t="str">
        <f t="array" ref="O310">if($C310="","",_xlfn.xlookup($C310,'Hiker Food'!$C:$C,'Hiker Food'!I:I)*$D310)</f>
        <v/>
      </c>
      <c r="P310" s="41" t="str">
        <f t="array" ref="P310">if($C310="","",_xlfn.xlookup($C310,'Hiker Food'!$C:$C,'Hiker Food'!T:T))</f>
        <v/>
      </c>
      <c r="Q310" s="44" t="str">
        <f t="array" ref="Q310">if($C310="","",_xlfn.xlookup($C310,'Hiker Food'!$C:$C,'Hiker Food'!U:U))</f>
        <v/>
      </c>
      <c r="R310" s="44" t="str">
        <f t="array" ref="R310">if($C310="","",_xlfn.xlookup($C310,'Hiker Food'!$C:$C,'Hiker Food'!V:V))</f>
        <v/>
      </c>
      <c r="S310" s="45" t="str">
        <f t="array" ref="S310">if($C310="","",_xlfn.xlookup($C310,'Hiker Food'!$C:$C,'Hiker Food'!W:W))</f>
        <v/>
      </c>
      <c r="T310" s="46" t="s">
        <v>92</v>
      </c>
      <c r="U310" s="47" t="str">
        <f>if($C310="","",$Y310/V310)</f>
        <v/>
      </c>
      <c r="V310" s="114" t="str">
        <f>if($C310="","",sum(E310:E312))</f>
        <v/>
      </c>
      <c r="W310" s="48" t="str">
        <f>if($C310="","",$Y310/X310)</f>
        <v/>
      </c>
      <c r="X310" s="114" t="str">
        <f>if($C310="","",sum(F310:F312))</f>
        <v/>
      </c>
      <c r="Y310" s="114" t="str">
        <f>if($C310="","",sum(O310:O312))</f>
        <v/>
      </c>
      <c r="Z310" s="49" t="str">
        <f>if($C310="","",(sum(J310:J312)/sum(N310:N312)))</f>
        <v/>
      </c>
      <c r="AA310" s="50" t="str">
        <f>if($C310="","",sum(G310:G312)*9/sum(sum(G310:G312)*9+sum(J310:J312)*4+sum(N310:N312)*4))</f>
        <v/>
      </c>
      <c r="AB310" s="50" t="str">
        <f>if($C310="","",sum(L310:L312)*4/sum(sum(G310:G312)*9+sum(J310:J312)*4+sum(N310:N312)*4))</f>
        <v/>
      </c>
      <c r="AC310" s="51" t="str">
        <f>if($C310="","",(sum(H310:H312)/sum(O310:O312)))</f>
        <v/>
      </c>
    </row>
    <row r="311">
      <c r="A311" s="52"/>
      <c r="B311" s="53"/>
      <c r="C311" s="54"/>
      <c r="D311" s="55">
        <v>1.0</v>
      </c>
      <c r="E311" s="56" t="str">
        <f t="array" ref="E311">if(C311="","",_xlfn.xlookup(C311,'Hiker Food'!$C:$C,'Hiker Food'!G:G)*D311)</f>
        <v/>
      </c>
      <c r="F311" s="42" t="str">
        <f t="array" ref="F311">if(C311="","",_xlfn.xlookup(C311,'Hiker Food'!$C:$C,'Hiker Food'!H:H)*D311)</f>
        <v/>
      </c>
      <c r="G311" s="42" t="str">
        <f t="array" ref="G311">if($C311="","",_xlfn.xlookup($C311,'Hiker Food'!$C:$C,'Hiker Food'!J:J)*$D311)</f>
        <v/>
      </c>
      <c r="H311" s="42" t="str">
        <f t="array" ref="H311">if($C311="","",_xlfn.xlookup($C311,'Hiker Food'!$C:$C,'Hiker Food'!K:K)*$D311)</f>
        <v/>
      </c>
      <c r="I311" s="42" t="str">
        <f t="array" ref="I311">if($C311="","",_xlfn.xlookup($C311,'Hiker Food'!$C:$C,'Hiker Food'!L:L)*$D311)</f>
        <v/>
      </c>
      <c r="J311" s="42" t="str">
        <f t="array" ref="J311">if($C311="","",_xlfn.xlookup($C311,'Hiker Food'!$C:$C,'Hiker Food'!M:M)*$D311)</f>
        <v/>
      </c>
      <c r="K311" s="42" t="str">
        <f t="array" ref="K311">if($C311="","",_xlfn.xlookup($C311,'Hiker Food'!$C:$C,'Hiker Food'!N:N)*$D311)</f>
        <v/>
      </c>
      <c r="L311" s="42" t="str">
        <f t="array" ref="L311">if($C311="","",_xlfn.xlookup($C311,'Hiker Food'!$C:$C,'Hiker Food'!O:O)*$D311)</f>
        <v/>
      </c>
      <c r="M311" s="42" t="str">
        <f t="array" ref="M311">if($C311="","",_xlfn.xlookup($C311,'Hiker Food'!$C:$C,'Hiker Food'!P:P)*$D311)</f>
        <v/>
      </c>
      <c r="N311" s="42" t="str">
        <f t="array" ref="N311">if($C311="","",_xlfn.xlookup($C311,'Hiker Food'!$C:$C,'Hiker Food'!Q:Q)*$D311)</f>
        <v/>
      </c>
      <c r="O311" s="42" t="str">
        <f t="array" ref="O311">if($C311="","",_xlfn.xlookup($C311,'Hiker Food'!$C:$C,'Hiker Food'!I:I)*$D311)</f>
        <v/>
      </c>
      <c r="P311" s="56" t="str">
        <f t="array" ref="P311">if($C311="","",_xlfn.xlookup($C311,'Hiker Food'!$C:$C,'Hiker Food'!T:T))</f>
        <v/>
      </c>
      <c r="Q311" s="57" t="str">
        <f t="array" ref="Q311">if($C311="","",_xlfn.xlookup($C311,'Hiker Food'!$C:$C,'Hiker Food'!U:U))</f>
        <v/>
      </c>
      <c r="R311" s="57" t="str">
        <f t="array" ref="R311">if($C311="","",_xlfn.xlookup($C311,'Hiker Food'!$C:$C,'Hiker Food'!V:V))</f>
        <v/>
      </c>
      <c r="S311" s="58" t="str">
        <f t="array" ref="S311">if($C311="","",_xlfn.xlookup($C311,'Hiker Food'!$C:$C,'Hiker Food'!W:W))</f>
        <v/>
      </c>
      <c r="T311" s="59"/>
      <c r="AC311" s="60"/>
    </row>
    <row r="312">
      <c r="A312" s="52"/>
      <c r="B312" s="61"/>
      <c r="C312" s="62"/>
      <c r="D312" s="63">
        <v>1.0</v>
      </c>
      <c r="E312" s="56" t="str">
        <f t="array" ref="E312">if(C312="","",_xlfn.xlookup(C312,'Hiker Food'!$C:$C,'Hiker Food'!G:G)*D312)</f>
        <v/>
      </c>
      <c r="F312" s="64" t="str">
        <f t="array" ref="F312">if(C312="","",_xlfn.xlookup(C312,'Hiker Food'!$C:$C,'Hiker Food'!H:H)*D312)</f>
        <v/>
      </c>
      <c r="G312" s="64" t="str">
        <f t="array" ref="G312">if($C312="","",_xlfn.xlookup($C312,'Hiker Food'!$C:$C,'Hiker Food'!J:J)*$D312)</f>
        <v/>
      </c>
      <c r="H312" s="64" t="str">
        <f t="array" ref="H312">if($C312="","",_xlfn.xlookup($C312,'Hiker Food'!$C:$C,'Hiker Food'!K:K)*$D312)</f>
        <v/>
      </c>
      <c r="I312" s="64" t="str">
        <f t="array" ref="I312">if($C312="","",_xlfn.xlookup($C312,'Hiker Food'!$C:$C,'Hiker Food'!L:L)*$D312)</f>
        <v/>
      </c>
      <c r="J312" s="64" t="str">
        <f t="array" ref="J312">if($C312="","",_xlfn.xlookup($C312,'Hiker Food'!$C:$C,'Hiker Food'!M:M)*$D312)</f>
        <v/>
      </c>
      <c r="K312" s="64" t="str">
        <f t="array" ref="K312">if($C312="","",_xlfn.xlookup($C312,'Hiker Food'!$C:$C,'Hiker Food'!N:N)*$D312)</f>
        <v/>
      </c>
      <c r="L312" s="64" t="str">
        <f t="array" ref="L312">if($C312="","",_xlfn.xlookup($C312,'Hiker Food'!$C:$C,'Hiker Food'!O:O)*$D312)</f>
        <v/>
      </c>
      <c r="M312" s="64" t="str">
        <f t="array" ref="M312">if($C312="","",_xlfn.xlookup($C312,'Hiker Food'!$C:$C,'Hiker Food'!P:P)*$D312)</f>
        <v/>
      </c>
      <c r="N312" s="64" t="str">
        <f t="array" ref="N312">if($C312="","",_xlfn.xlookup($C312,'Hiker Food'!$C:$C,'Hiker Food'!Q:Q)*$D312)</f>
        <v/>
      </c>
      <c r="O312" s="42" t="str">
        <f t="array" ref="O312">if($C312="","",_xlfn.xlookup($C312,'Hiker Food'!$C:$C,'Hiker Food'!I:I)*$D312)</f>
        <v/>
      </c>
      <c r="P312" s="56" t="str">
        <f t="array" ref="P312">if($C312="","",_xlfn.xlookup($C312,'Hiker Food'!$C:$C,'Hiker Food'!T:T))</f>
        <v/>
      </c>
      <c r="Q312" s="57" t="str">
        <f t="array" ref="Q312">if($C312="","",_xlfn.xlookup($C312,'Hiker Food'!$C:$C,'Hiker Food'!U:U))</f>
        <v/>
      </c>
      <c r="R312" s="57" t="str">
        <f t="array" ref="R312">if($C312="","",_xlfn.xlookup($C312,'Hiker Food'!$C:$C,'Hiker Food'!V:V))</f>
        <v/>
      </c>
      <c r="S312" s="58" t="str">
        <f t="array" ref="S312">if($C312="","",_xlfn.xlookup($C312,'Hiker Food'!$C:$C,'Hiker Food'!W:W))</f>
        <v/>
      </c>
      <c r="T312" s="65"/>
      <c r="U312" s="66"/>
      <c r="V312" s="66"/>
      <c r="W312" s="66"/>
      <c r="X312" s="66"/>
      <c r="Y312" s="66"/>
      <c r="Z312" s="66"/>
      <c r="AA312" s="66"/>
      <c r="AB312" s="66"/>
      <c r="AC312" s="67"/>
    </row>
    <row r="313">
      <c r="A313" s="52"/>
      <c r="B313" s="68" t="s">
        <v>179</v>
      </c>
      <c r="C313" s="69"/>
      <c r="D313" s="70">
        <v>2.0</v>
      </c>
      <c r="E313" s="71" t="str">
        <f t="array" ref="E313">if(C313="","",_xlfn.xlookup(C313,'Hiker Food'!$C:$C,'Hiker Food'!G:G)*D313)</f>
        <v/>
      </c>
      <c r="F313" s="42" t="str">
        <f t="array" ref="F313">if(C313="","",_xlfn.xlookup(C313,'Hiker Food'!$C:$C,'Hiker Food'!H:H)*D313)</f>
        <v/>
      </c>
      <c r="G313" s="72" t="str">
        <f t="array" ref="G313">if($C313="","",_xlfn.xlookup($C313,'Hiker Food'!$C:$C,'Hiker Food'!J:J)*$D313)</f>
        <v/>
      </c>
      <c r="H313" s="72" t="str">
        <f t="array" ref="H313">if($C313="","",_xlfn.xlookup($C313,'Hiker Food'!$C:$C,'Hiker Food'!K:K)*$D313)</f>
        <v/>
      </c>
      <c r="I313" s="72" t="str">
        <f t="array" ref="I313">if($C313="","",_xlfn.xlookup($C313,'Hiker Food'!$C:$C,'Hiker Food'!L:L)*$D313)</f>
        <v/>
      </c>
      <c r="J313" s="72" t="str">
        <f t="array" ref="J313">if($C313="","",_xlfn.xlookup($C313,'Hiker Food'!$C:$C,'Hiker Food'!M:M)*$D313)</f>
        <v/>
      </c>
      <c r="K313" s="72" t="str">
        <f t="array" ref="K313">if($C313="","",_xlfn.xlookup($C313,'Hiker Food'!$C:$C,'Hiker Food'!N:N)*$D313)</f>
        <v/>
      </c>
      <c r="L313" s="72" t="str">
        <f t="array" ref="L313">if($C313="","",_xlfn.xlookup($C313,'Hiker Food'!$C:$C,'Hiker Food'!O:O)*$D313)</f>
        <v/>
      </c>
      <c r="M313" s="72" t="str">
        <f t="array" ref="M313">if($C313="","",_xlfn.xlookup($C313,'Hiker Food'!$C:$C,'Hiker Food'!P:P)*$D313)</f>
        <v/>
      </c>
      <c r="N313" s="72" t="str">
        <f t="array" ref="N313">if($C313="","",_xlfn.xlookup($C313,'Hiker Food'!$C:$C,'Hiker Food'!Q:Q)*$D313)</f>
        <v/>
      </c>
      <c r="O313" s="72" t="str">
        <f t="array" ref="O313">if($C313="","",_xlfn.xlookup($C313,'Hiker Food'!$C:$C,'Hiker Food'!I:I)*$D313)</f>
        <v/>
      </c>
      <c r="P313" s="71" t="str">
        <f t="array" ref="P313">if($C313="","",_xlfn.xlookup($C313,'Hiker Food'!$C:$C,'Hiker Food'!T:T))</f>
        <v/>
      </c>
      <c r="Q313" s="73" t="str">
        <f t="array" ref="Q313">if($C313="","",_xlfn.xlookup($C313,'Hiker Food'!$C:$C,'Hiker Food'!U:U))</f>
        <v/>
      </c>
      <c r="R313" s="73" t="str">
        <f t="array" ref="R313">if($C313="","",_xlfn.xlookup($C313,'Hiker Food'!$C:$C,'Hiker Food'!V:V))</f>
        <v/>
      </c>
      <c r="S313" s="74" t="str">
        <f t="array" ref="S313">if($C313="","",_xlfn.xlookup($C313,'Hiker Food'!$C:$C,'Hiker Food'!W:W))</f>
        <v/>
      </c>
      <c r="T313" s="75" t="s">
        <v>179</v>
      </c>
      <c r="U313" s="76" t="str">
        <f>if(C313="","",Y313/V313)</f>
        <v/>
      </c>
      <c r="V313" s="96" t="str">
        <f>if($C313="","",sum(E313:E315))</f>
        <v/>
      </c>
      <c r="W313" s="77" t="str">
        <f>if($C313="","",$Y313/X313)</f>
        <v/>
      </c>
      <c r="X313" s="96" t="str">
        <f>if($C313="","",sum(F313:F315))</f>
        <v/>
      </c>
      <c r="Y313" s="96" t="str">
        <f>if($C313="","",sum(O313:O315))</f>
        <v/>
      </c>
      <c r="Z313" s="77" t="str">
        <f>if($C313="","",(sum(J313:J315)/sum(N313:N315)))</f>
        <v/>
      </c>
      <c r="AA313" s="78" t="str">
        <f>if($C313="","",sum(G313:G315)*9/sum(sum(G313:G315)*9+sum(J313:J315)*4+sum(N313:N315)*4))</f>
        <v/>
      </c>
      <c r="AB313" s="78" t="str">
        <f>if($C313="","",sum(L313:L315)*4/sum(sum(G313:G315)*9+sum(J313:J315)*4+sum(N313:N315)*4))</f>
        <v/>
      </c>
      <c r="AC313" s="79" t="str">
        <f>if($C313="","",(sum(H313:H315)/sum(O313:O315)))</f>
        <v/>
      </c>
    </row>
    <row r="314">
      <c r="A314" s="52"/>
      <c r="B314" s="53"/>
      <c r="C314" s="54"/>
      <c r="D314" s="55">
        <v>2.0</v>
      </c>
      <c r="E314" s="56" t="str">
        <f t="array" ref="E314">if(C314="","",_xlfn.xlookup(C314,'Hiker Food'!$C:$C,'Hiker Food'!G:G)*D314)</f>
        <v/>
      </c>
      <c r="F314" s="42" t="str">
        <f t="array" ref="F314">if(C314="","",_xlfn.xlookup(C314,'Hiker Food'!$C:$C,'Hiker Food'!H:H)*D314)</f>
        <v/>
      </c>
      <c r="G314" s="42" t="str">
        <f t="array" ref="G314">if($C314="","",_xlfn.xlookup($C314,'Hiker Food'!$C:$C,'Hiker Food'!J:J)*$D314)</f>
        <v/>
      </c>
      <c r="H314" s="42" t="str">
        <f t="array" ref="H314">if($C314="","",_xlfn.xlookup($C314,'Hiker Food'!$C:$C,'Hiker Food'!K:K)*$D314)</f>
        <v/>
      </c>
      <c r="I314" s="42" t="str">
        <f t="array" ref="I314">if($C314="","",_xlfn.xlookup($C314,'Hiker Food'!$C:$C,'Hiker Food'!L:L)*$D314)</f>
        <v/>
      </c>
      <c r="J314" s="42" t="str">
        <f t="array" ref="J314">if($C314="","",_xlfn.xlookup($C314,'Hiker Food'!$C:$C,'Hiker Food'!M:M)*$D314)</f>
        <v/>
      </c>
      <c r="K314" s="42" t="str">
        <f t="array" ref="K314">if($C314="","",_xlfn.xlookup($C314,'Hiker Food'!$C:$C,'Hiker Food'!N:N)*$D314)</f>
        <v/>
      </c>
      <c r="L314" s="42" t="str">
        <f t="array" ref="L314">if($C314="","",_xlfn.xlookup($C314,'Hiker Food'!$C:$C,'Hiker Food'!O:O)*$D314)</f>
        <v/>
      </c>
      <c r="M314" s="42" t="str">
        <f t="array" ref="M314">if($C314="","",_xlfn.xlookup($C314,'Hiker Food'!$C:$C,'Hiker Food'!P:P)*$D314)</f>
        <v/>
      </c>
      <c r="N314" s="42" t="str">
        <f t="array" ref="N314">if($C314="","",_xlfn.xlookup($C314,'Hiker Food'!$C:$C,'Hiker Food'!Q:Q)*$D314)</f>
        <v/>
      </c>
      <c r="O314" s="42" t="str">
        <f t="array" ref="O314">if($C314="","",_xlfn.xlookup($C314,'Hiker Food'!$C:$C,'Hiker Food'!I:I)*$D314)</f>
        <v/>
      </c>
      <c r="P314" s="56" t="str">
        <f t="array" ref="P314">if($C314="","",_xlfn.xlookup($C314,'Hiker Food'!$C:$C,'Hiker Food'!T:T))</f>
        <v/>
      </c>
      <c r="Q314" s="57" t="str">
        <f t="array" ref="Q314">if($C314="","",_xlfn.xlookup($C314,'Hiker Food'!$C:$C,'Hiker Food'!U:U))</f>
        <v/>
      </c>
      <c r="R314" s="57" t="str">
        <f t="array" ref="R314">if($C314="","",_xlfn.xlookup($C314,'Hiker Food'!$C:$C,'Hiker Food'!V:V))</f>
        <v/>
      </c>
      <c r="S314" s="58" t="str">
        <f t="array" ref="S314">if($C314="","",_xlfn.xlookup($C314,'Hiker Food'!$C:$C,'Hiker Food'!W:W))</f>
        <v/>
      </c>
      <c r="T314" s="80"/>
      <c r="AC314" s="60"/>
    </row>
    <row r="315">
      <c r="A315" s="52"/>
      <c r="B315" s="61"/>
      <c r="C315" s="54"/>
      <c r="D315" s="63">
        <v>1.0</v>
      </c>
      <c r="E315" s="81" t="str">
        <f t="array" ref="E315">if(C315="","",_xlfn.xlookup(C315,'Hiker Food'!$C:$C,'Hiker Food'!G:G)*D315)</f>
        <v/>
      </c>
      <c r="F315" s="64" t="str">
        <f t="array" ref="F315">if(C315="","",_xlfn.xlookup(C315,'Hiker Food'!$C:$C,'Hiker Food'!H:H)*D315)</f>
        <v/>
      </c>
      <c r="G315" s="64" t="str">
        <f t="array" ref="G315">if($C315="","",_xlfn.xlookup($C315,'Hiker Food'!$C:$C,'Hiker Food'!J:J)*$D315)</f>
        <v/>
      </c>
      <c r="H315" s="64" t="str">
        <f t="array" ref="H315">if($C315="","",_xlfn.xlookup($C315,'Hiker Food'!$C:$C,'Hiker Food'!K:K)*$D315)</f>
        <v/>
      </c>
      <c r="I315" s="64" t="str">
        <f t="array" ref="I315">if($C315="","",_xlfn.xlookup($C315,'Hiker Food'!$C:$C,'Hiker Food'!L:L)*$D315)</f>
        <v/>
      </c>
      <c r="J315" s="64" t="str">
        <f t="array" ref="J315">if($C315="","",_xlfn.xlookup($C315,'Hiker Food'!$C:$C,'Hiker Food'!M:M)*$D315)</f>
        <v/>
      </c>
      <c r="K315" s="64" t="str">
        <f t="array" ref="K315">if($C315="","",_xlfn.xlookup($C315,'Hiker Food'!$C:$C,'Hiker Food'!N:N)*$D315)</f>
        <v/>
      </c>
      <c r="L315" s="64" t="str">
        <f t="array" ref="L315">if($C315="","",_xlfn.xlookup($C315,'Hiker Food'!$C:$C,'Hiker Food'!O:O)*$D315)</f>
        <v/>
      </c>
      <c r="M315" s="64" t="str">
        <f t="array" ref="M315">if($C315="","",_xlfn.xlookup($C315,'Hiker Food'!$C:$C,'Hiker Food'!P:P)*$D315)</f>
        <v/>
      </c>
      <c r="N315" s="64" t="str">
        <f t="array" ref="N315">if($C315="","",_xlfn.xlookup($C315,'Hiker Food'!$C:$C,'Hiker Food'!Q:Q)*$D315)</f>
        <v/>
      </c>
      <c r="O315" s="64" t="str">
        <f t="array" ref="O315">if($C315="","",_xlfn.xlookup($C315,'Hiker Food'!$C:$C,'Hiker Food'!I:I)*$D315)</f>
        <v/>
      </c>
      <c r="P315" s="81" t="str">
        <f t="array" ref="P315">if($C315="","",_xlfn.xlookup($C315,'Hiker Food'!$C:$C,'Hiker Food'!T:T))</f>
        <v/>
      </c>
      <c r="Q315" s="82" t="str">
        <f t="array" ref="Q315">if($C315="","",_xlfn.xlookup($C315,'Hiker Food'!$C:$C,'Hiker Food'!U:U))</f>
        <v/>
      </c>
      <c r="R315" s="82" t="str">
        <f t="array" ref="R315">if($C315="","",_xlfn.xlookup($C315,'Hiker Food'!$C:$C,'Hiker Food'!V:V))</f>
        <v/>
      </c>
      <c r="S315" s="83" t="str">
        <f t="array" ref="S315">if($C315="","",_xlfn.xlookup($C315,'Hiker Food'!$C:$C,'Hiker Food'!W:W))</f>
        <v/>
      </c>
      <c r="T315" s="84"/>
      <c r="U315" s="66"/>
      <c r="V315" s="66"/>
      <c r="W315" s="66"/>
      <c r="X315" s="66"/>
      <c r="Y315" s="66"/>
      <c r="Z315" s="66"/>
      <c r="AA315" s="66"/>
      <c r="AB315" s="66"/>
      <c r="AC315" s="67"/>
    </row>
    <row r="316">
      <c r="A316" s="52"/>
      <c r="B316" s="68" t="s">
        <v>257</v>
      </c>
      <c r="C316" s="85"/>
      <c r="D316" s="70">
        <v>3.0</v>
      </c>
      <c r="E316" s="56" t="str">
        <f t="array" ref="E316">if(C316="","",_xlfn.xlookup(C316,'Hiker Food'!$C:$C,'Hiker Food'!G:G)*D316)</f>
        <v/>
      </c>
      <c r="F316" s="86" t="str">
        <f t="array" ref="F316">if(C316="","",_xlfn.xlookup(C316,'Hiker Food'!$C:$C,'Hiker Food'!H:H)*D316)</f>
        <v/>
      </c>
      <c r="G316" s="72" t="str">
        <f t="array" ref="G316">if($C316="","",_xlfn.xlookup($C316,'Hiker Food'!$C:$C,'Hiker Food'!J:J)*$D316)</f>
        <v/>
      </c>
      <c r="H316" s="72" t="str">
        <f t="array" ref="H316">if($C316="","",_xlfn.xlookup($C316,'Hiker Food'!$C:$C,'Hiker Food'!K:K)*$D316)</f>
        <v/>
      </c>
      <c r="I316" s="72" t="str">
        <f t="array" ref="I316">if($C316="","",_xlfn.xlookup($C316,'Hiker Food'!$C:$C,'Hiker Food'!L:L)*$D316)</f>
        <v/>
      </c>
      <c r="J316" s="72" t="str">
        <f t="array" ref="J316">if($C316="","",_xlfn.xlookup($C316,'Hiker Food'!$C:$C,'Hiker Food'!M:M)*$D316)</f>
        <v/>
      </c>
      <c r="K316" s="72" t="str">
        <f t="array" ref="K316">if($C316="","",_xlfn.xlookup($C316,'Hiker Food'!$C:$C,'Hiker Food'!N:N)*$D316)</f>
        <v/>
      </c>
      <c r="L316" s="72" t="str">
        <f t="array" ref="L316">if($C316="","",_xlfn.xlookup($C316,'Hiker Food'!$C:$C,'Hiker Food'!O:O)*$D316)</f>
        <v/>
      </c>
      <c r="M316" s="72" t="str">
        <f t="array" ref="M316">if($C316="","",_xlfn.xlookup($C316,'Hiker Food'!$C:$C,'Hiker Food'!P:P)*$D316)</f>
        <v/>
      </c>
      <c r="N316" s="72" t="str">
        <f t="array" ref="N316">if($C316="","",_xlfn.xlookup($C316,'Hiker Food'!$C:$C,'Hiker Food'!Q:Q)*$D316)</f>
        <v/>
      </c>
      <c r="O316" s="42" t="str">
        <f t="array" ref="O316">if($C316="","",_xlfn.xlookup($C316,'Hiker Food'!$C:$C,'Hiker Food'!I:I)*$D316)</f>
        <v/>
      </c>
      <c r="P316" s="56" t="str">
        <f t="array" ref="P316">if($C316="","",_xlfn.xlookup($C316,'Hiker Food'!$C:$C,'Hiker Food'!T:T))</f>
        <v/>
      </c>
      <c r="Q316" s="57" t="str">
        <f t="array" ref="Q316">if($C316="","",_xlfn.xlookup($C316,'Hiker Food'!$C:$C,'Hiker Food'!U:U))</f>
        <v/>
      </c>
      <c r="R316" s="57" t="str">
        <f t="array" ref="R316">if($C316="","",_xlfn.xlookup($C316,'Hiker Food'!$C:$C,'Hiker Food'!V:V))</f>
        <v/>
      </c>
      <c r="S316" s="58" t="str">
        <f t="array" ref="S316">if($C316="","",_xlfn.xlookup($C316,'Hiker Food'!$C:$C,'Hiker Food'!W:W))</f>
        <v/>
      </c>
      <c r="T316" s="87" t="s">
        <v>257</v>
      </c>
      <c r="U316" s="76" t="str">
        <f>if(C316="","",Y316/V316)</f>
        <v/>
      </c>
      <c r="V316" s="96" t="str">
        <f>if($C316="","",sum(E316:E318))</f>
        <v/>
      </c>
      <c r="W316" s="77" t="str">
        <f>if($C316="","",$Y316/X316)</f>
        <v/>
      </c>
      <c r="X316" s="96" t="str">
        <f>if($C316="","",sum(F316:F318))</f>
        <v/>
      </c>
      <c r="Y316" s="96" t="str">
        <f>if($C316="","",sum(O316:O318))</f>
        <v/>
      </c>
      <c r="Z316" s="77" t="str">
        <f>if($C316="","",(sum(J316:J318)/sum(N316:N318)))</f>
        <v/>
      </c>
      <c r="AA316" s="78" t="str">
        <f>if($C316="","",sum(G316:G318)*9/sum(sum(G316:G318)*9+sum(J316:J318)*4+sum(N316:N318)*4))</f>
        <v/>
      </c>
      <c r="AB316" s="78" t="str">
        <f>if($C316="","",sum(L316:L318)*4/sum(sum(G316:G318)*9+sum(J316:J318)*4+sum(N316:N318)*4))</f>
        <v/>
      </c>
      <c r="AC316" s="79" t="str">
        <f>if($C316="","",(sum(H316:H318)/sum(O316:O318)))</f>
        <v/>
      </c>
    </row>
    <row r="317">
      <c r="A317" s="52"/>
      <c r="B317" s="53"/>
      <c r="C317" s="88"/>
      <c r="D317" s="55">
        <v>3.0</v>
      </c>
      <c r="E317" s="56" t="str">
        <f t="array" ref="E317">if(C317="","",_xlfn.xlookup(C317,'Hiker Food'!$C:$C,'Hiker Food'!G:G)*D317)</f>
        <v/>
      </c>
      <c r="F317" s="86" t="str">
        <f t="array" ref="F317">if(C317="","",_xlfn.xlookup(C317,'Hiker Food'!$C:$C,'Hiker Food'!H:H)*D317)</f>
        <v/>
      </c>
      <c r="G317" s="42" t="str">
        <f t="array" ref="G317">if($C317="","",_xlfn.xlookup($C317,'Hiker Food'!$C:$C,'Hiker Food'!J:J)*$D317)</f>
        <v/>
      </c>
      <c r="H317" s="42" t="str">
        <f t="array" ref="H317">if($C317="","",_xlfn.xlookup($C317,'Hiker Food'!$C:$C,'Hiker Food'!K:K)*$D317)</f>
        <v/>
      </c>
      <c r="I317" s="42" t="str">
        <f t="array" ref="I317">if($C317="","",_xlfn.xlookup($C317,'Hiker Food'!$C:$C,'Hiker Food'!L:L)*$D317)</f>
        <v/>
      </c>
      <c r="J317" s="42" t="str">
        <f t="array" ref="J317">if($C317="","",_xlfn.xlookup($C317,'Hiker Food'!$C:$C,'Hiker Food'!M:M)*$D317)</f>
        <v/>
      </c>
      <c r="K317" s="42" t="str">
        <f t="array" ref="K317">if($C317="","",_xlfn.xlookup($C317,'Hiker Food'!$C:$C,'Hiker Food'!N:N)*$D317)</f>
        <v/>
      </c>
      <c r="L317" s="42" t="str">
        <f t="array" ref="L317">if($C317="","",_xlfn.xlookup($C317,'Hiker Food'!$C:$C,'Hiker Food'!O:O)*$D317)</f>
        <v/>
      </c>
      <c r="M317" s="42" t="str">
        <f t="array" ref="M317">if($C317="","",_xlfn.xlookup($C317,'Hiker Food'!$C:$C,'Hiker Food'!P:P)*$D317)</f>
        <v/>
      </c>
      <c r="N317" s="42" t="str">
        <f t="array" ref="N317">if($C317="","",_xlfn.xlookup($C317,'Hiker Food'!$C:$C,'Hiker Food'!Q:Q)*$D317)</f>
        <v/>
      </c>
      <c r="O317" s="42" t="str">
        <f t="array" ref="O317">if($C317="","",_xlfn.xlookup($C317,'Hiker Food'!$C:$C,'Hiker Food'!I:I)*$D317)</f>
        <v/>
      </c>
      <c r="P317" s="56" t="str">
        <f t="array" ref="P317">if($C317="","",_xlfn.xlookup($C317,'Hiker Food'!$C:$C,'Hiker Food'!T:T))</f>
        <v/>
      </c>
      <c r="Q317" s="57" t="str">
        <f t="array" ref="Q317">if($C317="","",_xlfn.xlookup($C317,'Hiker Food'!$C:$C,'Hiker Food'!U:U))</f>
        <v/>
      </c>
      <c r="R317" s="57" t="str">
        <f t="array" ref="R317">if($C317="","",_xlfn.xlookup($C317,'Hiker Food'!$C:$C,'Hiker Food'!V:V))</f>
        <v/>
      </c>
      <c r="S317" s="58" t="str">
        <f t="array" ref="S317">if($C317="","",_xlfn.xlookup($C317,'Hiker Food'!$C:$C,'Hiker Food'!W:W))</f>
        <v/>
      </c>
      <c r="T317" s="59"/>
      <c r="AC317" s="60"/>
    </row>
    <row r="318">
      <c r="A318" s="52"/>
      <c r="B318" s="61"/>
      <c r="C318" s="62"/>
      <c r="D318" s="63">
        <v>1.0</v>
      </c>
      <c r="E318" s="81" t="str">
        <f t="array" ref="E318">if(C318="","",_xlfn.xlookup(C318,'Hiker Food'!$C:$C,'Hiker Food'!G:G)*D318)</f>
        <v/>
      </c>
      <c r="F318" s="89" t="str">
        <f t="array" ref="F318">if(C318="","",_xlfn.xlookup(C318,'Hiker Food'!$C:$C,'Hiker Food'!H:H)*D318)</f>
        <v/>
      </c>
      <c r="G318" s="64" t="str">
        <f t="array" ref="G318">if($C318="","",_xlfn.xlookup($C318,'Hiker Food'!$C:$C,'Hiker Food'!J:J)*$D318)</f>
        <v/>
      </c>
      <c r="H318" s="64" t="str">
        <f t="array" ref="H318">if($C318="","",_xlfn.xlookup($C318,'Hiker Food'!$C:$C,'Hiker Food'!K:K)*$D318)</f>
        <v/>
      </c>
      <c r="I318" s="64" t="str">
        <f t="array" ref="I318">if($C318="","",_xlfn.xlookup($C318,'Hiker Food'!$C:$C,'Hiker Food'!L:L)*$D318)</f>
        <v/>
      </c>
      <c r="J318" s="64" t="str">
        <f t="array" ref="J318">if($C318="","",_xlfn.xlookup($C318,'Hiker Food'!$C:$C,'Hiker Food'!M:M)*$D318)</f>
        <v/>
      </c>
      <c r="K318" s="64" t="str">
        <f t="array" ref="K318">if($C318="","",_xlfn.xlookup($C318,'Hiker Food'!$C:$C,'Hiker Food'!N:N)*$D318)</f>
        <v/>
      </c>
      <c r="L318" s="64" t="str">
        <f t="array" ref="L318">if($C318="","",_xlfn.xlookup($C318,'Hiker Food'!$C:$C,'Hiker Food'!O:O)*$D318)</f>
        <v/>
      </c>
      <c r="M318" s="64" t="str">
        <f t="array" ref="M318">if($C318="","",_xlfn.xlookup($C318,'Hiker Food'!$C:$C,'Hiker Food'!P:P)*$D318)</f>
        <v/>
      </c>
      <c r="N318" s="64" t="str">
        <f t="array" ref="N318">if($C318="","",_xlfn.xlookup($C318,'Hiker Food'!$C:$C,'Hiker Food'!Q:Q)*$D318)</f>
        <v/>
      </c>
      <c r="O318" s="64" t="str">
        <f t="array" ref="O318">if($C318="","",_xlfn.xlookup($C318,'Hiker Food'!$C:$C,'Hiker Food'!I:I)*$D318)</f>
        <v/>
      </c>
      <c r="P318" s="81" t="str">
        <f t="array" ref="P318">if($C318="","",_xlfn.xlookup($C318,'Hiker Food'!$C:$C,'Hiker Food'!T:T))</f>
        <v/>
      </c>
      <c r="Q318" s="82" t="str">
        <f t="array" ref="Q318">if($C318="","",_xlfn.xlookup($C318,'Hiker Food'!$C:$C,'Hiker Food'!U:U))</f>
        <v/>
      </c>
      <c r="R318" s="82" t="str">
        <f t="array" ref="R318">if($C318="","",_xlfn.xlookup($C318,'Hiker Food'!$C:$C,'Hiker Food'!V:V))</f>
        <v/>
      </c>
      <c r="S318" s="83" t="str">
        <f t="array" ref="S318">if($C318="","",_xlfn.xlookup($C318,'Hiker Food'!$C:$C,'Hiker Food'!W:W))</f>
        <v/>
      </c>
      <c r="T318" s="65"/>
      <c r="U318" s="66"/>
      <c r="V318" s="66"/>
      <c r="W318" s="66"/>
      <c r="X318" s="66"/>
      <c r="Y318" s="66"/>
      <c r="Z318" s="66"/>
      <c r="AA318" s="66"/>
      <c r="AB318" s="66"/>
      <c r="AC318" s="67"/>
    </row>
    <row r="319">
      <c r="A319" s="52"/>
      <c r="B319" s="68" t="s">
        <v>314</v>
      </c>
      <c r="C319" s="90"/>
      <c r="D319" s="70">
        <v>1.0</v>
      </c>
      <c r="E319" s="71" t="str">
        <f t="array" ref="E319">if(C319="","",_xlfn.xlookup(C319,'Hiker Food'!$C:$C,'Hiker Food'!G:G)*D319)</f>
        <v/>
      </c>
      <c r="F319" s="42" t="str">
        <f t="array" ref="F319">if(C319="","",_xlfn.xlookup(C319,'Hiker Food'!$C:$C,'Hiker Food'!H:H)*D319)</f>
        <v/>
      </c>
      <c r="G319" s="72" t="str">
        <f t="array" ref="G319">if($C319="","",_xlfn.xlookup($C319,'Hiker Food'!$C:$C,'Hiker Food'!J:J)*$D319)</f>
        <v/>
      </c>
      <c r="H319" s="72" t="str">
        <f t="array" ref="H319">if($C319="","",_xlfn.xlookup($C319,'Hiker Food'!$C:$C,'Hiker Food'!K:K)*$D319)</f>
        <v/>
      </c>
      <c r="I319" s="72" t="str">
        <f t="array" ref="I319">if($C319="","",_xlfn.xlookup($C319,'Hiker Food'!$C:$C,'Hiker Food'!L:L)*$D319)</f>
        <v/>
      </c>
      <c r="J319" s="72" t="str">
        <f t="array" ref="J319">if($C319="","",_xlfn.xlookup($C319,'Hiker Food'!$C:$C,'Hiker Food'!M:M)*$D319)</f>
        <v/>
      </c>
      <c r="K319" s="72" t="str">
        <f t="array" ref="K319">if($C319="","",_xlfn.xlookup($C319,'Hiker Food'!$C:$C,'Hiker Food'!N:N)*$D319)</f>
        <v/>
      </c>
      <c r="L319" s="72" t="str">
        <f t="array" ref="L319">if($C319="","",_xlfn.xlookup($C319,'Hiker Food'!$C:$C,'Hiker Food'!O:O)*$D319)</f>
        <v/>
      </c>
      <c r="M319" s="72" t="str">
        <f t="array" ref="M319">if($C319="","",_xlfn.xlookup($C319,'Hiker Food'!$C:$C,'Hiker Food'!P:P)*$D319)</f>
        <v/>
      </c>
      <c r="N319" s="72" t="str">
        <f t="array" ref="N319">if($C319="","",_xlfn.xlookup($C319,'Hiker Food'!$C:$C,'Hiker Food'!Q:Q)*$D319)</f>
        <v/>
      </c>
      <c r="O319" s="72" t="str">
        <f t="array" ref="O319">if($C319="","",_xlfn.xlookup($C319,'Hiker Food'!$C:$C,'Hiker Food'!I:I)*$D319)</f>
        <v/>
      </c>
      <c r="P319" s="71" t="str">
        <f t="array" ref="P319">if($C319="","",_xlfn.xlookup($C319,'Hiker Food'!$C:$C,'Hiker Food'!T:T))</f>
        <v/>
      </c>
      <c r="Q319" s="73" t="str">
        <f t="array" ref="Q319">if($C319="","",_xlfn.xlookup($C319,'Hiker Food'!$C:$C,'Hiker Food'!U:U))</f>
        <v/>
      </c>
      <c r="R319" s="73" t="str">
        <f t="array" ref="R319">if($C319="","",_xlfn.xlookup($C319,'Hiker Food'!$C:$C,'Hiker Food'!V:V))</f>
        <v/>
      </c>
      <c r="S319" s="74" t="str">
        <f t="array" ref="S319">if($C319="","",_xlfn.xlookup($C319,'Hiker Food'!$C:$C,'Hiker Food'!W:W))</f>
        <v/>
      </c>
      <c r="T319" s="91" t="s">
        <v>314</v>
      </c>
      <c r="U319" s="76" t="str">
        <f>if(C319="","",Y319/V319)</f>
        <v/>
      </c>
      <c r="V319" s="96" t="str">
        <f>if($C319="","",sum(E319:E321))</f>
        <v/>
      </c>
      <c r="W319" s="77" t="str">
        <f>if($C319="","",$Y319/X319)</f>
        <v/>
      </c>
      <c r="X319" s="96" t="str">
        <f>if($C319="","",sum(F319:F321))</f>
        <v/>
      </c>
      <c r="Y319" s="96" t="str">
        <f>if($C319="","",sum(O319:O321))</f>
        <v/>
      </c>
      <c r="Z319" s="77" t="str">
        <f>if($C319="","",(sum(J319:J321)/sum(N319:N321)))</f>
        <v/>
      </c>
      <c r="AA319" s="78" t="str">
        <f>if($C319="","",sum(G319:G321)*9/sum(sum(G319:G321)*9+sum(J319:J321)*4+sum(N319:N321)*4))</f>
        <v/>
      </c>
      <c r="AB319" s="78" t="str">
        <f>if($C319="","",sum(L319:L321)*4/sum(sum(G319:G321)*9+sum(J319:J321)*4+sum(N319:N321)*4))</f>
        <v/>
      </c>
      <c r="AC319" s="79" t="str">
        <f>if($C319="","",(sum(H319:H321)/sum(O319:O321)))</f>
        <v/>
      </c>
    </row>
    <row r="320">
      <c r="A320" s="52"/>
      <c r="B320" s="53"/>
      <c r="C320" s="54"/>
      <c r="D320" s="55">
        <v>1.0</v>
      </c>
      <c r="E320" s="56" t="str">
        <f t="array" ref="E320">if(C320="","",_xlfn.xlookup(C320,'Hiker Food'!$C:$C,'Hiker Food'!G:G)*D320)</f>
        <v/>
      </c>
      <c r="F320" s="42" t="str">
        <f t="array" ref="F320">if(C320="","",_xlfn.xlookup(C320,'Hiker Food'!$C:$C,'Hiker Food'!H:H)*D320)</f>
        <v/>
      </c>
      <c r="G320" s="42" t="str">
        <f t="array" ref="G320">if($C320="","",_xlfn.xlookup($C320,'Hiker Food'!$C:$C,'Hiker Food'!J:J)*$D320)</f>
        <v/>
      </c>
      <c r="H320" s="42" t="str">
        <f t="array" ref="H320">if($C320="","",_xlfn.xlookup($C320,'Hiker Food'!$C:$C,'Hiker Food'!K:K)*$D320)</f>
        <v/>
      </c>
      <c r="I320" s="42" t="str">
        <f t="array" ref="I320">if($C320="","",_xlfn.xlookup($C320,'Hiker Food'!$C:$C,'Hiker Food'!L:L)*$D320)</f>
        <v/>
      </c>
      <c r="J320" s="42" t="str">
        <f t="array" ref="J320">if($C320="","",_xlfn.xlookup($C320,'Hiker Food'!$C:$C,'Hiker Food'!M:M)*$D320)</f>
        <v/>
      </c>
      <c r="K320" s="42" t="str">
        <f t="array" ref="K320">if($C320="","",_xlfn.xlookup($C320,'Hiker Food'!$C:$C,'Hiker Food'!N:N)*$D320)</f>
        <v/>
      </c>
      <c r="L320" s="42" t="str">
        <f t="array" ref="L320">if($C320="","",_xlfn.xlookup($C320,'Hiker Food'!$C:$C,'Hiker Food'!O:O)*$D320)</f>
        <v/>
      </c>
      <c r="M320" s="42" t="str">
        <f t="array" ref="M320">if($C320="","",_xlfn.xlookup($C320,'Hiker Food'!$C:$C,'Hiker Food'!P:P)*$D320)</f>
        <v/>
      </c>
      <c r="N320" s="42" t="str">
        <f t="array" ref="N320">if($C320="","",_xlfn.xlookup($C320,'Hiker Food'!$C:$C,'Hiker Food'!Q:Q)*$D320)</f>
        <v/>
      </c>
      <c r="O320" s="42" t="str">
        <f t="array" ref="O320">if($C320="","",_xlfn.xlookup($C320,'Hiker Food'!$C:$C,'Hiker Food'!I:I)*$D320)</f>
        <v/>
      </c>
      <c r="P320" s="56" t="str">
        <f t="array" ref="P320">if($C320="","",_xlfn.xlookup($C320,'Hiker Food'!$C:$C,'Hiker Food'!T:T))</f>
        <v/>
      </c>
      <c r="Q320" s="57" t="str">
        <f t="array" ref="Q320">if($C320="","",_xlfn.xlookup($C320,'Hiker Food'!$C:$C,'Hiker Food'!U:U))</f>
        <v/>
      </c>
      <c r="R320" s="57" t="str">
        <f t="array" ref="R320">if($C320="","",_xlfn.xlookup($C320,'Hiker Food'!$C:$C,'Hiker Food'!V:V))</f>
        <v/>
      </c>
      <c r="S320" s="58" t="str">
        <f t="array" ref="S320">if($C320="","",_xlfn.xlookup($C320,'Hiker Food'!$C:$C,'Hiker Food'!W:W))</f>
        <v/>
      </c>
      <c r="T320" s="59"/>
      <c r="AC320" s="60"/>
    </row>
    <row r="321">
      <c r="A321" s="52"/>
      <c r="B321" s="61"/>
      <c r="C321" s="62"/>
      <c r="D321" s="63">
        <v>1.0</v>
      </c>
      <c r="E321" s="81" t="str">
        <f t="array" ref="E321">if(C321="","",_xlfn.xlookup(C321,'Hiker Food'!$C:$C,'Hiker Food'!G:G)*D321)</f>
        <v/>
      </c>
      <c r="F321" s="64" t="str">
        <f t="array" ref="F321">if(C321="","",_xlfn.xlookup(C321,'Hiker Food'!$C:$C,'Hiker Food'!H:H)*D321)</f>
        <v/>
      </c>
      <c r="G321" s="64" t="str">
        <f t="array" ref="G321">if($C321="","",_xlfn.xlookup($C321,'Hiker Food'!$C:$C,'Hiker Food'!J:J)*$D321)</f>
        <v/>
      </c>
      <c r="H321" s="64" t="str">
        <f t="array" ref="H321">if($C321="","",_xlfn.xlookup($C321,'Hiker Food'!$C:$C,'Hiker Food'!K:K)*$D321)</f>
        <v/>
      </c>
      <c r="I321" s="64" t="str">
        <f t="array" ref="I321">if($C321="","",_xlfn.xlookup($C321,'Hiker Food'!$C:$C,'Hiker Food'!L:L)*$D321)</f>
        <v/>
      </c>
      <c r="J321" s="64" t="str">
        <f t="array" ref="J321">if($C321="","",_xlfn.xlookup($C321,'Hiker Food'!$C:$C,'Hiker Food'!M:M)*$D321)</f>
        <v/>
      </c>
      <c r="K321" s="64" t="str">
        <f t="array" ref="K321">if($C321="","",_xlfn.xlookup($C321,'Hiker Food'!$C:$C,'Hiker Food'!N:N)*$D321)</f>
        <v/>
      </c>
      <c r="L321" s="64" t="str">
        <f t="array" ref="L321">if($C321="","",_xlfn.xlookup($C321,'Hiker Food'!$C:$C,'Hiker Food'!O:O)*$D321)</f>
        <v/>
      </c>
      <c r="M321" s="64" t="str">
        <f t="array" ref="M321">if($C321="","",_xlfn.xlookup($C321,'Hiker Food'!$C:$C,'Hiker Food'!P:P)*$D321)</f>
        <v/>
      </c>
      <c r="N321" s="64" t="str">
        <f t="array" ref="N321">if($C321="","",_xlfn.xlookup($C321,'Hiker Food'!$C:$C,'Hiker Food'!Q:Q)*$D321)</f>
        <v/>
      </c>
      <c r="O321" s="64" t="str">
        <f t="array" ref="O321">if($C321="","",_xlfn.xlookup($C321,'Hiker Food'!$C:$C,'Hiker Food'!I:I)*$D321)</f>
        <v/>
      </c>
      <c r="P321" s="81" t="str">
        <f t="array" ref="P321">if($C321="","",_xlfn.xlookup($C321,'Hiker Food'!$C:$C,'Hiker Food'!T:T))</f>
        <v/>
      </c>
      <c r="Q321" s="82" t="str">
        <f t="array" ref="Q321">if($C321="","",_xlfn.xlookup($C321,'Hiker Food'!$C:$C,'Hiker Food'!U:U))</f>
        <v/>
      </c>
      <c r="R321" s="82" t="str">
        <f t="array" ref="R321">if($C321="","",_xlfn.xlookup($C321,'Hiker Food'!$C:$C,'Hiker Food'!V:V))</f>
        <v/>
      </c>
      <c r="S321" s="83" t="str">
        <f t="array" ref="S321">if($C321="","",_xlfn.xlookup($C321,'Hiker Food'!$C:$C,'Hiker Food'!W:W))</f>
        <v/>
      </c>
      <c r="T321" s="65"/>
      <c r="U321" s="66"/>
      <c r="V321" s="66"/>
      <c r="W321" s="66"/>
      <c r="X321" s="66"/>
      <c r="Y321" s="66"/>
      <c r="Z321" s="66"/>
      <c r="AA321" s="66"/>
      <c r="AB321" s="66"/>
      <c r="AC321" s="67"/>
    </row>
    <row r="322">
      <c r="A322" s="52"/>
      <c r="B322" s="68" t="s">
        <v>366</v>
      </c>
      <c r="C322" s="90"/>
      <c r="D322" s="70">
        <v>1.0</v>
      </c>
      <c r="E322" s="71" t="str">
        <f t="array" ref="E322">if(C322="","",_xlfn.xlookup(C322,'Hiker Food'!$C:$C,'Hiker Food'!G:G)*D322)</f>
        <v/>
      </c>
      <c r="F322" s="42" t="str">
        <f t="array" ref="F322">if(C322="","",_xlfn.xlookup(C322,'Hiker Food'!$C:$C,'Hiker Food'!H:H)*D322)</f>
        <v/>
      </c>
      <c r="G322" s="72" t="str">
        <f t="array" ref="G322">if($C322="","",_xlfn.xlookup($C322,'Hiker Food'!$C:$C,'Hiker Food'!J:J)*$D322)</f>
        <v/>
      </c>
      <c r="H322" s="72" t="str">
        <f t="array" ref="H322">if($C322="","",_xlfn.xlookup($C322,'Hiker Food'!$C:$C,'Hiker Food'!K:K)*$D322)</f>
        <v/>
      </c>
      <c r="I322" s="72" t="str">
        <f t="array" ref="I322">if($C322="","",_xlfn.xlookup($C322,'Hiker Food'!$C:$C,'Hiker Food'!L:L)*$D322)</f>
        <v/>
      </c>
      <c r="J322" s="72" t="str">
        <f t="array" ref="J322">if($C322="","",_xlfn.xlookup($C322,'Hiker Food'!$C:$C,'Hiker Food'!M:M)*$D322)</f>
        <v/>
      </c>
      <c r="K322" s="72" t="str">
        <f t="array" ref="K322">if($C322="","",_xlfn.xlookup($C322,'Hiker Food'!$C:$C,'Hiker Food'!N:N)*$D322)</f>
        <v/>
      </c>
      <c r="L322" s="72" t="str">
        <f t="array" ref="L322">if($C322="","",_xlfn.xlookup($C322,'Hiker Food'!$C:$C,'Hiker Food'!O:O)*$D322)</f>
        <v/>
      </c>
      <c r="M322" s="72" t="str">
        <f t="array" ref="M322">if($C322="","",_xlfn.xlookup($C322,'Hiker Food'!$C:$C,'Hiker Food'!P:P)*$D322)</f>
        <v/>
      </c>
      <c r="N322" s="72" t="str">
        <f t="array" ref="N322">if($C322="","",_xlfn.xlookup($C322,'Hiker Food'!$C:$C,'Hiker Food'!Q:Q)*$D322)</f>
        <v/>
      </c>
      <c r="O322" s="72" t="str">
        <f t="array" ref="O322">if($C322="","",_xlfn.xlookup($C322,'Hiker Food'!$C:$C,'Hiker Food'!I:I)*$D322)</f>
        <v/>
      </c>
      <c r="P322" s="71" t="str">
        <f t="array" ref="P322">if($C322="","",_xlfn.xlookup($C322,'Hiker Food'!$C:$C,'Hiker Food'!T:T))</f>
        <v/>
      </c>
      <c r="Q322" s="73" t="str">
        <f t="array" ref="Q322">if($C322="","",_xlfn.xlookup($C322,'Hiker Food'!$C:$C,'Hiker Food'!U:U))</f>
        <v/>
      </c>
      <c r="R322" s="73" t="str">
        <f t="array" ref="R322">if($C322="","",_xlfn.xlookup($C322,'Hiker Food'!$C:$C,'Hiker Food'!V:V))</f>
        <v/>
      </c>
      <c r="S322" s="74" t="str">
        <f t="array" ref="S322">if($C322="","",_xlfn.xlookup($C322,'Hiker Food'!$C:$C,'Hiker Food'!W:W))</f>
        <v/>
      </c>
      <c r="T322" s="87" t="s">
        <v>366</v>
      </c>
      <c r="U322" s="76" t="str">
        <f>if(C322="","",Y322/V322)</f>
        <v/>
      </c>
      <c r="V322" s="96" t="str">
        <f>if($C322="","",sum(E322:E324))</f>
        <v/>
      </c>
      <c r="W322" s="77" t="str">
        <f>if($C322="","",$Y322/X322)</f>
        <v/>
      </c>
      <c r="X322" s="96" t="str">
        <f>if($C322="","",sum(F322:F324))</f>
        <v/>
      </c>
      <c r="Y322" s="96" t="str">
        <f>if($C322="","",sum(O322:O324))</f>
        <v/>
      </c>
      <c r="Z322" s="77" t="str">
        <f>if($C322="","",(sum(J322:J324)/sum(N322:N324)))</f>
        <v/>
      </c>
      <c r="AA322" s="78" t="str">
        <f>if($C322="","",sum(G322:G324)*9/sum(sum(G322:G324)*9+sum(J322:J324)*4+sum(N322:N324)*4))</f>
        <v/>
      </c>
      <c r="AB322" s="78" t="str">
        <f>if($C322="","",sum(L322:L324)*4/sum(sum(G322:G324)*9+sum(J322:J324)*4+sum(N322:N324)*4))</f>
        <v/>
      </c>
      <c r="AC322" s="79" t="str">
        <f>if($C322="","",(sum(H322:H324)/sum(O322:O324)))</f>
        <v/>
      </c>
    </row>
    <row r="323">
      <c r="A323" s="52"/>
      <c r="B323" s="53"/>
      <c r="C323" s="93"/>
      <c r="D323" s="55">
        <v>1.0</v>
      </c>
      <c r="E323" s="56" t="str">
        <f t="array" ref="E323">if(C323="","",_xlfn.xlookup(C323,'Hiker Food'!$C:$C,'Hiker Food'!G:G)*D323)</f>
        <v/>
      </c>
      <c r="F323" s="42" t="str">
        <f t="array" ref="F323">if(C323="","",_xlfn.xlookup(C323,'Hiker Food'!$C:$C,'Hiker Food'!H:H)*D323)</f>
        <v/>
      </c>
      <c r="G323" s="42" t="str">
        <f t="array" ref="G323">if($C323="","",_xlfn.xlookup($C323,'Hiker Food'!$C:$C,'Hiker Food'!J:J)*$D323)</f>
        <v/>
      </c>
      <c r="H323" s="42" t="str">
        <f t="array" ref="H323">if($C323="","",_xlfn.xlookup($C323,'Hiker Food'!$C:$C,'Hiker Food'!K:K)*$D323)</f>
        <v/>
      </c>
      <c r="I323" s="42" t="str">
        <f t="array" ref="I323">if($C323="","",_xlfn.xlookup($C323,'Hiker Food'!$C:$C,'Hiker Food'!L:L)*$D323)</f>
        <v/>
      </c>
      <c r="J323" s="42" t="str">
        <f t="array" ref="J323">if($C323="","",_xlfn.xlookup($C323,'Hiker Food'!$C:$C,'Hiker Food'!M:M)*$D323)</f>
        <v/>
      </c>
      <c r="K323" s="42" t="str">
        <f t="array" ref="K323">if($C323="","",_xlfn.xlookup($C323,'Hiker Food'!$C:$C,'Hiker Food'!N:N)*$D323)</f>
        <v/>
      </c>
      <c r="L323" s="42" t="str">
        <f t="array" ref="L323">if($C323="","",_xlfn.xlookup($C323,'Hiker Food'!$C:$C,'Hiker Food'!O:O)*$D323)</f>
        <v/>
      </c>
      <c r="M323" s="42" t="str">
        <f t="array" ref="M323">if($C323="","",_xlfn.xlookup($C323,'Hiker Food'!$C:$C,'Hiker Food'!P:P)*$D323)</f>
        <v/>
      </c>
      <c r="N323" s="42" t="str">
        <f t="array" ref="N323">if($C323="","",_xlfn.xlookup($C323,'Hiker Food'!$C:$C,'Hiker Food'!Q:Q)*$D323)</f>
        <v/>
      </c>
      <c r="O323" s="42" t="str">
        <f t="array" ref="O323">if($C323="","",_xlfn.xlookup($C323,'Hiker Food'!$C:$C,'Hiker Food'!I:I)*$D323)</f>
        <v/>
      </c>
      <c r="P323" s="56" t="str">
        <f t="array" ref="P323">if($C323="","",_xlfn.xlookup($C323,'Hiker Food'!$C:$C,'Hiker Food'!T:T))</f>
        <v/>
      </c>
      <c r="Q323" s="57" t="str">
        <f t="array" ref="Q323">if($C323="","",_xlfn.xlookup($C323,'Hiker Food'!$C:$C,'Hiker Food'!U:U))</f>
        <v/>
      </c>
      <c r="R323" s="57" t="str">
        <f t="array" ref="R323">if($C323="","",_xlfn.xlookup($C323,'Hiker Food'!$C:$C,'Hiker Food'!V:V))</f>
        <v/>
      </c>
      <c r="S323" s="58" t="str">
        <f t="array" ref="S323">if($C323="","",_xlfn.xlookup($C323,'Hiker Food'!$C:$C,'Hiker Food'!W:W))</f>
        <v/>
      </c>
      <c r="T323" s="59"/>
      <c r="AC323" s="60"/>
    </row>
    <row r="324">
      <c r="A324" s="52"/>
      <c r="B324" s="61"/>
      <c r="C324" s="54"/>
      <c r="D324" s="63">
        <v>1.0</v>
      </c>
      <c r="E324" s="81" t="str">
        <f t="array" ref="E324">if(C324="","",_xlfn.xlookup(C324,'Hiker Food'!$C:$C,'Hiker Food'!G:G)*D324)</f>
        <v/>
      </c>
      <c r="F324" s="64" t="str">
        <f t="array" ref="F324">if(C324="","",_xlfn.xlookup(C324,'Hiker Food'!$C:$C,'Hiker Food'!H:H)*D324)</f>
        <v/>
      </c>
      <c r="G324" s="64" t="str">
        <f t="array" ref="G324">if($C324="","",_xlfn.xlookup($C324,'Hiker Food'!$C:$C,'Hiker Food'!J:J)*$D324)</f>
        <v/>
      </c>
      <c r="H324" s="64" t="str">
        <f t="array" ref="H324">if($C324="","",_xlfn.xlookup($C324,'Hiker Food'!$C:$C,'Hiker Food'!K:K)*$D324)</f>
        <v/>
      </c>
      <c r="I324" s="64" t="str">
        <f t="array" ref="I324">if($C324="","",_xlfn.xlookup($C324,'Hiker Food'!$C:$C,'Hiker Food'!L:L)*$D324)</f>
        <v/>
      </c>
      <c r="J324" s="64" t="str">
        <f t="array" ref="J324">if($C324="","",_xlfn.xlookup($C324,'Hiker Food'!$C:$C,'Hiker Food'!M:M)*$D324)</f>
        <v/>
      </c>
      <c r="K324" s="64" t="str">
        <f t="array" ref="K324">if($C324="","",_xlfn.xlookup($C324,'Hiker Food'!$C:$C,'Hiker Food'!N:N)*$D324)</f>
        <v/>
      </c>
      <c r="L324" s="64" t="str">
        <f t="array" ref="L324">if($C324="","",_xlfn.xlookup($C324,'Hiker Food'!$C:$C,'Hiker Food'!O:O)*$D324)</f>
        <v/>
      </c>
      <c r="M324" s="64" t="str">
        <f t="array" ref="M324">if($C324="","",_xlfn.xlookup($C324,'Hiker Food'!$C:$C,'Hiker Food'!P:P)*$D324)</f>
        <v/>
      </c>
      <c r="N324" s="64" t="str">
        <f t="array" ref="N324">if($C324="","",_xlfn.xlookup($C324,'Hiker Food'!$C:$C,'Hiker Food'!Q:Q)*$D324)</f>
        <v/>
      </c>
      <c r="O324" s="64" t="str">
        <f t="array" ref="O324">if($C324="","",_xlfn.xlookup($C324,'Hiker Food'!$C:$C,'Hiker Food'!I:I)*$D324)</f>
        <v/>
      </c>
      <c r="P324" s="81" t="str">
        <f t="array" ref="P324">if($C324="","",_xlfn.xlookup($C324,'Hiker Food'!$C:$C,'Hiker Food'!T:T))</f>
        <v/>
      </c>
      <c r="Q324" s="82" t="str">
        <f t="array" ref="Q324">if($C324="","",_xlfn.xlookup($C324,'Hiker Food'!$C:$C,'Hiker Food'!U:U))</f>
        <v/>
      </c>
      <c r="R324" s="82" t="str">
        <f t="array" ref="R324">if($C324="","",_xlfn.xlookup($C324,'Hiker Food'!$C:$C,'Hiker Food'!V:V))</f>
        <v/>
      </c>
      <c r="S324" s="83" t="str">
        <f t="array" ref="S324">if($C324="","",_xlfn.xlookup($C324,'Hiker Food'!$C:$C,'Hiker Food'!W:W))</f>
        <v/>
      </c>
      <c r="T324" s="65"/>
      <c r="U324" s="66"/>
      <c r="V324" s="66"/>
      <c r="W324" s="66"/>
      <c r="X324" s="66"/>
      <c r="Y324" s="66"/>
      <c r="Z324" s="66"/>
      <c r="AA324" s="66"/>
      <c r="AB324" s="66"/>
      <c r="AC324" s="67"/>
    </row>
    <row r="325">
      <c r="A325" s="52"/>
      <c r="B325" s="94" t="s">
        <v>424</v>
      </c>
      <c r="C325" s="90"/>
      <c r="D325" s="70">
        <v>1.0</v>
      </c>
      <c r="E325" s="71" t="str">
        <f t="array" ref="E325">if(C325="","",_xlfn.xlookup(C325,'Hiker Food'!$C:$C,'Hiker Food'!G:G)*D325)</f>
        <v/>
      </c>
      <c r="F325" s="42" t="str">
        <f t="array" ref="F325">if(C325="","",_xlfn.xlookup(C325,'Hiker Food'!$C:$C,'Hiker Food'!H:H)*D325)</f>
        <v/>
      </c>
      <c r="G325" s="72" t="str">
        <f t="array" ref="G325">if($C325="","",_xlfn.xlookup($C325,'Hiker Food'!$C:$C,'Hiker Food'!J:J)*$D325)</f>
        <v/>
      </c>
      <c r="H325" s="72" t="str">
        <f t="array" ref="H325">if($C325="","",_xlfn.xlookup($C325,'Hiker Food'!$C:$C,'Hiker Food'!K:K)*$D325)</f>
        <v/>
      </c>
      <c r="I325" s="72" t="str">
        <f t="array" ref="I325">if($C325="","",_xlfn.xlookup($C325,'Hiker Food'!$C:$C,'Hiker Food'!L:L)*$D325)</f>
        <v/>
      </c>
      <c r="J325" s="72" t="str">
        <f t="array" ref="J325">if($C325="","",_xlfn.xlookup($C325,'Hiker Food'!$C:$C,'Hiker Food'!M:M)*$D325)</f>
        <v/>
      </c>
      <c r="K325" s="72" t="str">
        <f t="array" ref="K325">if($C325="","",_xlfn.xlookup($C325,'Hiker Food'!$C:$C,'Hiker Food'!N:N)*$D325)</f>
        <v/>
      </c>
      <c r="L325" s="72" t="str">
        <f t="array" ref="L325">if($C325="","",_xlfn.xlookup($C325,'Hiker Food'!$C:$C,'Hiker Food'!O:O)*$D325)</f>
        <v/>
      </c>
      <c r="M325" s="72" t="str">
        <f t="array" ref="M325">if($C325="","",_xlfn.xlookup($C325,'Hiker Food'!$C:$C,'Hiker Food'!P:P)*$D325)</f>
        <v/>
      </c>
      <c r="N325" s="72" t="str">
        <f t="array" ref="N325">if($C325="","",_xlfn.xlookup($C325,'Hiker Food'!$C:$C,'Hiker Food'!Q:Q)*$D325)</f>
        <v/>
      </c>
      <c r="O325" s="72" t="str">
        <f t="array" ref="O325">if($C325="","",_xlfn.xlookup($C325,'Hiker Food'!$C:$C,'Hiker Food'!I:I)*$D325)</f>
        <v/>
      </c>
      <c r="P325" s="71" t="str">
        <f t="array" ref="P325">if($C325="","",_xlfn.xlookup($C325,'Hiker Food'!$C:$C,'Hiker Food'!T:T))</f>
        <v/>
      </c>
      <c r="Q325" s="73" t="str">
        <f t="array" ref="Q325">if($C325="","",_xlfn.xlookup($C325,'Hiker Food'!$C:$C,'Hiker Food'!U:U))</f>
        <v/>
      </c>
      <c r="R325" s="73" t="str">
        <f t="array" ref="R325">if($C325="","",_xlfn.xlookup($C325,'Hiker Food'!$C:$C,'Hiker Food'!V:V))</f>
        <v/>
      </c>
      <c r="S325" s="74" t="str">
        <f t="array" ref="S325">if($C325="","",_xlfn.xlookup($C325,'Hiker Food'!$C:$C,'Hiker Food'!W:W))</f>
        <v/>
      </c>
      <c r="T325" s="95" t="s">
        <v>424</v>
      </c>
      <c r="U325" s="76" t="str">
        <f>if(C325="","",Y325/V325)</f>
        <v/>
      </c>
      <c r="V325" s="96" t="str">
        <f>if($C325="","",sum(E325:E327))</f>
        <v/>
      </c>
      <c r="W325" s="77" t="str">
        <f>if($C325="","",$Y325/X325)</f>
        <v/>
      </c>
      <c r="X325" s="96" t="str">
        <f>if($C325="","",sum(F325:F327))</f>
        <v/>
      </c>
      <c r="Y325" s="96" t="str">
        <f>if($C325="","",sum(O325:O327))</f>
        <v/>
      </c>
      <c r="Z325" s="77" t="str">
        <f>if($C325="","",(sum(J325:J327)/sum(N325:N327)))</f>
        <v/>
      </c>
      <c r="AA325" s="78" t="str">
        <f>if($C325="","",sum(G325:G327)*9/sum(sum(G325:G327)*9+sum(J325:J327)*4+sum(N325:N327)*4))</f>
        <v/>
      </c>
      <c r="AB325" s="78" t="str">
        <f>if($C325="","",sum(L325:L327)*4/sum(sum(G325:G327)*9+sum(J325:J327)*4+sum(N325:N327)*4))</f>
        <v/>
      </c>
      <c r="AC325" s="79" t="str">
        <f>if($C325="","",(sum(H325:H327)/sum(O325:O327)))</f>
        <v/>
      </c>
    </row>
    <row r="326">
      <c r="A326" s="52"/>
      <c r="B326" s="53"/>
      <c r="C326" s="54"/>
      <c r="D326" s="55">
        <v>1.0</v>
      </c>
      <c r="E326" s="56" t="str">
        <f t="array" ref="E326">if(C326="","",_xlfn.xlookup(C326,'Hiker Food'!$C:$C,'Hiker Food'!G:G)*D326)</f>
        <v/>
      </c>
      <c r="F326" s="42" t="str">
        <f t="array" ref="F326">if(C326="","",_xlfn.xlookup(C326,'Hiker Food'!$C:$C,'Hiker Food'!H:H)*D326)</f>
        <v/>
      </c>
      <c r="G326" s="42" t="str">
        <f t="array" ref="G326">if($C326="","",_xlfn.xlookup($C326,'Hiker Food'!$C:$C,'Hiker Food'!J:J)*$D326)</f>
        <v/>
      </c>
      <c r="H326" s="42" t="str">
        <f t="array" ref="H326">if($C326="","",_xlfn.xlookup($C326,'Hiker Food'!$C:$C,'Hiker Food'!K:K)*$D326)</f>
        <v/>
      </c>
      <c r="I326" s="42" t="str">
        <f t="array" ref="I326">if($C326="","",_xlfn.xlookup($C326,'Hiker Food'!$C:$C,'Hiker Food'!L:L)*$D326)</f>
        <v/>
      </c>
      <c r="J326" s="42" t="str">
        <f t="array" ref="J326">if($C326="","",_xlfn.xlookup($C326,'Hiker Food'!$C:$C,'Hiker Food'!M:M)*$D326)</f>
        <v/>
      </c>
      <c r="K326" s="42" t="str">
        <f t="array" ref="K326">if($C326="","",_xlfn.xlookup($C326,'Hiker Food'!$C:$C,'Hiker Food'!N:N)*$D326)</f>
        <v/>
      </c>
      <c r="L326" s="42" t="str">
        <f t="array" ref="L326">if($C326="","",_xlfn.xlookup($C326,'Hiker Food'!$C:$C,'Hiker Food'!O:O)*$D326)</f>
        <v/>
      </c>
      <c r="M326" s="42" t="str">
        <f t="array" ref="M326">if($C326="","",_xlfn.xlookup($C326,'Hiker Food'!$C:$C,'Hiker Food'!P:P)*$D326)</f>
        <v/>
      </c>
      <c r="N326" s="42" t="str">
        <f t="array" ref="N326">if($C326="","",_xlfn.xlookup($C326,'Hiker Food'!$C:$C,'Hiker Food'!Q:Q)*$D326)</f>
        <v/>
      </c>
      <c r="O326" s="42" t="str">
        <f t="array" ref="O326">if($C326="","",_xlfn.xlookup($C326,'Hiker Food'!$C:$C,'Hiker Food'!I:I)*$D326)</f>
        <v/>
      </c>
      <c r="P326" s="56" t="str">
        <f t="array" ref="P326">if($C326="","",_xlfn.xlookup($C326,'Hiker Food'!$C:$C,'Hiker Food'!T:T))</f>
        <v/>
      </c>
      <c r="Q326" s="57" t="str">
        <f t="array" ref="Q326">if($C326="","",_xlfn.xlookup($C326,'Hiker Food'!$C:$C,'Hiker Food'!U:U))</f>
        <v/>
      </c>
      <c r="R326" s="57" t="str">
        <f t="array" ref="R326">if($C326="","",_xlfn.xlookup($C326,'Hiker Food'!$C:$C,'Hiker Food'!V:V))</f>
        <v/>
      </c>
      <c r="S326" s="58" t="str">
        <f t="array" ref="S326">if($C326="","",_xlfn.xlookup($C326,'Hiker Food'!$C:$C,'Hiker Food'!W:W))</f>
        <v/>
      </c>
      <c r="T326" s="59"/>
      <c r="AC326" s="60"/>
    </row>
    <row r="327">
      <c r="A327" s="52"/>
      <c r="B327" s="61"/>
      <c r="C327" s="54"/>
      <c r="D327" s="63">
        <v>1.0</v>
      </c>
      <c r="E327" s="81" t="str">
        <f t="array" ref="E327">if(C327="","",_xlfn.xlookup(C327,'Hiker Food'!$C:$C,'Hiker Food'!G:G)*D327)</f>
        <v/>
      </c>
      <c r="F327" s="64" t="str">
        <f t="array" ref="F327">if(C327="","",_xlfn.xlookup(C327,'Hiker Food'!$C:$C,'Hiker Food'!H:H)*D327)</f>
        <v/>
      </c>
      <c r="G327" s="64" t="str">
        <f t="array" ref="G327">if($C327="","",_xlfn.xlookup($C327,'Hiker Food'!$C:$C,'Hiker Food'!J:J)*$D327)</f>
        <v/>
      </c>
      <c r="H327" s="64" t="str">
        <f t="array" ref="H327">if($C327="","",_xlfn.xlookup($C327,'Hiker Food'!$C:$C,'Hiker Food'!K:K)*$D327)</f>
        <v/>
      </c>
      <c r="I327" s="64" t="str">
        <f t="array" ref="I327">if($C327="","",_xlfn.xlookup($C327,'Hiker Food'!$C:$C,'Hiker Food'!L:L)*$D327)</f>
        <v/>
      </c>
      <c r="J327" s="64" t="str">
        <f t="array" ref="J327">if($C327="","",_xlfn.xlookup($C327,'Hiker Food'!$C:$C,'Hiker Food'!M:M)*$D327)</f>
        <v/>
      </c>
      <c r="K327" s="64" t="str">
        <f t="array" ref="K327">if($C327="","",_xlfn.xlookup($C327,'Hiker Food'!$C:$C,'Hiker Food'!N:N)*$D327)</f>
        <v/>
      </c>
      <c r="L327" s="64" t="str">
        <f t="array" ref="L327">if($C327="","",_xlfn.xlookup($C327,'Hiker Food'!$C:$C,'Hiker Food'!O:O)*$D327)</f>
        <v/>
      </c>
      <c r="M327" s="64" t="str">
        <f t="array" ref="M327">if($C327="","",_xlfn.xlookup($C327,'Hiker Food'!$C:$C,'Hiker Food'!P:P)*$D327)</f>
        <v/>
      </c>
      <c r="N327" s="64" t="str">
        <f t="array" ref="N327">if($C327="","",_xlfn.xlookup($C327,'Hiker Food'!$C:$C,'Hiker Food'!Q:Q)*$D327)</f>
        <v/>
      </c>
      <c r="O327" s="64" t="str">
        <f t="array" ref="O327">if($C327="","",_xlfn.xlookup($C327,'Hiker Food'!$C:$C,'Hiker Food'!I:I)*$D327)</f>
        <v/>
      </c>
      <c r="P327" s="81" t="str">
        <f t="array" ref="P327">if($C327="","",_xlfn.xlookup($C327,'Hiker Food'!$C:$C,'Hiker Food'!T:T))</f>
        <v/>
      </c>
      <c r="Q327" s="82" t="str">
        <f t="array" ref="Q327">if($C327="","",_xlfn.xlookup($C327,'Hiker Food'!$C:$C,'Hiker Food'!U:U))</f>
        <v/>
      </c>
      <c r="R327" s="82" t="str">
        <f t="array" ref="R327">if($C327="","",_xlfn.xlookup($C327,'Hiker Food'!$C:$C,'Hiker Food'!V:V))</f>
        <v/>
      </c>
      <c r="S327" s="83" t="str">
        <f t="array" ref="S327">if($C327="","",_xlfn.xlookup($C327,'Hiker Food'!$C:$C,'Hiker Food'!W:W))</f>
        <v/>
      </c>
      <c r="T327" s="65"/>
      <c r="U327" s="66"/>
      <c r="V327" s="66"/>
      <c r="W327" s="66"/>
      <c r="X327" s="66"/>
      <c r="Y327" s="66"/>
      <c r="Z327" s="66"/>
      <c r="AA327" s="66"/>
      <c r="AB327" s="66"/>
      <c r="AC327" s="67"/>
    </row>
    <row r="328">
      <c r="A328" s="52"/>
      <c r="B328" s="94" t="s">
        <v>478</v>
      </c>
      <c r="C328" s="90"/>
      <c r="D328" s="70">
        <v>1.0</v>
      </c>
      <c r="E328" s="71" t="str">
        <f t="array" ref="E328">if(C328="","",_xlfn.xlookup(C328,'Hiker Food'!$C:$C,'Hiker Food'!G:G)*D328)</f>
        <v/>
      </c>
      <c r="F328" s="42" t="str">
        <f t="array" ref="F328">if(C328="","",_xlfn.xlookup(C328,'Hiker Food'!$C:$C,'Hiker Food'!H:H)*D328)</f>
        <v/>
      </c>
      <c r="G328" s="72" t="str">
        <f t="array" ref="G328">if($C328="","",_xlfn.xlookup($C328,'Hiker Food'!$C:$C,'Hiker Food'!J:J)*$D328)</f>
        <v/>
      </c>
      <c r="H328" s="72" t="str">
        <f t="array" ref="H328">if($C328="","",_xlfn.xlookup($C328,'Hiker Food'!$C:$C,'Hiker Food'!K:K)*$D328)</f>
        <v/>
      </c>
      <c r="I328" s="72" t="str">
        <f t="array" ref="I328">if($C328="","",_xlfn.xlookup($C328,'Hiker Food'!$C:$C,'Hiker Food'!L:L)*$D328)</f>
        <v/>
      </c>
      <c r="J328" s="72" t="str">
        <f t="array" ref="J328">if($C328="","",_xlfn.xlookup($C328,'Hiker Food'!$C:$C,'Hiker Food'!M:M)*$D328)</f>
        <v/>
      </c>
      <c r="K328" s="72" t="str">
        <f t="array" ref="K328">if($C328="","",_xlfn.xlookup($C328,'Hiker Food'!$C:$C,'Hiker Food'!N:N)*$D328)</f>
        <v/>
      </c>
      <c r="L328" s="72" t="str">
        <f t="array" ref="L328">if($C328="","",_xlfn.xlookup($C328,'Hiker Food'!$C:$C,'Hiker Food'!O:O)*$D328)</f>
        <v/>
      </c>
      <c r="M328" s="72" t="str">
        <f t="array" ref="M328">if($C328="","",_xlfn.xlookup($C328,'Hiker Food'!$C:$C,'Hiker Food'!P:P)*$D328)</f>
        <v/>
      </c>
      <c r="N328" s="72" t="str">
        <f t="array" ref="N328">if($C328="","",_xlfn.xlookup($C328,'Hiker Food'!$C:$C,'Hiker Food'!Q:Q)*$D328)</f>
        <v/>
      </c>
      <c r="O328" s="72" t="str">
        <f t="array" ref="O328">if($C328="","",_xlfn.xlookup($C328,'Hiker Food'!$C:$C,'Hiker Food'!I:I)*$D328)</f>
        <v/>
      </c>
      <c r="P328" s="71" t="str">
        <f t="array" ref="P328">if($C328="","",_xlfn.xlookup($C328,'Hiker Food'!$C:$C,'Hiker Food'!T:T))</f>
        <v/>
      </c>
      <c r="Q328" s="73" t="str">
        <f t="array" ref="Q328">if($C328="","",_xlfn.xlookup($C328,'Hiker Food'!$C:$C,'Hiker Food'!U:U))</f>
        <v/>
      </c>
      <c r="R328" s="73" t="str">
        <f t="array" ref="R328">if($C328="","",_xlfn.xlookup($C328,'Hiker Food'!$C:$C,'Hiker Food'!V:V))</f>
        <v/>
      </c>
      <c r="S328" s="74" t="str">
        <f t="array" ref="S328">if($C328="","",_xlfn.xlookup($C328,'Hiker Food'!$C:$C,'Hiker Food'!W:W))</f>
        <v/>
      </c>
      <c r="T328" s="95" t="s">
        <v>478</v>
      </c>
      <c r="U328" s="76" t="str">
        <f>if(C328="","",Y328/V328)</f>
        <v/>
      </c>
      <c r="V328" s="96" t="str">
        <f>if($C328="","",sum(E328:E330))</f>
        <v/>
      </c>
      <c r="W328" s="77" t="str">
        <f>if($C328="","",$Y328/X328)</f>
        <v/>
      </c>
      <c r="X328" s="96" t="str">
        <f>if($C328="","",sum(F328:F330))</f>
        <v/>
      </c>
      <c r="Y328" s="96" t="str">
        <f>if($C328="","",sum(O328:O330))</f>
        <v/>
      </c>
      <c r="Z328" s="77" t="str">
        <f>if($C328="","",(sum(J328:J330)/sum(N328:N330)))</f>
        <v/>
      </c>
      <c r="AA328" s="78" t="str">
        <f>if($C328="","",sum(G328:G330)*9/sum(sum(G328:G330)*9+sum(J328:J330)*4+sum(N328:N330)*4))</f>
        <v/>
      </c>
      <c r="AB328" s="78" t="str">
        <f>if($C328="","",sum(L328:L330)*4/sum(sum(G328:G330)*9+sum(J328:J330)*4+sum(N328:N330)*4))</f>
        <v/>
      </c>
      <c r="AC328" s="79" t="str">
        <f>if($C328="","",(sum(H328:H330)/sum(O328:O330)))</f>
        <v/>
      </c>
    </row>
    <row r="329">
      <c r="A329" s="52"/>
      <c r="B329" s="53"/>
      <c r="C329" s="93"/>
      <c r="D329" s="55">
        <v>1.0</v>
      </c>
      <c r="E329" s="56" t="str">
        <f t="array" ref="E329">if(C329="","",_xlfn.xlookup(C329,'Hiker Food'!$C:$C,'Hiker Food'!G:G)*D329)</f>
        <v/>
      </c>
      <c r="F329" s="42" t="str">
        <f t="array" ref="F329">if(C329="","",_xlfn.xlookup(C329,'Hiker Food'!$C:$C,'Hiker Food'!H:H)*D329)</f>
        <v/>
      </c>
      <c r="G329" s="42" t="str">
        <f t="array" ref="G329">if($C329="","",_xlfn.xlookup($C329,'Hiker Food'!$C:$C,'Hiker Food'!J:J)*$D329)</f>
        <v/>
      </c>
      <c r="H329" s="42" t="str">
        <f t="array" ref="H329">if($C329="","",_xlfn.xlookup($C329,'Hiker Food'!$C:$C,'Hiker Food'!K:K)*$D329)</f>
        <v/>
      </c>
      <c r="I329" s="42" t="str">
        <f t="array" ref="I329">if($C329="","",_xlfn.xlookup($C329,'Hiker Food'!$C:$C,'Hiker Food'!L:L)*$D329)</f>
        <v/>
      </c>
      <c r="J329" s="42" t="str">
        <f t="array" ref="J329">if($C329="","",_xlfn.xlookup($C329,'Hiker Food'!$C:$C,'Hiker Food'!M:M)*$D329)</f>
        <v/>
      </c>
      <c r="K329" s="42" t="str">
        <f t="array" ref="K329">if($C329="","",_xlfn.xlookup($C329,'Hiker Food'!$C:$C,'Hiker Food'!N:N)*$D329)</f>
        <v/>
      </c>
      <c r="L329" s="42" t="str">
        <f t="array" ref="L329">if($C329="","",_xlfn.xlookup($C329,'Hiker Food'!$C:$C,'Hiker Food'!O:O)*$D329)</f>
        <v/>
      </c>
      <c r="M329" s="42" t="str">
        <f t="array" ref="M329">if($C329="","",_xlfn.xlookup($C329,'Hiker Food'!$C:$C,'Hiker Food'!P:P)*$D329)</f>
        <v/>
      </c>
      <c r="N329" s="42" t="str">
        <f t="array" ref="N329">if($C329="","",_xlfn.xlookup($C329,'Hiker Food'!$C:$C,'Hiker Food'!Q:Q)*$D329)</f>
        <v/>
      </c>
      <c r="O329" s="42" t="str">
        <f t="array" ref="O329">if($C329="","",_xlfn.xlookup($C329,'Hiker Food'!$C:$C,'Hiker Food'!I:I)*$D329)</f>
        <v/>
      </c>
      <c r="P329" s="56" t="str">
        <f t="array" ref="P329">if($C329="","",_xlfn.xlookup($C329,'Hiker Food'!$C:$C,'Hiker Food'!T:T))</f>
        <v/>
      </c>
      <c r="Q329" s="57" t="str">
        <f t="array" ref="Q329">if($C329="","",_xlfn.xlookup($C329,'Hiker Food'!$C:$C,'Hiker Food'!U:U))</f>
        <v/>
      </c>
      <c r="R329" s="57" t="str">
        <f t="array" ref="R329">if($C329="","",_xlfn.xlookup($C329,'Hiker Food'!$C:$C,'Hiker Food'!V:V))</f>
        <v/>
      </c>
      <c r="S329" s="58" t="str">
        <f t="array" ref="S329">if($C329="","",_xlfn.xlookup($C329,'Hiker Food'!$C:$C,'Hiker Food'!W:W))</f>
        <v/>
      </c>
      <c r="T329" s="59"/>
      <c r="AC329" s="60"/>
    </row>
    <row r="330">
      <c r="A330" s="52"/>
      <c r="B330" s="61"/>
      <c r="C330" s="62"/>
      <c r="D330" s="63">
        <v>1.0</v>
      </c>
      <c r="E330" s="81" t="str">
        <f t="array" ref="E330">if(C330="","",_xlfn.xlookup(C330,'Hiker Food'!$C:$C,'Hiker Food'!G:G)*D330)</f>
        <v/>
      </c>
      <c r="F330" s="64" t="str">
        <f t="array" ref="F330">if(C330="","",_xlfn.xlookup(C330,'Hiker Food'!$C:$C,'Hiker Food'!H:H)*D330)</f>
        <v/>
      </c>
      <c r="G330" s="64" t="str">
        <f t="array" ref="G330">if($C330="","",_xlfn.xlookup($C330,'Hiker Food'!$C:$C,'Hiker Food'!J:J)*$D330)</f>
        <v/>
      </c>
      <c r="H330" s="64" t="str">
        <f t="array" ref="H330">if($C330="","",_xlfn.xlookup($C330,'Hiker Food'!$C:$C,'Hiker Food'!K:K)*$D330)</f>
        <v/>
      </c>
      <c r="I330" s="64" t="str">
        <f t="array" ref="I330">if($C330="","",_xlfn.xlookup($C330,'Hiker Food'!$C:$C,'Hiker Food'!L:L)*$D330)</f>
        <v/>
      </c>
      <c r="J330" s="64" t="str">
        <f t="array" ref="J330">if($C330="","",_xlfn.xlookup($C330,'Hiker Food'!$C:$C,'Hiker Food'!M:M)*$D330)</f>
        <v/>
      </c>
      <c r="K330" s="64" t="str">
        <f t="array" ref="K330">if($C330="","",_xlfn.xlookup($C330,'Hiker Food'!$C:$C,'Hiker Food'!N:N)*$D330)</f>
        <v/>
      </c>
      <c r="L330" s="64" t="str">
        <f t="array" ref="L330">if($C330="","",_xlfn.xlookup($C330,'Hiker Food'!$C:$C,'Hiker Food'!O:O)*$D330)</f>
        <v/>
      </c>
      <c r="M330" s="64" t="str">
        <f t="array" ref="M330">if($C330="","",_xlfn.xlookup($C330,'Hiker Food'!$C:$C,'Hiker Food'!P:P)*$D330)</f>
        <v/>
      </c>
      <c r="N330" s="64" t="str">
        <f t="array" ref="N330">if($C330="","",_xlfn.xlookup($C330,'Hiker Food'!$C:$C,'Hiker Food'!Q:Q)*$D330)</f>
        <v/>
      </c>
      <c r="O330" s="64" t="str">
        <f t="array" ref="O330">if($C330="","",_xlfn.xlookup($C330,'Hiker Food'!$C:$C,'Hiker Food'!I:I)*$D330)</f>
        <v/>
      </c>
      <c r="P330" s="81" t="str">
        <f t="array" ref="P330">if($C330="","",_xlfn.xlookup($C330,'Hiker Food'!$C:$C,'Hiker Food'!T:T))</f>
        <v/>
      </c>
      <c r="Q330" s="82" t="str">
        <f t="array" ref="Q330">if($C330="","",_xlfn.xlookup($C330,'Hiker Food'!$C:$C,'Hiker Food'!U:U))</f>
        <v/>
      </c>
      <c r="R330" s="82" t="str">
        <f t="array" ref="R330">if($C330="","",_xlfn.xlookup($C330,'Hiker Food'!$C:$C,'Hiker Food'!V:V))</f>
        <v/>
      </c>
      <c r="S330" s="83" t="str">
        <f t="array" ref="S330">if($C330="","",_xlfn.xlookup($C330,'Hiker Food'!$C:$C,'Hiker Food'!W:W))</f>
        <v/>
      </c>
      <c r="T330" s="65"/>
      <c r="U330" s="66"/>
      <c r="V330" s="66"/>
      <c r="W330" s="66"/>
      <c r="X330" s="66"/>
      <c r="Y330" s="66"/>
      <c r="Z330" s="66"/>
      <c r="AA330" s="66"/>
      <c r="AB330" s="66"/>
      <c r="AC330" s="67"/>
    </row>
    <row r="331">
      <c r="A331" s="97"/>
      <c r="B331" s="98" t="s">
        <v>532</v>
      </c>
      <c r="C331" s="99" t="str">
        <f>IF(COUNTIF(C310:C330,"")=COUNTA(C310:C330), "", "zzzz - subtotal line - ignore")</f>
        <v>zzzz - subtotal line - ignore</v>
      </c>
      <c r="D331" s="99"/>
      <c r="E331" s="100" t="str">
        <f t="shared" ref="E331:O331" si="15">if(counta($C310:$C330)=0,"",SUM(E310:E330))</f>
        <v/>
      </c>
      <c r="F331" s="101" t="str">
        <f t="shared" si="15"/>
        <v/>
      </c>
      <c r="G331" s="101" t="str">
        <f t="shared" si="15"/>
        <v/>
      </c>
      <c r="H331" s="101" t="str">
        <f t="shared" si="15"/>
        <v/>
      </c>
      <c r="I331" s="101" t="str">
        <f t="shared" si="15"/>
        <v/>
      </c>
      <c r="J331" s="101" t="str">
        <f t="shared" si="15"/>
        <v/>
      </c>
      <c r="K331" s="101" t="str">
        <f t="shared" si="15"/>
        <v/>
      </c>
      <c r="L331" s="101" t="str">
        <f t="shared" si="15"/>
        <v/>
      </c>
      <c r="M331" s="101" t="str">
        <f t="shared" si="15"/>
        <v/>
      </c>
      <c r="N331" s="101" t="str">
        <f t="shared" si="15"/>
        <v/>
      </c>
      <c r="O331" s="101" t="str">
        <f t="shared" si="15"/>
        <v/>
      </c>
      <c r="P331" s="102"/>
      <c r="Q331" s="102"/>
      <c r="R331" s="102"/>
      <c r="S331" s="102"/>
      <c r="T331" s="98" t="s">
        <v>532</v>
      </c>
      <c r="U331" s="100"/>
      <c r="V331" s="100" t="str">
        <f>if(counta($C310:$C330)=0,"",SUM(E310:E330))</f>
        <v/>
      </c>
      <c r="W331" s="101"/>
      <c r="X331" s="101" t="str">
        <f>if(counta($C310:$C330)=0,"",SUM(F310:F330))</f>
        <v/>
      </c>
      <c r="Y331" s="101" t="str">
        <f>if(counta($C310:$C330)=0,"",SUM(O310:O330))</f>
        <v/>
      </c>
      <c r="Z331" s="103" t="str">
        <f>if($V331="","",sum(J310:J330)/sum(N310:N330))</f>
        <v/>
      </c>
      <c r="AA331" s="104" t="str">
        <f>if($V331="","",sum(G310:G330)*9/sum(sum(G310:G330)*9+sum(J310:J330)*4+sum(N310:N330)*4))</f>
        <v/>
      </c>
      <c r="AB331" s="104" t="str">
        <f>if($V331="","",sum(L310:L330)*4/sum(sum(G310:G330)*9+sum(J310:J330)*4+sum(N310:N330)*4))</f>
        <v/>
      </c>
      <c r="AC331" s="105" t="str">
        <f>if($V331="","",sum(H310:H330)/sum(O310:O330))</f>
        <v/>
      </c>
    </row>
    <row r="332">
      <c r="A332" s="252"/>
      <c r="B332" s="252"/>
      <c r="C332" s="253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  <c r="AA332" s="252"/>
      <c r="AB332" s="252"/>
      <c r="AC332" s="252"/>
    </row>
    <row r="333">
      <c r="B333" s="252"/>
      <c r="C333" s="253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  <c r="AA333" s="252"/>
      <c r="AB333" s="252"/>
      <c r="AC333" s="252"/>
    </row>
    <row r="334">
      <c r="B334" s="252"/>
      <c r="C334" s="253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  <c r="AA334" s="252"/>
      <c r="AB334" s="252"/>
      <c r="AC334" s="252"/>
    </row>
    <row r="335">
      <c r="B335" s="252"/>
      <c r="C335" s="253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  <c r="AA335" s="252"/>
      <c r="AB335" s="252"/>
      <c r="AC335" s="252"/>
    </row>
    <row r="336">
      <c r="B336" s="252"/>
      <c r="C336" s="253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  <c r="AA336" s="252"/>
      <c r="AB336" s="252"/>
      <c r="AC336" s="252"/>
    </row>
    <row r="337">
      <c r="B337" s="252"/>
      <c r="C337" s="253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  <c r="AA337" s="252"/>
      <c r="AB337" s="252"/>
      <c r="AC337" s="252"/>
    </row>
    <row r="338">
      <c r="B338" s="252"/>
      <c r="C338" s="253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  <c r="AA338" s="252"/>
      <c r="AB338" s="252"/>
      <c r="AC338" s="252"/>
    </row>
    <row r="339">
      <c r="B339" s="252"/>
      <c r="C339" s="253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  <c r="AA339" s="252"/>
      <c r="AB339" s="252"/>
      <c r="AC339" s="252"/>
    </row>
    <row r="340">
      <c r="B340" s="252"/>
      <c r="C340" s="253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  <c r="AA340" s="252"/>
      <c r="AB340" s="252"/>
      <c r="AC340" s="252"/>
    </row>
    <row r="341">
      <c r="B341" s="252"/>
      <c r="C341" s="253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  <c r="AA341" s="252"/>
      <c r="AB341" s="252"/>
      <c r="AC341" s="252"/>
    </row>
    <row r="342">
      <c r="B342" s="252"/>
      <c r="C342" s="253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  <c r="AA342" s="252"/>
      <c r="AB342" s="252"/>
      <c r="AC342" s="252"/>
    </row>
    <row r="343">
      <c r="B343" s="252"/>
      <c r="C343" s="253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  <c r="AA343" s="252"/>
      <c r="AB343" s="252"/>
      <c r="AC343" s="252"/>
    </row>
    <row r="344">
      <c r="B344" s="252"/>
      <c r="C344" s="253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  <c r="AA344" s="252"/>
      <c r="AB344" s="252"/>
      <c r="AC344" s="252"/>
    </row>
    <row r="345">
      <c r="B345" s="252"/>
      <c r="C345" s="253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  <c r="AA345" s="252"/>
      <c r="AB345" s="252"/>
      <c r="AC345" s="252"/>
    </row>
    <row r="346">
      <c r="B346" s="252"/>
      <c r="C346" s="253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  <c r="AA346" s="252"/>
      <c r="AB346" s="252"/>
      <c r="AC346" s="252"/>
    </row>
    <row r="347">
      <c r="B347" s="252"/>
      <c r="C347" s="253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  <c r="AA347" s="252"/>
      <c r="AB347" s="252"/>
      <c r="AC347" s="252"/>
    </row>
    <row r="348">
      <c r="B348" s="252"/>
      <c r="C348" s="253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  <c r="AA348" s="252"/>
      <c r="AB348" s="252"/>
      <c r="AC348" s="252"/>
    </row>
    <row r="349">
      <c r="B349" s="252"/>
      <c r="C349" s="253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  <c r="AA349" s="252"/>
      <c r="AB349" s="252"/>
      <c r="AC349" s="252"/>
    </row>
    <row r="350">
      <c r="B350" s="252"/>
      <c r="C350" s="253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  <c r="AA350" s="252"/>
      <c r="AB350" s="252"/>
      <c r="AC350" s="252"/>
    </row>
    <row r="351">
      <c r="B351" s="252"/>
      <c r="C351" s="253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  <c r="AA351" s="252"/>
      <c r="AB351" s="252"/>
      <c r="AC351" s="252"/>
    </row>
    <row r="352">
      <c r="B352" s="252"/>
      <c r="C352" s="253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  <c r="AA352" s="252"/>
      <c r="AB352" s="252"/>
      <c r="AC352" s="252"/>
    </row>
    <row r="353">
      <c r="B353" s="252"/>
      <c r="C353" s="253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  <c r="AA353" s="252"/>
      <c r="AB353" s="252"/>
      <c r="AC353" s="252"/>
    </row>
    <row r="354">
      <c r="A354" s="252"/>
      <c r="B354" s="252"/>
      <c r="C354" s="253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  <c r="AA354" s="252"/>
      <c r="AB354" s="252"/>
      <c r="AC354" s="252"/>
    </row>
    <row r="355">
      <c r="B355" s="252"/>
      <c r="C355" s="253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  <c r="AA355" s="252"/>
      <c r="AB355" s="252"/>
      <c r="AC355" s="252"/>
    </row>
    <row r="356">
      <c r="B356" s="252"/>
      <c r="C356" s="253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  <c r="AA356" s="252"/>
      <c r="AB356" s="252"/>
      <c r="AC356" s="252"/>
    </row>
    <row r="357">
      <c r="B357" s="252"/>
      <c r="C357" s="253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  <c r="AA357" s="252"/>
      <c r="AB357" s="252"/>
      <c r="AC357" s="252"/>
    </row>
    <row r="358">
      <c r="B358" s="252"/>
      <c r="C358" s="253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  <c r="AA358" s="252"/>
      <c r="AB358" s="252"/>
      <c r="AC358" s="252"/>
    </row>
    <row r="359">
      <c r="B359" s="252"/>
      <c r="C359" s="253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  <c r="AA359" s="252"/>
      <c r="AB359" s="252"/>
      <c r="AC359" s="252"/>
    </row>
    <row r="360">
      <c r="B360" s="252"/>
      <c r="C360" s="253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  <c r="AA360" s="252"/>
      <c r="AB360" s="252"/>
      <c r="AC360" s="252"/>
    </row>
    <row r="361">
      <c r="B361" s="252"/>
      <c r="C361" s="253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  <c r="AA361" s="252"/>
      <c r="AB361" s="252"/>
      <c r="AC361" s="252"/>
    </row>
    <row r="362">
      <c r="B362" s="252"/>
      <c r="C362" s="253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  <c r="AA362" s="252"/>
      <c r="AB362" s="252"/>
      <c r="AC362" s="252"/>
    </row>
    <row r="363">
      <c r="B363" s="252"/>
      <c r="C363" s="253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  <c r="AA363" s="252"/>
      <c r="AB363" s="252"/>
      <c r="AC363" s="252"/>
    </row>
    <row r="364">
      <c r="B364" s="252"/>
      <c r="C364" s="253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  <c r="AA364" s="252"/>
      <c r="AB364" s="252"/>
      <c r="AC364" s="252"/>
    </row>
    <row r="365">
      <c r="B365" s="252"/>
      <c r="C365" s="253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  <c r="AA365" s="252"/>
      <c r="AB365" s="252"/>
      <c r="AC365" s="252"/>
    </row>
    <row r="366">
      <c r="B366" s="252"/>
      <c r="C366" s="253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  <c r="AA366" s="252"/>
      <c r="AB366" s="252"/>
      <c r="AC366" s="252"/>
    </row>
    <row r="367">
      <c r="B367" s="252"/>
      <c r="C367" s="253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  <c r="AA367" s="252"/>
      <c r="AB367" s="252"/>
      <c r="AC367" s="252"/>
    </row>
    <row r="368">
      <c r="B368" s="252"/>
      <c r="C368" s="253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  <c r="AA368" s="252"/>
      <c r="AB368" s="252"/>
      <c r="AC368" s="252"/>
    </row>
    <row r="369">
      <c r="B369" s="252"/>
      <c r="C369" s="253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  <c r="AA369" s="252"/>
      <c r="AB369" s="252"/>
      <c r="AC369" s="252"/>
    </row>
    <row r="370">
      <c r="B370" s="252"/>
      <c r="C370" s="253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  <c r="AA370" s="252"/>
      <c r="AB370" s="252"/>
      <c r="AC370" s="252"/>
    </row>
    <row r="371">
      <c r="B371" s="252"/>
      <c r="C371" s="253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  <c r="AA371" s="252"/>
      <c r="AB371" s="252"/>
      <c r="AC371" s="252"/>
    </row>
    <row r="372">
      <c r="B372" s="252"/>
      <c r="C372" s="253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  <c r="AA372" s="252"/>
      <c r="AB372" s="252"/>
      <c r="AC372" s="252"/>
    </row>
    <row r="373">
      <c r="B373" s="252"/>
      <c r="C373" s="253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  <c r="AA373" s="252"/>
      <c r="AB373" s="252"/>
      <c r="AC373" s="252"/>
    </row>
    <row r="374">
      <c r="B374" s="252"/>
      <c r="C374" s="253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  <c r="AA374" s="252"/>
      <c r="AB374" s="252"/>
      <c r="AC374" s="252"/>
    </row>
    <row r="375">
      <c r="B375" s="252"/>
      <c r="C375" s="253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  <c r="AA375" s="252"/>
      <c r="AB375" s="252"/>
      <c r="AC375" s="252"/>
    </row>
    <row r="376">
      <c r="A376" s="252"/>
      <c r="B376" s="252"/>
      <c r="C376" s="253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  <c r="AA376" s="252"/>
      <c r="AB376" s="252"/>
      <c r="AC376" s="252"/>
    </row>
    <row r="377">
      <c r="A377" s="252"/>
      <c r="B377" s="252"/>
      <c r="C377" s="253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  <c r="AA377" s="252"/>
      <c r="AB377" s="252"/>
      <c r="AC377" s="252"/>
    </row>
    <row r="378">
      <c r="A378" s="252"/>
      <c r="B378" s="252"/>
      <c r="C378" s="253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  <c r="AA378" s="252"/>
      <c r="AB378" s="252"/>
      <c r="AC378" s="252"/>
    </row>
    <row r="379">
      <c r="A379" s="252"/>
      <c r="B379" s="252"/>
      <c r="C379" s="253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  <c r="AA379" s="252"/>
      <c r="AB379" s="252"/>
      <c r="AC379" s="252"/>
    </row>
    <row r="380">
      <c r="A380" s="252"/>
      <c r="B380" s="252"/>
      <c r="C380" s="253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  <c r="AA380" s="252"/>
      <c r="AB380" s="252"/>
      <c r="AC380" s="252"/>
    </row>
    <row r="381">
      <c r="A381" s="252"/>
      <c r="B381" s="252"/>
      <c r="C381" s="253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  <c r="AA381" s="252"/>
      <c r="AB381" s="252"/>
      <c r="AC381" s="252"/>
    </row>
    <row r="382">
      <c r="A382" s="252"/>
      <c r="B382" s="252"/>
      <c r="C382" s="253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  <c r="AA382" s="252"/>
      <c r="AB382" s="252"/>
      <c r="AC382" s="252"/>
    </row>
    <row r="383">
      <c r="A383" s="252"/>
      <c r="B383" s="252"/>
      <c r="C383" s="253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  <c r="AA383" s="252"/>
      <c r="AB383" s="252"/>
      <c r="AC383" s="252"/>
    </row>
    <row r="384">
      <c r="A384" s="252"/>
      <c r="B384" s="252"/>
      <c r="C384" s="253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  <c r="AA384" s="252"/>
      <c r="AB384" s="252"/>
      <c r="AC384" s="252"/>
    </row>
    <row r="385">
      <c r="A385" s="252"/>
      <c r="B385" s="252"/>
      <c r="C385" s="253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  <c r="AA385" s="252"/>
      <c r="AB385" s="252"/>
      <c r="AC385" s="252"/>
    </row>
    <row r="386">
      <c r="A386" s="252"/>
      <c r="B386" s="252"/>
      <c r="C386" s="253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  <c r="AA386" s="252"/>
      <c r="AB386" s="252"/>
      <c r="AC386" s="252"/>
    </row>
    <row r="387">
      <c r="A387" s="252"/>
      <c r="B387" s="252"/>
      <c r="C387" s="253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  <c r="AA387" s="252"/>
      <c r="AB387" s="252"/>
      <c r="AC387" s="252"/>
    </row>
    <row r="388">
      <c r="A388" s="252"/>
      <c r="B388" s="252"/>
      <c r="C388" s="253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  <c r="AA388" s="252"/>
      <c r="AB388" s="252"/>
      <c r="AC388" s="252"/>
    </row>
    <row r="389">
      <c r="A389" s="252"/>
      <c r="B389" s="252"/>
      <c r="C389" s="253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  <c r="AA389" s="252"/>
      <c r="AB389" s="252"/>
      <c r="AC389" s="252"/>
    </row>
    <row r="390">
      <c r="A390" s="252"/>
      <c r="B390" s="252"/>
      <c r="C390" s="253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  <c r="AA390" s="252"/>
      <c r="AB390" s="252"/>
      <c r="AC390" s="252"/>
    </row>
    <row r="391">
      <c r="A391" s="252"/>
      <c r="B391" s="252"/>
      <c r="C391" s="253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  <c r="AA391" s="252"/>
      <c r="AB391" s="252"/>
      <c r="AC391" s="252"/>
    </row>
    <row r="392">
      <c r="A392" s="252"/>
      <c r="B392" s="252"/>
      <c r="C392" s="253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  <c r="AA392" s="252"/>
      <c r="AB392" s="252"/>
      <c r="AC392" s="252"/>
    </row>
    <row r="393">
      <c r="A393" s="252"/>
      <c r="B393" s="252"/>
      <c r="C393" s="253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  <c r="AA393" s="252"/>
      <c r="AB393" s="252"/>
      <c r="AC393" s="252"/>
    </row>
    <row r="394">
      <c r="A394" s="252"/>
      <c r="B394" s="252"/>
      <c r="C394" s="253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  <c r="AA394" s="252"/>
      <c r="AB394" s="252"/>
      <c r="AC394" s="252"/>
    </row>
    <row r="395">
      <c r="A395" s="252"/>
      <c r="B395" s="252"/>
      <c r="C395" s="253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  <c r="AA395" s="252"/>
      <c r="AB395" s="252"/>
      <c r="AC395" s="252"/>
    </row>
    <row r="396">
      <c r="A396" s="252"/>
      <c r="B396" s="252"/>
      <c r="C396" s="253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  <c r="AA396" s="252"/>
      <c r="AB396" s="252"/>
      <c r="AC396" s="252"/>
    </row>
    <row r="397">
      <c r="A397" s="252"/>
      <c r="B397" s="252"/>
      <c r="C397" s="253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  <c r="AA397" s="252"/>
      <c r="AB397" s="252"/>
      <c r="AC397" s="252"/>
    </row>
    <row r="398">
      <c r="A398" s="252"/>
      <c r="B398" s="252"/>
      <c r="C398" s="253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  <c r="AA398" s="252"/>
      <c r="AB398" s="252"/>
      <c r="AC398" s="252"/>
    </row>
    <row r="399">
      <c r="A399" s="252"/>
      <c r="B399" s="252"/>
      <c r="C399" s="253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  <c r="AA399" s="252"/>
      <c r="AB399" s="252"/>
      <c r="AC399" s="252"/>
    </row>
    <row r="400">
      <c r="A400" s="252"/>
      <c r="B400" s="252"/>
      <c r="C400" s="253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  <c r="AA400" s="252"/>
      <c r="AB400" s="252"/>
      <c r="AC400" s="252"/>
    </row>
    <row r="401">
      <c r="A401" s="252"/>
      <c r="B401" s="252"/>
      <c r="C401" s="253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  <c r="AA401" s="252"/>
      <c r="AB401" s="252"/>
      <c r="AC401" s="252"/>
    </row>
    <row r="402">
      <c r="A402" s="252"/>
      <c r="B402" s="252"/>
      <c r="C402" s="253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  <c r="AA402" s="252"/>
      <c r="AB402" s="252"/>
      <c r="AC402" s="252"/>
    </row>
    <row r="403">
      <c r="A403" s="252"/>
      <c r="B403" s="252"/>
      <c r="C403" s="253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  <c r="AA403" s="252"/>
      <c r="AB403" s="252"/>
      <c r="AC403" s="252"/>
    </row>
    <row r="404">
      <c r="A404" s="252"/>
      <c r="B404" s="252"/>
      <c r="C404" s="253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  <c r="AA404" s="252"/>
      <c r="AB404" s="252"/>
      <c r="AC404" s="252"/>
    </row>
    <row r="405">
      <c r="A405" s="252"/>
      <c r="B405" s="252"/>
      <c r="C405" s="253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  <c r="AA405" s="252"/>
      <c r="AB405" s="252"/>
      <c r="AC405" s="252"/>
    </row>
    <row r="406">
      <c r="A406" s="252"/>
      <c r="B406" s="252"/>
      <c r="C406" s="253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  <c r="AA406" s="252"/>
      <c r="AB406" s="252"/>
      <c r="AC406" s="252"/>
    </row>
    <row r="407">
      <c r="A407" s="252"/>
      <c r="B407" s="252"/>
      <c r="C407" s="253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  <c r="AA407" s="252"/>
      <c r="AB407" s="252"/>
      <c r="AC407" s="252"/>
    </row>
    <row r="408">
      <c r="A408" s="252"/>
      <c r="B408" s="252"/>
      <c r="C408" s="253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  <c r="AA408" s="252"/>
      <c r="AB408" s="252"/>
      <c r="AC408" s="252"/>
    </row>
    <row r="409">
      <c r="A409" s="252"/>
      <c r="B409" s="252"/>
      <c r="C409" s="253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  <c r="AA409" s="252"/>
      <c r="AB409" s="252"/>
      <c r="AC409" s="252"/>
    </row>
    <row r="410">
      <c r="A410" s="252"/>
      <c r="B410" s="252"/>
      <c r="C410" s="253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  <c r="AA410" s="252"/>
      <c r="AB410" s="252"/>
      <c r="AC410" s="252"/>
    </row>
    <row r="411">
      <c r="A411" s="252"/>
      <c r="B411" s="252"/>
      <c r="C411" s="253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  <c r="AA411" s="252"/>
      <c r="AB411" s="252"/>
      <c r="AC411" s="252"/>
    </row>
    <row r="412">
      <c r="A412" s="252"/>
      <c r="B412" s="252"/>
      <c r="C412" s="253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  <c r="AA412" s="252"/>
      <c r="AB412" s="252"/>
      <c r="AC412" s="252"/>
    </row>
    <row r="413">
      <c r="A413" s="252"/>
      <c r="B413" s="252"/>
      <c r="C413" s="253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  <c r="AA413" s="252"/>
      <c r="AB413" s="252"/>
      <c r="AC413" s="252"/>
    </row>
    <row r="414">
      <c r="A414" s="252"/>
      <c r="B414" s="252"/>
      <c r="C414" s="253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  <c r="AA414" s="252"/>
      <c r="AB414" s="252"/>
      <c r="AC414" s="252"/>
    </row>
    <row r="415">
      <c r="A415" s="252"/>
      <c r="B415" s="252"/>
      <c r="C415" s="253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  <c r="AA415" s="252"/>
      <c r="AB415" s="252"/>
      <c r="AC415" s="252"/>
    </row>
    <row r="416">
      <c r="A416" s="252"/>
      <c r="B416" s="252"/>
      <c r="C416" s="253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  <c r="AA416" s="252"/>
      <c r="AB416" s="252"/>
      <c r="AC416" s="252"/>
    </row>
    <row r="417">
      <c r="A417" s="252"/>
      <c r="B417" s="252"/>
      <c r="C417" s="253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  <c r="AA417" s="252"/>
      <c r="AB417" s="252"/>
      <c r="AC417" s="252"/>
    </row>
    <row r="418">
      <c r="A418" s="252"/>
      <c r="B418" s="252"/>
      <c r="C418" s="253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  <c r="AA418" s="252"/>
      <c r="AB418" s="252"/>
      <c r="AC418" s="252"/>
    </row>
    <row r="419">
      <c r="A419" s="252"/>
      <c r="B419" s="252"/>
      <c r="C419" s="253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  <c r="AA419" s="252"/>
      <c r="AB419" s="252"/>
      <c r="AC419" s="252"/>
    </row>
    <row r="420">
      <c r="A420" s="252"/>
      <c r="B420" s="252"/>
      <c r="C420" s="253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  <c r="AA420" s="252"/>
      <c r="AB420" s="252"/>
      <c r="AC420" s="252"/>
    </row>
    <row r="421">
      <c r="A421" s="252"/>
      <c r="B421" s="252"/>
      <c r="C421" s="253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  <c r="AA421" s="252"/>
      <c r="AB421" s="252"/>
      <c r="AC421" s="252"/>
    </row>
    <row r="422">
      <c r="A422" s="252"/>
      <c r="B422" s="252"/>
      <c r="C422" s="253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  <c r="AA422" s="252"/>
      <c r="AB422" s="252"/>
      <c r="AC422" s="252"/>
    </row>
    <row r="423">
      <c r="A423" s="252"/>
      <c r="B423" s="252"/>
      <c r="C423" s="253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  <c r="AA423" s="252"/>
      <c r="AB423" s="252"/>
      <c r="AC423" s="252"/>
    </row>
    <row r="424">
      <c r="A424" s="252"/>
      <c r="B424" s="252"/>
      <c r="C424" s="253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  <c r="AA424" s="252"/>
      <c r="AB424" s="252"/>
      <c r="AC424" s="252"/>
    </row>
    <row r="425">
      <c r="A425" s="252"/>
      <c r="B425" s="252"/>
      <c r="C425" s="253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  <c r="AA425" s="252"/>
      <c r="AB425" s="252"/>
      <c r="AC425" s="252"/>
    </row>
    <row r="426">
      <c r="A426" s="252"/>
      <c r="B426" s="252"/>
      <c r="C426" s="253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  <c r="AA426" s="252"/>
      <c r="AB426" s="252"/>
      <c r="AC426" s="252"/>
    </row>
    <row r="427">
      <c r="A427" s="252"/>
      <c r="B427" s="252"/>
      <c r="C427" s="253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  <c r="AA427" s="252"/>
      <c r="AB427" s="252"/>
      <c r="AC427" s="252"/>
    </row>
    <row r="428">
      <c r="A428" s="252"/>
      <c r="B428" s="252"/>
      <c r="C428" s="253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  <c r="AA428" s="252"/>
      <c r="AB428" s="252"/>
      <c r="AC428" s="252"/>
    </row>
    <row r="429">
      <c r="A429" s="252"/>
      <c r="B429" s="252"/>
      <c r="C429" s="253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  <c r="AA429" s="252"/>
      <c r="AB429" s="252"/>
      <c r="AC429" s="252"/>
    </row>
    <row r="430">
      <c r="A430" s="252"/>
      <c r="B430" s="252"/>
      <c r="C430" s="253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  <c r="AA430" s="252"/>
      <c r="AB430" s="252"/>
      <c r="AC430" s="252"/>
    </row>
    <row r="431">
      <c r="A431" s="252"/>
      <c r="B431" s="252"/>
      <c r="C431" s="253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  <c r="AA431" s="252"/>
      <c r="AB431" s="252"/>
      <c r="AC431" s="252"/>
    </row>
    <row r="432">
      <c r="A432" s="252"/>
      <c r="B432" s="252"/>
      <c r="C432" s="253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  <c r="AA432" s="252"/>
      <c r="AB432" s="252"/>
      <c r="AC432" s="252"/>
    </row>
    <row r="433">
      <c r="A433" s="252"/>
      <c r="B433" s="252"/>
      <c r="C433" s="253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  <c r="AA433" s="252"/>
      <c r="AB433" s="252"/>
      <c r="AC433" s="252"/>
    </row>
    <row r="434">
      <c r="A434" s="252"/>
      <c r="B434" s="252"/>
      <c r="C434" s="253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  <c r="AA434" s="252"/>
      <c r="AB434" s="252"/>
      <c r="AC434" s="252"/>
    </row>
    <row r="435">
      <c r="A435" s="252"/>
      <c r="B435" s="252"/>
      <c r="C435" s="253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  <c r="AA435" s="252"/>
      <c r="AB435" s="252"/>
      <c r="AC435" s="252"/>
    </row>
    <row r="436">
      <c r="A436" s="252"/>
      <c r="B436" s="252"/>
      <c r="C436" s="253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  <c r="AA436" s="252"/>
      <c r="AB436" s="252"/>
      <c r="AC436" s="252"/>
    </row>
    <row r="437">
      <c r="A437" s="252"/>
      <c r="B437" s="252"/>
      <c r="C437" s="253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  <c r="AA437" s="252"/>
      <c r="AB437" s="252"/>
      <c r="AC437" s="252"/>
    </row>
    <row r="438">
      <c r="A438" s="252"/>
      <c r="B438" s="252"/>
      <c r="C438" s="253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  <c r="AA438" s="252"/>
      <c r="AB438" s="252"/>
      <c r="AC438" s="252"/>
    </row>
    <row r="439">
      <c r="A439" s="252"/>
      <c r="B439" s="252"/>
      <c r="C439" s="253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  <c r="AA439" s="252"/>
      <c r="AB439" s="252"/>
      <c r="AC439" s="252"/>
    </row>
    <row r="440">
      <c r="A440" s="252"/>
      <c r="B440" s="252"/>
      <c r="C440" s="253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  <c r="AA440" s="252"/>
      <c r="AB440" s="252"/>
      <c r="AC440" s="252"/>
    </row>
    <row r="441">
      <c r="A441" s="252"/>
      <c r="B441" s="252"/>
      <c r="C441" s="253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  <c r="AA441" s="252"/>
      <c r="AB441" s="252"/>
      <c r="AC441" s="252"/>
    </row>
    <row r="442">
      <c r="A442" s="252"/>
      <c r="B442" s="252"/>
      <c r="C442" s="253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  <c r="AA442" s="252"/>
      <c r="AB442" s="252"/>
      <c r="AC442" s="252"/>
    </row>
    <row r="443">
      <c r="A443" s="252"/>
      <c r="B443" s="252"/>
      <c r="C443" s="253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  <c r="AA443" s="252"/>
      <c r="AB443" s="252"/>
      <c r="AC443" s="252"/>
    </row>
    <row r="444">
      <c r="A444" s="252"/>
      <c r="B444" s="252"/>
      <c r="C444" s="253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  <c r="AA444" s="252"/>
      <c r="AB444" s="252"/>
      <c r="AC444" s="252"/>
    </row>
    <row r="445">
      <c r="A445" s="252"/>
      <c r="B445" s="252"/>
      <c r="C445" s="253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  <c r="AA445" s="252"/>
      <c r="AB445" s="252"/>
      <c r="AC445" s="252"/>
    </row>
    <row r="446">
      <c r="A446" s="252"/>
      <c r="B446" s="252"/>
      <c r="C446" s="253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  <c r="AA446" s="252"/>
      <c r="AB446" s="252"/>
      <c r="AC446" s="252"/>
    </row>
    <row r="447">
      <c r="A447" s="252"/>
      <c r="B447" s="252"/>
      <c r="C447" s="253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  <c r="AA447" s="252"/>
      <c r="AB447" s="252"/>
      <c r="AC447" s="252"/>
    </row>
    <row r="448">
      <c r="A448" s="252"/>
      <c r="B448" s="252"/>
      <c r="C448" s="253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  <c r="AA448" s="252"/>
      <c r="AB448" s="252"/>
      <c r="AC448" s="252"/>
    </row>
    <row r="449">
      <c r="A449" s="252"/>
      <c r="B449" s="252"/>
      <c r="C449" s="253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  <c r="AA449" s="252"/>
      <c r="AB449" s="252"/>
      <c r="AC449" s="252"/>
    </row>
    <row r="450">
      <c r="A450" s="252"/>
      <c r="B450" s="252"/>
      <c r="C450" s="253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  <c r="AA450" s="252"/>
      <c r="AB450" s="252"/>
      <c r="AC450" s="252"/>
    </row>
    <row r="451">
      <c r="A451" s="252"/>
      <c r="B451" s="252"/>
      <c r="C451" s="253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  <c r="AA451" s="252"/>
      <c r="AB451" s="252"/>
      <c r="AC451" s="252"/>
    </row>
    <row r="452">
      <c r="A452" s="252"/>
      <c r="B452" s="252"/>
      <c r="C452" s="253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  <c r="AA452" s="252"/>
      <c r="AB452" s="252"/>
      <c r="AC452" s="252"/>
    </row>
    <row r="453">
      <c r="A453" s="252"/>
      <c r="B453" s="252"/>
      <c r="C453" s="253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  <c r="AA453" s="252"/>
      <c r="AB453" s="252"/>
      <c r="AC453" s="252"/>
    </row>
    <row r="454">
      <c r="A454" s="252"/>
      <c r="B454" s="252"/>
      <c r="C454" s="253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  <c r="AA454" s="252"/>
      <c r="AB454" s="252"/>
      <c r="AC454" s="252"/>
    </row>
    <row r="455">
      <c r="A455" s="252"/>
      <c r="B455" s="252"/>
      <c r="C455" s="253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  <c r="AA455" s="252"/>
      <c r="AB455" s="252"/>
      <c r="AC455" s="252"/>
    </row>
    <row r="456">
      <c r="A456" s="252"/>
      <c r="B456" s="252"/>
      <c r="C456" s="253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  <c r="AA456" s="252"/>
      <c r="AB456" s="252"/>
      <c r="AC456" s="252"/>
    </row>
    <row r="457">
      <c r="A457" s="252"/>
      <c r="B457" s="252"/>
      <c r="C457" s="253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  <c r="AA457" s="252"/>
      <c r="AB457" s="252"/>
      <c r="AC457" s="252"/>
    </row>
    <row r="458">
      <c r="A458" s="252"/>
      <c r="B458" s="252"/>
      <c r="C458" s="253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  <c r="AA458" s="252"/>
      <c r="AB458" s="252"/>
      <c r="AC458" s="252"/>
    </row>
    <row r="459">
      <c r="A459" s="252"/>
      <c r="B459" s="252"/>
      <c r="C459" s="253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  <c r="AA459" s="252"/>
      <c r="AB459" s="252"/>
      <c r="AC459" s="252"/>
    </row>
    <row r="460">
      <c r="A460" s="252"/>
      <c r="B460" s="252"/>
      <c r="C460" s="253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  <c r="AA460" s="252"/>
      <c r="AB460" s="252"/>
      <c r="AC460" s="252"/>
    </row>
    <row r="461">
      <c r="A461" s="252"/>
      <c r="B461" s="252"/>
      <c r="C461" s="253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  <c r="AA461" s="252"/>
      <c r="AB461" s="252"/>
      <c r="AC461" s="252"/>
    </row>
    <row r="462">
      <c r="A462" s="252"/>
      <c r="B462" s="252"/>
      <c r="C462" s="253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  <c r="AA462" s="252"/>
      <c r="AB462" s="252"/>
      <c r="AC462" s="252"/>
    </row>
    <row r="463">
      <c r="A463" s="252"/>
      <c r="B463" s="252"/>
      <c r="C463" s="253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  <c r="AA463" s="252"/>
      <c r="AB463" s="252"/>
      <c r="AC463" s="252"/>
    </row>
    <row r="464">
      <c r="A464" s="252"/>
      <c r="B464" s="252"/>
      <c r="C464" s="253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  <c r="AA464" s="252"/>
      <c r="AB464" s="252"/>
      <c r="AC464" s="252"/>
    </row>
    <row r="465">
      <c r="A465" s="252"/>
      <c r="B465" s="252"/>
      <c r="C465" s="253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  <c r="AA465" s="252"/>
      <c r="AB465" s="252"/>
      <c r="AC465" s="252"/>
    </row>
    <row r="466">
      <c r="A466" s="252"/>
      <c r="B466" s="252"/>
      <c r="C466" s="253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  <c r="AA466" s="252"/>
      <c r="AB466" s="252"/>
      <c r="AC466" s="252"/>
    </row>
    <row r="467">
      <c r="A467" s="252"/>
      <c r="B467" s="252"/>
      <c r="C467" s="253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  <c r="AA467" s="252"/>
      <c r="AB467" s="252"/>
      <c r="AC467" s="252"/>
    </row>
    <row r="468">
      <c r="A468" s="252"/>
      <c r="B468" s="252"/>
      <c r="C468" s="253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  <c r="AA468" s="252"/>
      <c r="AB468" s="252"/>
      <c r="AC468" s="252"/>
    </row>
    <row r="469">
      <c r="A469" s="252"/>
      <c r="B469" s="252"/>
      <c r="C469" s="253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  <c r="AA469" s="252"/>
      <c r="AB469" s="252"/>
      <c r="AC469" s="252"/>
    </row>
    <row r="470">
      <c r="A470" s="252"/>
      <c r="B470" s="252"/>
      <c r="C470" s="253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  <c r="AA470" s="252"/>
      <c r="AB470" s="252"/>
      <c r="AC470" s="252"/>
    </row>
    <row r="471">
      <c r="A471" s="252"/>
      <c r="B471" s="252"/>
      <c r="C471" s="253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  <c r="AA471" s="252"/>
      <c r="AB471" s="252"/>
      <c r="AC471" s="252"/>
    </row>
    <row r="472">
      <c r="A472" s="252"/>
      <c r="B472" s="252"/>
      <c r="C472" s="253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  <c r="AA472" s="252"/>
      <c r="AB472" s="252"/>
      <c r="AC472" s="252"/>
    </row>
    <row r="473">
      <c r="A473" s="252"/>
      <c r="B473" s="252"/>
      <c r="C473" s="253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  <c r="AA473" s="252"/>
      <c r="AB473" s="252"/>
      <c r="AC473" s="252"/>
    </row>
    <row r="474">
      <c r="A474" s="252"/>
      <c r="B474" s="252"/>
      <c r="C474" s="253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  <c r="AA474" s="252"/>
      <c r="AB474" s="252"/>
      <c r="AC474" s="252"/>
    </row>
    <row r="475">
      <c r="A475" s="252"/>
      <c r="B475" s="252"/>
      <c r="C475" s="253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  <c r="AA475" s="252"/>
      <c r="AB475" s="252"/>
      <c r="AC475" s="252"/>
    </row>
    <row r="476">
      <c r="A476" s="252"/>
      <c r="B476" s="252"/>
      <c r="C476" s="253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  <c r="AA476" s="252"/>
      <c r="AB476" s="252"/>
      <c r="AC476" s="252"/>
    </row>
    <row r="477">
      <c r="A477" s="252"/>
      <c r="B477" s="252"/>
      <c r="C477" s="253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  <c r="AA477" s="252"/>
      <c r="AB477" s="252"/>
      <c r="AC477" s="252"/>
    </row>
    <row r="478">
      <c r="A478" s="252"/>
      <c r="B478" s="252"/>
      <c r="C478" s="253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  <c r="AA478" s="252"/>
      <c r="AB478" s="252"/>
      <c r="AC478" s="252"/>
    </row>
    <row r="479">
      <c r="A479" s="252"/>
      <c r="B479" s="252"/>
      <c r="C479" s="253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  <c r="AA479" s="252"/>
      <c r="AB479" s="252"/>
      <c r="AC479" s="252"/>
    </row>
    <row r="480">
      <c r="A480" s="252"/>
      <c r="B480" s="252"/>
      <c r="C480" s="253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  <c r="AA480" s="252"/>
      <c r="AB480" s="252"/>
      <c r="AC480" s="252"/>
    </row>
    <row r="481">
      <c r="A481" s="252"/>
      <c r="B481" s="252"/>
      <c r="C481" s="253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  <c r="AA481" s="252"/>
      <c r="AB481" s="252"/>
      <c r="AC481" s="252"/>
    </row>
    <row r="482">
      <c r="A482" s="252"/>
      <c r="B482" s="252"/>
      <c r="C482" s="253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  <c r="AA482" s="252"/>
      <c r="AB482" s="252"/>
      <c r="AC482" s="252"/>
    </row>
    <row r="483">
      <c r="A483" s="252"/>
      <c r="B483" s="252"/>
      <c r="C483" s="253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  <c r="AA483" s="252"/>
      <c r="AB483" s="252"/>
      <c r="AC483" s="252"/>
    </row>
    <row r="484">
      <c r="A484" s="252"/>
      <c r="B484" s="252"/>
      <c r="C484" s="253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  <c r="AA484" s="252"/>
      <c r="AB484" s="252"/>
      <c r="AC484" s="252"/>
    </row>
    <row r="485">
      <c r="A485" s="252"/>
      <c r="B485" s="252"/>
      <c r="C485" s="253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  <c r="AA485" s="252"/>
      <c r="AB485" s="252"/>
      <c r="AC485" s="252"/>
    </row>
    <row r="486">
      <c r="A486" s="252"/>
      <c r="B486" s="252"/>
      <c r="C486" s="253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  <c r="AA486" s="252"/>
      <c r="AB486" s="252"/>
      <c r="AC486" s="252"/>
    </row>
    <row r="487">
      <c r="A487" s="252"/>
      <c r="B487" s="252"/>
      <c r="C487" s="253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  <c r="AA487" s="252"/>
      <c r="AB487" s="252"/>
      <c r="AC487" s="252"/>
    </row>
    <row r="488">
      <c r="A488" s="252"/>
      <c r="B488" s="252"/>
      <c r="C488" s="253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  <c r="AA488" s="252"/>
      <c r="AB488" s="252"/>
      <c r="AC488" s="252"/>
    </row>
    <row r="489">
      <c r="A489" s="252"/>
      <c r="B489" s="252"/>
      <c r="C489" s="253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  <c r="AA489" s="252"/>
      <c r="AB489" s="252"/>
      <c r="AC489" s="252"/>
    </row>
    <row r="490">
      <c r="A490" s="252"/>
      <c r="B490" s="252"/>
      <c r="C490" s="253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  <c r="AA490" s="252"/>
      <c r="AB490" s="252"/>
      <c r="AC490" s="252"/>
    </row>
    <row r="491">
      <c r="A491" s="252"/>
      <c r="B491" s="252"/>
      <c r="C491" s="253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  <c r="AA491" s="252"/>
      <c r="AB491" s="252"/>
      <c r="AC491" s="252"/>
    </row>
    <row r="492">
      <c r="A492" s="252"/>
      <c r="B492" s="252"/>
      <c r="C492" s="253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  <c r="AA492" s="252"/>
      <c r="AB492" s="252"/>
      <c r="AC492" s="252"/>
    </row>
    <row r="493">
      <c r="A493" s="252"/>
      <c r="B493" s="252"/>
      <c r="C493" s="253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  <c r="AA493" s="252"/>
      <c r="AB493" s="252"/>
      <c r="AC493" s="252"/>
    </row>
    <row r="494">
      <c r="A494" s="252"/>
      <c r="B494" s="252"/>
      <c r="C494" s="253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  <c r="AA494" s="252"/>
      <c r="AB494" s="252"/>
      <c r="AC494" s="252"/>
    </row>
    <row r="495">
      <c r="A495" s="252"/>
      <c r="B495" s="252"/>
      <c r="C495" s="253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  <c r="AA495" s="252"/>
      <c r="AB495" s="252"/>
      <c r="AC495" s="252"/>
    </row>
    <row r="496">
      <c r="A496" s="252"/>
      <c r="B496" s="252"/>
      <c r="C496" s="253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  <c r="AA496" s="252"/>
      <c r="AB496" s="252"/>
      <c r="AC496" s="252"/>
    </row>
    <row r="497">
      <c r="A497" s="252"/>
      <c r="B497" s="252"/>
      <c r="C497" s="253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  <c r="AA497" s="252"/>
      <c r="AB497" s="252"/>
      <c r="AC497" s="252"/>
    </row>
    <row r="498">
      <c r="A498" s="252"/>
      <c r="B498" s="252"/>
      <c r="C498" s="253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  <c r="AA498" s="252"/>
      <c r="AB498" s="252"/>
      <c r="AC498" s="252"/>
    </row>
    <row r="499">
      <c r="A499" s="252"/>
      <c r="B499" s="252"/>
      <c r="C499" s="253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  <c r="AA499" s="252"/>
      <c r="AB499" s="252"/>
      <c r="AC499" s="252"/>
    </row>
    <row r="500">
      <c r="A500" s="252"/>
      <c r="B500" s="252"/>
      <c r="C500" s="253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  <c r="AA500" s="252"/>
      <c r="AB500" s="252"/>
      <c r="AC500" s="252"/>
    </row>
    <row r="501">
      <c r="A501" s="252"/>
      <c r="B501" s="252"/>
      <c r="C501" s="253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  <c r="AA501" s="252"/>
      <c r="AB501" s="252"/>
      <c r="AC501" s="252"/>
    </row>
    <row r="502">
      <c r="A502" s="252"/>
      <c r="B502" s="252"/>
      <c r="C502" s="253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  <c r="AA502" s="252"/>
      <c r="AB502" s="252"/>
      <c r="AC502" s="252"/>
    </row>
    <row r="503">
      <c r="A503" s="252"/>
      <c r="B503" s="252"/>
      <c r="C503" s="253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  <c r="AA503" s="252"/>
      <c r="AB503" s="252"/>
      <c r="AC503" s="252"/>
    </row>
    <row r="504">
      <c r="A504" s="252"/>
      <c r="B504" s="252"/>
      <c r="C504" s="253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  <c r="AA504" s="252"/>
      <c r="AB504" s="252"/>
      <c r="AC504" s="252"/>
    </row>
    <row r="505">
      <c r="A505" s="252"/>
      <c r="B505" s="252"/>
      <c r="C505" s="253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  <c r="AA505" s="252"/>
      <c r="AB505" s="252"/>
      <c r="AC505" s="252"/>
    </row>
    <row r="506">
      <c r="A506" s="252"/>
      <c r="B506" s="252"/>
      <c r="C506" s="253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  <c r="AA506" s="252"/>
      <c r="AB506" s="252"/>
      <c r="AC506" s="252"/>
    </row>
    <row r="507">
      <c r="A507" s="252"/>
      <c r="B507" s="252"/>
      <c r="C507" s="253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  <c r="AA507" s="252"/>
      <c r="AB507" s="252"/>
      <c r="AC507" s="252"/>
    </row>
    <row r="508">
      <c r="A508" s="252"/>
      <c r="B508" s="252"/>
      <c r="C508" s="253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  <c r="AA508" s="252"/>
      <c r="AB508" s="252"/>
      <c r="AC508" s="252"/>
    </row>
    <row r="509">
      <c r="A509" s="252"/>
      <c r="B509" s="252"/>
      <c r="C509" s="253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  <c r="AA509" s="252"/>
      <c r="AB509" s="252"/>
      <c r="AC509" s="252"/>
    </row>
    <row r="510">
      <c r="A510" s="252"/>
      <c r="B510" s="252"/>
      <c r="C510" s="253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  <c r="AA510" s="252"/>
      <c r="AB510" s="252"/>
      <c r="AC510" s="252"/>
    </row>
    <row r="511">
      <c r="A511" s="252"/>
      <c r="B511" s="252"/>
      <c r="C511" s="253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  <c r="AA511" s="252"/>
      <c r="AB511" s="252"/>
      <c r="AC511" s="252"/>
    </row>
    <row r="512">
      <c r="A512" s="252"/>
      <c r="B512" s="252"/>
      <c r="C512" s="253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  <c r="AA512" s="252"/>
      <c r="AB512" s="252"/>
      <c r="AC512" s="252"/>
    </row>
    <row r="513">
      <c r="A513" s="252"/>
      <c r="B513" s="252"/>
      <c r="C513" s="253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  <c r="AA513" s="252"/>
      <c r="AB513" s="252"/>
      <c r="AC513" s="252"/>
    </row>
    <row r="514">
      <c r="A514" s="252"/>
      <c r="B514" s="252"/>
      <c r="C514" s="253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  <c r="AA514" s="252"/>
      <c r="AB514" s="252"/>
      <c r="AC514" s="252"/>
    </row>
    <row r="515">
      <c r="A515" s="252"/>
      <c r="B515" s="252"/>
      <c r="C515" s="253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  <c r="AA515" s="252"/>
      <c r="AB515" s="252"/>
      <c r="AC515" s="252"/>
    </row>
    <row r="516">
      <c r="A516" s="252"/>
      <c r="B516" s="252"/>
      <c r="C516" s="253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  <c r="AA516" s="252"/>
      <c r="AB516" s="252"/>
      <c r="AC516" s="252"/>
    </row>
    <row r="517">
      <c r="A517" s="252"/>
      <c r="B517" s="252"/>
      <c r="C517" s="253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  <c r="AA517" s="252"/>
      <c r="AB517" s="252"/>
      <c r="AC517" s="252"/>
    </row>
    <row r="518">
      <c r="A518" s="252"/>
      <c r="B518" s="252"/>
      <c r="C518" s="253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  <c r="AA518" s="252"/>
      <c r="AB518" s="252"/>
      <c r="AC518" s="252"/>
    </row>
    <row r="519">
      <c r="A519" s="252"/>
      <c r="B519" s="252"/>
      <c r="C519" s="253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  <c r="AA519" s="252"/>
      <c r="AB519" s="252"/>
      <c r="AC519" s="252"/>
    </row>
    <row r="520">
      <c r="A520" s="252"/>
      <c r="B520" s="252"/>
      <c r="C520" s="253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  <c r="AA520" s="252"/>
      <c r="AB520" s="252"/>
      <c r="AC520" s="252"/>
    </row>
    <row r="521">
      <c r="A521" s="252"/>
      <c r="B521" s="252"/>
      <c r="C521" s="253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  <c r="AA521" s="252"/>
      <c r="AB521" s="252"/>
      <c r="AC521" s="252"/>
    </row>
    <row r="522">
      <c r="A522" s="252"/>
      <c r="B522" s="252"/>
      <c r="C522" s="253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  <c r="AA522" s="252"/>
      <c r="AB522" s="252"/>
      <c r="AC522" s="252"/>
    </row>
    <row r="523">
      <c r="A523" s="252"/>
      <c r="B523" s="252"/>
      <c r="C523" s="253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  <c r="AA523" s="252"/>
      <c r="AB523" s="252"/>
      <c r="AC523" s="252"/>
    </row>
    <row r="524">
      <c r="A524" s="252"/>
      <c r="B524" s="252"/>
      <c r="C524" s="253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  <c r="AA524" s="252"/>
      <c r="AB524" s="252"/>
      <c r="AC524" s="252"/>
    </row>
    <row r="525">
      <c r="A525" s="252"/>
      <c r="B525" s="252"/>
      <c r="C525" s="253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  <c r="AA525" s="252"/>
      <c r="AB525" s="252"/>
      <c r="AC525" s="252"/>
    </row>
    <row r="526">
      <c r="A526" s="252"/>
      <c r="B526" s="252"/>
      <c r="C526" s="253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  <c r="AA526" s="252"/>
      <c r="AB526" s="252"/>
      <c r="AC526" s="252"/>
    </row>
    <row r="527">
      <c r="A527" s="252"/>
      <c r="B527" s="252"/>
      <c r="C527" s="253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  <c r="AA527" s="252"/>
      <c r="AB527" s="252"/>
      <c r="AC527" s="252"/>
    </row>
    <row r="528">
      <c r="A528" s="252"/>
      <c r="B528" s="252"/>
      <c r="C528" s="253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  <c r="AA528" s="252"/>
      <c r="AB528" s="252"/>
      <c r="AC528" s="252"/>
    </row>
    <row r="529">
      <c r="A529" s="252"/>
      <c r="B529" s="252"/>
      <c r="C529" s="253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  <c r="AA529" s="252"/>
      <c r="AB529" s="252"/>
      <c r="AC529" s="252"/>
    </row>
    <row r="530">
      <c r="A530" s="252"/>
      <c r="B530" s="252"/>
      <c r="C530" s="253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  <c r="AA530" s="252"/>
      <c r="AB530" s="252"/>
      <c r="AC530" s="252"/>
    </row>
    <row r="531">
      <c r="A531" s="252"/>
      <c r="B531" s="252"/>
      <c r="C531" s="253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  <c r="AA531" s="252"/>
      <c r="AB531" s="252"/>
      <c r="AC531" s="252"/>
    </row>
    <row r="532">
      <c r="A532" s="252"/>
      <c r="B532" s="252"/>
      <c r="C532" s="253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  <c r="AA532" s="252"/>
      <c r="AB532" s="252"/>
      <c r="AC532" s="252"/>
    </row>
    <row r="533">
      <c r="A533" s="252"/>
      <c r="B533" s="252"/>
      <c r="C533" s="253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  <c r="AA533" s="252"/>
      <c r="AB533" s="252"/>
      <c r="AC533" s="252"/>
    </row>
    <row r="534">
      <c r="A534" s="252"/>
      <c r="B534" s="252"/>
      <c r="C534" s="253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  <c r="AA534" s="252"/>
      <c r="AB534" s="252"/>
      <c r="AC534" s="252"/>
    </row>
    <row r="535">
      <c r="A535" s="252"/>
      <c r="B535" s="252"/>
      <c r="C535" s="253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  <c r="AA535" s="252"/>
      <c r="AB535" s="252"/>
      <c r="AC535" s="252"/>
    </row>
    <row r="536">
      <c r="A536" s="252"/>
      <c r="B536" s="252"/>
      <c r="C536" s="253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  <c r="AA536" s="252"/>
      <c r="AB536" s="252"/>
      <c r="AC536" s="252"/>
    </row>
    <row r="537">
      <c r="A537" s="252"/>
      <c r="B537" s="252"/>
      <c r="C537" s="253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  <c r="AA537" s="252"/>
      <c r="AB537" s="252"/>
      <c r="AC537" s="252"/>
    </row>
    <row r="538">
      <c r="A538" s="252"/>
      <c r="B538" s="252"/>
      <c r="C538" s="253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  <c r="AA538" s="252"/>
      <c r="AB538" s="252"/>
      <c r="AC538" s="252"/>
    </row>
    <row r="539">
      <c r="A539" s="252"/>
      <c r="B539" s="252"/>
      <c r="C539" s="253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  <c r="AA539" s="252"/>
      <c r="AB539" s="252"/>
      <c r="AC539" s="252"/>
    </row>
    <row r="540">
      <c r="A540" s="252"/>
      <c r="B540" s="252"/>
      <c r="C540" s="253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  <c r="AA540" s="252"/>
      <c r="AB540" s="252"/>
      <c r="AC540" s="252"/>
    </row>
    <row r="541">
      <c r="A541" s="252"/>
      <c r="B541" s="252"/>
      <c r="C541" s="253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  <c r="AA541" s="252"/>
      <c r="AB541" s="252"/>
      <c r="AC541" s="252"/>
    </row>
    <row r="542">
      <c r="A542" s="252"/>
      <c r="B542" s="252"/>
      <c r="C542" s="253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  <c r="AA542" s="252"/>
      <c r="AB542" s="252"/>
      <c r="AC542" s="252"/>
    </row>
    <row r="543">
      <c r="A543" s="252"/>
      <c r="B543" s="252"/>
      <c r="C543" s="253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  <c r="AA543" s="252"/>
      <c r="AB543" s="252"/>
      <c r="AC543" s="252"/>
    </row>
    <row r="544">
      <c r="A544" s="252"/>
      <c r="B544" s="252"/>
      <c r="C544" s="253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  <c r="AA544" s="252"/>
      <c r="AB544" s="252"/>
      <c r="AC544" s="252"/>
    </row>
    <row r="545">
      <c r="A545" s="252"/>
      <c r="B545" s="252"/>
      <c r="C545" s="253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  <c r="AA545" s="252"/>
      <c r="AB545" s="252"/>
      <c r="AC545" s="252"/>
    </row>
    <row r="546">
      <c r="A546" s="252"/>
      <c r="B546" s="252"/>
      <c r="C546" s="253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  <c r="AA546" s="252"/>
      <c r="AB546" s="252"/>
      <c r="AC546" s="252"/>
    </row>
    <row r="547">
      <c r="A547" s="252"/>
      <c r="B547" s="252"/>
      <c r="C547" s="253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  <c r="AA547" s="252"/>
      <c r="AB547" s="252"/>
      <c r="AC547" s="252"/>
    </row>
    <row r="548">
      <c r="A548" s="252"/>
      <c r="B548" s="252"/>
      <c r="C548" s="253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  <c r="AA548" s="252"/>
      <c r="AB548" s="252"/>
      <c r="AC548" s="252"/>
    </row>
    <row r="549">
      <c r="A549" s="252"/>
      <c r="B549" s="252"/>
      <c r="C549" s="253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  <c r="AA549" s="252"/>
      <c r="AB549" s="252"/>
      <c r="AC549" s="252"/>
    </row>
    <row r="550">
      <c r="A550" s="252"/>
      <c r="B550" s="252"/>
      <c r="C550" s="253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  <c r="AA550" s="252"/>
      <c r="AB550" s="252"/>
      <c r="AC550" s="252"/>
    </row>
    <row r="551">
      <c r="A551" s="252"/>
      <c r="B551" s="252"/>
      <c r="C551" s="253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  <c r="AA551" s="252"/>
      <c r="AB551" s="252"/>
      <c r="AC551" s="252"/>
    </row>
    <row r="552">
      <c r="A552" s="252"/>
      <c r="B552" s="252"/>
      <c r="C552" s="253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  <c r="AA552" s="252"/>
      <c r="AB552" s="252"/>
      <c r="AC552" s="252"/>
    </row>
    <row r="553">
      <c r="A553" s="252"/>
      <c r="B553" s="252"/>
      <c r="C553" s="253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  <c r="AA553" s="252"/>
      <c r="AB553" s="252"/>
      <c r="AC553" s="252"/>
    </row>
    <row r="554">
      <c r="A554" s="252"/>
      <c r="B554" s="252"/>
      <c r="C554" s="253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  <c r="AA554" s="252"/>
      <c r="AB554" s="252"/>
      <c r="AC554" s="252"/>
    </row>
    <row r="555">
      <c r="A555" s="252"/>
      <c r="B555" s="252"/>
      <c r="C555" s="253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  <c r="AA555" s="252"/>
      <c r="AB555" s="252"/>
      <c r="AC555" s="252"/>
    </row>
    <row r="556">
      <c r="A556" s="252"/>
      <c r="B556" s="252"/>
      <c r="C556" s="253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  <c r="AA556" s="252"/>
      <c r="AB556" s="252"/>
      <c r="AC556" s="252"/>
    </row>
    <row r="557">
      <c r="A557" s="252"/>
      <c r="B557" s="252"/>
      <c r="C557" s="253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  <c r="AA557" s="252"/>
      <c r="AB557" s="252"/>
      <c r="AC557" s="252"/>
    </row>
    <row r="558">
      <c r="A558" s="252"/>
      <c r="B558" s="252"/>
      <c r="C558" s="253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  <c r="AA558" s="252"/>
      <c r="AB558" s="252"/>
      <c r="AC558" s="252"/>
    </row>
    <row r="559">
      <c r="A559" s="252"/>
      <c r="B559" s="252"/>
      <c r="C559" s="253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  <c r="AA559" s="252"/>
      <c r="AB559" s="252"/>
      <c r="AC559" s="252"/>
    </row>
    <row r="560">
      <c r="A560" s="252"/>
      <c r="B560" s="252"/>
      <c r="C560" s="253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  <c r="AA560" s="252"/>
      <c r="AB560" s="252"/>
      <c r="AC560" s="252"/>
    </row>
    <row r="561">
      <c r="A561" s="252"/>
      <c r="B561" s="252"/>
      <c r="C561" s="253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  <c r="AA561" s="252"/>
      <c r="AB561" s="252"/>
      <c r="AC561" s="252"/>
    </row>
    <row r="562">
      <c r="A562" s="252"/>
      <c r="B562" s="252"/>
      <c r="C562" s="253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  <c r="AA562" s="252"/>
      <c r="AB562" s="252"/>
      <c r="AC562" s="252"/>
    </row>
    <row r="563">
      <c r="A563" s="252"/>
      <c r="B563" s="252"/>
      <c r="C563" s="253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  <c r="AA563" s="252"/>
      <c r="AB563" s="252"/>
      <c r="AC563" s="252"/>
    </row>
    <row r="564">
      <c r="A564" s="252"/>
      <c r="B564" s="252"/>
      <c r="C564" s="253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  <c r="AA564" s="252"/>
      <c r="AB564" s="252"/>
      <c r="AC564" s="252"/>
    </row>
    <row r="565">
      <c r="A565" s="252"/>
      <c r="B565" s="252"/>
      <c r="C565" s="253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  <c r="AA565" s="252"/>
      <c r="AB565" s="252"/>
      <c r="AC565" s="252"/>
    </row>
    <row r="566">
      <c r="A566" s="252"/>
      <c r="B566" s="252"/>
      <c r="C566" s="253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  <c r="AA566" s="252"/>
      <c r="AB566" s="252"/>
      <c r="AC566" s="252"/>
    </row>
    <row r="567">
      <c r="A567" s="252"/>
      <c r="B567" s="252"/>
      <c r="C567" s="253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  <c r="AA567" s="252"/>
      <c r="AB567" s="252"/>
      <c r="AC567" s="252"/>
    </row>
    <row r="568">
      <c r="A568" s="252"/>
      <c r="B568" s="252"/>
      <c r="C568" s="253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  <c r="AA568" s="252"/>
      <c r="AB568" s="252"/>
      <c r="AC568" s="252"/>
    </row>
    <row r="569">
      <c r="A569" s="252"/>
      <c r="B569" s="252"/>
      <c r="C569" s="253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  <c r="AA569" s="252"/>
      <c r="AB569" s="252"/>
      <c r="AC569" s="252"/>
    </row>
    <row r="570">
      <c r="A570" s="252"/>
      <c r="B570" s="252"/>
      <c r="C570" s="253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  <c r="AA570" s="252"/>
      <c r="AB570" s="252"/>
      <c r="AC570" s="252"/>
    </row>
    <row r="571">
      <c r="A571" s="252"/>
      <c r="B571" s="252"/>
      <c r="C571" s="253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  <c r="AA571" s="252"/>
      <c r="AB571" s="252"/>
      <c r="AC571" s="252"/>
    </row>
    <row r="572">
      <c r="A572" s="252"/>
      <c r="B572" s="252"/>
      <c r="C572" s="253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  <c r="AA572" s="252"/>
      <c r="AB572" s="252"/>
      <c r="AC572" s="252"/>
    </row>
    <row r="573">
      <c r="A573" s="252"/>
      <c r="B573" s="252"/>
      <c r="C573" s="253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  <c r="AA573" s="252"/>
      <c r="AB573" s="252"/>
      <c r="AC573" s="252"/>
    </row>
    <row r="574">
      <c r="A574" s="252"/>
      <c r="B574" s="252"/>
      <c r="C574" s="253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  <c r="AA574" s="252"/>
      <c r="AB574" s="252"/>
      <c r="AC574" s="252"/>
    </row>
    <row r="575">
      <c r="A575" s="252"/>
      <c r="B575" s="252"/>
      <c r="C575" s="253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  <c r="AA575" s="252"/>
      <c r="AB575" s="252"/>
      <c r="AC575" s="252"/>
    </row>
    <row r="576">
      <c r="A576" s="252"/>
      <c r="B576" s="252"/>
      <c r="C576" s="253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  <c r="AA576" s="252"/>
      <c r="AB576" s="252"/>
      <c r="AC576" s="252"/>
    </row>
    <row r="577">
      <c r="A577" s="252"/>
      <c r="B577" s="252"/>
      <c r="C577" s="253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  <c r="AA577" s="252"/>
      <c r="AB577" s="252"/>
      <c r="AC577" s="252"/>
    </row>
    <row r="578">
      <c r="A578" s="252"/>
      <c r="B578" s="252"/>
      <c r="C578" s="253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  <c r="AA578" s="252"/>
      <c r="AB578" s="252"/>
      <c r="AC578" s="252"/>
    </row>
    <row r="579">
      <c r="A579" s="252"/>
      <c r="B579" s="252"/>
      <c r="C579" s="253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  <c r="AA579" s="252"/>
      <c r="AB579" s="252"/>
      <c r="AC579" s="252"/>
    </row>
    <row r="580">
      <c r="A580" s="252"/>
      <c r="B580" s="252"/>
      <c r="C580" s="253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  <c r="AA580" s="252"/>
      <c r="AB580" s="252"/>
      <c r="AC580" s="252"/>
    </row>
    <row r="581">
      <c r="A581" s="252"/>
      <c r="B581" s="252"/>
      <c r="C581" s="253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  <c r="AA581" s="252"/>
      <c r="AB581" s="252"/>
      <c r="AC581" s="252"/>
    </row>
    <row r="582">
      <c r="A582" s="252"/>
      <c r="B582" s="252"/>
      <c r="C582" s="253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  <c r="AA582" s="252"/>
      <c r="AB582" s="252"/>
      <c r="AC582" s="252"/>
    </row>
    <row r="583">
      <c r="A583" s="252"/>
      <c r="B583" s="252"/>
      <c r="C583" s="253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  <c r="AA583" s="252"/>
      <c r="AB583" s="252"/>
      <c r="AC583" s="252"/>
    </row>
    <row r="584">
      <c r="A584" s="252"/>
      <c r="B584" s="252"/>
      <c r="C584" s="253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  <c r="AA584" s="252"/>
      <c r="AB584" s="252"/>
      <c r="AC584" s="252"/>
    </row>
    <row r="585">
      <c r="A585" s="252"/>
      <c r="B585" s="252"/>
      <c r="C585" s="253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  <c r="AA585" s="252"/>
      <c r="AB585" s="252"/>
      <c r="AC585" s="252"/>
    </row>
    <row r="586">
      <c r="A586" s="252"/>
      <c r="B586" s="252"/>
      <c r="C586" s="253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  <c r="AA586" s="252"/>
      <c r="AB586" s="252"/>
      <c r="AC586" s="252"/>
    </row>
    <row r="587">
      <c r="A587" s="252"/>
      <c r="B587" s="252"/>
      <c r="C587" s="253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  <c r="AA587" s="252"/>
      <c r="AB587" s="252"/>
      <c r="AC587" s="252"/>
    </row>
    <row r="588">
      <c r="A588" s="252"/>
      <c r="B588" s="252"/>
      <c r="C588" s="253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  <c r="AA588" s="252"/>
      <c r="AB588" s="252"/>
      <c r="AC588" s="252"/>
    </row>
    <row r="589">
      <c r="A589" s="252"/>
      <c r="B589" s="252"/>
      <c r="C589" s="253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  <c r="AA589" s="252"/>
      <c r="AB589" s="252"/>
      <c r="AC589" s="252"/>
    </row>
    <row r="590">
      <c r="A590" s="252"/>
      <c r="B590" s="252"/>
      <c r="C590" s="253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  <c r="AA590" s="252"/>
      <c r="AB590" s="252"/>
      <c r="AC590" s="252"/>
    </row>
    <row r="591">
      <c r="A591" s="252"/>
      <c r="B591" s="252"/>
      <c r="C591" s="253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  <c r="AA591" s="252"/>
      <c r="AB591" s="252"/>
      <c r="AC591" s="252"/>
    </row>
    <row r="592">
      <c r="A592" s="252"/>
      <c r="B592" s="252"/>
      <c r="C592" s="253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  <c r="AA592" s="252"/>
      <c r="AB592" s="252"/>
      <c r="AC592" s="252"/>
    </row>
    <row r="593">
      <c r="A593" s="252"/>
      <c r="B593" s="252"/>
      <c r="C593" s="253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  <c r="AA593" s="252"/>
      <c r="AB593" s="252"/>
      <c r="AC593" s="252"/>
    </row>
    <row r="594">
      <c r="A594" s="252"/>
      <c r="B594" s="252"/>
      <c r="C594" s="253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  <c r="AA594" s="252"/>
      <c r="AB594" s="252"/>
      <c r="AC594" s="252"/>
    </row>
    <row r="595">
      <c r="A595" s="252"/>
      <c r="B595" s="252"/>
      <c r="C595" s="253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  <c r="AA595" s="252"/>
      <c r="AB595" s="252"/>
      <c r="AC595" s="252"/>
    </row>
    <row r="596">
      <c r="A596" s="252"/>
      <c r="B596" s="252"/>
      <c r="C596" s="253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  <c r="AA596" s="252"/>
      <c r="AB596" s="252"/>
      <c r="AC596" s="252"/>
    </row>
    <row r="597">
      <c r="A597" s="252"/>
      <c r="B597" s="252"/>
      <c r="C597" s="253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  <c r="AA597" s="252"/>
      <c r="AB597" s="252"/>
      <c r="AC597" s="252"/>
    </row>
    <row r="598">
      <c r="A598" s="252"/>
      <c r="B598" s="252"/>
      <c r="C598" s="253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  <c r="AA598" s="252"/>
      <c r="AB598" s="252"/>
      <c r="AC598" s="252"/>
    </row>
    <row r="599">
      <c r="A599" s="252"/>
      <c r="B599" s="252"/>
      <c r="C599" s="253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  <c r="AA599" s="252"/>
      <c r="AB599" s="252"/>
      <c r="AC599" s="252"/>
    </row>
    <row r="600">
      <c r="A600" s="252"/>
      <c r="B600" s="252"/>
      <c r="C600" s="253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  <c r="AA600" s="252"/>
      <c r="AB600" s="252"/>
      <c r="AC600" s="252"/>
    </row>
    <row r="601">
      <c r="A601" s="252"/>
      <c r="B601" s="252"/>
      <c r="C601" s="253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  <c r="AA601" s="252"/>
      <c r="AB601" s="252"/>
      <c r="AC601" s="252"/>
    </row>
    <row r="602">
      <c r="A602" s="252"/>
      <c r="B602" s="252"/>
      <c r="C602" s="253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  <c r="AA602" s="252"/>
      <c r="AB602" s="252"/>
      <c r="AC602" s="252"/>
    </row>
    <row r="603">
      <c r="A603" s="252"/>
      <c r="B603" s="252"/>
      <c r="C603" s="253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  <c r="AA603" s="252"/>
      <c r="AB603" s="252"/>
      <c r="AC603" s="252"/>
    </row>
    <row r="604">
      <c r="A604" s="252"/>
      <c r="B604" s="252"/>
      <c r="C604" s="253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  <c r="AA604" s="252"/>
      <c r="AB604" s="252"/>
      <c r="AC604" s="252"/>
    </row>
    <row r="605">
      <c r="A605" s="252"/>
      <c r="B605" s="252"/>
      <c r="C605" s="253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  <c r="AA605" s="252"/>
      <c r="AB605" s="252"/>
      <c r="AC605" s="252"/>
    </row>
    <row r="606">
      <c r="A606" s="252"/>
      <c r="B606" s="252"/>
      <c r="C606" s="253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  <c r="AA606" s="252"/>
      <c r="AB606" s="252"/>
      <c r="AC606" s="252"/>
    </row>
    <row r="607">
      <c r="A607" s="252"/>
      <c r="B607" s="252"/>
      <c r="C607" s="253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  <c r="AA607" s="252"/>
      <c r="AB607" s="252"/>
      <c r="AC607" s="252"/>
    </row>
    <row r="608">
      <c r="A608" s="252"/>
      <c r="B608" s="252"/>
      <c r="C608" s="253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  <c r="AA608" s="252"/>
      <c r="AB608" s="252"/>
      <c r="AC608" s="252"/>
    </row>
    <row r="609">
      <c r="A609" s="252"/>
      <c r="B609" s="252"/>
      <c r="C609" s="253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  <c r="AA609" s="252"/>
      <c r="AB609" s="252"/>
      <c r="AC609" s="252"/>
    </row>
    <row r="610">
      <c r="A610" s="252"/>
      <c r="B610" s="252"/>
      <c r="C610" s="253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  <c r="AA610" s="252"/>
      <c r="AB610" s="252"/>
      <c r="AC610" s="252"/>
    </row>
    <row r="611">
      <c r="A611" s="252"/>
      <c r="B611" s="252"/>
      <c r="C611" s="253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  <c r="AA611" s="252"/>
      <c r="AB611" s="252"/>
      <c r="AC611" s="252"/>
    </row>
    <row r="612">
      <c r="A612" s="252"/>
      <c r="B612" s="252"/>
      <c r="C612" s="253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  <c r="AA612" s="252"/>
      <c r="AB612" s="252"/>
      <c r="AC612" s="252"/>
    </row>
    <row r="613">
      <c r="A613" s="252"/>
      <c r="B613" s="252"/>
      <c r="C613" s="253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  <c r="AA613" s="252"/>
      <c r="AB613" s="252"/>
      <c r="AC613" s="252"/>
    </row>
    <row r="614">
      <c r="A614" s="252"/>
      <c r="B614" s="252"/>
      <c r="C614" s="253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  <c r="AA614" s="252"/>
      <c r="AB614" s="252"/>
      <c r="AC614" s="252"/>
    </row>
    <row r="615">
      <c r="A615" s="252"/>
      <c r="B615" s="252"/>
      <c r="C615" s="253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  <c r="AA615" s="252"/>
      <c r="AB615" s="252"/>
      <c r="AC615" s="252"/>
    </row>
    <row r="616">
      <c r="A616" s="252"/>
      <c r="B616" s="252"/>
      <c r="C616" s="253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  <c r="AA616" s="252"/>
      <c r="AB616" s="252"/>
      <c r="AC616" s="252"/>
    </row>
    <row r="617">
      <c r="A617" s="252"/>
      <c r="B617" s="252"/>
      <c r="C617" s="253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  <c r="AA617" s="252"/>
      <c r="AB617" s="252"/>
      <c r="AC617" s="252"/>
    </row>
    <row r="618">
      <c r="A618" s="252"/>
      <c r="B618" s="252"/>
      <c r="C618" s="253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  <c r="AA618" s="252"/>
      <c r="AB618" s="252"/>
      <c r="AC618" s="252"/>
    </row>
    <row r="619">
      <c r="A619" s="252"/>
      <c r="B619" s="252"/>
      <c r="C619" s="253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  <c r="AA619" s="252"/>
      <c r="AB619" s="252"/>
      <c r="AC619" s="252"/>
    </row>
    <row r="620">
      <c r="A620" s="252"/>
      <c r="B620" s="252"/>
      <c r="C620" s="253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  <c r="AA620" s="252"/>
      <c r="AB620" s="252"/>
      <c r="AC620" s="252"/>
    </row>
    <row r="621">
      <c r="A621" s="252"/>
      <c r="B621" s="252"/>
      <c r="C621" s="253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  <c r="AA621" s="252"/>
      <c r="AB621" s="252"/>
      <c r="AC621" s="252"/>
    </row>
    <row r="622">
      <c r="A622" s="252"/>
      <c r="B622" s="252"/>
      <c r="C622" s="253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  <c r="AA622" s="252"/>
      <c r="AB622" s="252"/>
      <c r="AC622" s="252"/>
    </row>
    <row r="623">
      <c r="A623" s="252"/>
      <c r="B623" s="252"/>
      <c r="C623" s="253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  <c r="AA623" s="252"/>
      <c r="AB623" s="252"/>
      <c r="AC623" s="252"/>
    </row>
    <row r="624">
      <c r="A624" s="252"/>
      <c r="B624" s="252"/>
      <c r="C624" s="253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  <c r="AA624" s="252"/>
      <c r="AB624" s="252"/>
      <c r="AC624" s="252"/>
    </row>
    <row r="625">
      <c r="A625" s="252"/>
      <c r="B625" s="252"/>
      <c r="C625" s="253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  <c r="AA625" s="252"/>
      <c r="AB625" s="252"/>
      <c r="AC625" s="252"/>
    </row>
    <row r="626">
      <c r="A626" s="252"/>
      <c r="B626" s="252"/>
      <c r="C626" s="253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  <c r="AA626" s="252"/>
      <c r="AB626" s="252"/>
      <c r="AC626" s="252"/>
    </row>
    <row r="627">
      <c r="A627" s="252"/>
      <c r="B627" s="252"/>
      <c r="C627" s="253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  <c r="AA627" s="252"/>
      <c r="AB627" s="252"/>
      <c r="AC627" s="252"/>
    </row>
    <row r="628">
      <c r="A628" s="252"/>
      <c r="B628" s="252"/>
      <c r="C628" s="253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  <c r="AA628" s="252"/>
      <c r="AB628" s="252"/>
      <c r="AC628" s="252"/>
    </row>
    <row r="629">
      <c r="A629" s="252"/>
      <c r="B629" s="252"/>
      <c r="C629" s="253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  <c r="AA629" s="252"/>
      <c r="AB629" s="252"/>
      <c r="AC629" s="252"/>
    </row>
    <row r="630">
      <c r="A630" s="252"/>
      <c r="B630" s="252"/>
      <c r="C630" s="253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  <c r="AA630" s="252"/>
      <c r="AB630" s="252"/>
      <c r="AC630" s="252"/>
    </row>
    <row r="631">
      <c r="A631" s="252"/>
      <c r="B631" s="252"/>
      <c r="C631" s="253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  <c r="AA631" s="252"/>
      <c r="AB631" s="252"/>
      <c r="AC631" s="252"/>
    </row>
    <row r="632">
      <c r="A632" s="252"/>
      <c r="B632" s="252"/>
      <c r="C632" s="253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  <c r="AA632" s="252"/>
      <c r="AB632" s="252"/>
      <c r="AC632" s="252"/>
    </row>
    <row r="633">
      <c r="A633" s="252"/>
      <c r="B633" s="252"/>
      <c r="C633" s="253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  <c r="AA633" s="252"/>
      <c r="AB633" s="252"/>
      <c r="AC633" s="252"/>
    </row>
    <row r="634">
      <c r="A634" s="252"/>
      <c r="B634" s="252"/>
      <c r="C634" s="253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  <c r="AA634" s="252"/>
      <c r="AB634" s="252"/>
      <c r="AC634" s="252"/>
    </row>
    <row r="635">
      <c r="A635" s="252"/>
      <c r="B635" s="252"/>
      <c r="C635" s="253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  <c r="AA635" s="252"/>
      <c r="AB635" s="252"/>
      <c r="AC635" s="252"/>
    </row>
    <row r="636">
      <c r="A636" s="252"/>
      <c r="B636" s="252"/>
      <c r="C636" s="253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  <c r="AA636" s="252"/>
      <c r="AB636" s="252"/>
      <c r="AC636" s="252"/>
    </row>
    <row r="637">
      <c r="A637" s="252"/>
      <c r="B637" s="252"/>
      <c r="C637" s="253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  <c r="AA637" s="252"/>
      <c r="AB637" s="252"/>
      <c r="AC637" s="252"/>
    </row>
    <row r="638">
      <c r="A638" s="252"/>
      <c r="B638" s="252"/>
      <c r="C638" s="253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  <c r="AA638" s="252"/>
      <c r="AB638" s="252"/>
      <c r="AC638" s="252"/>
    </row>
    <row r="639">
      <c r="A639" s="252"/>
      <c r="B639" s="252"/>
      <c r="C639" s="253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  <c r="AA639" s="252"/>
      <c r="AB639" s="252"/>
      <c r="AC639" s="252"/>
    </row>
    <row r="640">
      <c r="A640" s="252"/>
      <c r="B640" s="252"/>
      <c r="C640" s="253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  <c r="AA640" s="252"/>
      <c r="AB640" s="252"/>
      <c r="AC640" s="252"/>
    </row>
    <row r="641">
      <c r="A641" s="252"/>
      <c r="B641" s="252"/>
      <c r="C641" s="253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  <c r="AA641" s="252"/>
      <c r="AB641" s="252"/>
      <c r="AC641" s="252"/>
    </row>
    <row r="642">
      <c r="A642" s="252"/>
      <c r="B642" s="252"/>
      <c r="C642" s="253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  <c r="AA642" s="252"/>
      <c r="AB642" s="252"/>
      <c r="AC642" s="252"/>
    </row>
    <row r="643">
      <c r="A643" s="252"/>
      <c r="B643" s="252"/>
      <c r="C643" s="253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  <c r="AA643" s="252"/>
      <c r="AB643" s="252"/>
      <c r="AC643" s="252"/>
    </row>
    <row r="644">
      <c r="A644" s="252"/>
      <c r="B644" s="252"/>
      <c r="C644" s="253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  <c r="AA644" s="252"/>
      <c r="AB644" s="252"/>
      <c r="AC644" s="252"/>
    </row>
    <row r="645">
      <c r="A645" s="252"/>
      <c r="B645" s="252"/>
      <c r="C645" s="253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  <c r="AA645" s="252"/>
      <c r="AB645" s="252"/>
      <c r="AC645" s="252"/>
    </row>
    <row r="646">
      <c r="A646" s="252"/>
      <c r="B646" s="252"/>
      <c r="C646" s="253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  <c r="AA646" s="252"/>
      <c r="AB646" s="252"/>
      <c r="AC646" s="252"/>
    </row>
    <row r="647">
      <c r="A647" s="252"/>
      <c r="B647" s="252"/>
      <c r="C647" s="253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  <c r="AA647" s="252"/>
      <c r="AB647" s="252"/>
      <c r="AC647" s="252"/>
    </row>
    <row r="648">
      <c r="A648" s="252"/>
      <c r="B648" s="252"/>
      <c r="C648" s="253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  <c r="AA648" s="252"/>
      <c r="AB648" s="252"/>
      <c r="AC648" s="252"/>
    </row>
    <row r="649">
      <c r="A649" s="252"/>
      <c r="B649" s="252"/>
      <c r="C649" s="253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  <c r="AA649" s="252"/>
      <c r="AB649" s="252"/>
      <c r="AC649" s="252"/>
    </row>
    <row r="650">
      <c r="A650" s="252"/>
      <c r="B650" s="252"/>
      <c r="C650" s="253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  <c r="AA650" s="252"/>
      <c r="AB650" s="252"/>
      <c r="AC650" s="252"/>
    </row>
    <row r="651">
      <c r="A651" s="252"/>
      <c r="B651" s="252"/>
      <c r="C651" s="253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  <c r="AA651" s="252"/>
      <c r="AB651" s="252"/>
      <c r="AC651" s="252"/>
    </row>
    <row r="652">
      <c r="A652" s="252"/>
      <c r="B652" s="252"/>
      <c r="C652" s="253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  <c r="AA652" s="252"/>
      <c r="AB652" s="252"/>
      <c r="AC652" s="252"/>
    </row>
    <row r="653">
      <c r="A653" s="252"/>
      <c r="B653" s="252"/>
      <c r="C653" s="253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  <c r="AA653" s="252"/>
      <c r="AB653" s="252"/>
      <c r="AC653" s="252"/>
    </row>
    <row r="654">
      <c r="A654" s="252"/>
      <c r="B654" s="252"/>
      <c r="C654" s="253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  <c r="AA654" s="252"/>
      <c r="AB654" s="252"/>
      <c r="AC654" s="252"/>
    </row>
    <row r="655">
      <c r="A655" s="252"/>
      <c r="B655" s="252"/>
      <c r="C655" s="253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  <c r="AA655" s="252"/>
      <c r="AB655" s="252"/>
      <c r="AC655" s="252"/>
    </row>
    <row r="656">
      <c r="A656" s="252"/>
      <c r="B656" s="252"/>
      <c r="C656" s="253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  <c r="AA656" s="252"/>
      <c r="AB656" s="252"/>
      <c r="AC656" s="252"/>
    </row>
    <row r="657">
      <c r="A657" s="252"/>
      <c r="B657" s="252"/>
      <c r="C657" s="253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  <c r="AA657" s="252"/>
      <c r="AB657" s="252"/>
      <c r="AC657" s="252"/>
    </row>
    <row r="658">
      <c r="A658" s="252"/>
      <c r="B658" s="252"/>
      <c r="C658" s="253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  <c r="AA658" s="252"/>
      <c r="AB658" s="252"/>
      <c r="AC658" s="252"/>
    </row>
    <row r="659">
      <c r="A659" s="252"/>
      <c r="B659" s="252"/>
      <c r="C659" s="253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  <c r="AA659" s="252"/>
      <c r="AB659" s="252"/>
      <c r="AC659" s="252"/>
    </row>
    <row r="660">
      <c r="A660" s="252"/>
      <c r="B660" s="252"/>
      <c r="C660" s="253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  <c r="AA660" s="252"/>
      <c r="AB660" s="252"/>
      <c r="AC660" s="252"/>
    </row>
    <row r="661">
      <c r="A661" s="252"/>
      <c r="B661" s="252"/>
      <c r="C661" s="253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  <c r="AA661" s="252"/>
      <c r="AB661" s="252"/>
      <c r="AC661" s="252"/>
    </row>
    <row r="662">
      <c r="A662" s="252"/>
      <c r="B662" s="252"/>
      <c r="C662" s="253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  <c r="AA662" s="252"/>
      <c r="AB662" s="252"/>
      <c r="AC662" s="252"/>
    </row>
    <row r="663">
      <c r="A663" s="252"/>
      <c r="B663" s="252"/>
      <c r="C663" s="253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  <c r="AA663" s="252"/>
      <c r="AB663" s="252"/>
      <c r="AC663" s="252"/>
    </row>
    <row r="664">
      <c r="A664" s="252"/>
      <c r="B664" s="252"/>
      <c r="C664" s="253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  <c r="AA664" s="252"/>
      <c r="AB664" s="252"/>
      <c r="AC664" s="252"/>
    </row>
    <row r="665">
      <c r="A665" s="252"/>
      <c r="B665" s="252"/>
      <c r="C665" s="253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  <c r="AA665" s="252"/>
      <c r="AB665" s="252"/>
      <c r="AC665" s="252"/>
    </row>
    <row r="666">
      <c r="A666" s="252"/>
      <c r="B666" s="252"/>
      <c r="C666" s="253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  <c r="AA666" s="252"/>
      <c r="AB666" s="252"/>
      <c r="AC666" s="252"/>
    </row>
    <row r="667">
      <c r="A667" s="252"/>
      <c r="B667" s="252"/>
      <c r="C667" s="253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  <c r="AA667" s="252"/>
      <c r="AB667" s="252"/>
      <c r="AC667" s="252"/>
    </row>
    <row r="668">
      <c r="A668" s="252"/>
      <c r="B668" s="252"/>
      <c r="C668" s="253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  <c r="AA668" s="252"/>
      <c r="AB668" s="252"/>
      <c r="AC668" s="252"/>
    </row>
    <row r="669">
      <c r="A669" s="252"/>
      <c r="B669" s="252"/>
      <c r="C669" s="253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  <c r="AA669" s="252"/>
      <c r="AB669" s="252"/>
      <c r="AC669" s="252"/>
    </row>
    <row r="670">
      <c r="A670" s="252"/>
      <c r="B670" s="252"/>
      <c r="C670" s="253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  <c r="AA670" s="252"/>
      <c r="AB670" s="252"/>
      <c r="AC670" s="252"/>
    </row>
    <row r="671">
      <c r="A671" s="252"/>
      <c r="B671" s="252"/>
      <c r="C671" s="253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  <c r="AA671" s="252"/>
      <c r="AB671" s="252"/>
      <c r="AC671" s="252"/>
    </row>
    <row r="672">
      <c r="A672" s="252"/>
      <c r="B672" s="252"/>
      <c r="C672" s="253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  <c r="AA672" s="252"/>
      <c r="AB672" s="252"/>
      <c r="AC672" s="252"/>
    </row>
    <row r="673">
      <c r="A673" s="252"/>
      <c r="B673" s="252"/>
      <c r="C673" s="253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  <c r="AA673" s="252"/>
      <c r="AB673" s="252"/>
      <c r="AC673" s="252"/>
    </row>
    <row r="674">
      <c r="A674" s="252"/>
      <c r="B674" s="252"/>
      <c r="C674" s="253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  <c r="AA674" s="252"/>
      <c r="AB674" s="252"/>
      <c r="AC674" s="252"/>
    </row>
    <row r="675">
      <c r="A675" s="252"/>
      <c r="B675" s="252"/>
      <c r="C675" s="253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  <c r="AA675" s="252"/>
      <c r="AB675" s="252"/>
      <c r="AC675" s="252"/>
    </row>
    <row r="676">
      <c r="A676" s="252"/>
      <c r="B676" s="252"/>
      <c r="C676" s="253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  <c r="AA676" s="252"/>
      <c r="AB676" s="252"/>
      <c r="AC676" s="252"/>
    </row>
    <row r="677">
      <c r="A677" s="252"/>
      <c r="B677" s="252"/>
      <c r="C677" s="253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  <c r="AA677" s="252"/>
      <c r="AB677" s="252"/>
      <c r="AC677" s="252"/>
    </row>
    <row r="678">
      <c r="A678" s="252"/>
      <c r="B678" s="252"/>
      <c r="C678" s="253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  <c r="AA678" s="252"/>
      <c r="AB678" s="252"/>
      <c r="AC678" s="252"/>
    </row>
    <row r="679">
      <c r="A679" s="252"/>
      <c r="B679" s="252"/>
      <c r="C679" s="253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  <c r="AA679" s="252"/>
      <c r="AB679" s="252"/>
      <c r="AC679" s="252"/>
    </row>
    <row r="680">
      <c r="A680" s="252"/>
      <c r="B680" s="252"/>
      <c r="C680" s="253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  <c r="AA680" s="252"/>
      <c r="AB680" s="252"/>
      <c r="AC680" s="252"/>
    </row>
    <row r="681">
      <c r="A681" s="252"/>
      <c r="B681" s="252"/>
      <c r="C681" s="253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  <c r="AA681" s="252"/>
      <c r="AB681" s="252"/>
      <c r="AC681" s="252"/>
    </row>
    <row r="682">
      <c r="A682" s="252"/>
      <c r="B682" s="252"/>
      <c r="C682" s="253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  <c r="AA682" s="252"/>
      <c r="AB682" s="252"/>
      <c r="AC682" s="252"/>
    </row>
    <row r="683">
      <c r="A683" s="252"/>
      <c r="B683" s="252"/>
      <c r="C683" s="253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  <c r="AA683" s="252"/>
      <c r="AB683" s="252"/>
      <c r="AC683" s="252"/>
    </row>
    <row r="684">
      <c r="A684" s="252"/>
      <c r="B684" s="252"/>
      <c r="C684" s="253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  <c r="AA684" s="252"/>
      <c r="AB684" s="252"/>
      <c r="AC684" s="252"/>
    </row>
    <row r="685">
      <c r="A685" s="252"/>
      <c r="B685" s="252"/>
      <c r="C685" s="253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  <c r="AA685" s="252"/>
      <c r="AB685" s="252"/>
      <c r="AC685" s="252"/>
    </row>
    <row r="686">
      <c r="A686" s="252"/>
      <c r="B686" s="252"/>
      <c r="C686" s="253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  <c r="AA686" s="252"/>
      <c r="AB686" s="252"/>
      <c r="AC686" s="252"/>
    </row>
    <row r="687">
      <c r="A687" s="252"/>
      <c r="B687" s="252"/>
      <c r="C687" s="253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  <c r="AA687" s="252"/>
      <c r="AB687" s="252"/>
      <c r="AC687" s="252"/>
    </row>
    <row r="688">
      <c r="A688" s="252"/>
      <c r="B688" s="252"/>
      <c r="C688" s="253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  <c r="AA688" s="252"/>
      <c r="AB688" s="252"/>
      <c r="AC688" s="252"/>
    </row>
    <row r="689">
      <c r="A689" s="252"/>
      <c r="B689" s="252"/>
      <c r="C689" s="253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  <c r="AA689" s="252"/>
      <c r="AB689" s="252"/>
      <c r="AC689" s="252"/>
    </row>
    <row r="690">
      <c r="A690" s="252"/>
      <c r="B690" s="252"/>
      <c r="C690" s="253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  <c r="AA690" s="252"/>
      <c r="AB690" s="252"/>
      <c r="AC690" s="252"/>
    </row>
    <row r="691">
      <c r="A691" s="252"/>
      <c r="B691" s="252"/>
      <c r="C691" s="253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  <c r="AA691" s="252"/>
      <c r="AB691" s="252"/>
      <c r="AC691" s="252"/>
    </row>
    <row r="692">
      <c r="A692" s="252"/>
      <c r="B692" s="252"/>
      <c r="C692" s="253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  <c r="AA692" s="252"/>
      <c r="AB692" s="252"/>
      <c r="AC692" s="252"/>
    </row>
    <row r="693">
      <c r="A693" s="252"/>
      <c r="B693" s="252"/>
      <c r="C693" s="253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  <c r="AA693" s="252"/>
      <c r="AB693" s="252"/>
      <c r="AC693" s="252"/>
    </row>
    <row r="694">
      <c r="A694" s="252"/>
      <c r="B694" s="252"/>
      <c r="C694" s="253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  <c r="AA694" s="252"/>
      <c r="AB694" s="252"/>
      <c r="AC694" s="252"/>
    </row>
    <row r="695">
      <c r="A695" s="252"/>
      <c r="B695" s="252"/>
      <c r="C695" s="253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  <c r="AA695" s="252"/>
      <c r="AB695" s="252"/>
      <c r="AC695" s="252"/>
    </row>
    <row r="696">
      <c r="A696" s="252"/>
      <c r="B696" s="252"/>
      <c r="C696" s="253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  <c r="AA696" s="252"/>
      <c r="AB696" s="252"/>
      <c r="AC696" s="252"/>
    </row>
    <row r="697">
      <c r="A697" s="252"/>
      <c r="B697" s="252"/>
      <c r="C697" s="253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  <c r="AA697" s="252"/>
      <c r="AB697" s="252"/>
      <c r="AC697" s="252"/>
    </row>
    <row r="698">
      <c r="A698" s="252"/>
      <c r="B698" s="252"/>
      <c r="C698" s="253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  <c r="AA698" s="252"/>
      <c r="AB698" s="252"/>
      <c r="AC698" s="252"/>
    </row>
    <row r="699">
      <c r="A699" s="252"/>
      <c r="B699" s="252"/>
      <c r="C699" s="253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  <c r="AA699" s="252"/>
      <c r="AB699" s="252"/>
      <c r="AC699" s="252"/>
    </row>
    <row r="700">
      <c r="A700" s="252"/>
      <c r="B700" s="252"/>
      <c r="C700" s="253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  <c r="AA700" s="252"/>
      <c r="AB700" s="252"/>
      <c r="AC700" s="252"/>
    </row>
    <row r="701">
      <c r="A701" s="252"/>
      <c r="B701" s="252"/>
      <c r="C701" s="253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  <c r="AA701" s="252"/>
      <c r="AB701" s="252"/>
      <c r="AC701" s="252"/>
    </row>
    <row r="702">
      <c r="A702" s="252"/>
      <c r="B702" s="252"/>
      <c r="C702" s="253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  <c r="AA702" s="252"/>
      <c r="AB702" s="252"/>
      <c r="AC702" s="252"/>
    </row>
    <row r="703">
      <c r="A703" s="252"/>
      <c r="B703" s="252"/>
      <c r="C703" s="253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  <c r="AA703" s="252"/>
      <c r="AB703" s="252"/>
      <c r="AC703" s="252"/>
    </row>
    <row r="704">
      <c r="A704" s="252"/>
      <c r="B704" s="252"/>
      <c r="C704" s="253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  <c r="AA704" s="252"/>
      <c r="AB704" s="252"/>
      <c r="AC704" s="252"/>
    </row>
    <row r="705">
      <c r="A705" s="252"/>
      <c r="B705" s="252"/>
      <c r="C705" s="253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  <c r="AA705" s="252"/>
      <c r="AB705" s="252"/>
      <c r="AC705" s="252"/>
    </row>
    <row r="706">
      <c r="A706" s="252"/>
      <c r="B706" s="252"/>
      <c r="C706" s="253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  <c r="AA706" s="252"/>
      <c r="AB706" s="252"/>
      <c r="AC706" s="252"/>
    </row>
    <row r="707">
      <c r="A707" s="252"/>
      <c r="B707" s="252"/>
      <c r="C707" s="253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  <c r="AA707" s="252"/>
      <c r="AB707" s="252"/>
      <c r="AC707" s="252"/>
    </row>
    <row r="708">
      <c r="A708" s="252"/>
      <c r="B708" s="252"/>
      <c r="C708" s="253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  <c r="AA708" s="252"/>
      <c r="AB708" s="252"/>
      <c r="AC708" s="252"/>
    </row>
    <row r="709">
      <c r="A709" s="252"/>
      <c r="B709" s="252"/>
      <c r="C709" s="253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  <c r="AA709" s="252"/>
      <c r="AB709" s="252"/>
      <c r="AC709" s="252"/>
    </row>
    <row r="710">
      <c r="A710" s="252"/>
      <c r="B710" s="252"/>
      <c r="C710" s="253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  <c r="AA710" s="252"/>
      <c r="AB710" s="252"/>
      <c r="AC710" s="252"/>
    </row>
    <row r="711">
      <c r="A711" s="252"/>
      <c r="B711" s="252"/>
      <c r="C711" s="253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  <c r="AA711" s="252"/>
      <c r="AB711" s="252"/>
      <c r="AC711" s="252"/>
    </row>
    <row r="712">
      <c r="A712" s="252"/>
      <c r="B712" s="252"/>
      <c r="C712" s="253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  <c r="AA712" s="252"/>
      <c r="AB712" s="252"/>
      <c r="AC712" s="252"/>
    </row>
    <row r="713">
      <c r="A713" s="252"/>
      <c r="B713" s="252"/>
      <c r="C713" s="253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  <c r="AA713" s="252"/>
      <c r="AB713" s="252"/>
      <c r="AC713" s="252"/>
    </row>
    <row r="714">
      <c r="A714" s="252"/>
      <c r="B714" s="252"/>
      <c r="C714" s="253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  <c r="AA714" s="252"/>
      <c r="AB714" s="252"/>
      <c r="AC714" s="252"/>
    </row>
    <row r="715">
      <c r="A715" s="252"/>
      <c r="B715" s="252"/>
      <c r="C715" s="253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  <c r="AA715" s="252"/>
      <c r="AB715" s="252"/>
      <c r="AC715" s="252"/>
    </row>
    <row r="716">
      <c r="A716" s="252"/>
      <c r="B716" s="252"/>
      <c r="C716" s="253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  <c r="AA716" s="252"/>
      <c r="AB716" s="252"/>
      <c r="AC716" s="252"/>
    </row>
    <row r="717">
      <c r="A717" s="252"/>
      <c r="B717" s="252"/>
      <c r="C717" s="253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  <c r="AA717" s="252"/>
      <c r="AB717" s="252"/>
      <c r="AC717" s="252"/>
    </row>
    <row r="718">
      <c r="A718" s="252"/>
      <c r="B718" s="252"/>
      <c r="C718" s="253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  <c r="AA718" s="252"/>
      <c r="AB718" s="252"/>
      <c r="AC718" s="252"/>
    </row>
    <row r="719">
      <c r="A719" s="252"/>
      <c r="B719" s="252"/>
      <c r="C719" s="253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  <c r="AA719" s="252"/>
      <c r="AB719" s="252"/>
      <c r="AC719" s="252"/>
    </row>
    <row r="720">
      <c r="A720" s="252"/>
      <c r="B720" s="252"/>
      <c r="C720" s="253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  <c r="AA720" s="252"/>
      <c r="AB720" s="252"/>
      <c r="AC720" s="252"/>
    </row>
    <row r="721">
      <c r="A721" s="252"/>
      <c r="B721" s="252"/>
      <c r="C721" s="253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  <c r="AA721" s="252"/>
      <c r="AB721" s="252"/>
      <c r="AC721" s="252"/>
    </row>
    <row r="722">
      <c r="A722" s="252"/>
      <c r="B722" s="252"/>
      <c r="C722" s="253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  <c r="AA722" s="252"/>
      <c r="AB722" s="252"/>
      <c r="AC722" s="252"/>
    </row>
    <row r="723">
      <c r="A723" s="252"/>
      <c r="B723" s="252"/>
      <c r="C723" s="253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  <c r="AA723" s="252"/>
      <c r="AB723" s="252"/>
      <c r="AC723" s="252"/>
    </row>
    <row r="724">
      <c r="A724" s="252"/>
      <c r="B724" s="252"/>
      <c r="C724" s="253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  <c r="AA724" s="252"/>
      <c r="AB724" s="252"/>
      <c r="AC724" s="252"/>
    </row>
    <row r="725">
      <c r="A725" s="252"/>
      <c r="B725" s="252"/>
      <c r="C725" s="253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  <c r="AA725" s="252"/>
      <c r="AB725" s="252"/>
      <c r="AC725" s="252"/>
    </row>
    <row r="726">
      <c r="A726" s="252"/>
      <c r="B726" s="252"/>
      <c r="C726" s="253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  <c r="AA726" s="252"/>
      <c r="AB726" s="252"/>
      <c r="AC726" s="252"/>
    </row>
    <row r="727">
      <c r="A727" s="252"/>
      <c r="B727" s="252"/>
      <c r="C727" s="253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  <c r="AA727" s="252"/>
      <c r="AB727" s="252"/>
      <c r="AC727" s="252"/>
    </row>
    <row r="728">
      <c r="A728" s="252"/>
      <c r="B728" s="252"/>
      <c r="C728" s="253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  <c r="AA728" s="252"/>
      <c r="AB728" s="252"/>
      <c r="AC728" s="252"/>
    </row>
    <row r="729">
      <c r="A729" s="252"/>
      <c r="B729" s="252"/>
      <c r="C729" s="253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  <c r="AA729" s="252"/>
      <c r="AB729" s="252"/>
      <c r="AC729" s="252"/>
    </row>
    <row r="730">
      <c r="A730" s="252"/>
      <c r="B730" s="252"/>
      <c r="C730" s="253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  <c r="AA730" s="252"/>
      <c r="AB730" s="252"/>
      <c r="AC730" s="252"/>
    </row>
    <row r="731">
      <c r="A731" s="252"/>
      <c r="B731" s="252"/>
      <c r="C731" s="253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  <c r="AA731" s="252"/>
      <c r="AB731" s="252"/>
      <c r="AC731" s="252"/>
    </row>
    <row r="732">
      <c r="A732" s="252"/>
      <c r="B732" s="252"/>
      <c r="C732" s="253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  <c r="AA732" s="252"/>
      <c r="AB732" s="252"/>
      <c r="AC732" s="252"/>
    </row>
    <row r="733">
      <c r="A733" s="252"/>
      <c r="B733" s="252"/>
      <c r="C733" s="253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  <c r="AA733" s="252"/>
      <c r="AB733" s="252"/>
      <c r="AC733" s="252"/>
    </row>
    <row r="734">
      <c r="A734" s="252"/>
      <c r="B734" s="252"/>
      <c r="C734" s="253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  <c r="AA734" s="252"/>
      <c r="AB734" s="252"/>
      <c r="AC734" s="252"/>
    </row>
    <row r="735">
      <c r="A735" s="252"/>
      <c r="B735" s="252"/>
      <c r="C735" s="253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  <c r="AA735" s="252"/>
      <c r="AB735" s="252"/>
      <c r="AC735" s="252"/>
    </row>
    <row r="736">
      <c r="A736" s="252"/>
      <c r="B736" s="252"/>
      <c r="C736" s="253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  <c r="AA736" s="252"/>
      <c r="AB736" s="252"/>
      <c r="AC736" s="252"/>
    </row>
    <row r="737">
      <c r="A737" s="252"/>
      <c r="B737" s="252"/>
      <c r="C737" s="253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  <c r="AA737" s="252"/>
      <c r="AB737" s="252"/>
      <c r="AC737" s="252"/>
    </row>
    <row r="738">
      <c r="A738" s="252"/>
      <c r="B738" s="252"/>
      <c r="C738" s="253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  <c r="AA738" s="252"/>
      <c r="AB738" s="252"/>
      <c r="AC738" s="252"/>
    </row>
    <row r="739">
      <c r="A739" s="252"/>
      <c r="B739" s="252"/>
      <c r="C739" s="253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  <c r="AA739" s="252"/>
      <c r="AB739" s="252"/>
      <c r="AC739" s="252"/>
    </row>
    <row r="740">
      <c r="A740" s="252"/>
      <c r="B740" s="252"/>
      <c r="C740" s="253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  <c r="AA740" s="252"/>
      <c r="AB740" s="252"/>
      <c r="AC740" s="252"/>
    </row>
    <row r="741">
      <c r="A741" s="252"/>
      <c r="B741" s="252"/>
      <c r="C741" s="253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  <c r="AA741" s="252"/>
      <c r="AB741" s="252"/>
      <c r="AC741" s="252"/>
    </row>
    <row r="742">
      <c r="A742" s="252"/>
      <c r="B742" s="252"/>
      <c r="C742" s="253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  <c r="AA742" s="252"/>
      <c r="AB742" s="252"/>
      <c r="AC742" s="252"/>
    </row>
    <row r="743">
      <c r="A743" s="252"/>
      <c r="B743" s="252"/>
      <c r="C743" s="253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  <c r="AA743" s="252"/>
      <c r="AB743" s="252"/>
      <c r="AC743" s="252"/>
    </row>
    <row r="744">
      <c r="A744" s="252"/>
      <c r="B744" s="252"/>
      <c r="C744" s="253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  <c r="AA744" s="252"/>
      <c r="AB744" s="252"/>
      <c r="AC744" s="252"/>
    </row>
    <row r="745">
      <c r="A745" s="252"/>
      <c r="B745" s="252"/>
      <c r="C745" s="253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  <c r="AA745" s="252"/>
      <c r="AB745" s="252"/>
      <c r="AC745" s="252"/>
    </row>
    <row r="746">
      <c r="A746" s="252"/>
      <c r="B746" s="252"/>
      <c r="C746" s="253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  <c r="AA746" s="252"/>
      <c r="AB746" s="252"/>
      <c r="AC746" s="252"/>
    </row>
    <row r="747">
      <c r="A747" s="252"/>
      <c r="B747" s="252"/>
      <c r="C747" s="253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  <c r="AA747" s="252"/>
      <c r="AB747" s="252"/>
      <c r="AC747" s="252"/>
    </row>
    <row r="748">
      <c r="A748" s="252"/>
      <c r="B748" s="252"/>
      <c r="C748" s="253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  <c r="AA748" s="252"/>
      <c r="AB748" s="252"/>
      <c r="AC748" s="252"/>
    </row>
    <row r="749">
      <c r="A749" s="252"/>
      <c r="B749" s="252"/>
      <c r="C749" s="253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  <c r="AA749" s="252"/>
      <c r="AB749" s="252"/>
      <c r="AC749" s="252"/>
    </row>
    <row r="750">
      <c r="A750" s="252"/>
      <c r="B750" s="252"/>
      <c r="C750" s="253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  <c r="AA750" s="252"/>
      <c r="AB750" s="252"/>
      <c r="AC750" s="252"/>
    </row>
    <row r="751">
      <c r="A751" s="252"/>
      <c r="B751" s="252"/>
      <c r="C751" s="253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  <c r="AA751" s="252"/>
      <c r="AB751" s="252"/>
      <c r="AC751" s="252"/>
    </row>
    <row r="752">
      <c r="A752" s="252"/>
      <c r="B752" s="252"/>
      <c r="C752" s="253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  <c r="AA752" s="252"/>
      <c r="AB752" s="252"/>
      <c r="AC752" s="252"/>
    </row>
    <row r="753">
      <c r="A753" s="252"/>
      <c r="B753" s="252"/>
      <c r="C753" s="253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  <c r="AA753" s="252"/>
      <c r="AB753" s="252"/>
      <c r="AC753" s="252"/>
    </row>
    <row r="754">
      <c r="A754" s="252"/>
      <c r="B754" s="252"/>
      <c r="C754" s="253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  <c r="AA754" s="252"/>
      <c r="AB754" s="252"/>
      <c r="AC754" s="252"/>
    </row>
    <row r="755">
      <c r="A755" s="252"/>
      <c r="B755" s="252"/>
      <c r="C755" s="253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  <c r="AA755" s="252"/>
      <c r="AB755" s="252"/>
      <c r="AC755" s="252"/>
    </row>
    <row r="756">
      <c r="A756" s="252"/>
      <c r="B756" s="252"/>
      <c r="C756" s="253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  <c r="AA756" s="252"/>
      <c r="AB756" s="252"/>
      <c r="AC756" s="252"/>
    </row>
    <row r="757">
      <c r="A757" s="252"/>
      <c r="B757" s="252"/>
      <c r="C757" s="253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  <c r="AA757" s="252"/>
      <c r="AB757" s="252"/>
      <c r="AC757" s="252"/>
    </row>
    <row r="758">
      <c r="A758" s="252"/>
      <c r="B758" s="252"/>
      <c r="C758" s="253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  <c r="AA758" s="252"/>
      <c r="AB758" s="252"/>
      <c r="AC758" s="252"/>
    </row>
    <row r="759">
      <c r="A759" s="252"/>
      <c r="B759" s="252"/>
      <c r="C759" s="253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  <c r="AA759" s="252"/>
      <c r="AB759" s="252"/>
      <c r="AC759" s="252"/>
    </row>
    <row r="760">
      <c r="A760" s="252"/>
      <c r="B760" s="252"/>
      <c r="C760" s="253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  <c r="AA760" s="252"/>
      <c r="AB760" s="252"/>
      <c r="AC760" s="252"/>
    </row>
    <row r="761">
      <c r="A761" s="252"/>
      <c r="B761" s="252"/>
      <c r="C761" s="253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  <c r="AA761" s="252"/>
      <c r="AB761" s="252"/>
      <c r="AC761" s="252"/>
    </row>
    <row r="762">
      <c r="A762" s="252"/>
      <c r="B762" s="252"/>
      <c r="C762" s="253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  <c r="AA762" s="252"/>
      <c r="AB762" s="252"/>
      <c r="AC762" s="252"/>
    </row>
    <row r="763">
      <c r="A763" s="252"/>
      <c r="B763" s="252"/>
      <c r="C763" s="253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  <c r="AA763" s="252"/>
      <c r="AB763" s="252"/>
      <c r="AC763" s="252"/>
    </row>
    <row r="764">
      <c r="A764" s="252"/>
      <c r="B764" s="252"/>
      <c r="C764" s="253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  <c r="AA764" s="252"/>
      <c r="AB764" s="252"/>
      <c r="AC764" s="252"/>
    </row>
    <row r="765">
      <c r="A765" s="252"/>
      <c r="B765" s="252"/>
      <c r="C765" s="253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  <c r="AA765" s="252"/>
      <c r="AB765" s="252"/>
      <c r="AC765" s="252"/>
    </row>
    <row r="766">
      <c r="A766" s="252"/>
      <c r="B766" s="252"/>
      <c r="C766" s="253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  <c r="AA766" s="252"/>
      <c r="AB766" s="252"/>
      <c r="AC766" s="252"/>
    </row>
    <row r="767">
      <c r="A767" s="252"/>
      <c r="B767" s="252"/>
      <c r="C767" s="253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  <c r="AA767" s="252"/>
      <c r="AB767" s="252"/>
      <c r="AC767" s="252"/>
    </row>
    <row r="768">
      <c r="A768" s="252"/>
      <c r="B768" s="252"/>
      <c r="C768" s="253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  <c r="AA768" s="252"/>
      <c r="AB768" s="252"/>
      <c r="AC768" s="252"/>
    </row>
    <row r="769">
      <c r="A769" s="252"/>
      <c r="B769" s="252"/>
      <c r="C769" s="253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  <c r="AA769" s="252"/>
      <c r="AB769" s="252"/>
      <c r="AC769" s="252"/>
    </row>
    <row r="770">
      <c r="A770" s="252"/>
      <c r="B770" s="252"/>
      <c r="C770" s="253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  <c r="AA770" s="252"/>
      <c r="AB770" s="252"/>
      <c r="AC770" s="252"/>
    </row>
    <row r="771">
      <c r="A771" s="252"/>
      <c r="B771" s="252"/>
      <c r="C771" s="253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  <c r="AA771" s="252"/>
      <c r="AB771" s="252"/>
      <c r="AC771" s="252"/>
    </row>
    <row r="772">
      <c r="A772" s="252"/>
      <c r="B772" s="252"/>
      <c r="C772" s="253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  <c r="AA772" s="252"/>
      <c r="AB772" s="252"/>
      <c r="AC772" s="252"/>
    </row>
    <row r="773">
      <c r="A773" s="252"/>
      <c r="B773" s="252"/>
      <c r="C773" s="253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  <c r="AA773" s="252"/>
      <c r="AB773" s="252"/>
      <c r="AC773" s="252"/>
    </row>
    <row r="774">
      <c r="A774" s="252"/>
      <c r="B774" s="252"/>
      <c r="C774" s="253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  <c r="AA774" s="252"/>
      <c r="AB774" s="252"/>
      <c r="AC774" s="252"/>
    </row>
    <row r="775">
      <c r="A775" s="252"/>
      <c r="B775" s="252"/>
      <c r="C775" s="253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  <c r="AA775" s="252"/>
      <c r="AB775" s="252"/>
      <c r="AC775" s="252"/>
    </row>
    <row r="776">
      <c r="A776" s="252"/>
      <c r="B776" s="252"/>
      <c r="C776" s="253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  <c r="AA776" s="252"/>
      <c r="AB776" s="252"/>
      <c r="AC776" s="252"/>
    </row>
    <row r="777">
      <c r="A777" s="252"/>
      <c r="B777" s="252"/>
      <c r="C777" s="253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  <c r="AA777" s="252"/>
      <c r="AB777" s="252"/>
      <c r="AC777" s="252"/>
    </row>
    <row r="778">
      <c r="A778" s="252"/>
      <c r="B778" s="252"/>
      <c r="C778" s="253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  <c r="AA778" s="252"/>
      <c r="AB778" s="252"/>
      <c r="AC778" s="252"/>
    </row>
    <row r="779">
      <c r="A779" s="252"/>
      <c r="B779" s="252"/>
      <c r="C779" s="253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  <c r="AA779" s="252"/>
      <c r="AB779" s="252"/>
      <c r="AC779" s="252"/>
    </row>
    <row r="780">
      <c r="A780" s="252"/>
      <c r="B780" s="252"/>
      <c r="C780" s="253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  <c r="AA780" s="252"/>
      <c r="AB780" s="252"/>
      <c r="AC780" s="252"/>
    </row>
    <row r="781">
      <c r="A781" s="252"/>
      <c r="B781" s="252"/>
      <c r="C781" s="253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  <c r="AA781" s="252"/>
      <c r="AB781" s="252"/>
      <c r="AC781" s="252"/>
    </row>
    <row r="782">
      <c r="A782" s="252"/>
      <c r="B782" s="252"/>
      <c r="C782" s="253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  <c r="AA782" s="252"/>
      <c r="AB782" s="252"/>
      <c r="AC782" s="252"/>
    </row>
    <row r="783">
      <c r="A783" s="252"/>
      <c r="B783" s="252"/>
      <c r="C783" s="253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  <c r="AA783" s="252"/>
      <c r="AB783" s="252"/>
      <c r="AC783" s="252"/>
    </row>
    <row r="784">
      <c r="A784" s="252"/>
      <c r="B784" s="252"/>
      <c r="C784" s="253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  <c r="AA784" s="252"/>
      <c r="AB784" s="252"/>
      <c r="AC784" s="252"/>
    </row>
    <row r="785">
      <c r="A785" s="252"/>
      <c r="B785" s="252"/>
      <c r="C785" s="253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  <c r="AA785" s="252"/>
      <c r="AB785" s="252"/>
      <c r="AC785" s="252"/>
    </row>
    <row r="786">
      <c r="A786" s="252"/>
      <c r="B786" s="252"/>
      <c r="C786" s="253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  <c r="AA786" s="252"/>
      <c r="AB786" s="252"/>
      <c r="AC786" s="252"/>
    </row>
    <row r="787">
      <c r="A787" s="252"/>
      <c r="B787" s="252"/>
      <c r="C787" s="253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  <c r="AA787" s="252"/>
      <c r="AB787" s="252"/>
      <c r="AC787" s="252"/>
    </row>
    <row r="788">
      <c r="A788" s="252"/>
      <c r="B788" s="252"/>
      <c r="C788" s="253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  <c r="AA788" s="252"/>
      <c r="AB788" s="252"/>
      <c r="AC788" s="252"/>
    </row>
    <row r="789">
      <c r="A789" s="252"/>
      <c r="B789" s="252"/>
      <c r="C789" s="253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  <c r="AA789" s="252"/>
      <c r="AB789" s="252"/>
      <c r="AC789" s="252"/>
    </row>
    <row r="790">
      <c r="A790" s="252"/>
      <c r="B790" s="252"/>
      <c r="C790" s="253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  <c r="AA790" s="252"/>
      <c r="AB790" s="252"/>
      <c r="AC790" s="252"/>
    </row>
    <row r="791">
      <c r="A791" s="252"/>
      <c r="B791" s="252"/>
      <c r="C791" s="253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  <c r="AA791" s="252"/>
      <c r="AB791" s="252"/>
      <c r="AC791" s="252"/>
    </row>
    <row r="792">
      <c r="A792" s="252"/>
      <c r="B792" s="252"/>
      <c r="C792" s="253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  <c r="AA792" s="252"/>
      <c r="AB792" s="252"/>
      <c r="AC792" s="252"/>
    </row>
    <row r="793">
      <c r="A793" s="252"/>
      <c r="B793" s="252"/>
      <c r="C793" s="253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  <c r="AA793" s="252"/>
      <c r="AB793" s="252"/>
      <c r="AC793" s="252"/>
    </row>
    <row r="794">
      <c r="A794" s="252"/>
      <c r="B794" s="252"/>
      <c r="C794" s="253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  <c r="AA794" s="252"/>
      <c r="AB794" s="252"/>
      <c r="AC794" s="252"/>
    </row>
    <row r="795">
      <c r="A795" s="252"/>
      <c r="B795" s="252"/>
      <c r="C795" s="253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  <c r="AA795" s="252"/>
      <c r="AB795" s="252"/>
      <c r="AC795" s="252"/>
    </row>
    <row r="796">
      <c r="A796" s="252"/>
      <c r="B796" s="252"/>
      <c r="C796" s="253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  <c r="AA796" s="252"/>
      <c r="AB796" s="252"/>
      <c r="AC796" s="252"/>
    </row>
    <row r="797">
      <c r="A797" s="252"/>
      <c r="B797" s="252"/>
      <c r="C797" s="253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  <c r="AA797" s="252"/>
      <c r="AB797" s="252"/>
      <c r="AC797" s="252"/>
    </row>
    <row r="798">
      <c r="A798" s="252"/>
      <c r="B798" s="252"/>
      <c r="C798" s="253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  <c r="AA798" s="252"/>
      <c r="AB798" s="252"/>
      <c r="AC798" s="252"/>
    </row>
    <row r="799">
      <c r="A799" s="252"/>
      <c r="B799" s="252"/>
      <c r="C799" s="253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  <c r="AA799" s="252"/>
      <c r="AB799" s="252"/>
      <c r="AC799" s="252"/>
    </row>
    <row r="800">
      <c r="A800" s="252"/>
      <c r="B800" s="252"/>
      <c r="C800" s="253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  <c r="AA800" s="252"/>
      <c r="AB800" s="252"/>
      <c r="AC800" s="252"/>
    </row>
    <row r="801">
      <c r="A801" s="252"/>
      <c r="B801" s="252"/>
      <c r="C801" s="253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  <c r="AA801" s="252"/>
      <c r="AB801" s="252"/>
      <c r="AC801" s="252"/>
    </row>
    <row r="802">
      <c r="A802" s="252"/>
      <c r="B802" s="252"/>
      <c r="C802" s="253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  <c r="AA802" s="252"/>
      <c r="AB802" s="252"/>
      <c r="AC802" s="252"/>
    </row>
    <row r="803">
      <c r="A803" s="252"/>
      <c r="B803" s="252"/>
      <c r="C803" s="253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  <c r="AA803" s="252"/>
      <c r="AB803" s="252"/>
      <c r="AC803" s="252"/>
    </row>
    <row r="804">
      <c r="A804" s="252"/>
      <c r="B804" s="252"/>
      <c r="C804" s="253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  <c r="AA804" s="252"/>
      <c r="AB804" s="252"/>
      <c r="AC804" s="252"/>
    </row>
    <row r="805">
      <c r="A805" s="252"/>
      <c r="B805" s="252"/>
      <c r="C805" s="253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  <c r="AA805" s="252"/>
      <c r="AB805" s="252"/>
      <c r="AC805" s="252"/>
    </row>
    <row r="806">
      <c r="A806" s="252"/>
      <c r="B806" s="252"/>
      <c r="C806" s="253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  <c r="AA806" s="252"/>
      <c r="AB806" s="252"/>
      <c r="AC806" s="252"/>
    </row>
    <row r="807">
      <c r="A807" s="252"/>
      <c r="B807" s="252"/>
      <c r="C807" s="253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  <c r="AA807" s="252"/>
      <c r="AB807" s="252"/>
      <c r="AC807" s="252"/>
    </row>
    <row r="808">
      <c r="A808" s="252"/>
      <c r="B808" s="252"/>
      <c r="C808" s="253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  <c r="AA808" s="252"/>
      <c r="AB808" s="252"/>
      <c r="AC808" s="252"/>
    </row>
    <row r="809">
      <c r="A809" s="252"/>
      <c r="B809" s="252"/>
      <c r="C809" s="253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  <c r="AA809" s="252"/>
      <c r="AB809" s="252"/>
      <c r="AC809" s="252"/>
    </row>
    <row r="810">
      <c r="A810" s="252"/>
      <c r="B810" s="252"/>
      <c r="C810" s="253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  <c r="AA810" s="252"/>
      <c r="AB810" s="252"/>
      <c r="AC810" s="252"/>
    </row>
    <row r="811">
      <c r="A811" s="252"/>
      <c r="B811" s="252"/>
      <c r="C811" s="253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  <c r="AA811" s="252"/>
      <c r="AB811" s="252"/>
      <c r="AC811" s="252"/>
    </row>
    <row r="812">
      <c r="A812" s="252"/>
      <c r="B812" s="252"/>
      <c r="C812" s="253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  <c r="AA812" s="252"/>
      <c r="AB812" s="252"/>
      <c r="AC812" s="252"/>
    </row>
    <row r="813">
      <c r="A813" s="252"/>
      <c r="B813" s="252"/>
      <c r="C813" s="253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  <c r="AA813" s="252"/>
      <c r="AB813" s="252"/>
      <c r="AC813" s="252"/>
    </row>
    <row r="814">
      <c r="A814" s="252"/>
      <c r="B814" s="252"/>
      <c r="C814" s="253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  <c r="AA814" s="252"/>
      <c r="AB814" s="252"/>
      <c r="AC814" s="252"/>
    </row>
    <row r="815">
      <c r="A815" s="252"/>
      <c r="B815" s="252"/>
      <c r="C815" s="253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  <c r="AA815" s="252"/>
      <c r="AB815" s="252"/>
      <c r="AC815" s="252"/>
    </row>
    <row r="816">
      <c r="A816" s="252"/>
      <c r="B816" s="252"/>
      <c r="C816" s="253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  <c r="AA816" s="252"/>
      <c r="AB816" s="252"/>
      <c r="AC816" s="252"/>
    </row>
    <row r="817">
      <c r="A817" s="252"/>
      <c r="B817" s="252"/>
      <c r="C817" s="253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  <c r="AA817" s="252"/>
      <c r="AB817" s="252"/>
      <c r="AC817" s="252"/>
    </row>
    <row r="818">
      <c r="A818" s="252"/>
      <c r="B818" s="252"/>
      <c r="C818" s="253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  <c r="AA818" s="252"/>
      <c r="AB818" s="252"/>
      <c r="AC818" s="252"/>
    </row>
    <row r="819">
      <c r="A819" s="252"/>
      <c r="B819" s="252"/>
      <c r="C819" s="253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  <c r="AA819" s="252"/>
      <c r="AB819" s="252"/>
      <c r="AC819" s="252"/>
    </row>
    <row r="820">
      <c r="A820" s="252"/>
      <c r="B820" s="252"/>
      <c r="C820" s="253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  <c r="AA820" s="252"/>
      <c r="AB820" s="252"/>
      <c r="AC820" s="252"/>
    </row>
    <row r="821">
      <c r="A821" s="252"/>
      <c r="B821" s="252"/>
      <c r="C821" s="253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  <c r="AA821" s="252"/>
      <c r="AB821" s="252"/>
      <c r="AC821" s="252"/>
    </row>
    <row r="822">
      <c r="A822" s="252"/>
      <c r="B822" s="252"/>
      <c r="C822" s="253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  <c r="AA822" s="252"/>
      <c r="AB822" s="252"/>
      <c r="AC822" s="252"/>
    </row>
    <row r="823">
      <c r="A823" s="252"/>
      <c r="B823" s="252"/>
      <c r="C823" s="253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  <c r="AA823" s="252"/>
      <c r="AB823" s="252"/>
      <c r="AC823" s="252"/>
    </row>
    <row r="824">
      <c r="A824" s="252"/>
      <c r="B824" s="252"/>
      <c r="C824" s="253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  <c r="AA824" s="252"/>
      <c r="AB824" s="252"/>
      <c r="AC824" s="252"/>
    </row>
    <row r="825">
      <c r="A825" s="252"/>
      <c r="B825" s="252"/>
      <c r="C825" s="253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  <c r="AA825" s="252"/>
      <c r="AB825" s="252"/>
      <c r="AC825" s="252"/>
    </row>
    <row r="826">
      <c r="A826" s="252"/>
      <c r="B826" s="252"/>
      <c r="C826" s="253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  <c r="AA826" s="252"/>
      <c r="AB826" s="252"/>
      <c r="AC826" s="252"/>
    </row>
    <row r="827">
      <c r="A827" s="252"/>
      <c r="B827" s="252"/>
      <c r="C827" s="253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  <c r="AA827" s="252"/>
      <c r="AB827" s="252"/>
      <c r="AC827" s="252"/>
    </row>
    <row r="828">
      <c r="A828" s="252"/>
      <c r="B828" s="252"/>
      <c r="C828" s="253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  <c r="AA828" s="252"/>
      <c r="AB828" s="252"/>
      <c r="AC828" s="252"/>
    </row>
    <row r="829">
      <c r="A829" s="252"/>
      <c r="B829" s="252"/>
      <c r="C829" s="253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  <c r="AA829" s="252"/>
      <c r="AB829" s="252"/>
      <c r="AC829" s="252"/>
    </row>
    <row r="830">
      <c r="A830" s="252"/>
      <c r="B830" s="252"/>
      <c r="C830" s="253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  <c r="AA830" s="252"/>
      <c r="AB830" s="252"/>
      <c r="AC830" s="252"/>
    </row>
    <row r="831">
      <c r="A831" s="252"/>
      <c r="B831" s="252"/>
      <c r="C831" s="253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  <c r="AA831" s="252"/>
      <c r="AB831" s="252"/>
      <c r="AC831" s="252"/>
    </row>
    <row r="832">
      <c r="A832" s="252"/>
      <c r="B832" s="252"/>
      <c r="C832" s="253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  <c r="AA832" s="252"/>
      <c r="AB832" s="252"/>
      <c r="AC832" s="252"/>
    </row>
    <row r="833">
      <c r="A833" s="252"/>
      <c r="B833" s="252"/>
      <c r="C833" s="253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  <c r="AA833" s="252"/>
      <c r="AB833" s="252"/>
      <c r="AC833" s="252"/>
    </row>
    <row r="834">
      <c r="A834" s="252"/>
      <c r="B834" s="252"/>
      <c r="C834" s="253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  <c r="AA834" s="252"/>
      <c r="AB834" s="252"/>
      <c r="AC834" s="252"/>
    </row>
    <row r="835">
      <c r="A835" s="252"/>
      <c r="B835" s="252"/>
      <c r="C835" s="253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  <c r="AA835" s="252"/>
      <c r="AB835" s="252"/>
      <c r="AC835" s="252"/>
    </row>
    <row r="836">
      <c r="A836" s="252"/>
      <c r="B836" s="252"/>
      <c r="C836" s="253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  <c r="AA836" s="252"/>
      <c r="AB836" s="252"/>
      <c r="AC836" s="252"/>
    </row>
    <row r="837">
      <c r="A837" s="252"/>
      <c r="B837" s="252"/>
      <c r="C837" s="253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  <c r="AA837" s="252"/>
      <c r="AB837" s="252"/>
      <c r="AC837" s="252"/>
    </row>
    <row r="838">
      <c r="A838" s="252"/>
      <c r="B838" s="252"/>
      <c r="C838" s="253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  <c r="AA838" s="252"/>
      <c r="AB838" s="252"/>
      <c r="AC838" s="252"/>
    </row>
    <row r="839">
      <c r="A839" s="252"/>
      <c r="B839" s="252"/>
      <c r="C839" s="253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  <c r="AA839" s="252"/>
      <c r="AB839" s="252"/>
      <c r="AC839" s="252"/>
    </row>
    <row r="840">
      <c r="A840" s="252"/>
      <c r="B840" s="252"/>
      <c r="C840" s="253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  <c r="AA840" s="252"/>
      <c r="AB840" s="252"/>
      <c r="AC840" s="252"/>
    </row>
    <row r="841">
      <c r="A841" s="252"/>
      <c r="B841" s="252"/>
      <c r="C841" s="253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  <c r="AA841" s="252"/>
      <c r="AB841" s="252"/>
      <c r="AC841" s="252"/>
    </row>
    <row r="842">
      <c r="A842" s="252"/>
      <c r="B842" s="252"/>
      <c r="C842" s="253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  <c r="AA842" s="252"/>
      <c r="AB842" s="252"/>
      <c r="AC842" s="252"/>
    </row>
    <row r="843">
      <c r="A843" s="252"/>
      <c r="B843" s="252"/>
      <c r="C843" s="253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  <c r="AA843" s="252"/>
      <c r="AB843" s="252"/>
      <c r="AC843" s="252"/>
    </row>
    <row r="844">
      <c r="A844" s="252"/>
      <c r="B844" s="252"/>
      <c r="C844" s="253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  <c r="AA844" s="252"/>
      <c r="AB844" s="252"/>
      <c r="AC844" s="252"/>
    </row>
    <row r="845">
      <c r="A845" s="252"/>
      <c r="B845" s="252"/>
      <c r="C845" s="253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  <c r="AA845" s="252"/>
      <c r="AB845" s="252"/>
      <c r="AC845" s="252"/>
    </row>
    <row r="846">
      <c r="A846" s="252"/>
      <c r="B846" s="252"/>
      <c r="C846" s="253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  <c r="AA846" s="252"/>
      <c r="AB846" s="252"/>
      <c r="AC846" s="252"/>
    </row>
    <row r="847">
      <c r="A847" s="252"/>
      <c r="B847" s="252"/>
      <c r="C847" s="253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  <c r="AA847" s="252"/>
      <c r="AB847" s="252"/>
      <c r="AC847" s="252"/>
    </row>
    <row r="848">
      <c r="A848" s="252"/>
      <c r="B848" s="252"/>
      <c r="C848" s="253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  <c r="AA848" s="252"/>
      <c r="AB848" s="252"/>
      <c r="AC848" s="252"/>
    </row>
    <row r="849">
      <c r="A849" s="252"/>
      <c r="B849" s="252"/>
      <c r="C849" s="253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  <c r="AA849" s="252"/>
      <c r="AB849" s="252"/>
      <c r="AC849" s="252"/>
    </row>
    <row r="850">
      <c r="A850" s="252"/>
      <c r="B850" s="252"/>
      <c r="C850" s="253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  <c r="AA850" s="252"/>
      <c r="AB850" s="252"/>
      <c r="AC850" s="252"/>
    </row>
    <row r="851">
      <c r="A851" s="252"/>
      <c r="B851" s="252"/>
      <c r="C851" s="253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  <c r="AA851" s="252"/>
      <c r="AB851" s="252"/>
      <c r="AC851" s="252"/>
    </row>
    <row r="852">
      <c r="A852" s="252"/>
      <c r="B852" s="252"/>
      <c r="C852" s="253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  <c r="AA852" s="252"/>
      <c r="AB852" s="252"/>
      <c r="AC852" s="252"/>
    </row>
    <row r="853">
      <c r="A853" s="252"/>
      <c r="B853" s="252"/>
      <c r="C853" s="253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  <c r="AA853" s="252"/>
      <c r="AB853" s="252"/>
      <c r="AC853" s="252"/>
    </row>
    <row r="854">
      <c r="A854" s="252"/>
      <c r="B854" s="252"/>
      <c r="C854" s="253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  <c r="AA854" s="252"/>
      <c r="AB854" s="252"/>
      <c r="AC854" s="252"/>
    </row>
    <row r="855">
      <c r="A855" s="252"/>
      <c r="B855" s="252"/>
      <c r="C855" s="253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  <c r="AA855" s="252"/>
      <c r="AB855" s="252"/>
      <c r="AC855" s="252"/>
    </row>
    <row r="856">
      <c r="A856" s="252"/>
      <c r="B856" s="252"/>
      <c r="C856" s="253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  <c r="AA856" s="252"/>
      <c r="AB856" s="252"/>
      <c r="AC856" s="252"/>
    </row>
    <row r="857">
      <c r="A857" s="252"/>
      <c r="B857" s="252"/>
      <c r="C857" s="253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  <c r="AA857" s="252"/>
      <c r="AB857" s="252"/>
      <c r="AC857" s="252"/>
    </row>
    <row r="858">
      <c r="A858" s="252"/>
      <c r="B858" s="252"/>
      <c r="C858" s="253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  <c r="AA858" s="252"/>
      <c r="AB858" s="252"/>
      <c r="AC858" s="252"/>
    </row>
    <row r="859">
      <c r="A859" s="252"/>
      <c r="B859" s="252"/>
      <c r="C859" s="253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  <c r="AA859" s="252"/>
      <c r="AB859" s="252"/>
      <c r="AC859" s="252"/>
    </row>
    <row r="860">
      <c r="A860" s="252"/>
      <c r="B860" s="252"/>
      <c r="C860" s="253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  <c r="AA860" s="252"/>
      <c r="AB860" s="252"/>
      <c r="AC860" s="252"/>
    </row>
    <row r="861">
      <c r="A861" s="252"/>
      <c r="B861" s="252"/>
      <c r="C861" s="253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  <c r="AA861" s="252"/>
      <c r="AB861" s="252"/>
      <c r="AC861" s="252"/>
    </row>
    <row r="862">
      <c r="A862" s="252"/>
      <c r="B862" s="252"/>
      <c r="C862" s="253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  <c r="AA862" s="252"/>
      <c r="AB862" s="252"/>
      <c r="AC862" s="252"/>
    </row>
    <row r="863">
      <c r="A863" s="252"/>
      <c r="B863" s="252"/>
      <c r="C863" s="253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  <c r="AA863" s="252"/>
      <c r="AB863" s="252"/>
      <c r="AC863" s="252"/>
    </row>
    <row r="864">
      <c r="A864" s="252"/>
      <c r="B864" s="252"/>
      <c r="C864" s="253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  <c r="AA864" s="252"/>
      <c r="AB864" s="252"/>
      <c r="AC864" s="252"/>
    </row>
    <row r="865">
      <c r="A865" s="252"/>
      <c r="B865" s="252"/>
      <c r="C865" s="253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  <c r="AA865" s="252"/>
      <c r="AB865" s="252"/>
      <c r="AC865" s="252"/>
    </row>
    <row r="866">
      <c r="A866" s="252"/>
      <c r="B866" s="252"/>
      <c r="C866" s="253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  <c r="AA866" s="252"/>
      <c r="AB866" s="252"/>
      <c r="AC866" s="252"/>
    </row>
    <row r="867">
      <c r="A867" s="252"/>
      <c r="B867" s="252"/>
      <c r="C867" s="253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  <c r="AA867" s="252"/>
      <c r="AB867" s="252"/>
      <c r="AC867" s="252"/>
    </row>
    <row r="868">
      <c r="A868" s="252"/>
      <c r="B868" s="252"/>
      <c r="C868" s="253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  <c r="AA868" s="252"/>
      <c r="AB868" s="252"/>
      <c r="AC868" s="252"/>
    </row>
    <row r="869">
      <c r="A869" s="252"/>
      <c r="B869" s="252"/>
      <c r="C869" s="253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  <c r="AA869" s="252"/>
      <c r="AB869" s="252"/>
      <c r="AC869" s="252"/>
    </row>
    <row r="870">
      <c r="A870" s="252"/>
      <c r="B870" s="252"/>
      <c r="C870" s="253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  <c r="AA870" s="252"/>
      <c r="AB870" s="252"/>
      <c r="AC870" s="252"/>
    </row>
    <row r="871">
      <c r="A871" s="252"/>
      <c r="B871" s="252"/>
      <c r="C871" s="253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  <c r="AA871" s="252"/>
      <c r="AB871" s="252"/>
      <c r="AC871" s="252"/>
    </row>
    <row r="872">
      <c r="A872" s="252"/>
      <c r="B872" s="252"/>
      <c r="C872" s="253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  <c r="AA872" s="252"/>
      <c r="AB872" s="252"/>
      <c r="AC872" s="252"/>
    </row>
    <row r="873">
      <c r="A873" s="252"/>
      <c r="B873" s="252"/>
      <c r="C873" s="253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  <c r="AA873" s="252"/>
      <c r="AB873" s="252"/>
      <c r="AC873" s="252"/>
    </row>
    <row r="874">
      <c r="A874" s="252"/>
      <c r="B874" s="252"/>
      <c r="C874" s="253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  <c r="AA874" s="252"/>
      <c r="AB874" s="252"/>
      <c r="AC874" s="252"/>
    </row>
    <row r="875">
      <c r="A875" s="252"/>
      <c r="B875" s="252"/>
      <c r="C875" s="253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  <c r="AA875" s="252"/>
      <c r="AB875" s="252"/>
      <c r="AC875" s="252"/>
    </row>
    <row r="876">
      <c r="A876" s="252"/>
      <c r="B876" s="252"/>
      <c r="C876" s="253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  <c r="AA876" s="252"/>
      <c r="AB876" s="252"/>
      <c r="AC876" s="252"/>
    </row>
    <row r="877">
      <c r="A877" s="252"/>
      <c r="B877" s="252"/>
      <c r="C877" s="253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  <c r="AA877" s="252"/>
      <c r="AB877" s="252"/>
      <c r="AC877" s="252"/>
    </row>
    <row r="878">
      <c r="A878" s="252"/>
      <c r="B878" s="252"/>
      <c r="C878" s="253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  <c r="AA878" s="252"/>
      <c r="AB878" s="252"/>
      <c r="AC878" s="252"/>
    </row>
    <row r="879">
      <c r="A879" s="252"/>
      <c r="B879" s="252"/>
      <c r="C879" s="253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  <c r="AA879" s="252"/>
      <c r="AB879" s="252"/>
      <c r="AC879" s="252"/>
    </row>
    <row r="880">
      <c r="A880" s="252"/>
      <c r="B880" s="252"/>
      <c r="C880" s="253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  <c r="AA880" s="252"/>
      <c r="AB880" s="252"/>
      <c r="AC880" s="252"/>
    </row>
    <row r="881">
      <c r="A881" s="252"/>
      <c r="B881" s="252"/>
      <c r="C881" s="253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  <c r="AA881" s="252"/>
      <c r="AB881" s="252"/>
      <c r="AC881" s="252"/>
    </row>
    <row r="882">
      <c r="A882" s="252"/>
      <c r="B882" s="252"/>
      <c r="C882" s="253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  <c r="AA882" s="252"/>
      <c r="AB882" s="252"/>
      <c r="AC882" s="252"/>
    </row>
    <row r="883">
      <c r="A883" s="252"/>
      <c r="B883" s="252"/>
      <c r="C883" s="253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  <c r="AA883" s="252"/>
      <c r="AB883" s="252"/>
      <c r="AC883" s="252"/>
    </row>
    <row r="884">
      <c r="A884" s="252"/>
      <c r="B884" s="252"/>
      <c r="C884" s="253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  <c r="AA884" s="252"/>
      <c r="AB884" s="252"/>
      <c r="AC884" s="252"/>
    </row>
    <row r="885">
      <c r="A885" s="252"/>
      <c r="B885" s="252"/>
      <c r="C885" s="253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  <c r="AA885" s="252"/>
      <c r="AB885" s="252"/>
      <c r="AC885" s="252"/>
    </row>
    <row r="886">
      <c r="A886" s="252"/>
      <c r="B886" s="252"/>
      <c r="C886" s="253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  <c r="AA886" s="252"/>
      <c r="AB886" s="252"/>
      <c r="AC886" s="252"/>
    </row>
    <row r="887">
      <c r="A887" s="252"/>
      <c r="B887" s="252"/>
      <c r="C887" s="253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  <c r="AA887" s="252"/>
      <c r="AB887" s="252"/>
      <c r="AC887" s="252"/>
    </row>
    <row r="888">
      <c r="A888" s="252"/>
      <c r="B888" s="252"/>
      <c r="C888" s="253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  <c r="AA888" s="252"/>
      <c r="AB888" s="252"/>
      <c r="AC888" s="252"/>
    </row>
    <row r="889">
      <c r="A889" s="252"/>
      <c r="B889" s="252"/>
      <c r="C889" s="253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  <c r="AA889" s="252"/>
      <c r="AB889" s="252"/>
      <c r="AC889" s="252"/>
    </row>
    <row r="890">
      <c r="A890" s="252"/>
      <c r="B890" s="252"/>
      <c r="C890" s="253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  <c r="AA890" s="252"/>
      <c r="AB890" s="252"/>
      <c r="AC890" s="252"/>
    </row>
    <row r="891">
      <c r="A891" s="252"/>
      <c r="B891" s="252"/>
      <c r="C891" s="253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  <c r="AA891" s="252"/>
      <c r="AB891" s="252"/>
      <c r="AC891" s="252"/>
    </row>
    <row r="892">
      <c r="A892" s="252"/>
      <c r="B892" s="252"/>
      <c r="C892" s="253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  <c r="AA892" s="252"/>
      <c r="AB892" s="252"/>
      <c r="AC892" s="252"/>
    </row>
    <row r="893">
      <c r="A893" s="252"/>
      <c r="B893" s="252"/>
      <c r="C893" s="253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  <c r="AA893" s="252"/>
      <c r="AB893" s="252"/>
      <c r="AC893" s="252"/>
    </row>
    <row r="894">
      <c r="A894" s="252"/>
      <c r="B894" s="252"/>
      <c r="C894" s="253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  <c r="AA894" s="252"/>
      <c r="AB894" s="252"/>
      <c r="AC894" s="252"/>
    </row>
    <row r="895">
      <c r="A895" s="252"/>
      <c r="B895" s="252"/>
      <c r="C895" s="253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  <c r="AA895" s="252"/>
      <c r="AB895" s="252"/>
      <c r="AC895" s="252"/>
    </row>
    <row r="896">
      <c r="A896" s="252"/>
      <c r="B896" s="252"/>
      <c r="C896" s="253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  <c r="AA896" s="252"/>
      <c r="AB896" s="252"/>
      <c r="AC896" s="252"/>
    </row>
    <row r="897">
      <c r="A897" s="252"/>
      <c r="B897" s="252"/>
      <c r="C897" s="253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  <c r="AA897" s="252"/>
      <c r="AB897" s="252"/>
      <c r="AC897" s="252"/>
    </row>
    <row r="898">
      <c r="A898" s="252"/>
      <c r="B898" s="252"/>
      <c r="C898" s="253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  <c r="AA898" s="252"/>
      <c r="AB898" s="252"/>
      <c r="AC898" s="252"/>
    </row>
    <row r="899">
      <c r="A899" s="252"/>
      <c r="B899" s="252"/>
      <c r="C899" s="253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  <c r="AA899" s="252"/>
      <c r="AB899" s="252"/>
      <c r="AC899" s="252"/>
    </row>
    <row r="900">
      <c r="A900" s="252"/>
      <c r="B900" s="252"/>
      <c r="C900" s="253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  <c r="AA900" s="252"/>
      <c r="AB900" s="252"/>
      <c r="AC900" s="252"/>
    </row>
    <row r="901">
      <c r="A901" s="252"/>
      <c r="B901" s="252"/>
      <c r="C901" s="253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  <c r="AA901" s="252"/>
      <c r="AB901" s="252"/>
      <c r="AC901" s="252"/>
    </row>
    <row r="902">
      <c r="A902" s="252"/>
      <c r="B902" s="252"/>
      <c r="C902" s="253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  <c r="AA902" s="252"/>
      <c r="AB902" s="252"/>
      <c r="AC902" s="252"/>
    </row>
    <row r="903">
      <c r="A903" s="252"/>
      <c r="B903" s="252"/>
      <c r="C903" s="253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  <c r="AA903" s="252"/>
      <c r="AB903" s="252"/>
      <c r="AC903" s="252"/>
    </row>
    <row r="904">
      <c r="A904" s="252"/>
      <c r="B904" s="252"/>
      <c r="C904" s="253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  <c r="AA904" s="252"/>
      <c r="AB904" s="252"/>
      <c r="AC904" s="252"/>
    </row>
    <row r="905">
      <c r="A905" s="252"/>
      <c r="B905" s="252"/>
      <c r="C905" s="253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  <c r="AA905" s="252"/>
      <c r="AB905" s="252"/>
      <c r="AC905" s="252"/>
    </row>
    <row r="906">
      <c r="A906" s="252"/>
      <c r="B906" s="252"/>
      <c r="C906" s="253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  <c r="AA906" s="252"/>
      <c r="AB906" s="252"/>
      <c r="AC906" s="252"/>
    </row>
    <row r="907">
      <c r="A907" s="252"/>
      <c r="B907" s="252"/>
      <c r="C907" s="253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  <c r="AA907" s="252"/>
      <c r="AB907" s="252"/>
      <c r="AC907" s="252"/>
    </row>
    <row r="908">
      <c r="A908" s="252"/>
      <c r="B908" s="252"/>
      <c r="C908" s="253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  <c r="AA908" s="252"/>
      <c r="AB908" s="252"/>
      <c r="AC908" s="252"/>
    </row>
    <row r="909">
      <c r="A909" s="252"/>
      <c r="B909" s="252"/>
      <c r="C909" s="253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  <c r="AA909" s="252"/>
      <c r="AB909" s="252"/>
      <c r="AC909" s="252"/>
    </row>
    <row r="910">
      <c r="A910" s="252"/>
      <c r="B910" s="252"/>
      <c r="C910" s="253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  <c r="AA910" s="252"/>
      <c r="AB910" s="252"/>
      <c r="AC910" s="252"/>
    </row>
    <row r="911">
      <c r="A911" s="252"/>
      <c r="B911" s="252"/>
      <c r="C911" s="253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  <c r="AA911" s="252"/>
      <c r="AB911" s="252"/>
      <c r="AC911" s="252"/>
    </row>
    <row r="912">
      <c r="A912" s="252"/>
      <c r="B912" s="252"/>
      <c r="C912" s="253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  <c r="AA912" s="252"/>
      <c r="AB912" s="252"/>
      <c r="AC912" s="252"/>
    </row>
    <row r="913">
      <c r="A913" s="252"/>
      <c r="B913" s="252"/>
      <c r="C913" s="253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  <c r="AA913" s="252"/>
      <c r="AB913" s="252"/>
      <c r="AC913" s="252"/>
    </row>
    <row r="914">
      <c r="A914" s="252"/>
      <c r="B914" s="252"/>
      <c r="C914" s="253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  <c r="AA914" s="252"/>
      <c r="AB914" s="252"/>
      <c r="AC914" s="252"/>
    </row>
    <row r="915">
      <c r="A915" s="252"/>
      <c r="B915" s="252"/>
      <c r="C915" s="253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  <c r="AA915" s="252"/>
      <c r="AB915" s="252"/>
      <c r="AC915" s="252"/>
    </row>
    <row r="916">
      <c r="A916" s="252"/>
      <c r="B916" s="252"/>
      <c r="C916" s="253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  <c r="AA916" s="252"/>
      <c r="AB916" s="252"/>
      <c r="AC916" s="252"/>
    </row>
    <row r="917">
      <c r="A917" s="252"/>
      <c r="B917" s="252"/>
      <c r="C917" s="253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  <c r="AA917" s="252"/>
      <c r="AB917" s="252"/>
      <c r="AC917" s="252"/>
    </row>
    <row r="918">
      <c r="A918" s="252"/>
      <c r="B918" s="252"/>
      <c r="C918" s="253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  <c r="AA918" s="252"/>
      <c r="AB918" s="252"/>
      <c r="AC918" s="252"/>
    </row>
    <row r="919">
      <c r="A919" s="252"/>
      <c r="B919" s="252"/>
      <c r="C919" s="253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  <c r="AA919" s="252"/>
      <c r="AB919" s="252"/>
      <c r="AC919" s="252"/>
    </row>
    <row r="920">
      <c r="A920" s="252"/>
      <c r="B920" s="252"/>
      <c r="C920" s="253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  <c r="AA920" s="252"/>
      <c r="AB920" s="252"/>
      <c r="AC920" s="252"/>
    </row>
    <row r="921">
      <c r="A921" s="252"/>
      <c r="B921" s="252"/>
      <c r="C921" s="253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  <c r="AA921" s="252"/>
      <c r="AB921" s="252"/>
      <c r="AC921" s="252"/>
    </row>
    <row r="922">
      <c r="A922" s="252"/>
      <c r="B922" s="252"/>
      <c r="C922" s="253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  <c r="AA922" s="252"/>
      <c r="AB922" s="252"/>
      <c r="AC922" s="252"/>
    </row>
    <row r="923">
      <c r="A923" s="252"/>
      <c r="B923" s="252"/>
      <c r="C923" s="253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  <c r="AA923" s="252"/>
      <c r="AB923" s="252"/>
      <c r="AC923" s="252"/>
    </row>
    <row r="924">
      <c r="A924" s="252"/>
      <c r="B924" s="252"/>
      <c r="C924" s="253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  <c r="AA924" s="252"/>
      <c r="AB924" s="252"/>
      <c r="AC924" s="252"/>
    </row>
    <row r="925">
      <c r="A925" s="252"/>
      <c r="B925" s="252"/>
      <c r="C925" s="253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  <c r="AA925" s="252"/>
      <c r="AB925" s="252"/>
      <c r="AC925" s="252"/>
    </row>
    <row r="926">
      <c r="A926" s="252"/>
      <c r="B926" s="252"/>
      <c r="C926" s="253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  <c r="AA926" s="252"/>
      <c r="AB926" s="252"/>
      <c r="AC926" s="252"/>
    </row>
    <row r="927">
      <c r="A927" s="252"/>
      <c r="B927" s="252"/>
      <c r="C927" s="253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  <c r="AA927" s="252"/>
      <c r="AB927" s="252"/>
      <c r="AC927" s="252"/>
    </row>
    <row r="928">
      <c r="A928" s="252"/>
      <c r="B928" s="252"/>
      <c r="C928" s="253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  <c r="AA928" s="252"/>
      <c r="AB928" s="252"/>
      <c r="AC928" s="252"/>
    </row>
    <row r="929">
      <c r="A929" s="252"/>
      <c r="B929" s="252"/>
      <c r="C929" s="253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  <c r="AA929" s="252"/>
      <c r="AB929" s="252"/>
      <c r="AC929" s="252"/>
    </row>
    <row r="930">
      <c r="A930" s="252"/>
      <c r="B930" s="252"/>
      <c r="C930" s="253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  <c r="AA930" s="252"/>
      <c r="AB930" s="252"/>
      <c r="AC930" s="252"/>
    </row>
    <row r="931">
      <c r="A931" s="252"/>
      <c r="B931" s="252"/>
      <c r="C931" s="253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  <c r="AA931" s="252"/>
      <c r="AB931" s="252"/>
      <c r="AC931" s="252"/>
    </row>
    <row r="932">
      <c r="A932" s="252"/>
      <c r="B932" s="252"/>
      <c r="C932" s="253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  <c r="AA932" s="252"/>
      <c r="AB932" s="252"/>
      <c r="AC932" s="252"/>
    </row>
    <row r="933">
      <c r="A933" s="252"/>
      <c r="B933" s="252"/>
      <c r="C933" s="253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  <c r="AA933" s="252"/>
      <c r="AB933" s="252"/>
      <c r="AC933" s="252"/>
    </row>
    <row r="934">
      <c r="A934" s="252"/>
      <c r="B934" s="252"/>
      <c r="C934" s="253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  <c r="AA934" s="252"/>
      <c r="AB934" s="252"/>
      <c r="AC934" s="252"/>
    </row>
    <row r="935">
      <c r="A935" s="252"/>
      <c r="B935" s="252"/>
      <c r="C935" s="253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  <c r="AA935" s="252"/>
      <c r="AB935" s="252"/>
      <c r="AC935" s="252"/>
    </row>
    <row r="936">
      <c r="A936" s="252"/>
      <c r="B936" s="252"/>
      <c r="C936" s="253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  <c r="AA936" s="252"/>
      <c r="AB936" s="252"/>
      <c r="AC936" s="252"/>
    </row>
    <row r="937">
      <c r="A937" s="252"/>
      <c r="B937" s="252"/>
      <c r="C937" s="253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  <c r="AA937" s="252"/>
      <c r="AB937" s="252"/>
      <c r="AC937" s="252"/>
    </row>
    <row r="938">
      <c r="A938" s="252"/>
      <c r="B938" s="252"/>
      <c r="C938" s="253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  <c r="AA938" s="252"/>
      <c r="AB938" s="252"/>
      <c r="AC938" s="252"/>
    </row>
    <row r="939">
      <c r="A939" s="252"/>
      <c r="B939" s="252"/>
      <c r="C939" s="253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  <c r="AA939" s="252"/>
      <c r="AB939" s="252"/>
      <c r="AC939" s="252"/>
    </row>
    <row r="940">
      <c r="A940" s="252"/>
      <c r="B940" s="252"/>
      <c r="C940" s="253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  <c r="AA940" s="252"/>
      <c r="AB940" s="252"/>
      <c r="AC940" s="252"/>
    </row>
    <row r="941">
      <c r="A941" s="252"/>
      <c r="B941" s="252"/>
      <c r="C941" s="253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  <c r="AA941" s="252"/>
      <c r="AB941" s="252"/>
      <c r="AC941" s="252"/>
    </row>
    <row r="942">
      <c r="A942" s="252"/>
      <c r="B942" s="252"/>
      <c r="C942" s="253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  <c r="AA942" s="252"/>
      <c r="AB942" s="252"/>
      <c r="AC942" s="252"/>
    </row>
    <row r="943">
      <c r="A943" s="252"/>
      <c r="B943" s="252"/>
      <c r="C943" s="253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  <c r="AA943" s="252"/>
      <c r="AB943" s="252"/>
      <c r="AC943" s="252"/>
    </row>
    <row r="944">
      <c r="A944" s="252"/>
      <c r="B944" s="252"/>
      <c r="C944" s="253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  <c r="AA944" s="252"/>
      <c r="AB944" s="252"/>
      <c r="AC944" s="252"/>
    </row>
    <row r="945">
      <c r="A945" s="252"/>
      <c r="B945" s="252"/>
      <c r="C945" s="253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  <c r="AA945" s="252"/>
      <c r="AB945" s="252"/>
      <c r="AC945" s="252"/>
    </row>
    <row r="946">
      <c r="A946" s="252"/>
      <c r="B946" s="252"/>
      <c r="C946" s="253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  <c r="AA946" s="252"/>
      <c r="AB946" s="252"/>
      <c r="AC946" s="252"/>
    </row>
    <row r="947">
      <c r="A947" s="252"/>
      <c r="B947" s="252"/>
      <c r="C947" s="253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  <c r="AA947" s="252"/>
      <c r="AB947" s="252"/>
      <c r="AC947" s="252"/>
    </row>
    <row r="948">
      <c r="A948" s="252"/>
      <c r="B948" s="252"/>
      <c r="C948" s="253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  <c r="AA948" s="252"/>
      <c r="AB948" s="252"/>
      <c r="AC948" s="252"/>
    </row>
    <row r="949">
      <c r="A949" s="252"/>
      <c r="B949" s="252"/>
      <c r="C949" s="253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  <c r="AA949" s="252"/>
      <c r="AB949" s="252"/>
      <c r="AC949" s="252"/>
    </row>
    <row r="950">
      <c r="A950" s="252"/>
      <c r="B950" s="252"/>
      <c r="C950" s="253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  <c r="AA950" s="252"/>
      <c r="AB950" s="252"/>
      <c r="AC950" s="252"/>
    </row>
    <row r="951">
      <c r="A951" s="252"/>
      <c r="B951" s="252"/>
      <c r="C951" s="253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  <c r="AA951" s="252"/>
      <c r="AB951" s="252"/>
      <c r="AC951" s="252"/>
    </row>
    <row r="952">
      <c r="A952" s="252"/>
      <c r="B952" s="252"/>
      <c r="C952" s="253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  <c r="AA952" s="252"/>
      <c r="AB952" s="252"/>
      <c r="AC952" s="252"/>
    </row>
    <row r="953">
      <c r="A953" s="252"/>
      <c r="B953" s="252"/>
      <c r="C953" s="253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  <c r="AA953" s="252"/>
      <c r="AB953" s="252"/>
      <c r="AC953" s="252"/>
    </row>
    <row r="954">
      <c r="A954" s="252"/>
      <c r="B954" s="252"/>
      <c r="C954" s="253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  <c r="AA954" s="252"/>
      <c r="AB954" s="252"/>
      <c r="AC954" s="252"/>
    </row>
    <row r="955">
      <c r="A955" s="252"/>
      <c r="B955" s="252"/>
      <c r="C955" s="253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  <c r="AA955" s="252"/>
      <c r="AB955" s="252"/>
      <c r="AC955" s="252"/>
    </row>
    <row r="956">
      <c r="A956" s="252"/>
      <c r="B956" s="252"/>
      <c r="C956" s="253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  <c r="AA956" s="252"/>
      <c r="AB956" s="252"/>
      <c r="AC956" s="252"/>
    </row>
    <row r="957">
      <c r="A957" s="252"/>
      <c r="B957" s="252"/>
      <c r="C957" s="253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  <c r="AA957" s="252"/>
      <c r="AB957" s="252"/>
      <c r="AC957" s="252"/>
    </row>
    <row r="958">
      <c r="A958" s="252"/>
      <c r="B958" s="252"/>
      <c r="C958" s="253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  <c r="AA958" s="252"/>
      <c r="AB958" s="252"/>
      <c r="AC958" s="252"/>
    </row>
    <row r="959">
      <c r="A959" s="252"/>
      <c r="B959" s="252"/>
      <c r="C959" s="253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  <c r="AA959" s="252"/>
      <c r="AB959" s="252"/>
      <c r="AC959" s="252"/>
    </row>
    <row r="960">
      <c r="A960" s="252"/>
      <c r="B960" s="252"/>
      <c r="C960" s="253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  <c r="AA960" s="252"/>
      <c r="AB960" s="252"/>
      <c r="AC960" s="252"/>
    </row>
    <row r="961">
      <c r="A961" s="252"/>
      <c r="B961" s="252"/>
      <c r="C961" s="253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  <c r="AA961" s="252"/>
      <c r="AB961" s="252"/>
      <c r="AC961" s="252"/>
    </row>
    <row r="962">
      <c r="A962" s="252"/>
      <c r="B962" s="252"/>
      <c r="C962" s="253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  <c r="AA962" s="252"/>
      <c r="AB962" s="252"/>
      <c r="AC962" s="252"/>
    </row>
    <row r="963">
      <c r="A963" s="252"/>
      <c r="B963" s="252"/>
      <c r="C963" s="253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  <c r="AA963" s="252"/>
      <c r="AB963" s="252"/>
      <c r="AC963" s="252"/>
    </row>
    <row r="964">
      <c r="A964" s="252"/>
      <c r="B964" s="252"/>
      <c r="C964" s="253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  <c r="AA964" s="252"/>
      <c r="AB964" s="252"/>
      <c r="AC964" s="252"/>
    </row>
    <row r="965">
      <c r="A965" s="252"/>
      <c r="B965" s="252"/>
      <c r="C965" s="253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  <c r="AA965" s="252"/>
      <c r="AB965" s="252"/>
      <c r="AC965" s="252"/>
    </row>
    <row r="966">
      <c r="A966" s="252"/>
      <c r="B966" s="252"/>
      <c r="C966" s="253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  <c r="AA966" s="252"/>
      <c r="AB966" s="252"/>
      <c r="AC966" s="252"/>
    </row>
    <row r="967">
      <c r="A967" s="252"/>
      <c r="B967" s="252"/>
      <c r="C967" s="253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  <c r="AA967" s="252"/>
      <c r="AB967" s="252"/>
      <c r="AC967" s="252"/>
    </row>
    <row r="968">
      <c r="A968" s="252"/>
      <c r="B968" s="252"/>
      <c r="C968" s="253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  <c r="AA968" s="252"/>
      <c r="AB968" s="252"/>
      <c r="AC968" s="252"/>
    </row>
    <row r="969">
      <c r="A969" s="252"/>
      <c r="B969" s="252"/>
      <c r="C969" s="253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  <c r="AA969" s="252"/>
      <c r="AB969" s="252"/>
      <c r="AC969" s="252"/>
    </row>
    <row r="970">
      <c r="A970" s="252"/>
      <c r="B970" s="252"/>
      <c r="C970" s="253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  <c r="AA970" s="252"/>
      <c r="AB970" s="252"/>
      <c r="AC970" s="252"/>
    </row>
    <row r="971">
      <c r="A971" s="252"/>
      <c r="B971" s="252"/>
      <c r="C971" s="253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  <c r="AA971" s="252"/>
      <c r="AB971" s="252"/>
      <c r="AC971" s="252"/>
    </row>
    <row r="972">
      <c r="A972" s="252"/>
      <c r="B972" s="252"/>
      <c r="C972" s="253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  <c r="AA972" s="252"/>
      <c r="AB972" s="252"/>
      <c r="AC972" s="252"/>
    </row>
    <row r="973">
      <c r="A973" s="252"/>
      <c r="B973" s="252"/>
      <c r="C973" s="253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  <c r="AA973" s="252"/>
      <c r="AB973" s="252"/>
      <c r="AC973" s="252"/>
    </row>
    <row r="974">
      <c r="A974" s="252"/>
      <c r="B974" s="252"/>
      <c r="C974" s="253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  <c r="AA974" s="252"/>
      <c r="AB974" s="252"/>
      <c r="AC974" s="252"/>
    </row>
    <row r="975">
      <c r="A975" s="252"/>
      <c r="B975" s="252"/>
      <c r="C975" s="253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  <c r="AA975" s="252"/>
      <c r="AB975" s="252"/>
      <c r="AC975" s="252"/>
    </row>
    <row r="976">
      <c r="A976" s="252"/>
      <c r="B976" s="252"/>
      <c r="C976" s="253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7"/>
      <c r="V976" s="27"/>
      <c r="W976" s="27"/>
      <c r="X976" s="27"/>
      <c r="Y976" s="27"/>
      <c r="Z976" s="27"/>
      <c r="AA976" s="27"/>
      <c r="AB976" s="27"/>
      <c r="AC976" s="27"/>
    </row>
  </sheetData>
  <mergeCells count="1172">
    <mergeCell ref="Y2:Y4"/>
    <mergeCell ref="Z2:Z4"/>
    <mergeCell ref="AA2:AA4"/>
    <mergeCell ref="AB2:AB4"/>
    <mergeCell ref="AC2:AC4"/>
    <mergeCell ref="T2:T4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V8:V10"/>
    <mergeCell ref="W8:W10"/>
    <mergeCell ref="Y8:Y10"/>
    <mergeCell ref="Z8:Z10"/>
    <mergeCell ref="AA8:AA10"/>
    <mergeCell ref="AB8:AB10"/>
    <mergeCell ref="AC8:AC10"/>
    <mergeCell ref="B8:B10"/>
    <mergeCell ref="B11:B13"/>
    <mergeCell ref="T11:T13"/>
    <mergeCell ref="U11:U13"/>
    <mergeCell ref="Y11:Y13"/>
    <mergeCell ref="Z11:Z13"/>
    <mergeCell ref="AA11:AA13"/>
    <mergeCell ref="AB11:AB13"/>
    <mergeCell ref="AC11:AC13"/>
    <mergeCell ref="AA27:AA29"/>
    <mergeCell ref="AB27:AB29"/>
    <mergeCell ref="T27:T29"/>
    <mergeCell ref="U27:U29"/>
    <mergeCell ref="V27:V29"/>
    <mergeCell ref="W27:W29"/>
    <mergeCell ref="X27:X29"/>
    <mergeCell ref="Y27:Y29"/>
    <mergeCell ref="Z27:Z29"/>
    <mergeCell ref="AA30:AA32"/>
    <mergeCell ref="AB30:AB32"/>
    <mergeCell ref="T30:T32"/>
    <mergeCell ref="U30:U32"/>
    <mergeCell ref="V30:V32"/>
    <mergeCell ref="W30:W32"/>
    <mergeCell ref="X30:X32"/>
    <mergeCell ref="Y30:Y32"/>
    <mergeCell ref="Z30:Z32"/>
    <mergeCell ref="AA33:AA35"/>
    <mergeCell ref="AB33:AB35"/>
    <mergeCell ref="T33:T35"/>
    <mergeCell ref="U33:U35"/>
    <mergeCell ref="V33:V35"/>
    <mergeCell ref="W33:W35"/>
    <mergeCell ref="X33:X35"/>
    <mergeCell ref="Y33:Y35"/>
    <mergeCell ref="Z33:Z35"/>
    <mergeCell ref="AA36:AA38"/>
    <mergeCell ref="AB36:AB38"/>
    <mergeCell ref="T36:T38"/>
    <mergeCell ref="U36:U38"/>
    <mergeCell ref="V36:V38"/>
    <mergeCell ref="W36:W38"/>
    <mergeCell ref="X36:X38"/>
    <mergeCell ref="Y36:Y38"/>
    <mergeCell ref="Z36:Z38"/>
    <mergeCell ref="T20:T22"/>
    <mergeCell ref="U20:U22"/>
    <mergeCell ref="V20:V22"/>
    <mergeCell ref="W20:W22"/>
    <mergeCell ref="X20:X22"/>
    <mergeCell ref="Y20:Y22"/>
    <mergeCell ref="Z20:Z22"/>
    <mergeCell ref="T24:T26"/>
    <mergeCell ref="U24:U26"/>
    <mergeCell ref="V24:V26"/>
    <mergeCell ref="W24:W26"/>
    <mergeCell ref="X24:X26"/>
    <mergeCell ref="Y24:Y26"/>
    <mergeCell ref="Z24:Z26"/>
    <mergeCell ref="AA39:AA41"/>
    <mergeCell ref="AB39:AB41"/>
    <mergeCell ref="AC39:AC41"/>
    <mergeCell ref="T39:T41"/>
    <mergeCell ref="U39:U41"/>
    <mergeCell ref="V39:V41"/>
    <mergeCell ref="W39:W41"/>
    <mergeCell ref="X39:X41"/>
    <mergeCell ref="Y39:Y41"/>
    <mergeCell ref="Z39:Z41"/>
    <mergeCell ref="AA86:AA88"/>
    <mergeCell ref="AB86:AB88"/>
    <mergeCell ref="AC86:AC88"/>
    <mergeCell ref="T86:T88"/>
    <mergeCell ref="U86:U88"/>
    <mergeCell ref="V86:V88"/>
    <mergeCell ref="W86:W88"/>
    <mergeCell ref="X86:X88"/>
    <mergeCell ref="Y86:Y88"/>
    <mergeCell ref="Z86:Z88"/>
    <mergeCell ref="AA64:AA66"/>
    <mergeCell ref="AB64:AB66"/>
    <mergeCell ref="AC58:AC60"/>
    <mergeCell ref="AC61:AC63"/>
    <mergeCell ref="U64:U66"/>
    <mergeCell ref="V64:V66"/>
    <mergeCell ref="W64:W66"/>
    <mergeCell ref="X64:X66"/>
    <mergeCell ref="AC64:AC66"/>
    <mergeCell ref="Z68:Z70"/>
    <mergeCell ref="AA68:AA70"/>
    <mergeCell ref="AB68:AB70"/>
    <mergeCell ref="AC68:AC70"/>
    <mergeCell ref="T64:T66"/>
    <mergeCell ref="T68:T70"/>
    <mergeCell ref="U68:U70"/>
    <mergeCell ref="V68:V70"/>
    <mergeCell ref="W68:W70"/>
    <mergeCell ref="X68:X70"/>
    <mergeCell ref="Y68:Y70"/>
    <mergeCell ref="AA71:AA73"/>
    <mergeCell ref="AB71:AB73"/>
    <mergeCell ref="AC71:AC73"/>
    <mergeCell ref="T71:T73"/>
    <mergeCell ref="U71:U73"/>
    <mergeCell ref="V71:V73"/>
    <mergeCell ref="W71:W73"/>
    <mergeCell ref="X71:X73"/>
    <mergeCell ref="Y71:Y73"/>
    <mergeCell ref="Z71:Z73"/>
    <mergeCell ref="AA90:AA92"/>
    <mergeCell ref="AB90:AB92"/>
    <mergeCell ref="AC90:AC92"/>
    <mergeCell ref="T90:T92"/>
    <mergeCell ref="U90:U92"/>
    <mergeCell ref="V90:V92"/>
    <mergeCell ref="W90:W92"/>
    <mergeCell ref="X90:X92"/>
    <mergeCell ref="Y90:Y92"/>
    <mergeCell ref="Z90:Z92"/>
    <mergeCell ref="AA102:AA104"/>
    <mergeCell ref="AB102:AB104"/>
    <mergeCell ref="AC102:AC104"/>
    <mergeCell ref="T102:T104"/>
    <mergeCell ref="U102:U104"/>
    <mergeCell ref="V102:V104"/>
    <mergeCell ref="W102:W104"/>
    <mergeCell ref="X102:X104"/>
    <mergeCell ref="Y102:Y104"/>
    <mergeCell ref="Z102:Z104"/>
    <mergeCell ref="AA83:AA85"/>
    <mergeCell ref="AB83:AB85"/>
    <mergeCell ref="AC83:AC85"/>
    <mergeCell ref="T83:T85"/>
    <mergeCell ref="U83:U85"/>
    <mergeCell ref="V83:V85"/>
    <mergeCell ref="W83:W85"/>
    <mergeCell ref="X83:X85"/>
    <mergeCell ref="Y83:Y85"/>
    <mergeCell ref="Z83:Z85"/>
    <mergeCell ref="AA93:AA95"/>
    <mergeCell ref="AB93:AB95"/>
    <mergeCell ref="AC93:AC95"/>
    <mergeCell ref="T93:T95"/>
    <mergeCell ref="U93:U95"/>
    <mergeCell ref="V93:V95"/>
    <mergeCell ref="W93:W95"/>
    <mergeCell ref="X93:X95"/>
    <mergeCell ref="Y93:Y95"/>
    <mergeCell ref="Z93:Z95"/>
    <mergeCell ref="AA96:AA98"/>
    <mergeCell ref="AB96:AB98"/>
    <mergeCell ref="AC96:AC98"/>
    <mergeCell ref="T96:T98"/>
    <mergeCell ref="U96:U98"/>
    <mergeCell ref="V96:V98"/>
    <mergeCell ref="W96:W98"/>
    <mergeCell ref="X96:X98"/>
    <mergeCell ref="Y96:Y98"/>
    <mergeCell ref="Z96:Z98"/>
    <mergeCell ref="AA105:AA107"/>
    <mergeCell ref="AB105:AB107"/>
    <mergeCell ref="AC105:AC107"/>
    <mergeCell ref="T105:T107"/>
    <mergeCell ref="U105:U107"/>
    <mergeCell ref="V105:V107"/>
    <mergeCell ref="W105:W107"/>
    <mergeCell ref="X105:X107"/>
    <mergeCell ref="Y105:Y107"/>
    <mergeCell ref="Z105:Z107"/>
    <mergeCell ref="AA118:AA120"/>
    <mergeCell ref="AB118:AB120"/>
    <mergeCell ref="AC118:AC120"/>
    <mergeCell ref="T118:T120"/>
    <mergeCell ref="U118:U120"/>
    <mergeCell ref="V118:V120"/>
    <mergeCell ref="W118:W120"/>
    <mergeCell ref="X118:X120"/>
    <mergeCell ref="Y118:Y120"/>
    <mergeCell ref="Z118:Z120"/>
    <mergeCell ref="AA99:AA101"/>
    <mergeCell ref="AB99:AB101"/>
    <mergeCell ref="AC99:AC101"/>
    <mergeCell ref="T99:T101"/>
    <mergeCell ref="U99:U101"/>
    <mergeCell ref="V99:V101"/>
    <mergeCell ref="W99:W101"/>
    <mergeCell ref="X99:X101"/>
    <mergeCell ref="Y99:Y101"/>
    <mergeCell ref="Z99:Z101"/>
    <mergeCell ref="AA108:AA110"/>
    <mergeCell ref="AB108:AB110"/>
    <mergeCell ref="AC108:AC110"/>
    <mergeCell ref="T108:T110"/>
    <mergeCell ref="U108:U110"/>
    <mergeCell ref="V108:V110"/>
    <mergeCell ref="W108:W110"/>
    <mergeCell ref="X108:X110"/>
    <mergeCell ref="Y108:Y110"/>
    <mergeCell ref="Z108:Z110"/>
    <mergeCell ref="AA112:AA114"/>
    <mergeCell ref="AB112:AB114"/>
    <mergeCell ref="AC112:AC114"/>
    <mergeCell ref="T112:T114"/>
    <mergeCell ref="U112:U114"/>
    <mergeCell ref="V112:V114"/>
    <mergeCell ref="W112:W114"/>
    <mergeCell ref="X112:X114"/>
    <mergeCell ref="Y112:Y114"/>
    <mergeCell ref="Z112:Z114"/>
    <mergeCell ref="AA121:AA123"/>
    <mergeCell ref="AB121:AB123"/>
    <mergeCell ref="AC121:AC123"/>
    <mergeCell ref="T121:T123"/>
    <mergeCell ref="U121:U123"/>
    <mergeCell ref="V121:V123"/>
    <mergeCell ref="W121:W123"/>
    <mergeCell ref="X121:X123"/>
    <mergeCell ref="Y121:Y123"/>
    <mergeCell ref="Z121:Z123"/>
    <mergeCell ref="AA134:AA136"/>
    <mergeCell ref="AB134:AB136"/>
    <mergeCell ref="AC134:AC136"/>
    <mergeCell ref="T134:T136"/>
    <mergeCell ref="U134:U136"/>
    <mergeCell ref="V134:V136"/>
    <mergeCell ref="W134:W136"/>
    <mergeCell ref="X134:X136"/>
    <mergeCell ref="Y134:Y136"/>
    <mergeCell ref="Z134:Z136"/>
    <mergeCell ref="AA115:AA117"/>
    <mergeCell ref="AB115:AB117"/>
    <mergeCell ref="AC115:AC117"/>
    <mergeCell ref="T115:T117"/>
    <mergeCell ref="U115:U117"/>
    <mergeCell ref="V115:V117"/>
    <mergeCell ref="W115:W117"/>
    <mergeCell ref="X115:X117"/>
    <mergeCell ref="Y115:Y117"/>
    <mergeCell ref="Z115:Z117"/>
    <mergeCell ref="AA124:AA126"/>
    <mergeCell ref="AB124:AB126"/>
    <mergeCell ref="AC124:AC126"/>
    <mergeCell ref="T124:T126"/>
    <mergeCell ref="U124:U126"/>
    <mergeCell ref="V124:V126"/>
    <mergeCell ref="W124:W126"/>
    <mergeCell ref="X124:X126"/>
    <mergeCell ref="Y124:Y126"/>
    <mergeCell ref="Z124:Z126"/>
    <mergeCell ref="AA127:AA129"/>
    <mergeCell ref="AB127:AB129"/>
    <mergeCell ref="AC127:AC129"/>
    <mergeCell ref="T127:T129"/>
    <mergeCell ref="U127:U129"/>
    <mergeCell ref="V127:V129"/>
    <mergeCell ref="W127:W129"/>
    <mergeCell ref="X127:X129"/>
    <mergeCell ref="Y127:Y129"/>
    <mergeCell ref="Z127:Z129"/>
    <mergeCell ref="AA137:AA139"/>
    <mergeCell ref="AB137:AB139"/>
    <mergeCell ref="AC137:AC139"/>
    <mergeCell ref="T137:T139"/>
    <mergeCell ref="U137:U139"/>
    <mergeCell ref="V137:V139"/>
    <mergeCell ref="W137:W139"/>
    <mergeCell ref="X137:X139"/>
    <mergeCell ref="Y137:Y139"/>
    <mergeCell ref="Z137:Z139"/>
    <mergeCell ref="AA149:AA151"/>
    <mergeCell ref="AB149:AB151"/>
    <mergeCell ref="AC149:AC151"/>
    <mergeCell ref="T149:T151"/>
    <mergeCell ref="U149:U151"/>
    <mergeCell ref="V149:V151"/>
    <mergeCell ref="W149:W151"/>
    <mergeCell ref="X149:X151"/>
    <mergeCell ref="Y149:Y151"/>
    <mergeCell ref="Z149:Z151"/>
    <mergeCell ref="AA130:AA132"/>
    <mergeCell ref="AB130:AB132"/>
    <mergeCell ref="AC130:AC132"/>
    <mergeCell ref="T130:T132"/>
    <mergeCell ref="U130:U132"/>
    <mergeCell ref="V130:V132"/>
    <mergeCell ref="W130:W132"/>
    <mergeCell ref="X130:X132"/>
    <mergeCell ref="Y130:Y132"/>
    <mergeCell ref="Z130:Z132"/>
    <mergeCell ref="AA140:AA142"/>
    <mergeCell ref="AB140:AB142"/>
    <mergeCell ref="AC140:AC142"/>
    <mergeCell ref="T140:T142"/>
    <mergeCell ref="U140:U142"/>
    <mergeCell ref="V140:V142"/>
    <mergeCell ref="W140:W142"/>
    <mergeCell ref="X140:X142"/>
    <mergeCell ref="Y140:Y142"/>
    <mergeCell ref="Z140:Z142"/>
    <mergeCell ref="AA143:AA145"/>
    <mergeCell ref="AB143:AB145"/>
    <mergeCell ref="AC143:AC145"/>
    <mergeCell ref="T143:T145"/>
    <mergeCell ref="U143:U145"/>
    <mergeCell ref="V143:V145"/>
    <mergeCell ref="W143:W145"/>
    <mergeCell ref="X143:X145"/>
    <mergeCell ref="Y143:Y145"/>
    <mergeCell ref="Z143:Z145"/>
    <mergeCell ref="AA152:AA154"/>
    <mergeCell ref="AB152:AB154"/>
    <mergeCell ref="AC152:AC154"/>
    <mergeCell ref="T152:T154"/>
    <mergeCell ref="U152:U154"/>
    <mergeCell ref="V152:V154"/>
    <mergeCell ref="W152:W154"/>
    <mergeCell ref="X152:X154"/>
    <mergeCell ref="Y152:Y154"/>
    <mergeCell ref="Z152:Z154"/>
    <mergeCell ref="AA165:AA167"/>
    <mergeCell ref="AB165:AB167"/>
    <mergeCell ref="AC165:AC167"/>
    <mergeCell ref="T165:T167"/>
    <mergeCell ref="U165:U167"/>
    <mergeCell ref="V165:V167"/>
    <mergeCell ref="W165:W167"/>
    <mergeCell ref="X165:X167"/>
    <mergeCell ref="Y165:Y167"/>
    <mergeCell ref="Z165:Z167"/>
    <mergeCell ref="AA146:AA148"/>
    <mergeCell ref="AB146:AB148"/>
    <mergeCell ref="AC146:AC148"/>
    <mergeCell ref="T146:T148"/>
    <mergeCell ref="U146:U148"/>
    <mergeCell ref="V146:V148"/>
    <mergeCell ref="W146:W148"/>
    <mergeCell ref="X146:X148"/>
    <mergeCell ref="Y146:Y148"/>
    <mergeCell ref="Z146:Z148"/>
    <mergeCell ref="AA156:AA158"/>
    <mergeCell ref="AB156:AB158"/>
    <mergeCell ref="AC156:AC158"/>
    <mergeCell ref="T156:T158"/>
    <mergeCell ref="U156:U158"/>
    <mergeCell ref="V156:V158"/>
    <mergeCell ref="W156:W158"/>
    <mergeCell ref="X156:X158"/>
    <mergeCell ref="Y156:Y158"/>
    <mergeCell ref="Z156:Z158"/>
    <mergeCell ref="AA159:AA161"/>
    <mergeCell ref="AB159:AB161"/>
    <mergeCell ref="AC159:AC161"/>
    <mergeCell ref="T159:T161"/>
    <mergeCell ref="U159:U161"/>
    <mergeCell ref="V159:V161"/>
    <mergeCell ref="W159:W161"/>
    <mergeCell ref="X159:X161"/>
    <mergeCell ref="Y159:Y161"/>
    <mergeCell ref="Z159:Z161"/>
    <mergeCell ref="T168:T170"/>
    <mergeCell ref="U168:U170"/>
    <mergeCell ref="AA300:AA302"/>
    <mergeCell ref="AB300:AB302"/>
    <mergeCell ref="AC300:AC302"/>
    <mergeCell ref="T300:T302"/>
    <mergeCell ref="U300:U302"/>
    <mergeCell ref="V300:V302"/>
    <mergeCell ref="W300:W302"/>
    <mergeCell ref="X300:X302"/>
    <mergeCell ref="Y300:Y302"/>
    <mergeCell ref="Z300:Z302"/>
    <mergeCell ref="AA178:AA180"/>
    <mergeCell ref="AB178:AB180"/>
    <mergeCell ref="AC178:AC180"/>
    <mergeCell ref="T178:T180"/>
    <mergeCell ref="U178:U180"/>
    <mergeCell ref="V178:V180"/>
    <mergeCell ref="W178:W180"/>
    <mergeCell ref="X178:X180"/>
    <mergeCell ref="Y178:Y180"/>
    <mergeCell ref="Z178:Z180"/>
    <mergeCell ref="AA181:AA183"/>
    <mergeCell ref="AB181:AB183"/>
    <mergeCell ref="AC181:AC183"/>
    <mergeCell ref="T181:T183"/>
    <mergeCell ref="U181:U183"/>
    <mergeCell ref="V181:V183"/>
    <mergeCell ref="W181:W183"/>
    <mergeCell ref="X181:X183"/>
    <mergeCell ref="Y181:Y183"/>
    <mergeCell ref="Z181:Z183"/>
    <mergeCell ref="AA184:AA186"/>
    <mergeCell ref="AB184:AB186"/>
    <mergeCell ref="AC184:AC186"/>
    <mergeCell ref="T184:T186"/>
    <mergeCell ref="U184:U186"/>
    <mergeCell ref="V184:V186"/>
    <mergeCell ref="W184:W186"/>
    <mergeCell ref="X184:X186"/>
    <mergeCell ref="Y184:Y186"/>
    <mergeCell ref="Z184:Z186"/>
    <mergeCell ref="AA303:AA305"/>
    <mergeCell ref="AB303:AB305"/>
    <mergeCell ref="AC303:AC305"/>
    <mergeCell ref="T303:T305"/>
    <mergeCell ref="U303:U305"/>
    <mergeCell ref="V303:V305"/>
    <mergeCell ref="W303:W305"/>
    <mergeCell ref="X303:X305"/>
    <mergeCell ref="Y303:Y305"/>
    <mergeCell ref="Z303:Z305"/>
    <mergeCell ref="AA278:AA280"/>
    <mergeCell ref="AB278:AB280"/>
    <mergeCell ref="AC278:AC280"/>
    <mergeCell ref="T278:T280"/>
    <mergeCell ref="U278:U280"/>
    <mergeCell ref="V278:V280"/>
    <mergeCell ref="W278:W280"/>
    <mergeCell ref="X278:X280"/>
    <mergeCell ref="Y278:Y280"/>
    <mergeCell ref="Z278:Z280"/>
    <mergeCell ref="AA281:AA283"/>
    <mergeCell ref="AB281:AB283"/>
    <mergeCell ref="AC281:AC283"/>
    <mergeCell ref="T281:T283"/>
    <mergeCell ref="U281:U283"/>
    <mergeCell ref="V281:V283"/>
    <mergeCell ref="W281:W283"/>
    <mergeCell ref="X281:X283"/>
    <mergeCell ref="Y281:Y283"/>
    <mergeCell ref="Z281:Z283"/>
    <mergeCell ref="AA284:AA286"/>
    <mergeCell ref="AB284:AB286"/>
    <mergeCell ref="AC284:AC286"/>
    <mergeCell ref="T284:T286"/>
    <mergeCell ref="U284:U286"/>
    <mergeCell ref="V284:V286"/>
    <mergeCell ref="W284:W286"/>
    <mergeCell ref="X284:X286"/>
    <mergeCell ref="Y284:Y286"/>
    <mergeCell ref="Z284:Z286"/>
    <mergeCell ref="AA288:AA290"/>
    <mergeCell ref="AB288:AB290"/>
    <mergeCell ref="AC288:AC290"/>
    <mergeCell ref="T288:T290"/>
    <mergeCell ref="U288:U290"/>
    <mergeCell ref="V288:V290"/>
    <mergeCell ref="W288:W290"/>
    <mergeCell ref="X288:X290"/>
    <mergeCell ref="Y288:Y290"/>
    <mergeCell ref="Z288:Z290"/>
    <mergeCell ref="AA291:AA293"/>
    <mergeCell ref="AB291:AB293"/>
    <mergeCell ref="AC291:AC293"/>
    <mergeCell ref="T291:T293"/>
    <mergeCell ref="U291:U293"/>
    <mergeCell ref="V291:V293"/>
    <mergeCell ref="W291:W293"/>
    <mergeCell ref="X291:X293"/>
    <mergeCell ref="Y291:Y293"/>
    <mergeCell ref="Z291:Z293"/>
    <mergeCell ref="AA294:AA296"/>
    <mergeCell ref="AB294:AB296"/>
    <mergeCell ref="AC294:AC296"/>
    <mergeCell ref="T294:T296"/>
    <mergeCell ref="U294:U296"/>
    <mergeCell ref="V294:V296"/>
    <mergeCell ref="W294:W296"/>
    <mergeCell ref="X294:X296"/>
    <mergeCell ref="Y294:Y296"/>
    <mergeCell ref="Z294:Z296"/>
    <mergeCell ref="AA297:AA299"/>
    <mergeCell ref="AB297:AB299"/>
    <mergeCell ref="AC297:AC299"/>
    <mergeCell ref="T297:T299"/>
    <mergeCell ref="U297:U299"/>
    <mergeCell ref="V297:V299"/>
    <mergeCell ref="W297:W299"/>
    <mergeCell ref="X297:X299"/>
    <mergeCell ref="Y297:Y299"/>
    <mergeCell ref="Z297:Z299"/>
    <mergeCell ref="B2:B4"/>
    <mergeCell ref="B17:B19"/>
    <mergeCell ref="A2:A23"/>
    <mergeCell ref="B20:B22"/>
    <mergeCell ref="B24:B26"/>
    <mergeCell ref="B27:B29"/>
    <mergeCell ref="B30:B32"/>
    <mergeCell ref="B33:B35"/>
    <mergeCell ref="B42:B44"/>
    <mergeCell ref="AA46:AA48"/>
    <mergeCell ref="AB46:AB48"/>
    <mergeCell ref="T46:T48"/>
    <mergeCell ref="U46:U48"/>
    <mergeCell ref="V46:V48"/>
    <mergeCell ref="W46:W48"/>
    <mergeCell ref="X46:X48"/>
    <mergeCell ref="Y46:Y48"/>
    <mergeCell ref="Z46:Z48"/>
    <mergeCell ref="AA49:AA51"/>
    <mergeCell ref="AB49:AB51"/>
    <mergeCell ref="T49:T51"/>
    <mergeCell ref="U49:U51"/>
    <mergeCell ref="V49:V51"/>
    <mergeCell ref="W49:W51"/>
    <mergeCell ref="X49:X51"/>
    <mergeCell ref="Y49:Y51"/>
    <mergeCell ref="Z49:Z51"/>
    <mergeCell ref="AA52:AA54"/>
    <mergeCell ref="AB52:AB54"/>
    <mergeCell ref="T52:T54"/>
    <mergeCell ref="U52:U54"/>
    <mergeCell ref="V52:V54"/>
    <mergeCell ref="W52:W54"/>
    <mergeCell ref="X52:X54"/>
    <mergeCell ref="Y52:Y54"/>
    <mergeCell ref="Z52:Z54"/>
    <mergeCell ref="AA55:AA57"/>
    <mergeCell ref="AB55:AB57"/>
    <mergeCell ref="T55:T57"/>
    <mergeCell ref="U55:U57"/>
    <mergeCell ref="V55:V57"/>
    <mergeCell ref="W55:W57"/>
    <mergeCell ref="X55:X57"/>
    <mergeCell ref="Y55:Y57"/>
    <mergeCell ref="Z55:Z57"/>
    <mergeCell ref="AA58:AA60"/>
    <mergeCell ref="AB58:AB60"/>
    <mergeCell ref="T58:T60"/>
    <mergeCell ref="U58:U60"/>
    <mergeCell ref="V58:V60"/>
    <mergeCell ref="W58:W60"/>
    <mergeCell ref="X58:X60"/>
    <mergeCell ref="Y58:Y60"/>
    <mergeCell ref="Z58:Z60"/>
    <mergeCell ref="AA61:AA63"/>
    <mergeCell ref="AB61:AB63"/>
    <mergeCell ref="T61:T63"/>
    <mergeCell ref="U61:U63"/>
    <mergeCell ref="V61:V63"/>
    <mergeCell ref="W61:W63"/>
    <mergeCell ref="X61:X63"/>
    <mergeCell ref="Y61:Y63"/>
    <mergeCell ref="Z61:Z63"/>
    <mergeCell ref="B178:B180"/>
    <mergeCell ref="B181:B183"/>
    <mergeCell ref="B156:B158"/>
    <mergeCell ref="B159:B161"/>
    <mergeCell ref="B162:B164"/>
    <mergeCell ref="B165:B167"/>
    <mergeCell ref="B168:B170"/>
    <mergeCell ref="B171:B173"/>
    <mergeCell ref="B174:B176"/>
    <mergeCell ref="B206:B208"/>
    <mergeCell ref="B209:B211"/>
    <mergeCell ref="B184:B186"/>
    <mergeCell ref="B187:B189"/>
    <mergeCell ref="B190:B192"/>
    <mergeCell ref="B193:B195"/>
    <mergeCell ref="B196:B198"/>
    <mergeCell ref="B200:B202"/>
    <mergeCell ref="B203:B205"/>
    <mergeCell ref="B234:B236"/>
    <mergeCell ref="B237:B239"/>
    <mergeCell ref="B212:B214"/>
    <mergeCell ref="B215:B217"/>
    <mergeCell ref="B218:B220"/>
    <mergeCell ref="B222:B224"/>
    <mergeCell ref="B225:B227"/>
    <mergeCell ref="B228:B230"/>
    <mergeCell ref="B231:B233"/>
    <mergeCell ref="B112:B114"/>
    <mergeCell ref="B115:B117"/>
    <mergeCell ref="B118:B120"/>
    <mergeCell ref="B121:B123"/>
    <mergeCell ref="B124:B126"/>
    <mergeCell ref="B127:B129"/>
    <mergeCell ref="B130:B132"/>
    <mergeCell ref="B134:B136"/>
    <mergeCell ref="B137:B139"/>
    <mergeCell ref="B140:B142"/>
    <mergeCell ref="B143:B145"/>
    <mergeCell ref="B146:B148"/>
    <mergeCell ref="B149:B151"/>
    <mergeCell ref="B152:B154"/>
    <mergeCell ref="B284:B286"/>
    <mergeCell ref="B288:B290"/>
    <mergeCell ref="B262:B264"/>
    <mergeCell ref="B266:B268"/>
    <mergeCell ref="B269:B271"/>
    <mergeCell ref="B272:B274"/>
    <mergeCell ref="B275:B277"/>
    <mergeCell ref="B278:B280"/>
    <mergeCell ref="B281:B283"/>
    <mergeCell ref="B313:B315"/>
    <mergeCell ref="B316:B318"/>
    <mergeCell ref="B291:B293"/>
    <mergeCell ref="B294:B296"/>
    <mergeCell ref="B297:B299"/>
    <mergeCell ref="B300:B302"/>
    <mergeCell ref="B303:B305"/>
    <mergeCell ref="B306:B308"/>
    <mergeCell ref="B310:B312"/>
    <mergeCell ref="B36:B38"/>
    <mergeCell ref="B39:B41"/>
    <mergeCell ref="B46:B48"/>
    <mergeCell ref="B49:B51"/>
    <mergeCell ref="B52:B54"/>
    <mergeCell ref="B55:B57"/>
    <mergeCell ref="B58:B60"/>
    <mergeCell ref="B80:B82"/>
    <mergeCell ref="B83:B85"/>
    <mergeCell ref="B61:B63"/>
    <mergeCell ref="B64:B66"/>
    <mergeCell ref="B68:B70"/>
    <mergeCell ref="B71:B73"/>
    <mergeCell ref="B74:B76"/>
    <mergeCell ref="B77:B79"/>
    <mergeCell ref="B86:B88"/>
    <mergeCell ref="B90:B92"/>
    <mergeCell ref="B93:B95"/>
    <mergeCell ref="B96:B98"/>
    <mergeCell ref="B99:B101"/>
    <mergeCell ref="B102:B104"/>
    <mergeCell ref="B105:B107"/>
    <mergeCell ref="B108:B110"/>
    <mergeCell ref="A222:A243"/>
    <mergeCell ref="A244:A265"/>
    <mergeCell ref="A266:A287"/>
    <mergeCell ref="A288:A309"/>
    <mergeCell ref="A310:A331"/>
    <mergeCell ref="A332:A353"/>
    <mergeCell ref="A354:A375"/>
    <mergeCell ref="A68:A89"/>
    <mergeCell ref="A90:A111"/>
    <mergeCell ref="A112:A133"/>
    <mergeCell ref="A134:A155"/>
    <mergeCell ref="A156:A177"/>
    <mergeCell ref="A178:A199"/>
    <mergeCell ref="A200:A221"/>
    <mergeCell ref="B319:B321"/>
    <mergeCell ref="B322:B324"/>
    <mergeCell ref="B325:B327"/>
    <mergeCell ref="B328:B330"/>
    <mergeCell ref="B240:B242"/>
    <mergeCell ref="B244:B246"/>
    <mergeCell ref="B247:B249"/>
    <mergeCell ref="B250:B252"/>
    <mergeCell ref="B253:B255"/>
    <mergeCell ref="B256:B258"/>
    <mergeCell ref="B259:B261"/>
    <mergeCell ref="U2:U4"/>
    <mergeCell ref="T8:T10"/>
    <mergeCell ref="U8:U10"/>
    <mergeCell ref="V11:V13"/>
    <mergeCell ref="W11:W13"/>
    <mergeCell ref="B5:B7"/>
    <mergeCell ref="B14:B16"/>
    <mergeCell ref="T14:T16"/>
    <mergeCell ref="U14:U16"/>
    <mergeCell ref="V14:V16"/>
    <mergeCell ref="W14:W16"/>
    <mergeCell ref="Y14:Y16"/>
    <mergeCell ref="Z14:Z16"/>
    <mergeCell ref="AA14:AA16"/>
    <mergeCell ref="AB14:AB16"/>
    <mergeCell ref="AC14:AC16"/>
    <mergeCell ref="T17:T19"/>
    <mergeCell ref="U17:U19"/>
    <mergeCell ref="V17:V19"/>
    <mergeCell ref="W17:W19"/>
    <mergeCell ref="Y17:Y19"/>
    <mergeCell ref="Z17:Z19"/>
    <mergeCell ref="AA17:AA19"/>
    <mergeCell ref="AB17:AB19"/>
    <mergeCell ref="AC17:AC19"/>
    <mergeCell ref="V2:V4"/>
    <mergeCell ref="W2:W4"/>
    <mergeCell ref="X2:X4"/>
    <mergeCell ref="X8:X10"/>
    <mergeCell ref="X11:X13"/>
    <mergeCell ref="X14:X16"/>
    <mergeCell ref="X17:X19"/>
    <mergeCell ref="AA20:AA22"/>
    <mergeCell ref="AB20:AB22"/>
    <mergeCell ref="AC20:AC22"/>
    <mergeCell ref="AA24:AA26"/>
    <mergeCell ref="AB24:AB26"/>
    <mergeCell ref="AC24:AC26"/>
    <mergeCell ref="AC27:AC29"/>
    <mergeCell ref="AC30:AC32"/>
    <mergeCell ref="AC33:AC35"/>
    <mergeCell ref="AC36:AC38"/>
    <mergeCell ref="A24:A45"/>
    <mergeCell ref="A46:A67"/>
    <mergeCell ref="T42:T44"/>
    <mergeCell ref="U42:U44"/>
    <mergeCell ref="V42:V44"/>
    <mergeCell ref="W42:W44"/>
    <mergeCell ref="X42:X44"/>
    <mergeCell ref="Y42:Y44"/>
    <mergeCell ref="Z42:Z44"/>
    <mergeCell ref="AA42:AA44"/>
    <mergeCell ref="AB42:AB44"/>
    <mergeCell ref="AC42:AC44"/>
    <mergeCell ref="AC46:AC48"/>
    <mergeCell ref="AC49:AC51"/>
    <mergeCell ref="AC52:AC54"/>
    <mergeCell ref="AC55:AC57"/>
    <mergeCell ref="Y64:Y66"/>
    <mergeCell ref="Z64:Z66"/>
    <mergeCell ref="AA74:AA76"/>
    <mergeCell ref="AB74:AB76"/>
    <mergeCell ref="AC74:AC76"/>
    <mergeCell ref="T74:T76"/>
    <mergeCell ref="U74:U76"/>
    <mergeCell ref="V74:V76"/>
    <mergeCell ref="W74:W76"/>
    <mergeCell ref="X74:X76"/>
    <mergeCell ref="Y74:Y76"/>
    <mergeCell ref="Z74:Z76"/>
    <mergeCell ref="AA77:AA79"/>
    <mergeCell ref="AB77:AB79"/>
    <mergeCell ref="AC77:AC79"/>
    <mergeCell ref="T77:T79"/>
    <mergeCell ref="U77:U79"/>
    <mergeCell ref="V77:V79"/>
    <mergeCell ref="W77:W79"/>
    <mergeCell ref="X77:X79"/>
    <mergeCell ref="Y77:Y79"/>
    <mergeCell ref="Z77:Z79"/>
    <mergeCell ref="AA80:AA82"/>
    <mergeCell ref="AB80:AB82"/>
    <mergeCell ref="AC80:AC82"/>
    <mergeCell ref="T80:T82"/>
    <mergeCell ref="U80:U82"/>
    <mergeCell ref="V80:V82"/>
    <mergeCell ref="W80:W82"/>
    <mergeCell ref="X80:X82"/>
    <mergeCell ref="Y80:Y82"/>
    <mergeCell ref="Z80:Z82"/>
    <mergeCell ref="AA162:AA164"/>
    <mergeCell ref="AB162:AB164"/>
    <mergeCell ref="AC162:AC164"/>
    <mergeCell ref="T162:T164"/>
    <mergeCell ref="U162:U164"/>
    <mergeCell ref="V162:V164"/>
    <mergeCell ref="W162:W164"/>
    <mergeCell ref="X162:X164"/>
    <mergeCell ref="Y162:Y164"/>
    <mergeCell ref="Z162:Z164"/>
    <mergeCell ref="W168:W170"/>
    <mergeCell ref="X168:X170"/>
    <mergeCell ref="Y168:Y170"/>
    <mergeCell ref="Z168:Z170"/>
    <mergeCell ref="AA168:AA170"/>
    <mergeCell ref="AB168:AB170"/>
    <mergeCell ref="AC168:AC170"/>
    <mergeCell ref="Z171:Z173"/>
    <mergeCell ref="AA171:AA173"/>
    <mergeCell ref="AB171:AB173"/>
    <mergeCell ref="AC171:AC173"/>
    <mergeCell ref="V168:V170"/>
    <mergeCell ref="T171:T173"/>
    <mergeCell ref="U171:U173"/>
    <mergeCell ref="V171:V173"/>
    <mergeCell ref="W171:W173"/>
    <mergeCell ref="X171:X173"/>
    <mergeCell ref="Y171:Y173"/>
    <mergeCell ref="AA174:AA176"/>
    <mergeCell ref="AB174:AB176"/>
    <mergeCell ref="AC174:AC176"/>
    <mergeCell ref="T174:T176"/>
    <mergeCell ref="U174:U176"/>
    <mergeCell ref="V174:V176"/>
    <mergeCell ref="W174:W176"/>
    <mergeCell ref="X174:X176"/>
    <mergeCell ref="Y174:Y176"/>
    <mergeCell ref="Z174:Z176"/>
    <mergeCell ref="AA187:AA189"/>
    <mergeCell ref="AB187:AB189"/>
    <mergeCell ref="AC187:AC189"/>
    <mergeCell ref="T187:T189"/>
    <mergeCell ref="U187:U189"/>
    <mergeCell ref="V187:V189"/>
    <mergeCell ref="W187:W189"/>
    <mergeCell ref="X187:X189"/>
    <mergeCell ref="Y187:Y189"/>
    <mergeCell ref="Z187:Z189"/>
    <mergeCell ref="AA190:AA192"/>
    <mergeCell ref="AB190:AB192"/>
    <mergeCell ref="AC190:AC192"/>
    <mergeCell ref="T190:T192"/>
    <mergeCell ref="U190:U192"/>
    <mergeCell ref="V190:V192"/>
    <mergeCell ref="W190:W192"/>
    <mergeCell ref="X190:X192"/>
    <mergeCell ref="Y190:Y192"/>
    <mergeCell ref="Z190:Z192"/>
    <mergeCell ref="AA193:AA195"/>
    <mergeCell ref="AB193:AB195"/>
    <mergeCell ref="AC193:AC195"/>
    <mergeCell ref="T193:T195"/>
    <mergeCell ref="U193:U195"/>
    <mergeCell ref="V193:V195"/>
    <mergeCell ref="W193:W195"/>
    <mergeCell ref="X193:X195"/>
    <mergeCell ref="Y193:Y195"/>
    <mergeCell ref="Z193:Z195"/>
    <mergeCell ref="AA196:AA198"/>
    <mergeCell ref="AB196:AB198"/>
    <mergeCell ref="AC196:AC198"/>
    <mergeCell ref="T196:T198"/>
    <mergeCell ref="U196:U198"/>
    <mergeCell ref="V196:V198"/>
    <mergeCell ref="W196:W198"/>
    <mergeCell ref="X196:X198"/>
    <mergeCell ref="Y196:Y198"/>
    <mergeCell ref="Z196:Z198"/>
    <mergeCell ref="AA200:AA202"/>
    <mergeCell ref="AB200:AB202"/>
    <mergeCell ref="AC200:AC202"/>
    <mergeCell ref="T200:T202"/>
    <mergeCell ref="U200:U202"/>
    <mergeCell ref="V200:V202"/>
    <mergeCell ref="W200:W202"/>
    <mergeCell ref="X200:X202"/>
    <mergeCell ref="Y200:Y202"/>
    <mergeCell ref="Z200:Z202"/>
    <mergeCell ref="AA203:AA205"/>
    <mergeCell ref="AB203:AB205"/>
    <mergeCell ref="AC203:AC205"/>
    <mergeCell ref="T203:T205"/>
    <mergeCell ref="U203:U205"/>
    <mergeCell ref="V203:V205"/>
    <mergeCell ref="W203:W205"/>
    <mergeCell ref="X203:X205"/>
    <mergeCell ref="Y203:Y205"/>
    <mergeCell ref="Z203:Z205"/>
    <mergeCell ref="AA206:AA208"/>
    <mergeCell ref="AB206:AB208"/>
    <mergeCell ref="AC206:AC208"/>
    <mergeCell ref="T206:T208"/>
    <mergeCell ref="U206:U208"/>
    <mergeCell ref="V206:V208"/>
    <mergeCell ref="W206:W208"/>
    <mergeCell ref="X206:X208"/>
    <mergeCell ref="Y206:Y208"/>
    <mergeCell ref="Z206:Z208"/>
    <mergeCell ref="AA209:AA211"/>
    <mergeCell ref="AB209:AB211"/>
    <mergeCell ref="AC209:AC211"/>
    <mergeCell ref="T209:T211"/>
    <mergeCell ref="U209:U211"/>
    <mergeCell ref="V209:V211"/>
    <mergeCell ref="W209:W211"/>
    <mergeCell ref="X209:X211"/>
    <mergeCell ref="Y209:Y211"/>
    <mergeCell ref="Z209:Z211"/>
    <mergeCell ref="AA212:AA214"/>
    <mergeCell ref="AB212:AB214"/>
    <mergeCell ref="AC212:AC214"/>
    <mergeCell ref="T212:T214"/>
    <mergeCell ref="U212:U214"/>
    <mergeCell ref="V212:V214"/>
    <mergeCell ref="W212:W214"/>
    <mergeCell ref="X212:X214"/>
    <mergeCell ref="Y212:Y214"/>
    <mergeCell ref="Z212:Z214"/>
    <mergeCell ref="AA215:AA217"/>
    <mergeCell ref="AB215:AB217"/>
    <mergeCell ref="AC215:AC217"/>
    <mergeCell ref="T215:T217"/>
    <mergeCell ref="U215:U217"/>
    <mergeCell ref="V215:V217"/>
    <mergeCell ref="W215:W217"/>
    <mergeCell ref="X215:X217"/>
    <mergeCell ref="Y215:Y217"/>
    <mergeCell ref="Z215:Z217"/>
    <mergeCell ref="AA218:AA220"/>
    <mergeCell ref="AB218:AB220"/>
    <mergeCell ref="AC218:AC220"/>
    <mergeCell ref="T218:T220"/>
    <mergeCell ref="U218:U220"/>
    <mergeCell ref="V218:V220"/>
    <mergeCell ref="W218:W220"/>
    <mergeCell ref="X218:X220"/>
    <mergeCell ref="Y218:Y220"/>
    <mergeCell ref="Z218:Z220"/>
    <mergeCell ref="AA222:AA224"/>
    <mergeCell ref="AB222:AB224"/>
    <mergeCell ref="AC222:AC224"/>
    <mergeCell ref="T222:T224"/>
    <mergeCell ref="U222:U224"/>
    <mergeCell ref="V222:V224"/>
    <mergeCell ref="W222:W224"/>
    <mergeCell ref="X222:X224"/>
    <mergeCell ref="Y222:Y224"/>
    <mergeCell ref="Z222:Z224"/>
    <mergeCell ref="AA225:AA227"/>
    <mergeCell ref="AB225:AB227"/>
    <mergeCell ref="AC225:AC227"/>
    <mergeCell ref="T225:T227"/>
    <mergeCell ref="U225:U227"/>
    <mergeCell ref="V225:V227"/>
    <mergeCell ref="W225:W227"/>
    <mergeCell ref="X225:X227"/>
    <mergeCell ref="Y225:Y227"/>
    <mergeCell ref="Z225:Z227"/>
    <mergeCell ref="AA228:AA230"/>
    <mergeCell ref="AB228:AB230"/>
    <mergeCell ref="AC228:AC230"/>
    <mergeCell ref="T228:T230"/>
    <mergeCell ref="U228:U230"/>
    <mergeCell ref="V228:V230"/>
    <mergeCell ref="W228:W230"/>
    <mergeCell ref="X228:X230"/>
    <mergeCell ref="Y228:Y230"/>
    <mergeCell ref="Z228:Z230"/>
    <mergeCell ref="AA231:AA233"/>
    <mergeCell ref="AB231:AB233"/>
    <mergeCell ref="AC231:AC233"/>
    <mergeCell ref="T231:T233"/>
    <mergeCell ref="U231:U233"/>
    <mergeCell ref="V231:V233"/>
    <mergeCell ref="W231:W233"/>
    <mergeCell ref="X231:X233"/>
    <mergeCell ref="Y231:Y233"/>
    <mergeCell ref="Z231:Z233"/>
    <mergeCell ref="AA234:AA236"/>
    <mergeCell ref="AB234:AB236"/>
    <mergeCell ref="AC234:AC236"/>
    <mergeCell ref="T234:T236"/>
    <mergeCell ref="U234:U236"/>
    <mergeCell ref="V234:V236"/>
    <mergeCell ref="W234:W236"/>
    <mergeCell ref="X234:X236"/>
    <mergeCell ref="Y234:Y236"/>
    <mergeCell ref="Z234:Z236"/>
    <mergeCell ref="AA237:AA239"/>
    <mergeCell ref="AB237:AB239"/>
    <mergeCell ref="AC237:AC239"/>
    <mergeCell ref="T237:T239"/>
    <mergeCell ref="U237:U239"/>
    <mergeCell ref="V237:V239"/>
    <mergeCell ref="W237:W239"/>
    <mergeCell ref="X237:X239"/>
    <mergeCell ref="Y237:Y239"/>
    <mergeCell ref="Z237:Z239"/>
    <mergeCell ref="AA240:AA242"/>
    <mergeCell ref="AB240:AB242"/>
    <mergeCell ref="AC240:AC242"/>
    <mergeCell ref="T240:T242"/>
    <mergeCell ref="U240:U242"/>
    <mergeCell ref="V240:V242"/>
    <mergeCell ref="W240:W242"/>
    <mergeCell ref="X240:X242"/>
    <mergeCell ref="Y240:Y242"/>
    <mergeCell ref="Z240:Z242"/>
    <mergeCell ref="AA244:AA246"/>
    <mergeCell ref="AB244:AB246"/>
    <mergeCell ref="AC244:AC246"/>
    <mergeCell ref="T244:T246"/>
    <mergeCell ref="U244:U246"/>
    <mergeCell ref="V244:V246"/>
    <mergeCell ref="W244:W246"/>
    <mergeCell ref="X244:X246"/>
    <mergeCell ref="Y244:Y246"/>
    <mergeCell ref="Z244:Z246"/>
    <mergeCell ref="AA247:AA249"/>
    <mergeCell ref="AB247:AB249"/>
    <mergeCell ref="AC247:AC249"/>
    <mergeCell ref="T247:T249"/>
    <mergeCell ref="U247:U249"/>
    <mergeCell ref="V247:V249"/>
    <mergeCell ref="W247:W249"/>
    <mergeCell ref="X247:X249"/>
    <mergeCell ref="Y247:Y249"/>
    <mergeCell ref="Z247:Z249"/>
    <mergeCell ref="AA250:AA252"/>
    <mergeCell ref="AB250:AB252"/>
    <mergeCell ref="AC250:AC252"/>
    <mergeCell ref="T250:T252"/>
    <mergeCell ref="U250:U252"/>
    <mergeCell ref="V250:V252"/>
    <mergeCell ref="W250:W252"/>
    <mergeCell ref="X250:X252"/>
    <mergeCell ref="Y250:Y252"/>
    <mergeCell ref="Z250:Z252"/>
    <mergeCell ref="AA253:AA255"/>
    <mergeCell ref="AB253:AB255"/>
    <mergeCell ref="AC253:AC255"/>
    <mergeCell ref="T253:T255"/>
    <mergeCell ref="U253:U255"/>
    <mergeCell ref="V253:V255"/>
    <mergeCell ref="W253:W255"/>
    <mergeCell ref="X253:X255"/>
    <mergeCell ref="Y253:Y255"/>
    <mergeCell ref="Z253:Z255"/>
    <mergeCell ref="AA316:AA318"/>
    <mergeCell ref="AB316:AB318"/>
    <mergeCell ref="AC316:AC318"/>
    <mergeCell ref="T316:T318"/>
    <mergeCell ref="U316:U318"/>
    <mergeCell ref="V316:V318"/>
    <mergeCell ref="W316:W318"/>
    <mergeCell ref="X316:X318"/>
    <mergeCell ref="Y316:Y318"/>
    <mergeCell ref="Z316:Z318"/>
    <mergeCell ref="AA319:AA321"/>
    <mergeCell ref="AB319:AB321"/>
    <mergeCell ref="AC319:AC321"/>
    <mergeCell ref="T319:T321"/>
    <mergeCell ref="U319:U321"/>
    <mergeCell ref="V319:V321"/>
    <mergeCell ref="W319:W321"/>
    <mergeCell ref="X319:X321"/>
    <mergeCell ref="Y319:Y321"/>
    <mergeCell ref="Z319:Z321"/>
    <mergeCell ref="AA322:AA324"/>
    <mergeCell ref="AB322:AB324"/>
    <mergeCell ref="AC322:AC324"/>
    <mergeCell ref="T322:T324"/>
    <mergeCell ref="U322:U324"/>
    <mergeCell ref="V322:V324"/>
    <mergeCell ref="W322:W324"/>
    <mergeCell ref="X322:X324"/>
    <mergeCell ref="Y322:Y324"/>
    <mergeCell ref="Z322:Z324"/>
    <mergeCell ref="AA325:AA327"/>
    <mergeCell ref="AB325:AB327"/>
    <mergeCell ref="AC325:AC327"/>
    <mergeCell ref="T325:T327"/>
    <mergeCell ref="U325:U327"/>
    <mergeCell ref="V325:V327"/>
    <mergeCell ref="W325:W327"/>
    <mergeCell ref="X325:X327"/>
    <mergeCell ref="Y325:Y327"/>
    <mergeCell ref="Z325:Z327"/>
    <mergeCell ref="AA275:AA277"/>
    <mergeCell ref="AB275:AB277"/>
    <mergeCell ref="AC275:AC277"/>
    <mergeCell ref="T275:T277"/>
    <mergeCell ref="U275:U277"/>
    <mergeCell ref="V275:V277"/>
    <mergeCell ref="W275:W277"/>
    <mergeCell ref="X275:X277"/>
    <mergeCell ref="Y275:Y277"/>
    <mergeCell ref="Z275:Z277"/>
    <mergeCell ref="AA306:AA308"/>
    <mergeCell ref="AB306:AB308"/>
    <mergeCell ref="AC306:AC308"/>
    <mergeCell ref="T306:T308"/>
    <mergeCell ref="U306:U308"/>
    <mergeCell ref="V306:V308"/>
    <mergeCell ref="W306:W308"/>
    <mergeCell ref="X306:X308"/>
    <mergeCell ref="Y306:Y308"/>
    <mergeCell ref="Z306:Z308"/>
    <mergeCell ref="AA310:AA312"/>
    <mergeCell ref="AB310:AB312"/>
    <mergeCell ref="AC310:AC312"/>
    <mergeCell ref="T310:T312"/>
    <mergeCell ref="U310:U312"/>
    <mergeCell ref="V310:V312"/>
    <mergeCell ref="W310:W312"/>
    <mergeCell ref="X310:X312"/>
    <mergeCell ref="Y310:Y312"/>
    <mergeCell ref="Z310:Z312"/>
    <mergeCell ref="AA328:AA330"/>
    <mergeCell ref="AB328:AB330"/>
    <mergeCell ref="AC328:AC330"/>
    <mergeCell ref="T328:T330"/>
    <mergeCell ref="U328:U330"/>
    <mergeCell ref="V328:V330"/>
    <mergeCell ref="W328:W330"/>
    <mergeCell ref="X328:X330"/>
    <mergeCell ref="Y328:Y330"/>
    <mergeCell ref="Z328:Z330"/>
    <mergeCell ref="AA256:AA258"/>
    <mergeCell ref="AB256:AB258"/>
    <mergeCell ref="AC256:AC258"/>
    <mergeCell ref="T256:T258"/>
    <mergeCell ref="U256:U258"/>
    <mergeCell ref="V256:V258"/>
    <mergeCell ref="W256:W258"/>
    <mergeCell ref="X256:X258"/>
    <mergeCell ref="Y256:Y258"/>
    <mergeCell ref="Z256:Z258"/>
    <mergeCell ref="AA259:AA261"/>
    <mergeCell ref="AB259:AB261"/>
    <mergeCell ref="AC259:AC261"/>
    <mergeCell ref="T259:T261"/>
    <mergeCell ref="U259:U261"/>
    <mergeCell ref="V259:V261"/>
    <mergeCell ref="W259:W261"/>
    <mergeCell ref="X259:X261"/>
    <mergeCell ref="Y259:Y261"/>
    <mergeCell ref="Z259:Z261"/>
    <mergeCell ref="AA262:AA264"/>
    <mergeCell ref="AB262:AB264"/>
    <mergeCell ref="AC262:AC264"/>
    <mergeCell ref="T262:T264"/>
    <mergeCell ref="U262:U264"/>
    <mergeCell ref="V262:V264"/>
    <mergeCell ref="W262:W264"/>
    <mergeCell ref="X262:X264"/>
    <mergeCell ref="Y262:Y264"/>
    <mergeCell ref="Z262:Z264"/>
    <mergeCell ref="AA266:AA268"/>
    <mergeCell ref="AB266:AB268"/>
    <mergeCell ref="AC266:AC268"/>
    <mergeCell ref="T266:T268"/>
    <mergeCell ref="U266:U268"/>
    <mergeCell ref="V266:V268"/>
    <mergeCell ref="W266:W268"/>
    <mergeCell ref="X266:X268"/>
    <mergeCell ref="Y266:Y268"/>
    <mergeCell ref="Z266:Z268"/>
    <mergeCell ref="AA269:AA271"/>
    <mergeCell ref="AB269:AB271"/>
    <mergeCell ref="AC269:AC271"/>
    <mergeCell ref="T269:T271"/>
    <mergeCell ref="U269:U271"/>
    <mergeCell ref="V269:V271"/>
    <mergeCell ref="W269:W271"/>
    <mergeCell ref="X269:X271"/>
    <mergeCell ref="Y269:Y271"/>
    <mergeCell ref="Z269:Z271"/>
    <mergeCell ref="AA272:AA274"/>
    <mergeCell ref="AB272:AB274"/>
    <mergeCell ref="AC272:AC274"/>
    <mergeCell ref="T272:T274"/>
    <mergeCell ref="U272:U274"/>
    <mergeCell ref="V272:V274"/>
    <mergeCell ref="W272:W274"/>
    <mergeCell ref="X272:X274"/>
    <mergeCell ref="Y272:Y274"/>
    <mergeCell ref="Z272:Z274"/>
    <mergeCell ref="AA313:AA315"/>
    <mergeCell ref="AB313:AB315"/>
    <mergeCell ref="AC313:AC315"/>
    <mergeCell ref="T313:T315"/>
    <mergeCell ref="U313:U315"/>
    <mergeCell ref="V313:V315"/>
    <mergeCell ref="W313:W315"/>
    <mergeCell ref="X313:X315"/>
    <mergeCell ref="Y313:Y315"/>
    <mergeCell ref="Z313:Z315"/>
  </mergeCells>
  <conditionalFormatting sqref="P2:P22 Z2:Z331 P24:P44 P46:P66 P68:P88 P90:P110 P112:P132 P134:P154 P156:P176 P178:P198 P200:P220 P222:P242 P244:P264 P266:P286 P288:P308 P310:P330">
    <cfRule type="cellIs" dxfId="25" priority="1" operator="lessThan">
      <formula>2.499</formula>
    </cfRule>
  </conditionalFormatting>
  <conditionalFormatting sqref="P2:P22 Z2:Z331 P24:P44 P46:P66 P68:P88 P90:P110 P112:P132 P134:P154 P156:P176 P178:P198 P200:P220 P222:P242 P244:P264 P266:P286 P288:P308 P310:P330">
    <cfRule type="cellIs" dxfId="8" priority="2" operator="between">
      <formula>2.5</formula>
      <formula>2.9</formula>
    </cfRule>
  </conditionalFormatting>
  <conditionalFormatting sqref="P2:P22 Z2:Z331 P24:P44 P46:P66 P68:P88 P90:P110 P112:P132 P134:P154 P156:P176 P178:P198 P200:P220 P222:P242 P244:P264 P266:P286 P288:P308 P310:P330">
    <cfRule type="cellIs" dxfId="12" priority="3" operator="between">
      <formula>2.901</formula>
      <formula>4.1</formula>
    </cfRule>
  </conditionalFormatting>
  <conditionalFormatting sqref="P2:P22 Z2:Z331 P24:P44 P46:P66 P68:P88 P90:P110 P112:P132 P134:P154 P156:P176 P178:P198 P200:P220 P222:P242 P244:P264 P266:P286 P288:P308 P310:P330">
    <cfRule type="cellIs" dxfId="8" priority="4" operator="between">
      <formula>4.101</formula>
      <formula>4.5</formula>
    </cfRule>
  </conditionalFormatting>
  <conditionalFormatting sqref="P2:P22 Z2:Z331 P24:P44 P46:P66 P68:P88 P90:P110 P112:P132 P134:P154 P156:P176 P178:P198 P200:P220 P222:P242 P244:P264 P266:P286 P288:P308 P310:P330">
    <cfRule type="cellIs" dxfId="25" priority="5" operator="greaterThan">
      <formula>4.501</formula>
    </cfRule>
  </conditionalFormatting>
  <conditionalFormatting sqref="Q2:Q22 AA2:AA331 Q24:Q44 Q46:Q66 Q68:Q88 Q90:Q110 Q112:Q132 Q134:Q154 Q156:Q176 Q178:Q198 Q200:Q220 Q222:Q242 Q244:Q264 Q266:Q286 Q288:Q308 Q310:Q330">
    <cfRule type="cellIs" dxfId="25" priority="6" operator="lessThan">
      <formula>0.399</formula>
    </cfRule>
  </conditionalFormatting>
  <conditionalFormatting sqref="Q2:Q22 AA2:AA331 Q24:Q44 Q46:Q66 Q68:Q88 Q90:Q110 Q112:Q132 Q134:Q154 Q156:Q176 Q178:Q198 Q200:Q220 Q222:Q242 Q244:Q264 Q266:Q286 Q288:Q308 Q310:Q330">
    <cfRule type="cellIs" dxfId="8" priority="7" operator="between">
      <formula>0.4</formula>
      <formula>0.5</formula>
    </cfRule>
  </conditionalFormatting>
  <conditionalFormatting sqref="Q2:Q22 AA2:AA331 Q24:Q44 Q46:Q66 Q68:Q88 Q90:Q110 Q112:Q132 Q134:Q154 Q156:Q176 Q178:Q198 Q200:Q220 Q222:Q242 Q244:Q264 Q266:Q286 Q288:Q308 Q310:Q330">
    <cfRule type="cellIs" dxfId="9" priority="8" operator="between">
      <formula>0.501</formula>
      <formula>0.609</formula>
    </cfRule>
  </conditionalFormatting>
  <conditionalFormatting sqref="Q2:Q22 AA2:AA331 Q24:Q44 Q46:Q66 Q68:Q88 Q90:Q110 Q112:Q132 Q134:Q154 Q156:Q176 Q178:Q198 Q200:Q220 Q222:Q242 Q244:Q264 Q266:Q286 Q288:Q308 Q310:Q330">
    <cfRule type="cellIs" dxfId="12" priority="9" operator="between">
      <formula>0.61</formula>
      <formula>0.7</formula>
    </cfRule>
  </conditionalFormatting>
  <conditionalFormatting sqref="Q2:Q22 AA2:AA331 Q24:Q44 Q46:Q66 Q68:Q88 Q90:Q110 Q112:Q132 Q134:Q154 Q156:Q176 Q178:Q198 Q200:Q220 Q222:Q242 Q244:Q264 Q266:Q286 Q288:Q308 Q310:Q330">
    <cfRule type="cellIs" dxfId="22" priority="10" operator="greaterThan">
      <formula>0.701</formula>
    </cfRule>
  </conditionalFormatting>
  <conditionalFormatting sqref="R2:R22 AB2:AB331 R24:R44 R46:R66 R68:R88 R90:R110 R112:R132 R134:R154 R156:R176 R178:R198 R200:R220 R222:R242 R244:R264 R266:R286 R288:R308 R310:R330">
    <cfRule type="cellIs" dxfId="26" priority="11" operator="between">
      <formula>0.05</formula>
      <formula>0.1599</formula>
    </cfRule>
  </conditionalFormatting>
  <conditionalFormatting sqref="R2:R22 AB2:AB331 R24:R44 R46:R66 R68:R88 R90:R110 R112:R132 R134:R154 R156:R176 R178:R198 R200:R220 R222:R242 R244:R264 R266:R286 R288:R308 R310:R330">
    <cfRule type="cellIs" dxfId="27" priority="12" operator="between">
      <formula>0.16</formula>
      <formula>0.2499</formula>
    </cfRule>
  </conditionalFormatting>
  <conditionalFormatting sqref="R2:R22 AB2:AB331 R24:R44 R46:R66 R68:R88 R90:R110 R112:R132 R134:R154 R156:R176 R178:R198 R200:R220 R222:R242 R244:R264 R266:R286 R288:R308 R310:R330">
    <cfRule type="cellIs" dxfId="28" priority="13" operator="greaterThan">
      <formula>0.25</formula>
    </cfRule>
  </conditionalFormatting>
  <conditionalFormatting sqref="S2:S22 AC2:AC331 S24:S44 S46:S66 S68:S88 S90:S110 S112:S132 S134:S154 S156:S176 S178:S198 S200:S220 S222:S242 S244:S264 S266:S286 S288:S308 S310:S330">
    <cfRule type="cellIs" dxfId="29" priority="14" operator="between">
      <formula>0.64</formula>
      <formula>0.999</formula>
    </cfRule>
  </conditionalFormatting>
  <conditionalFormatting sqref="S2:S22 AC2:AC331 S24:S44 S46:S66 S68:S88 S90:S110 S112:S132 S134:S154 S156:S176 S178:S198 S200:S220 S222:S242 S244:S264 S266:S286 S288:S308 S310:S330">
    <cfRule type="cellIs" dxfId="30" priority="15" operator="between">
      <formula>1</formula>
      <formula>1.25</formula>
    </cfRule>
  </conditionalFormatting>
  <conditionalFormatting sqref="S2:S22 AC2:AC331 S24:S44 S46:S66 S68:S88 S90:S110 S112:S132 S134:S154 S156:S176 S178:S198 S200:S220 S222:S242 S244:S264 S266:S286 S288:S308 S310:S330">
    <cfRule type="cellIs" dxfId="24" priority="16" operator="greaterThan">
      <formula>1.25</formula>
    </cfRule>
  </conditionalFormatting>
  <conditionalFormatting sqref="U2:U22 U24:U44 U46:U66 U68:U88 U90:U110 U112:U132 U134:U154 U156:U176 U178:U198 U200:U220 U222:U242 U244:U264 U266:U286 U288:U308 U310:U330">
    <cfRule type="cellIs" dxfId="12" priority="17" operator="greaterThanOrEqual">
      <formula>170</formula>
    </cfRule>
  </conditionalFormatting>
  <conditionalFormatting sqref="U2:U22 U24:U44 U46:U66 U68:U88 U90:U110 U112:U132 U134:U154 U156:U176 U178:U198 U200:U220 U222:U242 U244:U264 U266:U286 U288:U308 U310:U330">
    <cfRule type="cellIs" dxfId="9" priority="18" operator="between">
      <formula>155</formula>
      <formula>170</formula>
    </cfRule>
  </conditionalFormatting>
  <conditionalFormatting sqref="U2:U22 U24:U44 U46:U66 U68:U88 U90:U110 U112:U132 U134:U154 U156:U176 U178:U198 U200:U220 U222:U242 U244:U264 U266:U286 U288:U308 U310:U330">
    <cfRule type="cellIs" dxfId="8" priority="19" operator="between">
      <formula>140</formula>
      <formula>155</formula>
    </cfRule>
  </conditionalFormatting>
  <conditionalFormatting sqref="U2:U22 U24:U44 U46:U66 U68:U88 U90:U110 U112:U132 U134:U154 U156:U176 U178:U198 U200:U220 U222:U242 U244:U264 U266:U286 U288:U308 U310:U330">
    <cfRule type="cellIs" dxfId="28" priority="20" operator="between">
      <formula>125</formula>
      <formula>140</formula>
    </cfRule>
  </conditionalFormatting>
  <conditionalFormatting sqref="U2:U22 U24:U44 U46:U66 U68:U88 U90:U110 U112:U132 U134:U154 U156:U176 U178:U198 U200:U220 U222:U242 U244:U264 U266:U286 U288:U308 U310:U330">
    <cfRule type="cellIs" dxfId="24" priority="21" operator="between">
      <formula>110</formula>
      <formula>125</formula>
    </cfRule>
  </conditionalFormatting>
  <conditionalFormatting sqref="U2:U22 U24:U44 U46:U66 U68:U88 U90:U110 U112:U132 U134:U154 U156:U176 U178:U198 U200:U220 U222:U242 U244:U264 U266:U286 U288:U308 U310:U330">
    <cfRule type="cellIs" dxfId="22" priority="22" operator="lessThan">
      <formula>110</formula>
    </cfRule>
  </conditionalFormatting>
  <conditionalFormatting sqref="W2:W22 W24:W44 W46:W66 W68:W88 W90:W110 W112:W132 W134:W154 W156:W176 W178:W198 W200:W220 W222:W242 W244:W264 W266:W286 W288:W308 W310:W330">
    <cfRule type="cellIs" dxfId="12" priority="23" operator="greaterThan">
      <formula>6</formula>
    </cfRule>
  </conditionalFormatting>
  <conditionalFormatting sqref="W2:W22 W24:W44 W46:W66 W68:W88 W90:W110 W112:W132 W134:W154 W156:W176 W178:W198 W200:W220 W222:W242 W244:W264 W266:W286 W288:W308 W310:W330">
    <cfRule type="cellIs" dxfId="9" priority="24" operator="between">
      <formula>5.47</formula>
      <formula>6</formula>
    </cfRule>
  </conditionalFormatting>
  <conditionalFormatting sqref="W2:W22 W24:W44 W46:W66 W68:W88 W90:W110 W112:W132 W134:W154 W156:W176 W178:W198 W200:W220 W222:W242 W244:W264 W266:W286 W288:W308 W310:W330">
    <cfRule type="cellIs" dxfId="8" priority="25" operator="between">
      <formula>4.94</formula>
      <formula>5.47</formula>
    </cfRule>
  </conditionalFormatting>
  <conditionalFormatting sqref="W2:W22 W24:W44 W46:W66 W68:W88 W90:W110 W112:W132 W134:W154 W156:W176 W178:W198 W200:W220 W222:W242 W244:W264 W266:W286 W288:W308 W310:W330">
    <cfRule type="cellIs" dxfId="28" priority="26" operator="between">
      <formula>4.41</formula>
      <formula>4.94</formula>
    </cfRule>
  </conditionalFormatting>
  <conditionalFormatting sqref="W2:W22 W24:W44 W46:W66 W68:W88 W90:W110 W112:W132 W134:W154 W156:W176 W178:W198 W200:W220 W222:W242 W244:W264 W266:W286 W288:W308 W310:W330">
    <cfRule type="cellIs" dxfId="24" priority="27" operator="between">
      <formula>3.88</formula>
      <formula>4.41</formula>
    </cfRule>
  </conditionalFormatting>
  <conditionalFormatting sqref="W2:W22 W24:W44 W46:W66 W68:W88 W90:W110 W112:W132 W134:W154 W156:W176 W178:W198 W200:W220 W222:W242 W244:W264 W266:W286 W288:W308 W310:W330">
    <cfRule type="cellIs" dxfId="22" priority="28" operator="lessThan">
      <formula>3.88</formula>
    </cfRule>
  </conditionalFormatting>
  <dataValidations>
    <dataValidation type="list" allowBlank="1" sqref="C2:C22 C24:C44 C46:C66 C68:C88 C90:C110 C112:C132 C134:C154 C156:C176 C178:C198 C200:C220 C222:C242 C244:C264 C266:C286 C288:C308 C310:C330">
      <formula1>'Hiker Food'!$C$2:$C$2000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1.86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25.14"/>
    <col customWidth="1" hidden="1" min="2" max="2" width="41.14"/>
    <col customWidth="1" min="3" max="3" width="52.0"/>
    <col customWidth="1" min="4" max="4" width="11.29"/>
    <col customWidth="1" min="5" max="5" width="7.43"/>
    <col customWidth="1" min="6" max="6" width="6.43"/>
    <col customWidth="1" min="7" max="9" width="8.29"/>
    <col customWidth="1" min="10" max="12" width="5.14"/>
    <col customWidth="1" min="13" max="17" width="7.43"/>
    <col customWidth="1" min="18" max="18" width="8.57"/>
    <col customWidth="1" min="19" max="19" width="7.43"/>
    <col customWidth="1" min="20" max="20" width="8.57"/>
    <col customWidth="1" min="21" max="24" width="9.14"/>
    <col customWidth="1" min="25" max="25" width="8.71"/>
    <col customWidth="1" min="26" max="29" width="9.14"/>
    <col customWidth="1" min="30" max="30" width="9.0"/>
  </cols>
  <sheetData>
    <row r="1" ht="15.75" customHeight="1">
      <c r="A1" s="4" t="s">
        <v>3</v>
      </c>
      <c r="B1" s="4" t="s">
        <v>4</v>
      </c>
      <c r="C1" s="5" t="s">
        <v>5</v>
      </c>
      <c r="D1" s="6" t="s">
        <v>6</v>
      </c>
      <c r="E1" s="8" t="s">
        <v>7</v>
      </c>
      <c r="F1" s="8" t="s">
        <v>8</v>
      </c>
      <c r="G1" s="6" t="s">
        <v>9</v>
      </c>
      <c r="H1" s="6" t="s">
        <v>10</v>
      </c>
      <c r="I1" s="10" t="s">
        <v>11</v>
      </c>
      <c r="J1" s="6" t="s">
        <v>12</v>
      </c>
      <c r="K1" s="6" t="s">
        <v>13</v>
      </c>
      <c r="L1" s="6" t="s">
        <v>14</v>
      </c>
      <c r="M1" s="11" t="s">
        <v>15</v>
      </c>
      <c r="N1" s="11" t="s">
        <v>16</v>
      </c>
      <c r="O1" s="11" t="s">
        <v>17</v>
      </c>
      <c r="P1" s="11" t="s">
        <v>19</v>
      </c>
      <c r="Q1" s="6" t="s">
        <v>20</v>
      </c>
      <c r="R1" s="6" t="s">
        <v>21</v>
      </c>
      <c r="S1" s="13" t="s">
        <v>22</v>
      </c>
      <c r="T1" s="6" t="s">
        <v>24</v>
      </c>
      <c r="U1" s="6" t="s">
        <v>25</v>
      </c>
      <c r="V1" s="6" t="s">
        <v>26</v>
      </c>
      <c r="W1" s="6" t="s">
        <v>27</v>
      </c>
      <c r="X1" s="6" t="s">
        <v>28</v>
      </c>
      <c r="Y1" s="14"/>
      <c r="Z1" s="15"/>
      <c r="AA1" s="15"/>
      <c r="AB1" s="15"/>
      <c r="AC1" s="15"/>
      <c r="AD1" s="14"/>
    </row>
    <row r="2">
      <c r="A2" s="16" t="s">
        <v>29</v>
      </c>
      <c r="B2" s="16" t="s">
        <v>30</v>
      </c>
      <c r="C2" s="16" t="s">
        <v>32</v>
      </c>
      <c r="D2" s="17" t="s">
        <v>33</v>
      </c>
      <c r="E2" s="18" t="s">
        <v>34</v>
      </c>
      <c r="F2" s="18">
        <v>1.0</v>
      </c>
      <c r="G2" s="19">
        <f t="shared" ref="G2:G781" si="1">H2/28.3495</f>
        <v>0.1763699536</v>
      </c>
      <c r="H2" s="17">
        <v>5.0</v>
      </c>
      <c r="I2" s="10">
        <v>45.0</v>
      </c>
      <c r="J2" s="17">
        <v>5.0</v>
      </c>
      <c r="K2" s="17">
        <v>0.0</v>
      </c>
      <c r="L2" s="17"/>
      <c r="M2" s="20">
        <v>0.0</v>
      </c>
      <c r="N2" s="20">
        <v>0.0</v>
      </c>
      <c r="O2" s="20">
        <v>0.0</v>
      </c>
      <c r="P2" s="20">
        <f t="shared" ref="P2:P1654" si="2">M2-N2-O2</f>
        <v>0</v>
      </c>
      <c r="Q2" s="21">
        <v>0.0</v>
      </c>
      <c r="R2" s="22">
        <f t="shared" ref="R2:R1654" si="3">I2/G2</f>
        <v>255.1455</v>
      </c>
      <c r="S2" s="23">
        <f t="shared" ref="S2:S1654" si="4">I2/H2</f>
        <v>9</v>
      </c>
      <c r="T2" s="24" t="str">
        <f t="shared" ref="T2:T1654" si="5">if(Q2=0,"N/A",M2/Q2)</f>
        <v>N/A</v>
      </c>
      <c r="U2" s="26">
        <f t="shared" ref="U2:U1654" si="6">if(J2=0,"0%",if(M2+O2+Q2=0,J2/J2,(J2*9)/((J2*9)+(M2*4)+(Q2*4))))</f>
        <v>1</v>
      </c>
      <c r="V2" s="26" t="str">
        <f t="shared" ref="V2:V1654" si="7">if(O2=0,"0%",if(J2+M2+Q2=0,O2/O2,(O2*4)/((J2*9)+(M2*4)+(Q2*4))))</f>
        <v>0%</v>
      </c>
      <c r="W2" s="19">
        <f t="shared" ref="W2:W1654" si="8">if(I2=0,"N/A",K2/I2)</f>
        <v>0</v>
      </c>
      <c r="X2" s="20">
        <f t="shared" ref="X2:X1353" si="9">F2*I2</f>
        <v>45</v>
      </c>
      <c r="Y2" s="27"/>
      <c r="Z2" s="17"/>
      <c r="AA2" s="28"/>
      <c r="AB2" s="17"/>
      <c r="AC2" s="28"/>
      <c r="AD2" s="27"/>
    </row>
    <row r="3">
      <c r="A3" s="16" t="s">
        <v>64</v>
      </c>
      <c r="B3" s="16" t="s">
        <v>65</v>
      </c>
      <c r="C3" s="16" t="s">
        <v>66</v>
      </c>
      <c r="D3" s="17" t="s">
        <v>33</v>
      </c>
      <c r="E3" s="18" t="s">
        <v>34</v>
      </c>
      <c r="F3" s="18">
        <v>1.0</v>
      </c>
      <c r="G3" s="19">
        <f t="shared" si="1"/>
        <v>0.4938358701</v>
      </c>
      <c r="H3" s="17">
        <v>14.0</v>
      </c>
      <c r="I3" s="10">
        <v>125.0</v>
      </c>
      <c r="J3" s="17">
        <v>14.0</v>
      </c>
      <c r="K3" s="17">
        <v>0.0</v>
      </c>
      <c r="L3" s="17"/>
      <c r="M3" s="20">
        <v>0.0</v>
      </c>
      <c r="N3" s="20">
        <v>0.0</v>
      </c>
      <c r="O3" s="20">
        <v>0.0</v>
      </c>
      <c r="P3" s="20">
        <f t="shared" si="2"/>
        <v>0</v>
      </c>
      <c r="Q3" s="21">
        <v>0.0</v>
      </c>
      <c r="R3" s="22">
        <f t="shared" si="3"/>
        <v>253.1205357</v>
      </c>
      <c r="S3" s="23">
        <f t="shared" si="4"/>
        <v>8.928571429</v>
      </c>
      <c r="T3" s="24" t="str">
        <f t="shared" si="5"/>
        <v>N/A</v>
      </c>
      <c r="U3" s="26">
        <f t="shared" si="6"/>
        <v>1</v>
      </c>
      <c r="V3" s="26" t="str">
        <f t="shared" si="7"/>
        <v>0%</v>
      </c>
      <c r="W3" s="19">
        <f t="shared" si="8"/>
        <v>0</v>
      </c>
      <c r="X3" s="20">
        <f t="shared" si="9"/>
        <v>125</v>
      </c>
      <c r="Y3" s="27"/>
      <c r="Z3" s="17"/>
      <c r="AA3" s="28"/>
      <c r="AB3" s="17"/>
      <c r="AC3" s="28"/>
      <c r="AD3" s="27"/>
    </row>
    <row r="4">
      <c r="A4" s="27" t="s">
        <v>71</v>
      </c>
      <c r="B4" s="27" t="s">
        <v>72</v>
      </c>
      <c r="C4" s="16" t="s">
        <v>73</v>
      </c>
      <c r="D4" s="17" t="s">
        <v>33</v>
      </c>
      <c r="E4" s="18" t="s">
        <v>34</v>
      </c>
      <c r="F4" s="18">
        <v>1.0</v>
      </c>
      <c r="G4" s="19">
        <f t="shared" si="1"/>
        <v>0.2116439443</v>
      </c>
      <c r="H4" s="17">
        <v>6.0</v>
      </c>
      <c r="I4" s="10">
        <v>45.0</v>
      </c>
      <c r="J4" s="17">
        <v>4.0</v>
      </c>
      <c r="K4" s="17">
        <v>45.0</v>
      </c>
      <c r="L4" s="17"/>
      <c r="M4" s="20">
        <v>1.0</v>
      </c>
      <c r="N4" s="20">
        <v>0.0</v>
      </c>
      <c r="O4" s="20">
        <v>1.0</v>
      </c>
      <c r="P4" s="20">
        <f t="shared" si="2"/>
        <v>0</v>
      </c>
      <c r="Q4" s="21">
        <v>1.0</v>
      </c>
      <c r="R4" s="22">
        <f t="shared" si="3"/>
        <v>212.62125</v>
      </c>
      <c r="S4" s="23">
        <f t="shared" si="4"/>
        <v>7.5</v>
      </c>
      <c r="T4" s="24">
        <f t="shared" si="5"/>
        <v>1</v>
      </c>
      <c r="U4" s="26">
        <f t="shared" si="6"/>
        <v>0.8181818182</v>
      </c>
      <c r="V4" s="26">
        <f t="shared" si="7"/>
        <v>0.09090909091</v>
      </c>
      <c r="W4" s="19">
        <f t="shared" si="8"/>
        <v>1</v>
      </c>
      <c r="X4" s="20">
        <f t="shared" si="9"/>
        <v>45</v>
      </c>
      <c r="Y4" s="27"/>
      <c r="Z4" s="17"/>
      <c r="AA4" s="28"/>
      <c r="AB4" s="17"/>
      <c r="AC4" s="28"/>
      <c r="AD4" s="27"/>
    </row>
    <row r="5">
      <c r="A5" s="27" t="s">
        <v>77</v>
      </c>
      <c r="B5" s="27" t="s">
        <v>78</v>
      </c>
      <c r="C5" s="16" t="s">
        <v>80</v>
      </c>
      <c r="D5" s="17" t="s">
        <v>81</v>
      </c>
      <c r="E5" s="18" t="s">
        <v>34</v>
      </c>
      <c r="F5" s="18">
        <v>1.0</v>
      </c>
      <c r="G5" s="19">
        <f t="shared" si="1"/>
        <v>0.5291098608</v>
      </c>
      <c r="H5" s="17">
        <v>15.0</v>
      </c>
      <c r="I5" s="10">
        <v>110.0</v>
      </c>
      <c r="J5" s="17">
        <v>10.0</v>
      </c>
      <c r="K5" s="17">
        <v>5.0</v>
      </c>
      <c r="L5" s="17"/>
      <c r="M5" s="20">
        <v>4.0</v>
      </c>
      <c r="N5" s="20">
        <v>2.0</v>
      </c>
      <c r="O5" s="20">
        <v>1.0</v>
      </c>
      <c r="P5" s="20">
        <f t="shared" si="2"/>
        <v>1</v>
      </c>
      <c r="Q5" s="21">
        <v>1.0</v>
      </c>
      <c r="R5" s="22">
        <f t="shared" si="3"/>
        <v>207.8963333</v>
      </c>
      <c r="S5" s="23">
        <f t="shared" si="4"/>
        <v>7.333333333</v>
      </c>
      <c r="T5" s="24">
        <f t="shared" si="5"/>
        <v>4</v>
      </c>
      <c r="U5" s="26">
        <f t="shared" si="6"/>
        <v>0.8181818182</v>
      </c>
      <c r="V5" s="26">
        <f t="shared" si="7"/>
        <v>0.03636363636</v>
      </c>
      <c r="W5" s="19">
        <f t="shared" si="8"/>
        <v>0.04545454545</v>
      </c>
      <c r="X5" s="20">
        <f t="shared" si="9"/>
        <v>110</v>
      </c>
      <c r="Y5" s="27"/>
      <c r="Z5" s="17"/>
      <c r="AA5" s="28"/>
      <c r="AB5" s="17"/>
      <c r="AC5" s="28"/>
      <c r="AD5" s="16"/>
    </row>
    <row r="6">
      <c r="A6" s="16" t="s">
        <v>88</v>
      </c>
      <c r="B6" s="16" t="s">
        <v>89</v>
      </c>
      <c r="C6" s="16" t="s">
        <v>90</v>
      </c>
      <c r="D6" s="17" t="s">
        <v>33</v>
      </c>
      <c r="E6" s="18" t="s">
        <v>34</v>
      </c>
      <c r="F6" s="18">
        <v>1.0</v>
      </c>
      <c r="G6" s="19">
        <f t="shared" si="1"/>
        <v>0.437397485</v>
      </c>
      <c r="H6" s="17">
        <v>12.4</v>
      </c>
      <c r="I6" s="10">
        <v>90.0</v>
      </c>
      <c r="J6" s="17">
        <v>10.0</v>
      </c>
      <c r="K6" s="17">
        <v>65.0</v>
      </c>
      <c r="L6" s="17"/>
      <c r="M6" s="20">
        <v>0.0</v>
      </c>
      <c r="N6" s="20">
        <v>0.0</v>
      </c>
      <c r="O6" s="20">
        <v>0.0</v>
      </c>
      <c r="P6" s="20">
        <f t="shared" si="2"/>
        <v>0</v>
      </c>
      <c r="Q6" s="21">
        <v>0.0</v>
      </c>
      <c r="R6" s="22">
        <f t="shared" si="3"/>
        <v>205.7625</v>
      </c>
      <c r="S6" s="23">
        <f t="shared" si="4"/>
        <v>7.258064516</v>
      </c>
      <c r="T6" s="24" t="str">
        <f t="shared" si="5"/>
        <v>N/A</v>
      </c>
      <c r="U6" s="26">
        <f t="shared" si="6"/>
        <v>1</v>
      </c>
      <c r="V6" s="26" t="str">
        <f t="shared" si="7"/>
        <v>0%</v>
      </c>
      <c r="W6" s="19">
        <f t="shared" si="8"/>
        <v>0.7222222222</v>
      </c>
      <c r="X6" s="20">
        <f t="shared" si="9"/>
        <v>90</v>
      </c>
      <c r="Y6" s="27"/>
      <c r="Z6" s="17"/>
      <c r="AA6" s="28"/>
      <c r="AB6" s="17"/>
      <c r="AC6" s="28"/>
      <c r="AD6" s="27"/>
    </row>
    <row r="7">
      <c r="A7" s="27" t="s">
        <v>93</v>
      </c>
      <c r="B7" s="27" t="s">
        <v>94</v>
      </c>
      <c r="C7" s="16" t="s">
        <v>95</v>
      </c>
      <c r="D7" s="17" t="s">
        <v>96</v>
      </c>
      <c r="E7" s="18" t="s">
        <v>34</v>
      </c>
      <c r="F7" s="18">
        <v>1.0</v>
      </c>
      <c r="G7" s="19">
        <f t="shared" si="1"/>
        <v>0.9876717402</v>
      </c>
      <c r="H7" s="17">
        <v>28.0</v>
      </c>
      <c r="I7" s="10">
        <v>200.0</v>
      </c>
      <c r="J7" s="17">
        <v>21.0</v>
      </c>
      <c r="K7" s="17">
        <v>85.0</v>
      </c>
      <c r="L7" s="17"/>
      <c r="M7" s="20">
        <v>4.0</v>
      </c>
      <c r="N7" s="20">
        <v>2.0</v>
      </c>
      <c r="O7" s="20">
        <v>1.0</v>
      </c>
      <c r="P7" s="20">
        <f t="shared" si="2"/>
        <v>1</v>
      </c>
      <c r="Q7" s="21">
        <v>2.0</v>
      </c>
      <c r="R7" s="22">
        <f t="shared" si="3"/>
        <v>202.4964286</v>
      </c>
      <c r="S7" s="23">
        <f t="shared" si="4"/>
        <v>7.142857143</v>
      </c>
      <c r="T7" s="24">
        <f t="shared" si="5"/>
        <v>2</v>
      </c>
      <c r="U7" s="26">
        <f t="shared" si="6"/>
        <v>0.8873239437</v>
      </c>
      <c r="V7" s="26">
        <f t="shared" si="7"/>
        <v>0.01877934272</v>
      </c>
      <c r="W7" s="19">
        <f t="shared" si="8"/>
        <v>0.425</v>
      </c>
      <c r="X7" s="20">
        <f t="shared" si="9"/>
        <v>200</v>
      </c>
      <c r="Y7" s="27"/>
      <c r="Z7" s="17"/>
      <c r="AA7" s="28"/>
      <c r="AB7" s="17"/>
      <c r="AC7" s="28"/>
      <c r="AD7" s="27"/>
    </row>
    <row r="8">
      <c r="A8" s="27" t="s">
        <v>77</v>
      </c>
      <c r="B8" s="27" t="s">
        <v>97</v>
      </c>
      <c r="C8" s="16" t="s">
        <v>98</v>
      </c>
      <c r="D8" s="17" t="s">
        <v>99</v>
      </c>
      <c r="E8" s="18" t="s">
        <v>34</v>
      </c>
      <c r="F8" s="18">
        <v>1.0</v>
      </c>
      <c r="G8" s="19">
        <f t="shared" si="1"/>
        <v>0.07054798145</v>
      </c>
      <c r="H8" s="17">
        <v>2.0</v>
      </c>
      <c r="I8" s="10">
        <v>14.0</v>
      </c>
      <c r="J8" s="17">
        <v>1.3</v>
      </c>
      <c r="K8" s="17">
        <v>0.0</v>
      </c>
      <c r="L8" s="17">
        <v>19.0</v>
      </c>
      <c r="M8" s="20">
        <v>0.6</v>
      </c>
      <c r="N8" s="20">
        <v>0.0</v>
      </c>
      <c r="O8" s="20">
        <v>0.3</v>
      </c>
      <c r="P8" s="20">
        <f t="shared" si="2"/>
        <v>0.3</v>
      </c>
      <c r="Q8" s="21">
        <v>0.0</v>
      </c>
      <c r="R8" s="22">
        <f t="shared" si="3"/>
        <v>198.4465</v>
      </c>
      <c r="S8" s="23">
        <f t="shared" si="4"/>
        <v>7</v>
      </c>
      <c r="T8" s="24" t="str">
        <f t="shared" si="5"/>
        <v>N/A</v>
      </c>
      <c r="U8" s="26">
        <f t="shared" si="6"/>
        <v>0.829787234</v>
      </c>
      <c r="V8" s="26">
        <f t="shared" si="7"/>
        <v>0.08510638298</v>
      </c>
      <c r="W8" s="19">
        <f t="shared" si="8"/>
        <v>0</v>
      </c>
      <c r="X8" s="20">
        <f t="shared" si="9"/>
        <v>14</v>
      </c>
      <c r="Y8" s="27"/>
      <c r="Z8" s="17"/>
      <c r="AA8" s="28"/>
      <c r="AB8" s="17"/>
      <c r="AC8" s="28"/>
      <c r="AD8" s="16"/>
    </row>
    <row r="9">
      <c r="A9" s="16" t="s">
        <v>100</v>
      </c>
      <c r="B9" s="16" t="s">
        <v>101</v>
      </c>
      <c r="C9" s="16" t="s">
        <v>102</v>
      </c>
      <c r="D9" s="17" t="s">
        <v>103</v>
      </c>
      <c r="E9" s="18" t="s">
        <v>34</v>
      </c>
      <c r="F9" s="18">
        <v>1.0</v>
      </c>
      <c r="G9" s="19">
        <f t="shared" si="1"/>
        <v>1.128767703</v>
      </c>
      <c r="H9" s="17">
        <v>32.0</v>
      </c>
      <c r="I9" s="10">
        <v>220.0</v>
      </c>
      <c r="J9" s="17">
        <v>19.0</v>
      </c>
      <c r="K9" s="17">
        <v>10.0</v>
      </c>
      <c r="L9" s="17">
        <v>190.0</v>
      </c>
      <c r="M9" s="20">
        <v>5.0</v>
      </c>
      <c r="N9" s="20">
        <v>3.0</v>
      </c>
      <c r="O9" s="20">
        <v>1.0</v>
      </c>
      <c r="P9" s="20">
        <f t="shared" si="2"/>
        <v>1</v>
      </c>
      <c r="Q9" s="21">
        <v>6.0</v>
      </c>
      <c r="R9" s="22">
        <f t="shared" si="3"/>
        <v>194.9028125</v>
      </c>
      <c r="S9" s="23">
        <f t="shared" si="4"/>
        <v>6.875</v>
      </c>
      <c r="T9" s="24">
        <f t="shared" si="5"/>
        <v>0.8333333333</v>
      </c>
      <c r="U9" s="26">
        <f t="shared" si="6"/>
        <v>0.7953488372</v>
      </c>
      <c r="V9" s="26">
        <f t="shared" si="7"/>
        <v>0.01860465116</v>
      </c>
      <c r="W9" s="19">
        <f t="shared" si="8"/>
        <v>0.04545454545</v>
      </c>
      <c r="X9" s="20">
        <f t="shared" si="9"/>
        <v>220</v>
      </c>
      <c r="Y9" s="27"/>
      <c r="Z9" s="17"/>
      <c r="AA9" s="28"/>
      <c r="AB9" s="17"/>
      <c r="AC9" s="28"/>
      <c r="AD9" s="27"/>
    </row>
    <row r="10">
      <c r="A10" s="27" t="s">
        <v>104</v>
      </c>
      <c r="B10" s="27" t="s">
        <v>105</v>
      </c>
      <c r="C10" s="16" t="s">
        <v>106</v>
      </c>
      <c r="D10" s="17" t="s">
        <v>96</v>
      </c>
      <c r="E10" s="18" t="s">
        <v>34</v>
      </c>
      <c r="F10" s="18">
        <v>1.0</v>
      </c>
      <c r="G10" s="19">
        <f t="shared" si="1"/>
        <v>0.9876717402</v>
      </c>
      <c r="H10" s="17">
        <v>28.0</v>
      </c>
      <c r="I10" s="10">
        <v>190.0</v>
      </c>
      <c r="J10" s="17">
        <v>21.0</v>
      </c>
      <c r="K10" s="17">
        <v>95.0</v>
      </c>
      <c r="L10" s="17"/>
      <c r="M10" s="20">
        <v>4.0</v>
      </c>
      <c r="N10" s="20">
        <v>2.0</v>
      </c>
      <c r="O10" s="20">
        <v>1.0</v>
      </c>
      <c r="P10" s="20">
        <f t="shared" si="2"/>
        <v>1</v>
      </c>
      <c r="Q10" s="21">
        <v>2.0</v>
      </c>
      <c r="R10" s="22">
        <f t="shared" si="3"/>
        <v>192.3716071</v>
      </c>
      <c r="S10" s="23">
        <f t="shared" si="4"/>
        <v>6.785714286</v>
      </c>
      <c r="T10" s="24">
        <f t="shared" si="5"/>
        <v>2</v>
      </c>
      <c r="U10" s="26">
        <f t="shared" si="6"/>
        <v>0.8873239437</v>
      </c>
      <c r="V10" s="26">
        <f t="shared" si="7"/>
        <v>0.01877934272</v>
      </c>
      <c r="W10" s="19">
        <f t="shared" si="8"/>
        <v>0.5</v>
      </c>
      <c r="X10" s="20">
        <f t="shared" si="9"/>
        <v>190</v>
      </c>
      <c r="Y10" s="27"/>
      <c r="Z10" s="17"/>
      <c r="AA10" s="28"/>
      <c r="AB10" s="17"/>
      <c r="AC10" s="28"/>
      <c r="AD10" s="27"/>
    </row>
    <row r="11">
      <c r="A11" s="27" t="s">
        <v>104</v>
      </c>
      <c r="B11" s="27" t="s">
        <v>107</v>
      </c>
      <c r="C11" s="16" t="s">
        <v>108</v>
      </c>
      <c r="D11" s="17" t="s">
        <v>96</v>
      </c>
      <c r="E11" s="18" t="s">
        <v>34</v>
      </c>
      <c r="F11" s="18">
        <v>1.0</v>
      </c>
      <c r="G11" s="19">
        <f t="shared" si="1"/>
        <v>0.9876717402</v>
      </c>
      <c r="H11" s="17">
        <v>28.0</v>
      </c>
      <c r="I11" s="10">
        <v>190.0</v>
      </c>
      <c r="J11" s="17">
        <v>20.0</v>
      </c>
      <c r="K11" s="17">
        <v>0.0</v>
      </c>
      <c r="L11" s="17"/>
      <c r="M11" s="20">
        <v>4.0</v>
      </c>
      <c r="N11" s="20">
        <v>3.0</v>
      </c>
      <c r="O11" s="20">
        <v>1.0</v>
      </c>
      <c r="P11" s="20">
        <f t="shared" si="2"/>
        <v>0</v>
      </c>
      <c r="Q11" s="21">
        <v>3.0</v>
      </c>
      <c r="R11" s="22">
        <f t="shared" si="3"/>
        <v>192.3716071</v>
      </c>
      <c r="S11" s="23">
        <f t="shared" si="4"/>
        <v>6.785714286</v>
      </c>
      <c r="T11" s="24">
        <f t="shared" si="5"/>
        <v>1.333333333</v>
      </c>
      <c r="U11" s="26">
        <f t="shared" si="6"/>
        <v>0.8653846154</v>
      </c>
      <c r="V11" s="26">
        <f t="shared" si="7"/>
        <v>0.01923076923</v>
      </c>
      <c r="W11" s="19">
        <f t="shared" si="8"/>
        <v>0</v>
      </c>
      <c r="X11" s="20">
        <f t="shared" si="9"/>
        <v>190</v>
      </c>
      <c r="Y11" s="27"/>
      <c r="Z11" s="17"/>
      <c r="AA11" s="28"/>
      <c r="AB11" s="17"/>
      <c r="AC11" s="28"/>
      <c r="AD11" s="16"/>
    </row>
    <row r="12">
      <c r="A12" s="27" t="s">
        <v>109</v>
      </c>
      <c r="B12" s="27" t="s">
        <v>110</v>
      </c>
      <c r="C12" s="16" t="s">
        <v>111</v>
      </c>
      <c r="D12" s="17" t="s">
        <v>96</v>
      </c>
      <c r="E12" s="18" t="s">
        <v>34</v>
      </c>
      <c r="F12" s="18">
        <v>1.0</v>
      </c>
      <c r="G12" s="19">
        <f t="shared" si="1"/>
        <v>0.9876717402</v>
      </c>
      <c r="H12" s="17">
        <v>28.0</v>
      </c>
      <c r="I12" s="10">
        <v>190.0</v>
      </c>
      <c r="J12" s="17">
        <v>19.0</v>
      </c>
      <c r="K12" s="17">
        <v>1.0</v>
      </c>
      <c r="L12" s="17"/>
      <c r="M12" s="20">
        <v>4.0</v>
      </c>
      <c r="N12" s="20">
        <v>1.0</v>
      </c>
      <c r="O12" s="20">
        <v>1.0</v>
      </c>
      <c r="P12" s="20">
        <f t="shared" si="2"/>
        <v>2</v>
      </c>
      <c r="Q12" s="21">
        <v>4.0</v>
      </c>
      <c r="R12" s="22">
        <f t="shared" si="3"/>
        <v>192.3716071</v>
      </c>
      <c r="S12" s="23">
        <f t="shared" si="4"/>
        <v>6.785714286</v>
      </c>
      <c r="T12" s="24">
        <f t="shared" si="5"/>
        <v>1</v>
      </c>
      <c r="U12" s="26">
        <f t="shared" si="6"/>
        <v>0.842364532</v>
      </c>
      <c r="V12" s="26">
        <f t="shared" si="7"/>
        <v>0.0197044335</v>
      </c>
      <c r="W12" s="19">
        <f t="shared" si="8"/>
        <v>0.005263157895</v>
      </c>
      <c r="X12" s="20">
        <f t="shared" si="9"/>
        <v>190</v>
      </c>
      <c r="Y12" s="27"/>
      <c r="Z12" s="17"/>
      <c r="AA12" s="28"/>
      <c r="AB12" s="17"/>
      <c r="AC12" s="28"/>
      <c r="AD12" s="16"/>
    </row>
    <row r="13">
      <c r="A13" s="16" t="s">
        <v>104</v>
      </c>
      <c r="B13" s="16" t="s">
        <v>112</v>
      </c>
      <c r="C13" s="16" t="s">
        <v>113</v>
      </c>
      <c r="D13" s="17" t="s">
        <v>81</v>
      </c>
      <c r="E13" s="18" t="s">
        <v>34</v>
      </c>
      <c r="F13" s="18">
        <v>1.0</v>
      </c>
      <c r="G13" s="19">
        <f t="shared" si="1"/>
        <v>0.5291098608</v>
      </c>
      <c r="H13" s="17">
        <v>15.0</v>
      </c>
      <c r="I13" s="10">
        <v>100.0</v>
      </c>
      <c r="J13" s="17">
        <v>10.0</v>
      </c>
      <c r="K13" s="17">
        <v>5.0</v>
      </c>
      <c r="L13" s="17"/>
      <c r="M13" s="20">
        <v>4.0</v>
      </c>
      <c r="N13" s="20">
        <v>1.0</v>
      </c>
      <c r="O13" s="20">
        <v>0.0</v>
      </c>
      <c r="P13" s="20">
        <f t="shared" si="2"/>
        <v>3</v>
      </c>
      <c r="Q13" s="21">
        <v>1.0</v>
      </c>
      <c r="R13" s="22">
        <f t="shared" si="3"/>
        <v>188.9966667</v>
      </c>
      <c r="S13" s="23">
        <f t="shared" si="4"/>
        <v>6.666666667</v>
      </c>
      <c r="T13" s="24">
        <f t="shared" si="5"/>
        <v>4</v>
      </c>
      <c r="U13" s="26">
        <f t="shared" si="6"/>
        <v>0.8181818182</v>
      </c>
      <c r="V13" s="26" t="str">
        <f t="shared" si="7"/>
        <v>0%</v>
      </c>
      <c r="W13" s="19">
        <f t="shared" si="8"/>
        <v>0.05</v>
      </c>
      <c r="X13" s="20">
        <f t="shared" si="9"/>
        <v>100</v>
      </c>
      <c r="Y13" s="27"/>
      <c r="Z13" s="17"/>
      <c r="AA13" s="28"/>
      <c r="AB13" s="17"/>
      <c r="AC13" s="28"/>
      <c r="AD13" s="27"/>
    </row>
    <row r="14">
      <c r="A14" s="16" t="s">
        <v>71</v>
      </c>
      <c r="B14" s="16" t="s">
        <v>114</v>
      </c>
      <c r="C14" s="16" t="s">
        <v>115</v>
      </c>
      <c r="D14" s="17" t="s">
        <v>33</v>
      </c>
      <c r="E14" s="18" t="s">
        <v>34</v>
      </c>
      <c r="F14" s="18">
        <v>1.0</v>
      </c>
      <c r="G14" s="19">
        <f t="shared" si="1"/>
        <v>0.2116439443</v>
      </c>
      <c r="H14" s="17">
        <v>6.0</v>
      </c>
      <c r="I14" s="10">
        <v>40.0</v>
      </c>
      <c r="J14" s="17">
        <v>4.0</v>
      </c>
      <c r="K14" s="17">
        <v>55.0</v>
      </c>
      <c r="L14" s="17"/>
      <c r="M14" s="20">
        <v>1.0</v>
      </c>
      <c r="N14" s="20">
        <v>0.0</v>
      </c>
      <c r="O14" s="20">
        <v>1.0</v>
      </c>
      <c r="P14" s="20">
        <f t="shared" si="2"/>
        <v>0</v>
      </c>
      <c r="Q14" s="21">
        <v>1.0</v>
      </c>
      <c r="R14" s="22">
        <f t="shared" si="3"/>
        <v>188.9966667</v>
      </c>
      <c r="S14" s="23">
        <f t="shared" si="4"/>
        <v>6.666666667</v>
      </c>
      <c r="T14" s="24">
        <f t="shared" si="5"/>
        <v>1</v>
      </c>
      <c r="U14" s="26">
        <f t="shared" si="6"/>
        <v>0.8181818182</v>
      </c>
      <c r="V14" s="26">
        <f t="shared" si="7"/>
        <v>0.09090909091</v>
      </c>
      <c r="W14" s="19">
        <f t="shared" si="8"/>
        <v>1.375</v>
      </c>
      <c r="X14" s="20">
        <f t="shared" si="9"/>
        <v>40</v>
      </c>
      <c r="Y14" s="27"/>
      <c r="Z14" s="17"/>
      <c r="AA14" s="28"/>
      <c r="AB14" s="17"/>
      <c r="AC14" s="28"/>
      <c r="AD14" s="27"/>
    </row>
    <row r="15">
      <c r="A15" s="27" t="s">
        <v>116</v>
      </c>
      <c r="B15" s="27" t="s">
        <v>117</v>
      </c>
      <c r="C15" s="16" t="s">
        <v>118</v>
      </c>
      <c r="D15" s="17" t="s">
        <v>119</v>
      </c>
      <c r="E15" s="18" t="s">
        <v>34</v>
      </c>
      <c r="F15" s="18">
        <v>1.0</v>
      </c>
      <c r="G15" s="19">
        <f t="shared" si="1"/>
        <v>0.3739043017</v>
      </c>
      <c r="H15" s="17">
        <v>10.6</v>
      </c>
      <c r="I15" s="10">
        <v>70.0</v>
      </c>
      <c r="J15" s="17">
        <v>5.0</v>
      </c>
      <c r="K15" s="17">
        <v>50.0</v>
      </c>
      <c r="L15" s="17">
        <v>50.0</v>
      </c>
      <c r="M15" s="20">
        <v>0.0</v>
      </c>
      <c r="N15" s="20">
        <v>0.0</v>
      </c>
      <c r="O15" s="20">
        <v>0.0</v>
      </c>
      <c r="P15" s="20">
        <f t="shared" si="2"/>
        <v>0</v>
      </c>
      <c r="Q15" s="21">
        <v>5.0</v>
      </c>
      <c r="R15" s="22">
        <f t="shared" si="3"/>
        <v>187.2136792</v>
      </c>
      <c r="S15" s="23">
        <f t="shared" si="4"/>
        <v>6.603773585</v>
      </c>
      <c r="T15" s="24">
        <f t="shared" si="5"/>
        <v>0</v>
      </c>
      <c r="U15" s="26">
        <f t="shared" si="6"/>
        <v>0.6923076923</v>
      </c>
      <c r="V15" s="26" t="str">
        <f t="shared" si="7"/>
        <v>0%</v>
      </c>
      <c r="W15" s="19">
        <f t="shared" si="8"/>
        <v>0.7142857143</v>
      </c>
      <c r="X15" s="20">
        <f t="shared" si="9"/>
        <v>70</v>
      </c>
      <c r="Y15" s="27"/>
      <c r="Z15" s="17"/>
      <c r="AA15" s="28"/>
      <c r="AB15" s="17"/>
      <c r="AC15" s="28"/>
      <c r="AD15" s="27"/>
    </row>
    <row r="16">
      <c r="A16" s="27" t="s">
        <v>100</v>
      </c>
      <c r="B16" s="27" t="s">
        <v>120</v>
      </c>
      <c r="C16" s="16" t="s">
        <v>121</v>
      </c>
      <c r="D16" s="17" t="s">
        <v>103</v>
      </c>
      <c r="E16" s="18" t="s">
        <v>34</v>
      </c>
      <c r="F16" s="18">
        <v>1.0</v>
      </c>
      <c r="G16" s="19">
        <f t="shared" si="1"/>
        <v>1.128767703</v>
      </c>
      <c r="H16" s="17">
        <v>32.0</v>
      </c>
      <c r="I16" s="10">
        <v>210.0</v>
      </c>
      <c r="J16" s="17">
        <v>17.0</v>
      </c>
      <c r="K16" s="17">
        <v>35.0</v>
      </c>
      <c r="L16" s="17">
        <v>90.0</v>
      </c>
      <c r="M16" s="20">
        <v>9.0</v>
      </c>
      <c r="N16" s="20">
        <v>1.0</v>
      </c>
      <c r="O16" s="20">
        <v>2.0</v>
      </c>
      <c r="P16" s="20">
        <f t="shared" si="2"/>
        <v>6</v>
      </c>
      <c r="Q16" s="21">
        <v>5.0</v>
      </c>
      <c r="R16" s="22">
        <f t="shared" si="3"/>
        <v>186.0435938</v>
      </c>
      <c r="S16" s="23">
        <f t="shared" si="4"/>
        <v>6.5625</v>
      </c>
      <c r="T16" s="24">
        <f t="shared" si="5"/>
        <v>1.8</v>
      </c>
      <c r="U16" s="26">
        <f t="shared" si="6"/>
        <v>0.7320574163</v>
      </c>
      <c r="V16" s="26">
        <f t="shared" si="7"/>
        <v>0.03827751196</v>
      </c>
      <c r="W16" s="19">
        <f t="shared" si="8"/>
        <v>0.1666666667</v>
      </c>
      <c r="X16" s="20">
        <f t="shared" si="9"/>
        <v>210</v>
      </c>
      <c r="Y16" s="27"/>
      <c r="Z16" s="17"/>
      <c r="AA16" s="28"/>
      <c r="AB16" s="17"/>
      <c r="AC16" s="28"/>
      <c r="AD16" s="27"/>
    </row>
    <row r="17">
      <c r="A17" s="27" t="s">
        <v>100</v>
      </c>
      <c r="B17" s="27" t="s">
        <v>122</v>
      </c>
      <c r="C17" s="16" t="s">
        <v>123</v>
      </c>
      <c r="D17" s="17" t="s">
        <v>103</v>
      </c>
      <c r="E17" s="18" t="s">
        <v>34</v>
      </c>
      <c r="F17" s="18">
        <v>1.0</v>
      </c>
      <c r="G17" s="19">
        <f t="shared" si="1"/>
        <v>1.128767703</v>
      </c>
      <c r="H17" s="17">
        <v>32.0</v>
      </c>
      <c r="I17" s="10">
        <v>210.0</v>
      </c>
      <c r="J17" s="17">
        <v>17.0</v>
      </c>
      <c r="K17" s="17">
        <v>90.0</v>
      </c>
      <c r="L17" s="17">
        <v>90.0</v>
      </c>
      <c r="M17" s="20">
        <v>8.0</v>
      </c>
      <c r="N17" s="20">
        <v>2.0</v>
      </c>
      <c r="O17" s="20">
        <v>5.0</v>
      </c>
      <c r="P17" s="20">
        <f t="shared" si="2"/>
        <v>1</v>
      </c>
      <c r="Q17" s="21">
        <v>5.0</v>
      </c>
      <c r="R17" s="22">
        <f t="shared" si="3"/>
        <v>186.0435938</v>
      </c>
      <c r="S17" s="23">
        <f t="shared" si="4"/>
        <v>6.5625</v>
      </c>
      <c r="T17" s="24">
        <f t="shared" si="5"/>
        <v>1.6</v>
      </c>
      <c r="U17" s="26">
        <f t="shared" si="6"/>
        <v>0.7463414634</v>
      </c>
      <c r="V17" s="26">
        <f t="shared" si="7"/>
        <v>0.09756097561</v>
      </c>
      <c r="W17" s="19">
        <f t="shared" si="8"/>
        <v>0.4285714286</v>
      </c>
      <c r="X17" s="20">
        <f t="shared" si="9"/>
        <v>210</v>
      </c>
      <c r="Y17" s="27"/>
      <c r="Z17" s="17"/>
      <c r="AA17" s="28"/>
      <c r="AB17" s="17"/>
      <c r="AC17" s="28"/>
      <c r="AD17" s="16"/>
    </row>
    <row r="18" ht="15.75" customHeight="1">
      <c r="A18" s="27" t="s">
        <v>100</v>
      </c>
      <c r="B18" s="27" t="s">
        <v>124</v>
      </c>
      <c r="C18" s="16" t="s">
        <v>125</v>
      </c>
      <c r="D18" s="17" t="s">
        <v>103</v>
      </c>
      <c r="E18" s="18" t="s">
        <v>34</v>
      </c>
      <c r="F18" s="18">
        <v>1.0</v>
      </c>
      <c r="G18" s="19">
        <f t="shared" si="1"/>
        <v>1.128767703</v>
      </c>
      <c r="H18" s="17">
        <v>32.0</v>
      </c>
      <c r="I18" s="10">
        <v>210.0</v>
      </c>
      <c r="J18" s="17">
        <v>18.0</v>
      </c>
      <c r="K18" s="17">
        <v>60.0</v>
      </c>
      <c r="L18" s="17">
        <v>190.0</v>
      </c>
      <c r="M18" s="20">
        <v>7.0</v>
      </c>
      <c r="N18" s="20">
        <v>3.0</v>
      </c>
      <c r="O18" s="20">
        <v>3.0</v>
      </c>
      <c r="P18" s="20">
        <f t="shared" si="2"/>
        <v>1</v>
      </c>
      <c r="Q18" s="21">
        <v>5.0</v>
      </c>
      <c r="R18" s="22">
        <f t="shared" si="3"/>
        <v>186.0435938</v>
      </c>
      <c r="S18" s="23">
        <f t="shared" si="4"/>
        <v>6.5625</v>
      </c>
      <c r="T18" s="24">
        <f t="shared" si="5"/>
        <v>1.4</v>
      </c>
      <c r="U18" s="26">
        <f t="shared" si="6"/>
        <v>0.7714285714</v>
      </c>
      <c r="V18" s="26">
        <f t="shared" si="7"/>
        <v>0.05714285714</v>
      </c>
      <c r="W18" s="19">
        <f t="shared" si="8"/>
        <v>0.2857142857</v>
      </c>
      <c r="X18" s="20">
        <f t="shared" si="9"/>
        <v>210</v>
      </c>
      <c r="Y18" s="27"/>
      <c r="Z18" s="17"/>
      <c r="AA18" s="28"/>
      <c r="AB18" s="17"/>
      <c r="AC18" s="28"/>
      <c r="AD18" s="16"/>
    </row>
    <row r="19">
      <c r="A19" s="16" t="s">
        <v>100</v>
      </c>
      <c r="B19" s="16" t="s">
        <v>126</v>
      </c>
      <c r="C19" s="16" t="s">
        <v>48</v>
      </c>
      <c r="D19" s="17" t="s">
        <v>103</v>
      </c>
      <c r="E19" s="18" t="s">
        <v>34</v>
      </c>
      <c r="F19" s="18">
        <v>1.0</v>
      </c>
      <c r="G19" s="19">
        <f t="shared" si="1"/>
        <v>1.128767703</v>
      </c>
      <c r="H19" s="17">
        <v>32.0</v>
      </c>
      <c r="I19" s="10">
        <v>210.0</v>
      </c>
      <c r="J19" s="17">
        <v>18.0</v>
      </c>
      <c r="K19" s="17">
        <v>25.0</v>
      </c>
      <c r="L19" s="17">
        <v>90.0</v>
      </c>
      <c r="M19" s="20">
        <v>6.0</v>
      </c>
      <c r="N19" s="20">
        <v>1.0</v>
      </c>
      <c r="O19" s="20">
        <v>2.0</v>
      </c>
      <c r="P19" s="20">
        <f t="shared" si="2"/>
        <v>3</v>
      </c>
      <c r="Q19" s="21">
        <v>7.0</v>
      </c>
      <c r="R19" s="22">
        <f t="shared" si="3"/>
        <v>186.0435938</v>
      </c>
      <c r="S19" s="23">
        <f t="shared" si="4"/>
        <v>6.5625</v>
      </c>
      <c r="T19" s="24">
        <f t="shared" si="5"/>
        <v>0.8571428571</v>
      </c>
      <c r="U19" s="26">
        <f t="shared" si="6"/>
        <v>0.7570093458</v>
      </c>
      <c r="V19" s="26">
        <f t="shared" si="7"/>
        <v>0.03738317757</v>
      </c>
      <c r="W19" s="19">
        <f t="shared" si="8"/>
        <v>0.119047619</v>
      </c>
      <c r="X19" s="20">
        <f t="shared" si="9"/>
        <v>210</v>
      </c>
      <c r="Y19" s="16"/>
      <c r="Z19" s="17"/>
      <c r="AA19" s="28"/>
      <c r="AB19" s="17"/>
      <c r="AC19" s="28"/>
      <c r="AD19" s="16"/>
    </row>
    <row r="20">
      <c r="A20" s="27" t="s">
        <v>127</v>
      </c>
      <c r="B20" s="27" t="s">
        <v>128</v>
      </c>
      <c r="C20" s="16" t="s">
        <v>129</v>
      </c>
      <c r="D20" s="17" t="s">
        <v>130</v>
      </c>
      <c r="E20" s="18" t="s">
        <v>34</v>
      </c>
      <c r="F20" s="18">
        <v>1.0</v>
      </c>
      <c r="G20" s="19">
        <f t="shared" si="1"/>
        <v>1.410959629</v>
      </c>
      <c r="H20" s="17">
        <v>40.0</v>
      </c>
      <c r="I20" s="10">
        <v>260.0</v>
      </c>
      <c r="J20" s="17">
        <v>21.0</v>
      </c>
      <c r="K20" s="17">
        <v>20.0</v>
      </c>
      <c r="L20" s="17"/>
      <c r="M20" s="20">
        <v>14.0</v>
      </c>
      <c r="N20" s="20">
        <v>5.0</v>
      </c>
      <c r="O20" s="20">
        <v>5.0</v>
      </c>
      <c r="P20" s="20">
        <f t="shared" si="2"/>
        <v>4</v>
      </c>
      <c r="Q20" s="21">
        <v>4.0</v>
      </c>
      <c r="R20" s="22">
        <f t="shared" si="3"/>
        <v>184.27175</v>
      </c>
      <c r="S20" s="23">
        <f t="shared" si="4"/>
        <v>6.5</v>
      </c>
      <c r="T20" s="24">
        <f t="shared" si="5"/>
        <v>3.5</v>
      </c>
      <c r="U20" s="26">
        <f t="shared" si="6"/>
        <v>0.724137931</v>
      </c>
      <c r="V20" s="26">
        <f t="shared" si="7"/>
        <v>0.07662835249</v>
      </c>
      <c r="W20" s="19">
        <f t="shared" si="8"/>
        <v>0.07692307692</v>
      </c>
      <c r="X20" s="20">
        <f t="shared" si="9"/>
        <v>260</v>
      </c>
      <c r="Y20" s="27"/>
      <c r="Z20" s="17"/>
      <c r="AA20" s="28"/>
      <c r="AB20" s="17"/>
      <c r="AC20" s="28"/>
      <c r="AD20" s="27"/>
    </row>
    <row r="21" ht="15.75" customHeight="1">
      <c r="A21" s="16" t="s">
        <v>131</v>
      </c>
      <c r="B21" s="16" t="s">
        <v>132</v>
      </c>
      <c r="C21" s="16" t="s">
        <v>133</v>
      </c>
      <c r="D21" s="17" t="s">
        <v>99</v>
      </c>
      <c r="E21" s="18" t="s">
        <v>34</v>
      </c>
      <c r="F21" s="18">
        <v>1.0</v>
      </c>
      <c r="G21" s="19">
        <f t="shared" si="1"/>
        <v>1.252226671</v>
      </c>
      <c r="H21" s="17">
        <v>35.5</v>
      </c>
      <c r="I21" s="10">
        <v>230.0</v>
      </c>
      <c r="J21" s="17">
        <v>22.0</v>
      </c>
      <c r="K21" s="17">
        <v>90.0</v>
      </c>
      <c r="L21" s="17"/>
      <c r="M21" s="20">
        <v>5.0</v>
      </c>
      <c r="N21" s="20">
        <v>0.0</v>
      </c>
      <c r="O21" s="20">
        <v>5.0</v>
      </c>
      <c r="P21" s="20">
        <f t="shared" si="2"/>
        <v>0</v>
      </c>
      <c r="Q21" s="21">
        <v>2.0</v>
      </c>
      <c r="R21" s="22">
        <f t="shared" si="3"/>
        <v>183.6728169</v>
      </c>
      <c r="S21" s="23">
        <f t="shared" si="4"/>
        <v>6.478873239</v>
      </c>
      <c r="T21" s="24">
        <f t="shared" si="5"/>
        <v>2.5</v>
      </c>
      <c r="U21" s="26">
        <f t="shared" si="6"/>
        <v>0.8761061947</v>
      </c>
      <c r="V21" s="26">
        <f t="shared" si="7"/>
        <v>0.08849557522</v>
      </c>
      <c r="W21" s="19">
        <f t="shared" si="8"/>
        <v>0.3913043478</v>
      </c>
      <c r="X21" s="20">
        <f t="shared" si="9"/>
        <v>230</v>
      </c>
      <c r="Y21" s="27"/>
      <c r="Z21" s="17"/>
      <c r="AA21" s="28"/>
      <c r="AB21" s="17"/>
      <c r="AC21" s="28"/>
      <c r="AD21" s="27"/>
    </row>
    <row r="22" ht="15.75" customHeight="1">
      <c r="A22" s="27" t="s">
        <v>134</v>
      </c>
      <c r="B22" s="27" t="s">
        <v>135</v>
      </c>
      <c r="C22" s="16" t="s">
        <v>136</v>
      </c>
      <c r="D22" s="17" t="s">
        <v>99</v>
      </c>
      <c r="E22" s="18" t="s">
        <v>34</v>
      </c>
      <c r="F22" s="18">
        <v>1.0</v>
      </c>
      <c r="G22" s="19">
        <f t="shared" si="1"/>
        <v>0.9876717402</v>
      </c>
      <c r="H22" s="17">
        <v>28.0</v>
      </c>
      <c r="I22" s="10">
        <v>180.0</v>
      </c>
      <c r="J22" s="17">
        <v>17.0</v>
      </c>
      <c r="K22" s="17">
        <v>0.0</v>
      </c>
      <c r="L22" s="17"/>
      <c r="M22" s="20">
        <v>8.0</v>
      </c>
      <c r="N22" s="20">
        <v>2.0</v>
      </c>
      <c r="O22" s="20">
        <v>3.0</v>
      </c>
      <c r="P22" s="20">
        <f t="shared" si="2"/>
        <v>3</v>
      </c>
      <c r="Q22" s="21">
        <v>2.0</v>
      </c>
      <c r="R22" s="22">
        <f t="shared" si="3"/>
        <v>182.2467857</v>
      </c>
      <c r="S22" s="23">
        <f t="shared" si="4"/>
        <v>6.428571429</v>
      </c>
      <c r="T22" s="24">
        <f t="shared" si="5"/>
        <v>4</v>
      </c>
      <c r="U22" s="26">
        <f t="shared" si="6"/>
        <v>0.792746114</v>
      </c>
      <c r="V22" s="26">
        <f t="shared" si="7"/>
        <v>0.0621761658</v>
      </c>
      <c r="W22" s="19">
        <f t="shared" si="8"/>
        <v>0</v>
      </c>
      <c r="X22" s="20">
        <f t="shared" si="9"/>
        <v>180</v>
      </c>
      <c r="Y22" s="27"/>
      <c r="Z22" s="17"/>
      <c r="AA22" s="28"/>
      <c r="AB22" s="17"/>
      <c r="AC22" s="28"/>
      <c r="AD22" s="27"/>
    </row>
    <row r="23" ht="15.75" customHeight="1">
      <c r="A23" s="27" t="s">
        <v>104</v>
      </c>
      <c r="B23" s="27" t="s">
        <v>137</v>
      </c>
      <c r="C23" s="16" t="s">
        <v>138</v>
      </c>
      <c r="D23" s="17" t="s">
        <v>96</v>
      </c>
      <c r="E23" s="18" t="s">
        <v>34</v>
      </c>
      <c r="F23" s="18">
        <v>1.0</v>
      </c>
      <c r="G23" s="19">
        <f t="shared" si="1"/>
        <v>1.375685638</v>
      </c>
      <c r="H23" s="17">
        <v>39.0</v>
      </c>
      <c r="I23" s="10">
        <v>250.0</v>
      </c>
      <c r="J23" s="17">
        <v>14.0</v>
      </c>
      <c r="K23" s="17">
        <v>150.0</v>
      </c>
      <c r="L23" s="17"/>
      <c r="M23" s="20">
        <v>14.0</v>
      </c>
      <c r="N23" s="20">
        <v>2.0</v>
      </c>
      <c r="O23" s="20">
        <v>16.0</v>
      </c>
      <c r="P23" s="20">
        <f t="shared" si="2"/>
        <v>-4</v>
      </c>
      <c r="Q23" s="21">
        <v>5.0</v>
      </c>
      <c r="R23" s="22">
        <f t="shared" si="3"/>
        <v>181.7275641</v>
      </c>
      <c r="S23" s="23">
        <f t="shared" si="4"/>
        <v>6.41025641</v>
      </c>
      <c r="T23" s="24">
        <f t="shared" si="5"/>
        <v>2.8</v>
      </c>
      <c r="U23" s="26">
        <f t="shared" si="6"/>
        <v>0.6237623762</v>
      </c>
      <c r="V23" s="26">
        <f t="shared" si="7"/>
        <v>0.3168316832</v>
      </c>
      <c r="W23" s="19">
        <f t="shared" si="8"/>
        <v>0.6</v>
      </c>
      <c r="X23" s="20">
        <f t="shared" si="9"/>
        <v>250</v>
      </c>
      <c r="Y23" s="27"/>
      <c r="Z23" s="17"/>
      <c r="AA23" s="28"/>
      <c r="AB23" s="17"/>
      <c r="AC23" s="28"/>
      <c r="AD23" s="16"/>
    </row>
    <row r="24" ht="15.75" customHeight="1">
      <c r="A24" s="16" t="s">
        <v>139</v>
      </c>
      <c r="B24" s="16" t="s">
        <v>140</v>
      </c>
      <c r="C24" s="16" t="s">
        <v>141</v>
      </c>
      <c r="D24" s="17" t="s">
        <v>96</v>
      </c>
      <c r="E24" s="18" t="s">
        <v>34</v>
      </c>
      <c r="F24" s="18">
        <v>1.0</v>
      </c>
      <c r="G24" s="19">
        <f t="shared" si="1"/>
        <v>1.058219722</v>
      </c>
      <c r="H24" s="17">
        <v>30.0</v>
      </c>
      <c r="I24" s="10">
        <v>190.0</v>
      </c>
      <c r="J24" s="17">
        <v>18.0</v>
      </c>
      <c r="K24" s="17">
        <v>0.0</v>
      </c>
      <c r="L24" s="17"/>
      <c r="M24" s="20">
        <v>5.0</v>
      </c>
      <c r="N24" s="20">
        <v>3.0</v>
      </c>
      <c r="O24" s="20">
        <v>1.0</v>
      </c>
      <c r="P24" s="20">
        <f t="shared" si="2"/>
        <v>1</v>
      </c>
      <c r="Q24" s="21">
        <v>4.0</v>
      </c>
      <c r="R24" s="22">
        <f t="shared" si="3"/>
        <v>179.5468333</v>
      </c>
      <c r="S24" s="23">
        <f t="shared" si="4"/>
        <v>6.333333333</v>
      </c>
      <c r="T24" s="24">
        <f t="shared" si="5"/>
        <v>1.25</v>
      </c>
      <c r="U24" s="26">
        <f t="shared" si="6"/>
        <v>0.8181818182</v>
      </c>
      <c r="V24" s="26">
        <f t="shared" si="7"/>
        <v>0.0202020202</v>
      </c>
      <c r="W24" s="19">
        <f t="shared" si="8"/>
        <v>0</v>
      </c>
      <c r="X24" s="20">
        <f t="shared" si="9"/>
        <v>190</v>
      </c>
      <c r="Y24" s="27"/>
      <c r="Z24" s="17"/>
      <c r="AA24" s="28"/>
      <c r="AB24" s="17"/>
      <c r="AC24" s="28"/>
      <c r="AD24" s="27"/>
    </row>
    <row r="25" ht="15.75" customHeight="1">
      <c r="A25" s="27" t="s">
        <v>77</v>
      </c>
      <c r="B25" s="27" t="s">
        <v>142</v>
      </c>
      <c r="C25" s="16" t="s">
        <v>143</v>
      </c>
      <c r="D25" s="17" t="s">
        <v>96</v>
      </c>
      <c r="E25" s="18" t="s">
        <v>34</v>
      </c>
      <c r="F25" s="18">
        <v>1.0</v>
      </c>
      <c r="G25" s="19">
        <f t="shared" si="1"/>
        <v>0.5291098608</v>
      </c>
      <c r="H25" s="17">
        <v>15.0</v>
      </c>
      <c r="I25" s="10">
        <v>95.0</v>
      </c>
      <c r="J25" s="17">
        <v>8.0</v>
      </c>
      <c r="K25" s="17">
        <v>3.0</v>
      </c>
      <c r="L25" s="17"/>
      <c r="M25" s="20">
        <v>2.0</v>
      </c>
      <c r="N25" s="20">
        <v>0.5</v>
      </c>
      <c r="O25" s="20">
        <v>0.0</v>
      </c>
      <c r="P25" s="20">
        <f t="shared" si="2"/>
        <v>1.5</v>
      </c>
      <c r="Q25" s="21">
        <v>4.0</v>
      </c>
      <c r="R25" s="22">
        <f t="shared" si="3"/>
        <v>179.5468333</v>
      </c>
      <c r="S25" s="23">
        <f t="shared" si="4"/>
        <v>6.333333333</v>
      </c>
      <c r="T25" s="24">
        <f t="shared" si="5"/>
        <v>0.5</v>
      </c>
      <c r="U25" s="26">
        <f t="shared" si="6"/>
        <v>0.75</v>
      </c>
      <c r="V25" s="26" t="str">
        <f t="shared" si="7"/>
        <v>0%</v>
      </c>
      <c r="W25" s="19">
        <f t="shared" si="8"/>
        <v>0.03157894737</v>
      </c>
      <c r="X25" s="20">
        <f t="shared" si="9"/>
        <v>95</v>
      </c>
      <c r="Y25" s="27"/>
      <c r="Z25" s="17"/>
      <c r="AA25" s="28"/>
      <c r="AB25" s="17"/>
      <c r="AC25" s="28"/>
      <c r="AD25" s="27"/>
    </row>
    <row r="26" ht="15.75" customHeight="1">
      <c r="A26" s="27" t="s">
        <v>144</v>
      </c>
      <c r="B26" s="27" t="s">
        <v>145</v>
      </c>
      <c r="C26" s="16" t="s">
        <v>146</v>
      </c>
      <c r="D26" s="17" t="s">
        <v>130</v>
      </c>
      <c r="E26" s="18" t="s">
        <v>34</v>
      </c>
      <c r="F26" s="18">
        <v>1.0</v>
      </c>
      <c r="G26" s="19">
        <f t="shared" si="1"/>
        <v>1.410959629</v>
      </c>
      <c r="H26" s="17">
        <v>40.0</v>
      </c>
      <c r="I26" s="10">
        <v>250.0</v>
      </c>
      <c r="J26" s="17">
        <v>19.0</v>
      </c>
      <c r="K26" s="17">
        <v>10.0</v>
      </c>
      <c r="L26" s="17"/>
      <c r="M26" s="20">
        <v>17.0</v>
      </c>
      <c r="N26" s="20">
        <v>3.0</v>
      </c>
      <c r="O26" s="20">
        <v>12.0</v>
      </c>
      <c r="P26" s="20">
        <f t="shared" si="2"/>
        <v>2</v>
      </c>
      <c r="Q26" s="21">
        <v>3.0</v>
      </c>
      <c r="R26" s="22">
        <f t="shared" si="3"/>
        <v>177.184375</v>
      </c>
      <c r="S26" s="23">
        <f t="shared" si="4"/>
        <v>6.25</v>
      </c>
      <c r="T26" s="24">
        <f t="shared" si="5"/>
        <v>5.666666667</v>
      </c>
      <c r="U26" s="26">
        <f t="shared" si="6"/>
        <v>0.6812749004</v>
      </c>
      <c r="V26" s="26">
        <f t="shared" si="7"/>
        <v>0.1912350598</v>
      </c>
      <c r="W26" s="19">
        <f t="shared" si="8"/>
        <v>0.04</v>
      </c>
      <c r="X26" s="20">
        <f t="shared" si="9"/>
        <v>250</v>
      </c>
      <c r="Y26" s="27"/>
      <c r="Z26" s="17"/>
      <c r="AA26" s="28"/>
      <c r="AB26" s="17"/>
      <c r="AC26" s="28"/>
      <c r="AD26" s="27"/>
    </row>
    <row r="27" ht="15.75" customHeight="1">
      <c r="A27" s="27" t="s">
        <v>100</v>
      </c>
      <c r="B27" s="27" t="s">
        <v>147</v>
      </c>
      <c r="C27" s="16" t="s">
        <v>148</v>
      </c>
      <c r="D27" s="17" t="s">
        <v>103</v>
      </c>
      <c r="E27" s="18" t="s">
        <v>34</v>
      </c>
      <c r="F27" s="18">
        <v>1.0</v>
      </c>
      <c r="G27" s="19">
        <f t="shared" si="1"/>
        <v>1.128767703</v>
      </c>
      <c r="H27" s="17">
        <v>32.0</v>
      </c>
      <c r="I27" s="10">
        <v>200.0</v>
      </c>
      <c r="J27" s="17">
        <v>16.0</v>
      </c>
      <c r="K27" s="17">
        <v>90.0</v>
      </c>
      <c r="L27" s="17">
        <v>90.0</v>
      </c>
      <c r="M27" s="20">
        <v>11.0</v>
      </c>
      <c r="N27" s="20">
        <v>2.0</v>
      </c>
      <c r="O27" s="20">
        <v>8.0</v>
      </c>
      <c r="P27" s="20">
        <f t="shared" si="2"/>
        <v>1</v>
      </c>
      <c r="Q27" s="21">
        <v>4.0</v>
      </c>
      <c r="R27" s="22">
        <f t="shared" si="3"/>
        <v>177.184375</v>
      </c>
      <c r="S27" s="23">
        <f t="shared" si="4"/>
        <v>6.25</v>
      </c>
      <c r="T27" s="24">
        <f t="shared" si="5"/>
        <v>2.75</v>
      </c>
      <c r="U27" s="26">
        <f t="shared" si="6"/>
        <v>0.7058823529</v>
      </c>
      <c r="V27" s="26">
        <f t="shared" si="7"/>
        <v>0.1568627451</v>
      </c>
      <c r="W27" s="19">
        <f t="shared" si="8"/>
        <v>0.45</v>
      </c>
      <c r="X27" s="20">
        <f t="shared" si="9"/>
        <v>200</v>
      </c>
      <c r="Y27" s="27"/>
      <c r="Z27" s="17"/>
      <c r="AA27" s="28"/>
      <c r="AB27" s="17"/>
      <c r="AC27" s="28"/>
      <c r="AD27" s="27"/>
    </row>
    <row r="28" ht="15.75" customHeight="1">
      <c r="A28" s="27" t="s">
        <v>100</v>
      </c>
      <c r="B28" s="27" t="s">
        <v>149</v>
      </c>
      <c r="C28" s="16" t="s">
        <v>150</v>
      </c>
      <c r="D28" s="17" t="s">
        <v>103</v>
      </c>
      <c r="E28" s="18" t="s">
        <v>34</v>
      </c>
      <c r="F28" s="18">
        <v>1.0</v>
      </c>
      <c r="G28" s="19">
        <f t="shared" si="1"/>
        <v>1.128767703</v>
      </c>
      <c r="H28" s="17">
        <v>32.0</v>
      </c>
      <c r="I28" s="10">
        <v>200.0</v>
      </c>
      <c r="J28" s="17">
        <v>15.0</v>
      </c>
      <c r="K28" s="17">
        <v>100.0</v>
      </c>
      <c r="L28" s="17">
        <v>90.0</v>
      </c>
      <c r="M28" s="20">
        <v>11.0</v>
      </c>
      <c r="N28" s="20">
        <v>1.0</v>
      </c>
      <c r="O28" s="20">
        <v>5.0</v>
      </c>
      <c r="P28" s="20">
        <f t="shared" si="2"/>
        <v>5</v>
      </c>
      <c r="Q28" s="21">
        <v>4.0</v>
      </c>
      <c r="R28" s="22">
        <f t="shared" si="3"/>
        <v>177.184375</v>
      </c>
      <c r="S28" s="23">
        <f t="shared" si="4"/>
        <v>6.25</v>
      </c>
      <c r="T28" s="24">
        <f t="shared" si="5"/>
        <v>2.75</v>
      </c>
      <c r="U28" s="26">
        <f t="shared" si="6"/>
        <v>0.6923076923</v>
      </c>
      <c r="V28" s="26">
        <f t="shared" si="7"/>
        <v>0.1025641026</v>
      </c>
      <c r="W28" s="19">
        <f t="shared" si="8"/>
        <v>0.5</v>
      </c>
      <c r="X28" s="20">
        <f t="shared" si="9"/>
        <v>200</v>
      </c>
      <c r="Y28" s="27"/>
      <c r="Z28" s="17"/>
      <c r="AA28" s="28"/>
      <c r="AB28" s="17"/>
      <c r="AC28" s="28"/>
      <c r="AD28" s="16"/>
    </row>
    <row r="29" ht="15.75" customHeight="1">
      <c r="A29" s="27" t="s">
        <v>100</v>
      </c>
      <c r="B29" s="27" t="s">
        <v>151</v>
      </c>
      <c r="C29" s="16" t="s">
        <v>152</v>
      </c>
      <c r="D29" s="17" t="s">
        <v>103</v>
      </c>
      <c r="E29" s="18" t="s">
        <v>34</v>
      </c>
      <c r="F29" s="18">
        <v>1.0</v>
      </c>
      <c r="G29" s="19">
        <f t="shared" si="1"/>
        <v>1.128767703</v>
      </c>
      <c r="H29" s="17">
        <v>32.0</v>
      </c>
      <c r="I29" s="10">
        <v>200.0</v>
      </c>
      <c r="J29" s="17">
        <v>16.0</v>
      </c>
      <c r="K29" s="17">
        <v>90.0</v>
      </c>
      <c r="L29" s="17">
        <v>90.0</v>
      </c>
      <c r="M29" s="20">
        <v>10.0</v>
      </c>
      <c r="N29" s="20">
        <v>2.0</v>
      </c>
      <c r="O29" s="20">
        <v>6.0</v>
      </c>
      <c r="P29" s="20">
        <f t="shared" si="2"/>
        <v>2</v>
      </c>
      <c r="Q29" s="21">
        <v>5.0</v>
      </c>
      <c r="R29" s="22">
        <f t="shared" si="3"/>
        <v>177.184375</v>
      </c>
      <c r="S29" s="23">
        <f t="shared" si="4"/>
        <v>6.25</v>
      </c>
      <c r="T29" s="24">
        <f t="shared" si="5"/>
        <v>2</v>
      </c>
      <c r="U29" s="26">
        <f t="shared" si="6"/>
        <v>0.7058823529</v>
      </c>
      <c r="V29" s="26">
        <f t="shared" si="7"/>
        <v>0.1176470588</v>
      </c>
      <c r="W29" s="19">
        <f t="shared" si="8"/>
        <v>0.45</v>
      </c>
      <c r="X29" s="20">
        <f t="shared" si="9"/>
        <v>200</v>
      </c>
      <c r="Y29" s="27"/>
      <c r="Z29" s="17"/>
      <c r="AA29" s="28"/>
      <c r="AB29" s="17"/>
      <c r="AC29" s="28"/>
      <c r="AD29" s="16"/>
    </row>
    <row r="30" ht="15.75" customHeight="1">
      <c r="A30" s="27" t="s">
        <v>153</v>
      </c>
      <c r="B30" s="27" t="s">
        <v>124</v>
      </c>
      <c r="C30" s="16" t="s">
        <v>154</v>
      </c>
      <c r="D30" s="17" t="s">
        <v>103</v>
      </c>
      <c r="E30" s="18" t="s">
        <v>34</v>
      </c>
      <c r="F30" s="18">
        <v>1.0</v>
      </c>
      <c r="G30" s="19">
        <f t="shared" si="1"/>
        <v>1.128767703</v>
      </c>
      <c r="H30" s="17">
        <v>32.0</v>
      </c>
      <c r="I30" s="10">
        <v>200.0</v>
      </c>
      <c r="J30" s="17">
        <v>15.0</v>
      </c>
      <c r="K30" s="17">
        <v>25.0</v>
      </c>
      <c r="L30" s="17">
        <v>165.0</v>
      </c>
      <c r="M30" s="20">
        <v>9.0</v>
      </c>
      <c r="N30" s="20">
        <v>2.0</v>
      </c>
      <c r="O30" s="20">
        <v>4.0</v>
      </c>
      <c r="P30" s="20">
        <f t="shared" si="2"/>
        <v>3</v>
      </c>
      <c r="Q30" s="21">
        <v>5.0</v>
      </c>
      <c r="R30" s="22">
        <f t="shared" si="3"/>
        <v>177.184375</v>
      </c>
      <c r="S30" s="23">
        <f t="shared" si="4"/>
        <v>6.25</v>
      </c>
      <c r="T30" s="24">
        <f t="shared" si="5"/>
        <v>1.8</v>
      </c>
      <c r="U30" s="26">
        <f t="shared" si="6"/>
        <v>0.7068062827</v>
      </c>
      <c r="V30" s="26">
        <f t="shared" si="7"/>
        <v>0.08376963351</v>
      </c>
      <c r="W30" s="19">
        <f t="shared" si="8"/>
        <v>0.125</v>
      </c>
      <c r="X30" s="20">
        <f t="shared" si="9"/>
        <v>200</v>
      </c>
      <c r="Y30" s="27"/>
      <c r="Z30" s="17"/>
      <c r="AA30" s="28"/>
      <c r="AB30" s="17"/>
      <c r="AC30" s="28"/>
      <c r="AD30" s="27"/>
    </row>
    <row r="31" ht="15.75" customHeight="1">
      <c r="A31" s="16" t="s">
        <v>153</v>
      </c>
      <c r="B31" s="16" t="s">
        <v>155</v>
      </c>
      <c r="C31" s="16" t="s">
        <v>156</v>
      </c>
      <c r="D31" s="17" t="s">
        <v>103</v>
      </c>
      <c r="E31" s="18" t="s">
        <v>34</v>
      </c>
      <c r="F31" s="18">
        <v>1.0</v>
      </c>
      <c r="G31" s="19">
        <f t="shared" si="1"/>
        <v>1.128767703</v>
      </c>
      <c r="H31" s="17">
        <v>32.0</v>
      </c>
      <c r="I31" s="10">
        <v>200.0</v>
      </c>
      <c r="J31" s="17">
        <v>16.0</v>
      </c>
      <c r="K31" s="17">
        <v>35.0</v>
      </c>
      <c r="L31" s="17">
        <v>165.0</v>
      </c>
      <c r="M31" s="20">
        <v>9.0</v>
      </c>
      <c r="N31" s="20">
        <v>2.0</v>
      </c>
      <c r="O31" s="20">
        <v>4.0</v>
      </c>
      <c r="P31" s="20">
        <f t="shared" si="2"/>
        <v>3</v>
      </c>
      <c r="Q31" s="21">
        <v>5.0</v>
      </c>
      <c r="R31" s="22">
        <f t="shared" si="3"/>
        <v>177.184375</v>
      </c>
      <c r="S31" s="23">
        <f t="shared" si="4"/>
        <v>6.25</v>
      </c>
      <c r="T31" s="24">
        <f t="shared" si="5"/>
        <v>1.8</v>
      </c>
      <c r="U31" s="26">
        <f t="shared" si="6"/>
        <v>0.72</v>
      </c>
      <c r="V31" s="26">
        <f t="shared" si="7"/>
        <v>0.08</v>
      </c>
      <c r="W31" s="19">
        <f t="shared" si="8"/>
        <v>0.175</v>
      </c>
      <c r="X31" s="20">
        <f t="shared" si="9"/>
        <v>200</v>
      </c>
      <c r="Y31" s="27"/>
      <c r="Z31" s="17"/>
      <c r="AA31" s="28"/>
      <c r="AB31" s="17"/>
      <c r="AC31" s="28"/>
      <c r="AD31" s="16"/>
    </row>
    <row r="32" ht="15.75" customHeight="1">
      <c r="A32" s="27" t="s">
        <v>153</v>
      </c>
      <c r="B32" s="27" t="s">
        <v>157</v>
      </c>
      <c r="C32" s="16" t="s">
        <v>158</v>
      </c>
      <c r="D32" s="17" t="s">
        <v>103</v>
      </c>
      <c r="E32" s="18" t="s">
        <v>34</v>
      </c>
      <c r="F32" s="18">
        <v>1.0</v>
      </c>
      <c r="G32" s="19">
        <f t="shared" si="1"/>
        <v>1.128767703</v>
      </c>
      <c r="H32" s="17">
        <v>32.0</v>
      </c>
      <c r="I32" s="10">
        <v>200.0</v>
      </c>
      <c r="J32" s="17">
        <v>16.0</v>
      </c>
      <c r="K32" s="17">
        <v>25.0</v>
      </c>
      <c r="L32" s="17">
        <v>166.0</v>
      </c>
      <c r="M32" s="20">
        <v>9.0</v>
      </c>
      <c r="N32" s="20">
        <v>2.0</v>
      </c>
      <c r="O32" s="20">
        <v>4.0</v>
      </c>
      <c r="P32" s="20">
        <f t="shared" si="2"/>
        <v>3</v>
      </c>
      <c r="Q32" s="21">
        <v>5.0</v>
      </c>
      <c r="R32" s="22">
        <f t="shared" si="3"/>
        <v>177.184375</v>
      </c>
      <c r="S32" s="23">
        <f t="shared" si="4"/>
        <v>6.25</v>
      </c>
      <c r="T32" s="24">
        <f t="shared" si="5"/>
        <v>1.8</v>
      </c>
      <c r="U32" s="26">
        <f t="shared" si="6"/>
        <v>0.72</v>
      </c>
      <c r="V32" s="26">
        <f t="shared" si="7"/>
        <v>0.08</v>
      </c>
      <c r="W32" s="19">
        <f t="shared" si="8"/>
        <v>0.125</v>
      </c>
      <c r="X32" s="20">
        <f t="shared" si="9"/>
        <v>200</v>
      </c>
      <c r="Y32" s="27"/>
      <c r="Z32" s="17"/>
      <c r="AA32" s="28"/>
      <c r="AB32" s="17"/>
      <c r="AC32" s="28"/>
      <c r="AD32" s="16"/>
    </row>
    <row r="33" ht="15.75" customHeight="1">
      <c r="A33" s="27" t="s">
        <v>100</v>
      </c>
      <c r="B33" s="27" t="s">
        <v>159</v>
      </c>
      <c r="C33" s="16" t="s">
        <v>160</v>
      </c>
      <c r="D33" s="17" t="s">
        <v>103</v>
      </c>
      <c r="E33" s="18" t="s">
        <v>34</v>
      </c>
      <c r="F33" s="18">
        <v>1.0</v>
      </c>
      <c r="G33" s="19">
        <f t="shared" si="1"/>
        <v>1.128767703</v>
      </c>
      <c r="H33" s="17">
        <v>32.0</v>
      </c>
      <c r="I33" s="10">
        <v>200.0</v>
      </c>
      <c r="J33" s="17">
        <v>16.0</v>
      </c>
      <c r="K33" s="17">
        <v>60.0</v>
      </c>
      <c r="L33" s="17">
        <v>190.0</v>
      </c>
      <c r="M33" s="20">
        <v>8.0</v>
      </c>
      <c r="N33" s="20">
        <v>2.0</v>
      </c>
      <c r="O33" s="20">
        <v>4.0</v>
      </c>
      <c r="P33" s="20">
        <f t="shared" si="2"/>
        <v>2</v>
      </c>
      <c r="Q33" s="21">
        <v>6.0</v>
      </c>
      <c r="R33" s="22">
        <f t="shared" si="3"/>
        <v>177.184375</v>
      </c>
      <c r="S33" s="23">
        <f t="shared" si="4"/>
        <v>6.25</v>
      </c>
      <c r="T33" s="24">
        <f t="shared" si="5"/>
        <v>1.333333333</v>
      </c>
      <c r="U33" s="26">
        <f t="shared" si="6"/>
        <v>0.72</v>
      </c>
      <c r="V33" s="26">
        <f t="shared" si="7"/>
        <v>0.08</v>
      </c>
      <c r="W33" s="19">
        <f t="shared" si="8"/>
        <v>0.3</v>
      </c>
      <c r="X33" s="20">
        <f t="shared" si="9"/>
        <v>200</v>
      </c>
      <c r="Y33" s="27"/>
      <c r="Z33" s="17"/>
      <c r="AA33" s="28"/>
      <c r="AB33" s="17"/>
      <c r="AC33" s="28"/>
      <c r="AD33" s="27"/>
    </row>
    <row r="34" ht="15.75" customHeight="1">
      <c r="A34" s="16" t="s">
        <v>100</v>
      </c>
      <c r="B34" s="16" t="s">
        <v>161</v>
      </c>
      <c r="C34" s="16" t="s">
        <v>162</v>
      </c>
      <c r="D34" s="17" t="s">
        <v>103</v>
      </c>
      <c r="E34" s="18" t="s">
        <v>34</v>
      </c>
      <c r="F34" s="18">
        <v>1.0</v>
      </c>
      <c r="G34" s="19">
        <f t="shared" si="1"/>
        <v>1.128767703</v>
      </c>
      <c r="H34" s="17">
        <v>32.0</v>
      </c>
      <c r="I34" s="10">
        <v>200.0</v>
      </c>
      <c r="J34" s="17">
        <v>16.0</v>
      </c>
      <c r="K34" s="17">
        <v>100.0</v>
      </c>
      <c r="L34" s="17">
        <v>90.0</v>
      </c>
      <c r="M34" s="20">
        <v>8.0</v>
      </c>
      <c r="N34" s="20">
        <v>3.0</v>
      </c>
      <c r="O34" s="20">
        <v>4.0</v>
      </c>
      <c r="P34" s="20">
        <f t="shared" si="2"/>
        <v>1</v>
      </c>
      <c r="Q34" s="21">
        <v>6.0</v>
      </c>
      <c r="R34" s="22">
        <f t="shared" si="3"/>
        <v>177.184375</v>
      </c>
      <c r="S34" s="23">
        <f t="shared" si="4"/>
        <v>6.25</v>
      </c>
      <c r="T34" s="24">
        <f t="shared" si="5"/>
        <v>1.333333333</v>
      </c>
      <c r="U34" s="26">
        <f t="shared" si="6"/>
        <v>0.72</v>
      </c>
      <c r="V34" s="26">
        <f t="shared" si="7"/>
        <v>0.08</v>
      </c>
      <c r="W34" s="19">
        <f t="shared" si="8"/>
        <v>0.5</v>
      </c>
      <c r="X34" s="20">
        <f t="shared" si="9"/>
        <v>200</v>
      </c>
      <c r="Y34" s="27"/>
      <c r="Z34" s="17"/>
      <c r="AA34" s="28"/>
      <c r="AB34" s="17"/>
      <c r="AC34" s="28"/>
      <c r="AD34" s="27"/>
    </row>
    <row r="35" ht="15.75" customHeight="1">
      <c r="A35" s="16" t="s">
        <v>163</v>
      </c>
      <c r="B35" s="16" t="s">
        <v>164</v>
      </c>
      <c r="C35" s="16" t="s">
        <v>165</v>
      </c>
      <c r="D35" s="17" t="s">
        <v>103</v>
      </c>
      <c r="E35" s="18" t="s">
        <v>34</v>
      </c>
      <c r="F35" s="18">
        <v>1.0</v>
      </c>
      <c r="G35" s="19">
        <f t="shared" si="1"/>
        <v>1.128767703</v>
      </c>
      <c r="H35" s="17">
        <v>32.0</v>
      </c>
      <c r="I35" s="10">
        <v>200.0</v>
      </c>
      <c r="J35" s="17">
        <v>15.0</v>
      </c>
      <c r="K35" s="17">
        <v>100.0</v>
      </c>
      <c r="L35" s="17"/>
      <c r="M35" s="20">
        <v>8.0</v>
      </c>
      <c r="N35" s="20">
        <v>2.0</v>
      </c>
      <c r="O35" s="20">
        <v>4.0</v>
      </c>
      <c r="P35" s="20">
        <f t="shared" si="2"/>
        <v>2</v>
      </c>
      <c r="Q35" s="21">
        <v>7.0</v>
      </c>
      <c r="R35" s="22">
        <f t="shared" si="3"/>
        <v>177.184375</v>
      </c>
      <c r="S35" s="23">
        <f t="shared" si="4"/>
        <v>6.25</v>
      </c>
      <c r="T35" s="24">
        <f t="shared" si="5"/>
        <v>1.142857143</v>
      </c>
      <c r="U35" s="26">
        <f t="shared" si="6"/>
        <v>0.6923076923</v>
      </c>
      <c r="V35" s="26">
        <f t="shared" si="7"/>
        <v>0.08205128205</v>
      </c>
      <c r="W35" s="19">
        <f t="shared" si="8"/>
        <v>0.5</v>
      </c>
      <c r="X35" s="20">
        <f t="shared" si="9"/>
        <v>200</v>
      </c>
      <c r="Y35" s="27"/>
      <c r="Z35" s="17"/>
      <c r="AA35" s="28"/>
      <c r="AB35" s="17"/>
      <c r="AC35" s="28"/>
      <c r="AD35" s="27"/>
    </row>
    <row r="36" ht="15.75" customHeight="1">
      <c r="A36" s="27" t="s">
        <v>166</v>
      </c>
      <c r="B36" s="27" t="s">
        <v>167</v>
      </c>
      <c r="C36" s="16" t="s">
        <v>168</v>
      </c>
      <c r="D36" s="17" t="s">
        <v>103</v>
      </c>
      <c r="E36" s="18" t="s">
        <v>34</v>
      </c>
      <c r="F36" s="18">
        <v>1.0</v>
      </c>
      <c r="G36" s="19">
        <f t="shared" si="1"/>
        <v>1.128767703</v>
      </c>
      <c r="H36" s="17">
        <v>32.0</v>
      </c>
      <c r="I36" s="10">
        <v>200.0</v>
      </c>
      <c r="J36" s="17">
        <v>17.0</v>
      </c>
      <c r="K36" s="17">
        <v>99.0</v>
      </c>
      <c r="L36" s="17"/>
      <c r="M36" s="20">
        <v>6.0</v>
      </c>
      <c r="N36" s="20">
        <v>2.0</v>
      </c>
      <c r="O36" s="20">
        <v>3.0</v>
      </c>
      <c r="P36" s="20">
        <f t="shared" si="2"/>
        <v>1</v>
      </c>
      <c r="Q36" s="21">
        <v>7.0</v>
      </c>
      <c r="R36" s="22">
        <f t="shared" si="3"/>
        <v>177.184375</v>
      </c>
      <c r="S36" s="23">
        <f t="shared" si="4"/>
        <v>6.25</v>
      </c>
      <c r="T36" s="24">
        <f t="shared" si="5"/>
        <v>0.8571428571</v>
      </c>
      <c r="U36" s="26">
        <f t="shared" si="6"/>
        <v>0.7463414634</v>
      </c>
      <c r="V36" s="26">
        <f t="shared" si="7"/>
        <v>0.05853658537</v>
      </c>
      <c r="W36" s="19">
        <f t="shared" si="8"/>
        <v>0.495</v>
      </c>
      <c r="X36" s="20">
        <f t="shared" si="9"/>
        <v>200</v>
      </c>
      <c r="Y36" s="27"/>
      <c r="Z36" s="17"/>
      <c r="AA36" s="28"/>
      <c r="AB36" s="17"/>
      <c r="AC36" s="28"/>
      <c r="AD36" s="27"/>
    </row>
    <row r="37" ht="15.75" customHeight="1">
      <c r="A37" s="27" t="s">
        <v>169</v>
      </c>
      <c r="B37" s="27" t="s">
        <v>170</v>
      </c>
      <c r="C37" s="16" t="s">
        <v>171</v>
      </c>
      <c r="D37" s="17" t="s">
        <v>130</v>
      </c>
      <c r="E37" s="18" t="s">
        <v>34</v>
      </c>
      <c r="F37" s="18">
        <v>1.0</v>
      </c>
      <c r="G37" s="19">
        <f t="shared" si="1"/>
        <v>1.48150761</v>
      </c>
      <c r="H37" s="17">
        <v>42.0</v>
      </c>
      <c r="I37" s="10">
        <v>260.0</v>
      </c>
      <c r="J37" s="17">
        <v>21.0</v>
      </c>
      <c r="K37" s="17">
        <v>0.0</v>
      </c>
      <c r="L37" s="17"/>
      <c r="M37" s="20">
        <v>16.0</v>
      </c>
      <c r="N37" s="20">
        <v>6.0</v>
      </c>
      <c r="O37" s="20">
        <v>6.0</v>
      </c>
      <c r="P37" s="20">
        <f t="shared" si="2"/>
        <v>4</v>
      </c>
      <c r="Q37" s="21">
        <v>4.0</v>
      </c>
      <c r="R37" s="22">
        <f t="shared" si="3"/>
        <v>175.4969048</v>
      </c>
      <c r="S37" s="23">
        <f t="shared" si="4"/>
        <v>6.19047619</v>
      </c>
      <c r="T37" s="24">
        <f t="shared" si="5"/>
        <v>4</v>
      </c>
      <c r="U37" s="26">
        <f t="shared" si="6"/>
        <v>0.7026022305</v>
      </c>
      <c r="V37" s="26">
        <f t="shared" si="7"/>
        <v>0.08921933086</v>
      </c>
      <c r="W37" s="19">
        <f t="shared" si="8"/>
        <v>0</v>
      </c>
      <c r="X37" s="20">
        <f t="shared" si="9"/>
        <v>260</v>
      </c>
      <c r="Y37" s="27"/>
      <c r="Z37" s="17"/>
      <c r="AA37" s="28"/>
      <c r="AB37" s="17"/>
      <c r="AC37" s="28"/>
      <c r="AD37" s="16"/>
    </row>
    <row r="38" ht="15.75" customHeight="1">
      <c r="A38" s="27" t="s">
        <v>172</v>
      </c>
      <c r="B38" s="27" t="s">
        <v>173</v>
      </c>
      <c r="C38" s="16" t="s">
        <v>174</v>
      </c>
      <c r="D38" s="17" t="s">
        <v>81</v>
      </c>
      <c r="E38" s="18" t="s">
        <v>34</v>
      </c>
      <c r="F38" s="18">
        <v>1.0</v>
      </c>
      <c r="G38" s="19">
        <f t="shared" si="1"/>
        <v>0.9876717402</v>
      </c>
      <c r="H38" s="17">
        <v>28.0</v>
      </c>
      <c r="I38" s="10">
        <v>170.0</v>
      </c>
      <c r="J38" s="17">
        <v>13.0</v>
      </c>
      <c r="K38" s="17">
        <v>10.0</v>
      </c>
      <c r="L38" s="17"/>
      <c r="M38" s="20">
        <v>12.0</v>
      </c>
      <c r="N38" s="20">
        <v>4.0</v>
      </c>
      <c r="O38" s="20">
        <v>8.0</v>
      </c>
      <c r="P38" s="20">
        <f t="shared" si="2"/>
        <v>0</v>
      </c>
      <c r="Q38" s="21">
        <v>2.0</v>
      </c>
      <c r="R38" s="22">
        <f t="shared" si="3"/>
        <v>172.1219643</v>
      </c>
      <c r="S38" s="23">
        <f t="shared" si="4"/>
        <v>6.071428571</v>
      </c>
      <c r="T38" s="24">
        <f t="shared" si="5"/>
        <v>6</v>
      </c>
      <c r="U38" s="26">
        <f t="shared" si="6"/>
        <v>0.676300578</v>
      </c>
      <c r="V38" s="26">
        <f t="shared" si="7"/>
        <v>0.1849710983</v>
      </c>
      <c r="W38" s="19">
        <f t="shared" si="8"/>
        <v>0.05882352941</v>
      </c>
      <c r="X38" s="20">
        <f t="shared" si="9"/>
        <v>170</v>
      </c>
      <c r="Y38" s="27"/>
      <c r="Z38" s="17"/>
      <c r="AA38" s="28"/>
      <c r="AB38" s="17"/>
      <c r="AC38" s="28"/>
      <c r="AD38" s="16"/>
    </row>
    <row r="39" ht="15.75" customHeight="1">
      <c r="A39" s="27" t="s">
        <v>64</v>
      </c>
      <c r="B39" s="27" t="s">
        <v>175</v>
      </c>
      <c r="C39" s="16" t="s">
        <v>176</v>
      </c>
      <c r="D39" s="17" t="s">
        <v>96</v>
      </c>
      <c r="E39" s="18" t="s">
        <v>34</v>
      </c>
      <c r="F39" s="18">
        <v>1.0</v>
      </c>
      <c r="G39" s="19">
        <f t="shared" si="1"/>
        <v>0.9876717402</v>
      </c>
      <c r="H39" s="17">
        <v>28.0</v>
      </c>
      <c r="I39" s="10">
        <v>170.0</v>
      </c>
      <c r="J39" s="17">
        <v>15.0</v>
      </c>
      <c r="K39" s="17">
        <v>120.0</v>
      </c>
      <c r="L39" s="17"/>
      <c r="M39" s="20">
        <v>6.0</v>
      </c>
      <c r="N39" s="20">
        <v>2.0</v>
      </c>
      <c r="O39" s="20">
        <v>1.0</v>
      </c>
      <c r="P39" s="20">
        <f t="shared" si="2"/>
        <v>3</v>
      </c>
      <c r="Q39" s="21">
        <v>5.0</v>
      </c>
      <c r="R39" s="22">
        <f t="shared" si="3"/>
        <v>172.1219643</v>
      </c>
      <c r="S39" s="23">
        <f t="shared" si="4"/>
        <v>6.071428571</v>
      </c>
      <c r="T39" s="24">
        <f t="shared" si="5"/>
        <v>1.2</v>
      </c>
      <c r="U39" s="26">
        <f t="shared" si="6"/>
        <v>0.7541899441</v>
      </c>
      <c r="V39" s="26">
        <f t="shared" si="7"/>
        <v>0.02234636872</v>
      </c>
      <c r="W39" s="19">
        <f t="shared" si="8"/>
        <v>0.7058823529</v>
      </c>
      <c r="X39" s="20">
        <f t="shared" si="9"/>
        <v>170</v>
      </c>
      <c r="Y39" s="27"/>
      <c r="Z39" s="17"/>
      <c r="AA39" s="28"/>
      <c r="AB39" s="17"/>
      <c r="AC39" s="28"/>
      <c r="AD39" s="27"/>
    </row>
    <row r="40" ht="15.75" customHeight="1">
      <c r="A40" s="27" t="s">
        <v>104</v>
      </c>
      <c r="B40" s="27" t="s">
        <v>177</v>
      </c>
      <c r="C40" s="16" t="s">
        <v>178</v>
      </c>
      <c r="D40" s="17" t="s">
        <v>96</v>
      </c>
      <c r="E40" s="18" t="s">
        <v>34</v>
      </c>
      <c r="F40" s="18">
        <v>1.0</v>
      </c>
      <c r="G40" s="19">
        <f t="shared" si="1"/>
        <v>0.9876717402</v>
      </c>
      <c r="H40" s="17">
        <v>28.0</v>
      </c>
      <c r="I40" s="10">
        <v>170.0</v>
      </c>
      <c r="J40" s="17">
        <v>15.0</v>
      </c>
      <c r="K40" s="17">
        <v>95.0</v>
      </c>
      <c r="L40" s="17"/>
      <c r="M40" s="20">
        <v>6.0</v>
      </c>
      <c r="N40" s="20">
        <v>2.0</v>
      </c>
      <c r="O40" s="20">
        <v>1.0</v>
      </c>
      <c r="P40" s="20">
        <f t="shared" si="2"/>
        <v>3</v>
      </c>
      <c r="Q40" s="21">
        <v>5.0</v>
      </c>
      <c r="R40" s="22">
        <f t="shared" si="3"/>
        <v>172.1219643</v>
      </c>
      <c r="S40" s="23">
        <f t="shared" si="4"/>
        <v>6.071428571</v>
      </c>
      <c r="T40" s="24">
        <f t="shared" si="5"/>
        <v>1.2</v>
      </c>
      <c r="U40" s="26">
        <f t="shared" si="6"/>
        <v>0.7541899441</v>
      </c>
      <c r="V40" s="26">
        <f t="shared" si="7"/>
        <v>0.02234636872</v>
      </c>
      <c r="W40" s="19">
        <f t="shared" si="8"/>
        <v>0.5588235294</v>
      </c>
      <c r="X40" s="20">
        <f t="shared" si="9"/>
        <v>170</v>
      </c>
      <c r="Y40" s="27"/>
      <c r="Z40" s="17"/>
      <c r="AA40" s="28"/>
      <c r="AB40" s="17"/>
      <c r="AC40" s="28"/>
      <c r="AD40" s="27"/>
    </row>
    <row r="41" ht="15.75" customHeight="1">
      <c r="A41" s="27" t="s">
        <v>104</v>
      </c>
      <c r="B41" s="27" t="s">
        <v>180</v>
      </c>
      <c r="C41" s="16" t="s">
        <v>181</v>
      </c>
      <c r="D41" s="17" t="s">
        <v>96</v>
      </c>
      <c r="E41" s="18" t="s">
        <v>34</v>
      </c>
      <c r="F41" s="18">
        <v>1.0</v>
      </c>
      <c r="G41" s="19">
        <f t="shared" si="1"/>
        <v>0.9876717402</v>
      </c>
      <c r="H41" s="17">
        <v>28.0</v>
      </c>
      <c r="I41" s="10">
        <v>170.0</v>
      </c>
      <c r="J41" s="17">
        <v>14.0</v>
      </c>
      <c r="K41" s="17">
        <v>65.0</v>
      </c>
      <c r="L41" s="17"/>
      <c r="M41" s="20">
        <v>6.0</v>
      </c>
      <c r="N41" s="20">
        <v>2.0</v>
      </c>
      <c r="O41" s="20">
        <v>1.0</v>
      </c>
      <c r="P41" s="20">
        <f t="shared" si="2"/>
        <v>3</v>
      </c>
      <c r="Q41" s="21">
        <v>5.0</v>
      </c>
      <c r="R41" s="22">
        <f t="shared" si="3"/>
        <v>172.1219643</v>
      </c>
      <c r="S41" s="23">
        <f t="shared" si="4"/>
        <v>6.071428571</v>
      </c>
      <c r="T41" s="24">
        <f t="shared" si="5"/>
        <v>1.2</v>
      </c>
      <c r="U41" s="26">
        <f t="shared" si="6"/>
        <v>0.7411764706</v>
      </c>
      <c r="V41" s="26">
        <f t="shared" si="7"/>
        <v>0.02352941176</v>
      </c>
      <c r="W41" s="19">
        <f t="shared" si="8"/>
        <v>0.3823529412</v>
      </c>
      <c r="X41" s="20">
        <f t="shared" si="9"/>
        <v>170</v>
      </c>
      <c r="Y41" s="27"/>
      <c r="Z41" s="17"/>
      <c r="AA41" s="28"/>
      <c r="AB41" s="17"/>
      <c r="AC41" s="28"/>
      <c r="AD41" s="27"/>
    </row>
    <row r="42" ht="15.75" customHeight="1">
      <c r="A42" s="27" t="s">
        <v>182</v>
      </c>
      <c r="B42" s="27" t="s">
        <v>183</v>
      </c>
      <c r="C42" s="16" t="s">
        <v>184</v>
      </c>
      <c r="D42" s="17" t="s">
        <v>96</v>
      </c>
      <c r="E42" s="18" t="s">
        <v>34</v>
      </c>
      <c r="F42" s="18">
        <v>1.0</v>
      </c>
      <c r="G42" s="19">
        <f t="shared" si="1"/>
        <v>0.9876717402</v>
      </c>
      <c r="H42" s="17">
        <v>28.0</v>
      </c>
      <c r="I42" s="10">
        <v>170.0</v>
      </c>
      <c r="J42" s="17">
        <v>16.0</v>
      </c>
      <c r="K42" s="17">
        <v>150.0</v>
      </c>
      <c r="L42" s="17">
        <v>190.0</v>
      </c>
      <c r="M42" s="20">
        <v>5.0</v>
      </c>
      <c r="N42" s="20">
        <v>3.0</v>
      </c>
      <c r="O42" s="20">
        <v>1.0</v>
      </c>
      <c r="P42" s="20">
        <f t="shared" si="2"/>
        <v>1</v>
      </c>
      <c r="Q42" s="21">
        <v>6.0</v>
      </c>
      <c r="R42" s="22">
        <f t="shared" si="3"/>
        <v>172.1219643</v>
      </c>
      <c r="S42" s="23">
        <f t="shared" si="4"/>
        <v>6.071428571</v>
      </c>
      <c r="T42" s="24">
        <f t="shared" si="5"/>
        <v>0.8333333333</v>
      </c>
      <c r="U42" s="26">
        <f t="shared" si="6"/>
        <v>0.7659574468</v>
      </c>
      <c r="V42" s="26">
        <f t="shared" si="7"/>
        <v>0.02127659574</v>
      </c>
      <c r="W42" s="19">
        <f t="shared" si="8"/>
        <v>0.8823529412</v>
      </c>
      <c r="X42" s="20">
        <f t="shared" si="9"/>
        <v>170</v>
      </c>
      <c r="Y42" s="27"/>
      <c r="Z42" s="17"/>
      <c r="AA42" s="28"/>
      <c r="AB42" s="17"/>
      <c r="AC42" s="28"/>
      <c r="AD42" s="27"/>
    </row>
    <row r="43" ht="15.75" customHeight="1">
      <c r="A43" s="16" t="s">
        <v>104</v>
      </c>
      <c r="B43" s="16" t="s">
        <v>185</v>
      </c>
      <c r="C43" s="16" t="s">
        <v>186</v>
      </c>
      <c r="D43" s="17" t="s">
        <v>96</v>
      </c>
      <c r="E43" s="18" t="s">
        <v>34</v>
      </c>
      <c r="F43" s="18">
        <v>1.0</v>
      </c>
      <c r="G43" s="19">
        <f t="shared" si="1"/>
        <v>0.9876717402</v>
      </c>
      <c r="H43" s="17">
        <v>28.0</v>
      </c>
      <c r="I43" s="10">
        <v>170.0</v>
      </c>
      <c r="J43" s="17">
        <v>15.0</v>
      </c>
      <c r="K43" s="17">
        <v>0.0</v>
      </c>
      <c r="L43" s="17"/>
      <c r="M43" s="20">
        <v>5.0</v>
      </c>
      <c r="N43" s="20">
        <v>3.0</v>
      </c>
      <c r="O43" s="20">
        <v>1.0</v>
      </c>
      <c r="P43" s="20">
        <f t="shared" si="2"/>
        <v>1</v>
      </c>
      <c r="Q43" s="21">
        <v>6.0</v>
      </c>
      <c r="R43" s="22">
        <f t="shared" si="3"/>
        <v>172.1219643</v>
      </c>
      <c r="S43" s="23">
        <f t="shared" si="4"/>
        <v>6.071428571</v>
      </c>
      <c r="T43" s="24">
        <f t="shared" si="5"/>
        <v>0.8333333333</v>
      </c>
      <c r="U43" s="26">
        <f t="shared" si="6"/>
        <v>0.7541899441</v>
      </c>
      <c r="V43" s="26">
        <f t="shared" si="7"/>
        <v>0.02234636872</v>
      </c>
      <c r="W43" s="19">
        <f t="shared" si="8"/>
        <v>0</v>
      </c>
      <c r="X43" s="20">
        <f t="shared" si="9"/>
        <v>170</v>
      </c>
      <c r="Y43" s="27"/>
      <c r="Z43" s="17"/>
      <c r="AA43" s="28"/>
      <c r="AB43" s="17"/>
      <c r="AC43" s="28"/>
      <c r="AD43" s="27"/>
    </row>
    <row r="44" ht="15.75" customHeight="1">
      <c r="A44" s="27" t="s">
        <v>187</v>
      </c>
      <c r="B44" s="27" t="s">
        <v>188</v>
      </c>
      <c r="C44" s="16" t="s">
        <v>189</v>
      </c>
      <c r="D44" s="17" t="s">
        <v>103</v>
      </c>
      <c r="E44" s="18" t="s">
        <v>34</v>
      </c>
      <c r="F44" s="18">
        <v>1.0</v>
      </c>
      <c r="G44" s="19">
        <f t="shared" si="1"/>
        <v>1.164041694</v>
      </c>
      <c r="H44" s="17">
        <v>33.0</v>
      </c>
      <c r="I44" s="10">
        <v>200.0</v>
      </c>
      <c r="J44" s="17">
        <v>17.0</v>
      </c>
      <c r="K44" s="17">
        <v>55.0</v>
      </c>
      <c r="L44" s="17"/>
      <c r="M44" s="20">
        <v>8.0</v>
      </c>
      <c r="N44" s="20">
        <v>3.0</v>
      </c>
      <c r="O44" s="20">
        <v>4.0</v>
      </c>
      <c r="P44" s="20">
        <f t="shared" si="2"/>
        <v>1</v>
      </c>
      <c r="Q44" s="21">
        <v>5.0</v>
      </c>
      <c r="R44" s="22">
        <f t="shared" si="3"/>
        <v>171.8151515</v>
      </c>
      <c r="S44" s="23">
        <f t="shared" si="4"/>
        <v>6.060606061</v>
      </c>
      <c r="T44" s="24">
        <f t="shared" si="5"/>
        <v>1.6</v>
      </c>
      <c r="U44" s="26">
        <f t="shared" si="6"/>
        <v>0.7463414634</v>
      </c>
      <c r="V44" s="26">
        <f t="shared" si="7"/>
        <v>0.07804878049</v>
      </c>
      <c r="W44" s="19">
        <f t="shared" si="8"/>
        <v>0.275</v>
      </c>
      <c r="X44" s="20">
        <f t="shared" si="9"/>
        <v>200</v>
      </c>
      <c r="Y44" s="16"/>
      <c r="Z44" s="17"/>
      <c r="AA44" s="28"/>
      <c r="AB44" s="17"/>
      <c r="AC44" s="28"/>
      <c r="AD44" s="16"/>
    </row>
    <row r="45" ht="15.75" customHeight="1">
      <c r="A45" s="16" t="s">
        <v>187</v>
      </c>
      <c r="B45" s="16" t="s">
        <v>190</v>
      </c>
      <c r="C45" s="16" t="s">
        <v>191</v>
      </c>
      <c r="D45" s="17" t="s">
        <v>103</v>
      </c>
      <c r="E45" s="18" t="s">
        <v>34</v>
      </c>
      <c r="F45" s="18">
        <v>1.0</v>
      </c>
      <c r="G45" s="19">
        <f t="shared" si="1"/>
        <v>1.164041694</v>
      </c>
      <c r="H45" s="17">
        <v>33.0</v>
      </c>
      <c r="I45" s="10">
        <v>200.0</v>
      </c>
      <c r="J45" s="17">
        <v>18.0</v>
      </c>
      <c r="K45" s="17">
        <v>115.0</v>
      </c>
      <c r="L45" s="17"/>
      <c r="M45" s="20">
        <v>8.0</v>
      </c>
      <c r="N45" s="20">
        <v>2.0</v>
      </c>
      <c r="O45" s="20">
        <v>3.0</v>
      </c>
      <c r="P45" s="20">
        <f t="shared" si="2"/>
        <v>3</v>
      </c>
      <c r="Q45" s="21">
        <v>5.0</v>
      </c>
      <c r="R45" s="22">
        <f t="shared" si="3"/>
        <v>171.8151515</v>
      </c>
      <c r="S45" s="23">
        <f t="shared" si="4"/>
        <v>6.060606061</v>
      </c>
      <c r="T45" s="24">
        <f t="shared" si="5"/>
        <v>1.6</v>
      </c>
      <c r="U45" s="26">
        <f t="shared" si="6"/>
        <v>0.7570093458</v>
      </c>
      <c r="V45" s="26">
        <f t="shared" si="7"/>
        <v>0.05607476636</v>
      </c>
      <c r="W45" s="19">
        <f t="shared" si="8"/>
        <v>0.575</v>
      </c>
      <c r="X45" s="20">
        <f t="shared" si="9"/>
        <v>200</v>
      </c>
      <c r="Y45" s="27"/>
      <c r="Z45" s="17"/>
      <c r="AA45" s="28"/>
      <c r="AB45" s="17"/>
      <c r="AC45" s="28"/>
      <c r="AD45" s="16"/>
    </row>
    <row r="46" ht="15.75" customHeight="1">
      <c r="A46" s="27" t="s">
        <v>187</v>
      </c>
      <c r="B46" s="27" t="s">
        <v>192</v>
      </c>
      <c r="C46" s="16" t="s">
        <v>193</v>
      </c>
      <c r="D46" s="17" t="s">
        <v>103</v>
      </c>
      <c r="E46" s="18" t="s">
        <v>34</v>
      </c>
      <c r="F46" s="18">
        <v>1.0</v>
      </c>
      <c r="G46" s="19">
        <f t="shared" si="1"/>
        <v>1.164041694</v>
      </c>
      <c r="H46" s="17">
        <v>33.0</v>
      </c>
      <c r="I46" s="10">
        <v>200.0</v>
      </c>
      <c r="J46" s="17">
        <v>17.0</v>
      </c>
      <c r="K46" s="17">
        <v>50.0</v>
      </c>
      <c r="L46" s="17"/>
      <c r="M46" s="20">
        <v>8.0</v>
      </c>
      <c r="N46" s="20">
        <v>3.0</v>
      </c>
      <c r="O46" s="20">
        <v>4.0</v>
      </c>
      <c r="P46" s="20">
        <f t="shared" si="2"/>
        <v>1</v>
      </c>
      <c r="Q46" s="21">
        <v>5.0</v>
      </c>
      <c r="R46" s="22">
        <f t="shared" si="3"/>
        <v>171.8151515</v>
      </c>
      <c r="S46" s="23">
        <f t="shared" si="4"/>
        <v>6.060606061</v>
      </c>
      <c r="T46" s="24">
        <f t="shared" si="5"/>
        <v>1.6</v>
      </c>
      <c r="U46" s="26">
        <f t="shared" si="6"/>
        <v>0.7463414634</v>
      </c>
      <c r="V46" s="26">
        <f t="shared" si="7"/>
        <v>0.07804878049</v>
      </c>
      <c r="W46" s="19">
        <f t="shared" si="8"/>
        <v>0.25</v>
      </c>
      <c r="X46" s="20">
        <f t="shared" si="9"/>
        <v>200</v>
      </c>
      <c r="Y46" s="27"/>
      <c r="Z46" s="17"/>
      <c r="AA46" s="28"/>
      <c r="AB46" s="17"/>
      <c r="AC46" s="28"/>
      <c r="AD46" s="27"/>
    </row>
    <row r="47" ht="15.75" customHeight="1">
      <c r="A47" s="27" t="s">
        <v>194</v>
      </c>
      <c r="B47" s="27" t="s">
        <v>195</v>
      </c>
      <c r="C47" s="16" t="s">
        <v>196</v>
      </c>
      <c r="D47" s="17" t="s">
        <v>96</v>
      </c>
      <c r="E47" s="18" t="s">
        <v>34</v>
      </c>
      <c r="F47" s="18">
        <v>1.0</v>
      </c>
      <c r="G47" s="19">
        <f t="shared" si="1"/>
        <v>1.164041694</v>
      </c>
      <c r="H47" s="17">
        <v>33.0</v>
      </c>
      <c r="I47" s="10">
        <v>200.0</v>
      </c>
      <c r="J47" s="17">
        <v>17.0</v>
      </c>
      <c r="K47" s="17">
        <v>180.0</v>
      </c>
      <c r="L47" s="17"/>
      <c r="M47" s="20">
        <v>6.0</v>
      </c>
      <c r="N47" s="20">
        <v>4.0</v>
      </c>
      <c r="O47" s="20">
        <v>0.0</v>
      </c>
      <c r="P47" s="20">
        <f t="shared" si="2"/>
        <v>2</v>
      </c>
      <c r="Q47" s="21">
        <v>8.0</v>
      </c>
      <c r="R47" s="22">
        <f t="shared" si="3"/>
        <v>171.8151515</v>
      </c>
      <c r="S47" s="23">
        <f t="shared" si="4"/>
        <v>6.060606061</v>
      </c>
      <c r="T47" s="24">
        <f t="shared" si="5"/>
        <v>0.75</v>
      </c>
      <c r="U47" s="26">
        <f t="shared" si="6"/>
        <v>0.7320574163</v>
      </c>
      <c r="V47" s="26" t="str">
        <f t="shared" si="7"/>
        <v>0%</v>
      </c>
      <c r="W47" s="19">
        <f t="shared" si="8"/>
        <v>0.9</v>
      </c>
      <c r="X47" s="20">
        <f t="shared" si="9"/>
        <v>200</v>
      </c>
      <c r="Y47" s="27"/>
      <c r="Z47" s="17"/>
      <c r="AA47" s="28"/>
      <c r="AB47" s="17"/>
      <c r="AC47" s="28"/>
      <c r="AD47" s="16"/>
    </row>
    <row r="48" ht="15.75" customHeight="1">
      <c r="A48" s="27" t="s">
        <v>197</v>
      </c>
      <c r="B48" s="27" t="s">
        <v>198</v>
      </c>
      <c r="C48" s="16" t="s">
        <v>199</v>
      </c>
      <c r="D48" s="17" t="s">
        <v>96</v>
      </c>
      <c r="E48" s="18" t="s">
        <v>34</v>
      </c>
      <c r="F48" s="18">
        <v>1.0</v>
      </c>
      <c r="G48" s="19">
        <f t="shared" si="1"/>
        <v>1.164041694</v>
      </c>
      <c r="H48" s="17">
        <v>33.0</v>
      </c>
      <c r="I48" s="10">
        <v>200.0</v>
      </c>
      <c r="J48" s="17">
        <v>16.0</v>
      </c>
      <c r="K48" s="17">
        <v>100.0</v>
      </c>
      <c r="L48" s="17">
        <v>270.0</v>
      </c>
      <c r="M48" s="20">
        <v>5.0</v>
      </c>
      <c r="N48" s="20">
        <v>5.0</v>
      </c>
      <c r="O48" s="20">
        <v>0.0</v>
      </c>
      <c r="P48" s="20">
        <f t="shared" si="2"/>
        <v>0</v>
      </c>
      <c r="Q48" s="21">
        <v>9.0</v>
      </c>
      <c r="R48" s="22">
        <f t="shared" si="3"/>
        <v>171.8151515</v>
      </c>
      <c r="S48" s="23">
        <f t="shared" si="4"/>
        <v>6.060606061</v>
      </c>
      <c r="T48" s="24">
        <f t="shared" si="5"/>
        <v>0.5555555556</v>
      </c>
      <c r="U48" s="26">
        <f t="shared" si="6"/>
        <v>0.72</v>
      </c>
      <c r="V48" s="26" t="str">
        <f t="shared" si="7"/>
        <v>0%</v>
      </c>
      <c r="W48" s="19">
        <f t="shared" si="8"/>
        <v>0.5</v>
      </c>
      <c r="X48" s="20">
        <f t="shared" si="9"/>
        <v>200</v>
      </c>
      <c r="Y48" s="27"/>
      <c r="Z48" s="17"/>
      <c r="AA48" s="28"/>
      <c r="AB48" s="17"/>
      <c r="AC48" s="28"/>
      <c r="AD48" s="16"/>
    </row>
    <row r="49" ht="15.75" customHeight="1">
      <c r="A49" s="27" t="s">
        <v>200</v>
      </c>
      <c r="B49" s="27" t="s">
        <v>201</v>
      </c>
      <c r="C49" s="16" t="s">
        <v>202</v>
      </c>
      <c r="D49" s="17" t="s">
        <v>203</v>
      </c>
      <c r="E49" s="18" t="s">
        <v>34</v>
      </c>
      <c r="F49" s="18">
        <v>1.0</v>
      </c>
      <c r="G49" s="19">
        <f t="shared" si="1"/>
        <v>3.456851091</v>
      </c>
      <c r="H49" s="17">
        <v>98.0</v>
      </c>
      <c r="I49" s="10">
        <v>590.0</v>
      </c>
      <c r="J49" s="17">
        <v>49.3</v>
      </c>
      <c r="K49" s="17">
        <v>180.0</v>
      </c>
      <c r="L49" s="17">
        <v>70.0</v>
      </c>
      <c r="M49" s="20">
        <v>37.0</v>
      </c>
      <c r="N49" s="20">
        <v>5.7</v>
      </c>
      <c r="O49" s="20">
        <v>26.0</v>
      </c>
      <c r="P49" s="20">
        <f t="shared" si="2"/>
        <v>5.3</v>
      </c>
      <c r="Q49" s="21">
        <v>6.0</v>
      </c>
      <c r="R49" s="22">
        <f t="shared" si="3"/>
        <v>170.6755612</v>
      </c>
      <c r="S49" s="23">
        <f t="shared" si="4"/>
        <v>6.020408163</v>
      </c>
      <c r="T49" s="24">
        <f t="shared" si="5"/>
        <v>6.166666667</v>
      </c>
      <c r="U49" s="26">
        <f t="shared" si="6"/>
        <v>0.7206431704</v>
      </c>
      <c r="V49" s="26">
        <f t="shared" si="7"/>
        <v>0.1689134319</v>
      </c>
      <c r="W49" s="19">
        <f t="shared" si="8"/>
        <v>0.3050847458</v>
      </c>
      <c r="X49" s="20">
        <f t="shared" si="9"/>
        <v>590</v>
      </c>
      <c r="Y49" s="27"/>
      <c r="Z49" s="17"/>
      <c r="AA49" s="17"/>
      <c r="AB49" s="17"/>
      <c r="AC49" s="17"/>
      <c r="AD49" s="27"/>
    </row>
    <row r="50" ht="15.75" customHeight="1">
      <c r="A50" s="27" t="s">
        <v>204</v>
      </c>
      <c r="B50" s="27" t="s">
        <v>205</v>
      </c>
      <c r="C50" s="16" t="s">
        <v>206</v>
      </c>
      <c r="D50" s="17" t="s">
        <v>130</v>
      </c>
      <c r="E50" s="18" t="s">
        <v>34</v>
      </c>
      <c r="F50" s="18">
        <v>1.0</v>
      </c>
      <c r="G50" s="19">
        <f t="shared" si="1"/>
        <v>1.410959629</v>
      </c>
      <c r="H50" s="17">
        <v>40.0</v>
      </c>
      <c r="I50" s="10">
        <v>240.0</v>
      </c>
      <c r="J50" s="17">
        <v>18.0</v>
      </c>
      <c r="K50" s="17">
        <v>65.0</v>
      </c>
      <c r="L50" s="17"/>
      <c r="M50" s="20">
        <v>14.0</v>
      </c>
      <c r="N50" s="20">
        <v>4.0</v>
      </c>
      <c r="O50" s="20">
        <v>11.0</v>
      </c>
      <c r="P50" s="20">
        <f t="shared" si="2"/>
        <v>-1</v>
      </c>
      <c r="Q50" s="21">
        <v>3.0</v>
      </c>
      <c r="R50" s="22">
        <f t="shared" si="3"/>
        <v>170.097</v>
      </c>
      <c r="S50" s="23">
        <f t="shared" si="4"/>
        <v>6</v>
      </c>
      <c r="T50" s="24">
        <f t="shared" si="5"/>
        <v>4.666666667</v>
      </c>
      <c r="U50" s="26">
        <f t="shared" si="6"/>
        <v>0.7043478261</v>
      </c>
      <c r="V50" s="26">
        <f t="shared" si="7"/>
        <v>0.1913043478</v>
      </c>
      <c r="W50" s="19">
        <f t="shared" si="8"/>
        <v>0.2708333333</v>
      </c>
      <c r="X50" s="20">
        <f t="shared" si="9"/>
        <v>240</v>
      </c>
      <c r="Y50" s="27"/>
      <c r="Z50" s="17"/>
      <c r="AA50" s="28"/>
      <c r="AB50" s="17"/>
      <c r="AC50" s="28"/>
      <c r="AD50" s="27"/>
    </row>
    <row r="51" ht="15.75" customHeight="1">
      <c r="A51" s="27" t="s">
        <v>144</v>
      </c>
      <c r="B51" s="27" t="s">
        <v>207</v>
      </c>
      <c r="C51" s="16" t="s">
        <v>208</v>
      </c>
      <c r="D51" s="17" t="s">
        <v>130</v>
      </c>
      <c r="E51" s="18" t="s">
        <v>34</v>
      </c>
      <c r="F51" s="18">
        <v>1.0</v>
      </c>
      <c r="G51" s="19">
        <f t="shared" si="1"/>
        <v>1.410959629</v>
      </c>
      <c r="H51" s="17">
        <v>40.0</v>
      </c>
      <c r="I51" s="10">
        <v>240.0</v>
      </c>
      <c r="J51" s="17">
        <v>22.0</v>
      </c>
      <c r="K51" s="17">
        <v>10.0</v>
      </c>
      <c r="L51" s="17"/>
      <c r="M51" s="20">
        <v>12.0</v>
      </c>
      <c r="N51" s="20">
        <v>5.0</v>
      </c>
      <c r="O51" s="20">
        <v>3.0</v>
      </c>
      <c r="P51" s="20">
        <f t="shared" si="2"/>
        <v>4</v>
      </c>
      <c r="Q51" s="21">
        <v>4.0</v>
      </c>
      <c r="R51" s="22">
        <f t="shared" si="3"/>
        <v>170.097</v>
      </c>
      <c r="S51" s="23">
        <f t="shared" si="4"/>
        <v>6</v>
      </c>
      <c r="T51" s="24">
        <f t="shared" si="5"/>
        <v>3</v>
      </c>
      <c r="U51" s="26">
        <f t="shared" si="6"/>
        <v>0.7557251908</v>
      </c>
      <c r="V51" s="26">
        <f t="shared" si="7"/>
        <v>0.04580152672</v>
      </c>
      <c r="W51" s="19">
        <f t="shared" si="8"/>
        <v>0.04166666667</v>
      </c>
      <c r="X51" s="20">
        <f t="shared" si="9"/>
        <v>240</v>
      </c>
      <c r="Y51" s="27"/>
      <c r="Z51" s="17"/>
      <c r="AA51" s="28"/>
      <c r="AB51" s="17"/>
      <c r="AC51" s="28"/>
      <c r="AD51" s="27"/>
    </row>
    <row r="52" ht="15.75" customHeight="1">
      <c r="A52" s="27" t="s">
        <v>209</v>
      </c>
      <c r="B52" s="27" t="s">
        <v>210</v>
      </c>
      <c r="C52" s="16" t="s">
        <v>211</v>
      </c>
      <c r="D52" s="17" t="s">
        <v>212</v>
      </c>
      <c r="E52" s="18" t="s">
        <v>34</v>
      </c>
      <c r="F52" s="18">
        <v>1.0</v>
      </c>
      <c r="G52" s="19">
        <f t="shared" si="1"/>
        <v>1.234589675</v>
      </c>
      <c r="H52" s="17">
        <v>35.0</v>
      </c>
      <c r="I52" s="10">
        <v>210.0</v>
      </c>
      <c r="J52" s="17">
        <v>17.0</v>
      </c>
      <c r="K52" s="17">
        <v>60.0</v>
      </c>
      <c r="L52" s="17">
        <v>190.0</v>
      </c>
      <c r="M52" s="20">
        <v>11.0</v>
      </c>
      <c r="N52" s="20">
        <v>3.0</v>
      </c>
      <c r="O52" s="20">
        <v>6.0</v>
      </c>
      <c r="P52" s="20">
        <f t="shared" si="2"/>
        <v>2</v>
      </c>
      <c r="Q52" s="21">
        <v>6.0</v>
      </c>
      <c r="R52" s="22">
        <f t="shared" si="3"/>
        <v>170.097</v>
      </c>
      <c r="S52" s="23">
        <f t="shared" si="4"/>
        <v>6</v>
      </c>
      <c r="T52" s="24">
        <f t="shared" si="5"/>
        <v>1.833333333</v>
      </c>
      <c r="U52" s="26">
        <f t="shared" si="6"/>
        <v>0.6923076923</v>
      </c>
      <c r="V52" s="26">
        <f t="shared" si="7"/>
        <v>0.1085972851</v>
      </c>
      <c r="W52" s="19">
        <f t="shared" si="8"/>
        <v>0.2857142857</v>
      </c>
      <c r="X52" s="20">
        <f t="shared" si="9"/>
        <v>210</v>
      </c>
      <c r="Y52" s="27"/>
      <c r="Z52" s="17"/>
      <c r="AA52" s="28"/>
      <c r="AB52" s="17"/>
      <c r="AC52" s="28"/>
      <c r="AD52" s="27"/>
    </row>
    <row r="53" ht="15.75" customHeight="1">
      <c r="A53" s="27" t="s">
        <v>213</v>
      </c>
      <c r="B53" s="27" t="s">
        <v>214</v>
      </c>
      <c r="C53" s="16" t="s">
        <v>215</v>
      </c>
      <c r="D53" s="17" t="s">
        <v>203</v>
      </c>
      <c r="E53" s="18" t="s">
        <v>34</v>
      </c>
      <c r="F53" s="18">
        <v>1.0</v>
      </c>
      <c r="G53" s="19">
        <f t="shared" si="1"/>
        <v>1.058219722</v>
      </c>
      <c r="H53" s="17">
        <v>30.0</v>
      </c>
      <c r="I53" s="10">
        <v>180.0</v>
      </c>
      <c r="J53" s="17">
        <v>14.0</v>
      </c>
      <c r="K53" s="17">
        <v>400.0</v>
      </c>
      <c r="L53" s="17"/>
      <c r="M53" s="20">
        <v>12.0</v>
      </c>
      <c r="N53" s="20">
        <v>3.0</v>
      </c>
      <c r="O53" s="20">
        <v>1.0</v>
      </c>
      <c r="P53" s="20">
        <f t="shared" si="2"/>
        <v>8</v>
      </c>
      <c r="Q53" s="21">
        <v>8.0</v>
      </c>
      <c r="R53" s="22">
        <f t="shared" si="3"/>
        <v>170.097</v>
      </c>
      <c r="S53" s="23">
        <f t="shared" si="4"/>
        <v>6</v>
      </c>
      <c r="T53" s="24">
        <f t="shared" si="5"/>
        <v>1.5</v>
      </c>
      <c r="U53" s="26">
        <f t="shared" si="6"/>
        <v>0.6116504854</v>
      </c>
      <c r="V53" s="26">
        <f t="shared" si="7"/>
        <v>0.01941747573</v>
      </c>
      <c r="W53" s="19">
        <f t="shared" si="8"/>
        <v>2.222222222</v>
      </c>
      <c r="X53" s="20">
        <f t="shared" si="9"/>
        <v>180</v>
      </c>
      <c r="Y53" s="27"/>
      <c r="Z53" s="17"/>
      <c r="AA53" s="17"/>
      <c r="AB53" s="17"/>
      <c r="AC53" s="17"/>
      <c r="AD53" s="27"/>
    </row>
    <row r="54" ht="15.75" customHeight="1">
      <c r="A54" s="27" t="s">
        <v>139</v>
      </c>
      <c r="B54" s="27" t="s">
        <v>216</v>
      </c>
      <c r="C54" s="16" t="s">
        <v>217</v>
      </c>
      <c r="D54" s="17" t="s">
        <v>96</v>
      </c>
      <c r="E54" s="18" t="s">
        <v>34</v>
      </c>
      <c r="F54" s="18">
        <v>1.0</v>
      </c>
      <c r="G54" s="19">
        <f t="shared" si="1"/>
        <v>1.763699536</v>
      </c>
      <c r="H54" s="17">
        <v>50.0</v>
      </c>
      <c r="I54" s="10">
        <v>300.0</v>
      </c>
      <c r="J54" s="17">
        <v>26.0</v>
      </c>
      <c r="K54" s="17">
        <v>160.0</v>
      </c>
      <c r="L54" s="17"/>
      <c r="M54" s="20">
        <v>8.0</v>
      </c>
      <c r="N54" s="20">
        <v>5.0</v>
      </c>
      <c r="O54" s="20">
        <v>2.0</v>
      </c>
      <c r="P54" s="20">
        <f t="shared" si="2"/>
        <v>1</v>
      </c>
      <c r="Q54" s="21">
        <v>14.0</v>
      </c>
      <c r="R54" s="22">
        <f t="shared" si="3"/>
        <v>170.097</v>
      </c>
      <c r="S54" s="23">
        <f t="shared" si="4"/>
        <v>6</v>
      </c>
      <c r="T54" s="24">
        <f t="shared" si="5"/>
        <v>0.5714285714</v>
      </c>
      <c r="U54" s="26">
        <f t="shared" si="6"/>
        <v>0.7267080745</v>
      </c>
      <c r="V54" s="26">
        <f t="shared" si="7"/>
        <v>0.0248447205</v>
      </c>
      <c r="W54" s="19">
        <f t="shared" si="8"/>
        <v>0.5333333333</v>
      </c>
      <c r="X54" s="20">
        <f t="shared" si="9"/>
        <v>300</v>
      </c>
      <c r="Y54" s="27"/>
      <c r="Z54" s="17"/>
      <c r="AA54" s="28"/>
      <c r="AB54" s="17"/>
      <c r="AC54" s="28"/>
      <c r="AD54" s="27"/>
    </row>
    <row r="55" ht="15.75" customHeight="1">
      <c r="A55" s="27" t="s">
        <v>104</v>
      </c>
      <c r="B55" s="27" t="s">
        <v>218</v>
      </c>
      <c r="C55" s="16" t="s">
        <v>219</v>
      </c>
      <c r="D55" s="17" t="s">
        <v>96</v>
      </c>
      <c r="E55" s="18" t="s">
        <v>34</v>
      </c>
      <c r="F55" s="18">
        <v>1.0</v>
      </c>
      <c r="G55" s="19">
        <f t="shared" si="1"/>
        <v>1.058219722</v>
      </c>
      <c r="H55" s="17">
        <v>30.0</v>
      </c>
      <c r="I55" s="10">
        <v>180.0</v>
      </c>
      <c r="J55" s="17">
        <v>14.0</v>
      </c>
      <c r="K55" s="17">
        <v>5.0</v>
      </c>
      <c r="L55" s="17"/>
      <c r="M55" s="20">
        <v>4.0</v>
      </c>
      <c r="N55" s="20">
        <v>3.0</v>
      </c>
      <c r="O55" s="20">
        <v>1.0</v>
      </c>
      <c r="P55" s="20">
        <f t="shared" si="2"/>
        <v>0</v>
      </c>
      <c r="Q55" s="21">
        <v>9.0</v>
      </c>
      <c r="R55" s="22">
        <f t="shared" si="3"/>
        <v>170.097</v>
      </c>
      <c r="S55" s="23">
        <f t="shared" si="4"/>
        <v>6</v>
      </c>
      <c r="T55" s="24">
        <f t="shared" si="5"/>
        <v>0.4444444444</v>
      </c>
      <c r="U55" s="26">
        <f t="shared" si="6"/>
        <v>0.7078651685</v>
      </c>
      <c r="V55" s="26">
        <f t="shared" si="7"/>
        <v>0.02247191011</v>
      </c>
      <c r="W55" s="19">
        <f t="shared" si="8"/>
        <v>0.02777777778</v>
      </c>
      <c r="X55" s="20">
        <f t="shared" si="9"/>
        <v>180</v>
      </c>
      <c r="Y55" s="27"/>
      <c r="Z55" s="17"/>
      <c r="AA55" s="28"/>
      <c r="AB55" s="17"/>
      <c r="AC55" s="28"/>
      <c r="AD55" s="27"/>
    </row>
    <row r="56" ht="15.75" customHeight="1">
      <c r="A56" s="27" t="s">
        <v>169</v>
      </c>
      <c r="B56" s="27" t="s">
        <v>220</v>
      </c>
      <c r="C56" s="16" t="s">
        <v>221</v>
      </c>
      <c r="D56" s="17" t="s">
        <v>130</v>
      </c>
      <c r="E56" s="18" t="s">
        <v>34</v>
      </c>
      <c r="F56" s="18">
        <v>1.0</v>
      </c>
      <c r="G56" s="19">
        <f t="shared" si="1"/>
        <v>1.48150761</v>
      </c>
      <c r="H56" s="17">
        <v>42.0</v>
      </c>
      <c r="I56" s="10">
        <v>250.0</v>
      </c>
      <c r="J56" s="17">
        <v>19.0</v>
      </c>
      <c r="K56" s="17">
        <v>0.0</v>
      </c>
      <c r="L56" s="17"/>
      <c r="M56" s="20">
        <v>19.0</v>
      </c>
      <c r="N56" s="20">
        <v>5.0</v>
      </c>
      <c r="O56" s="20">
        <v>11.0</v>
      </c>
      <c r="P56" s="20">
        <f t="shared" si="2"/>
        <v>3</v>
      </c>
      <c r="Q56" s="21">
        <v>3.0</v>
      </c>
      <c r="R56" s="22">
        <f t="shared" si="3"/>
        <v>168.7470238</v>
      </c>
      <c r="S56" s="23">
        <f t="shared" si="4"/>
        <v>5.952380952</v>
      </c>
      <c r="T56" s="24">
        <f t="shared" si="5"/>
        <v>6.333333333</v>
      </c>
      <c r="U56" s="26">
        <f t="shared" si="6"/>
        <v>0.6602316602</v>
      </c>
      <c r="V56" s="26">
        <f t="shared" si="7"/>
        <v>0.1698841699</v>
      </c>
      <c r="W56" s="19">
        <f t="shared" si="8"/>
        <v>0</v>
      </c>
      <c r="X56" s="20">
        <f t="shared" si="9"/>
        <v>250</v>
      </c>
      <c r="Y56" s="27"/>
      <c r="Z56" s="17"/>
      <c r="AA56" s="28"/>
      <c r="AB56" s="17"/>
      <c r="AC56" s="28"/>
      <c r="AD56" s="27"/>
    </row>
    <row r="57" ht="15.75" customHeight="1">
      <c r="A57" s="16" t="s">
        <v>100</v>
      </c>
      <c r="B57" s="16" t="s">
        <v>222</v>
      </c>
      <c r="C57" s="16" t="s">
        <v>223</v>
      </c>
      <c r="D57" s="17" t="s">
        <v>130</v>
      </c>
      <c r="E57" s="18" t="s">
        <v>34</v>
      </c>
      <c r="F57" s="18">
        <v>1.0</v>
      </c>
      <c r="G57" s="19">
        <f t="shared" si="1"/>
        <v>1.305137657</v>
      </c>
      <c r="H57" s="17">
        <v>37.0</v>
      </c>
      <c r="I57" s="10">
        <v>220.0</v>
      </c>
      <c r="J57" s="17">
        <v>14.0</v>
      </c>
      <c r="K57" s="17">
        <v>120.0</v>
      </c>
      <c r="L57" s="17"/>
      <c r="M57" s="20">
        <v>19.0</v>
      </c>
      <c r="N57" s="20">
        <v>2.0</v>
      </c>
      <c r="O57" s="20">
        <v>15.0</v>
      </c>
      <c r="P57" s="20">
        <f t="shared" si="2"/>
        <v>2</v>
      </c>
      <c r="Q57" s="21">
        <v>4.0</v>
      </c>
      <c r="R57" s="22">
        <f t="shared" si="3"/>
        <v>168.5645946</v>
      </c>
      <c r="S57" s="23">
        <f t="shared" si="4"/>
        <v>5.945945946</v>
      </c>
      <c r="T57" s="24">
        <f t="shared" si="5"/>
        <v>4.75</v>
      </c>
      <c r="U57" s="26">
        <f t="shared" si="6"/>
        <v>0.5779816514</v>
      </c>
      <c r="V57" s="26">
        <f t="shared" si="7"/>
        <v>0.2752293578</v>
      </c>
      <c r="W57" s="19">
        <f t="shared" si="8"/>
        <v>0.5454545455</v>
      </c>
      <c r="X57" s="20">
        <f t="shared" si="9"/>
        <v>220</v>
      </c>
      <c r="Y57" s="27"/>
      <c r="Z57" s="17"/>
      <c r="AA57" s="28"/>
      <c r="AB57" s="17"/>
      <c r="AC57" s="28"/>
      <c r="AD57" s="27"/>
    </row>
    <row r="58" ht="15.75" customHeight="1">
      <c r="A58" s="16" t="s">
        <v>224</v>
      </c>
      <c r="B58" s="16" t="s">
        <v>225</v>
      </c>
      <c r="C58" s="16" t="s">
        <v>226</v>
      </c>
      <c r="D58" s="17" t="s">
        <v>103</v>
      </c>
      <c r="E58" s="18" t="s">
        <v>34</v>
      </c>
      <c r="F58" s="18">
        <v>1.0</v>
      </c>
      <c r="G58" s="19">
        <f t="shared" si="1"/>
        <v>1.128767703</v>
      </c>
      <c r="H58" s="17">
        <v>32.0</v>
      </c>
      <c r="I58" s="10">
        <v>190.0</v>
      </c>
      <c r="J58" s="17">
        <v>16.0</v>
      </c>
      <c r="K58" s="17">
        <v>45.0</v>
      </c>
      <c r="L58" s="17"/>
      <c r="M58" s="20">
        <v>9.0</v>
      </c>
      <c r="N58" s="20">
        <v>2.0</v>
      </c>
      <c r="O58" s="20">
        <v>2.0</v>
      </c>
      <c r="P58" s="20">
        <f t="shared" si="2"/>
        <v>5</v>
      </c>
      <c r="Q58" s="21">
        <v>6.0</v>
      </c>
      <c r="R58" s="22">
        <f t="shared" si="3"/>
        <v>168.3251563</v>
      </c>
      <c r="S58" s="23">
        <f t="shared" si="4"/>
        <v>5.9375</v>
      </c>
      <c r="T58" s="24">
        <f t="shared" si="5"/>
        <v>1.5</v>
      </c>
      <c r="U58" s="26">
        <f t="shared" si="6"/>
        <v>0.7058823529</v>
      </c>
      <c r="V58" s="26">
        <f t="shared" si="7"/>
        <v>0.03921568627</v>
      </c>
      <c r="W58" s="19">
        <f t="shared" si="8"/>
        <v>0.2368421053</v>
      </c>
      <c r="X58" s="20">
        <f t="shared" si="9"/>
        <v>190</v>
      </c>
      <c r="Y58" s="27"/>
      <c r="Z58" s="17"/>
      <c r="AA58" s="28"/>
      <c r="AB58" s="17"/>
      <c r="AC58" s="28"/>
      <c r="AD58" s="27"/>
    </row>
    <row r="59" ht="15.75" customHeight="1">
      <c r="A59" s="16" t="s">
        <v>224</v>
      </c>
      <c r="B59" s="16" t="s">
        <v>227</v>
      </c>
      <c r="C59" s="16" t="s">
        <v>228</v>
      </c>
      <c r="D59" s="17" t="s">
        <v>103</v>
      </c>
      <c r="E59" s="18" t="s">
        <v>34</v>
      </c>
      <c r="F59" s="18">
        <v>1.0</v>
      </c>
      <c r="G59" s="19">
        <f t="shared" si="1"/>
        <v>1.128767703</v>
      </c>
      <c r="H59" s="17">
        <v>32.0</v>
      </c>
      <c r="I59" s="10">
        <v>190.0</v>
      </c>
      <c r="J59" s="17">
        <v>16.0</v>
      </c>
      <c r="K59" s="17">
        <v>55.0</v>
      </c>
      <c r="L59" s="17"/>
      <c r="M59" s="20">
        <v>9.0</v>
      </c>
      <c r="N59" s="20">
        <v>2.0</v>
      </c>
      <c r="O59" s="20">
        <v>5.0</v>
      </c>
      <c r="P59" s="20">
        <f t="shared" si="2"/>
        <v>2</v>
      </c>
      <c r="Q59" s="21">
        <v>8.0</v>
      </c>
      <c r="R59" s="22">
        <f t="shared" si="3"/>
        <v>168.3251563</v>
      </c>
      <c r="S59" s="23">
        <f t="shared" si="4"/>
        <v>5.9375</v>
      </c>
      <c r="T59" s="24">
        <f t="shared" si="5"/>
        <v>1.125</v>
      </c>
      <c r="U59" s="26">
        <f t="shared" si="6"/>
        <v>0.679245283</v>
      </c>
      <c r="V59" s="26">
        <f t="shared" si="7"/>
        <v>0.09433962264</v>
      </c>
      <c r="W59" s="19">
        <f t="shared" si="8"/>
        <v>0.2894736842</v>
      </c>
      <c r="X59" s="20">
        <f t="shared" si="9"/>
        <v>190</v>
      </c>
      <c r="Y59" s="27"/>
      <c r="Z59" s="17"/>
      <c r="AA59" s="28"/>
      <c r="AB59" s="17"/>
      <c r="AC59" s="28"/>
      <c r="AD59" s="27"/>
    </row>
    <row r="60" ht="15.75" customHeight="1">
      <c r="A60" s="27" t="s">
        <v>229</v>
      </c>
      <c r="B60" s="27" t="s">
        <v>230</v>
      </c>
      <c r="C60" s="16" t="s">
        <v>231</v>
      </c>
      <c r="D60" s="17" t="s">
        <v>103</v>
      </c>
      <c r="E60" s="18" t="s">
        <v>34</v>
      </c>
      <c r="F60" s="18">
        <v>1.0</v>
      </c>
      <c r="G60" s="19">
        <f t="shared" si="1"/>
        <v>1.128767703</v>
      </c>
      <c r="H60" s="17">
        <v>32.0</v>
      </c>
      <c r="I60" s="10">
        <v>190.0</v>
      </c>
      <c r="J60" s="17">
        <v>16.0</v>
      </c>
      <c r="K60" s="17">
        <v>150.0</v>
      </c>
      <c r="L60" s="17">
        <v>90.0</v>
      </c>
      <c r="M60" s="20">
        <v>6.0</v>
      </c>
      <c r="N60" s="20">
        <v>2.0</v>
      </c>
      <c r="O60" s="20">
        <v>3.0</v>
      </c>
      <c r="P60" s="20">
        <f t="shared" si="2"/>
        <v>1</v>
      </c>
      <c r="Q60" s="21">
        <v>7.0</v>
      </c>
      <c r="R60" s="22">
        <f t="shared" si="3"/>
        <v>168.3251563</v>
      </c>
      <c r="S60" s="23">
        <f t="shared" si="4"/>
        <v>5.9375</v>
      </c>
      <c r="T60" s="24">
        <f t="shared" si="5"/>
        <v>0.8571428571</v>
      </c>
      <c r="U60" s="26">
        <f t="shared" si="6"/>
        <v>0.7346938776</v>
      </c>
      <c r="V60" s="26">
        <f t="shared" si="7"/>
        <v>0.0612244898</v>
      </c>
      <c r="W60" s="19">
        <f t="shared" si="8"/>
        <v>0.7894736842</v>
      </c>
      <c r="X60" s="20">
        <f t="shared" si="9"/>
        <v>190</v>
      </c>
      <c r="Y60" s="27"/>
      <c r="Z60" s="17"/>
      <c r="AA60" s="28"/>
      <c r="AB60" s="17"/>
      <c r="AC60" s="28"/>
      <c r="AD60" s="27"/>
    </row>
    <row r="61" ht="15.75" customHeight="1">
      <c r="A61" s="27" t="s">
        <v>232</v>
      </c>
      <c r="B61" s="27" t="s">
        <v>233</v>
      </c>
      <c r="C61" s="16" t="s">
        <v>234</v>
      </c>
      <c r="D61" s="17" t="s">
        <v>212</v>
      </c>
      <c r="E61" s="18" t="s">
        <v>34</v>
      </c>
      <c r="F61" s="18">
        <v>1.0</v>
      </c>
      <c r="G61" s="19">
        <f t="shared" si="1"/>
        <v>1.199315685</v>
      </c>
      <c r="H61" s="17">
        <v>34.0</v>
      </c>
      <c r="I61" s="10">
        <v>200.0</v>
      </c>
      <c r="J61" s="17">
        <v>15.0</v>
      </c>
      <c r="K61" s="17">
        <v>65.0</v>
      </c>
      <c r="L61" s="17"/>
      <c r="M61" s="20">
        <v>16.0</v>
      </c>
      <c r="N61" s="20">
        <v>5.0</v>
      </c>
      <c r="O61" s="20">
        <v>10.0</v>
      </c>
      <c r="P61" s="20">
        <f t="shared" si="2"/>
        <v>1</v>
      </c>
      <c r="Q61" s="21">
        <v>2.0</v>
      </c>
      <c r="R61" s="22">
        <f t="shared" si="3"/>
        <v>166.7617647</v>
      </c>
      <c r="S61" s="23">
        <f t="shared" si="4"/>
        <v>5.882352941</v>
      </c>
      <c r="T61" s="24">
        <f t="shared" si="5"/>
        <v>8</v>
      </c>
      <c r="U61" s="26">
        <f t="shared" si="6"/>
        <v>0.652173913</v>
      </c>
      <c r="V61" s="26">
        <f t="shared" si="7"/>
        <v>0.193236715</v>
      </c>
      <c r="W61" s="19">
        <f t="shared" si="8"/>
        <v>0.325</v>
      </c>
      <c r="X61" s="20">
        <f t="shared" si="9"/>
        <v>200</v>
      </c>
      <c r="Y61" s="27"/>
      <c r="Z61" s="17"/>
      <c r="AA61" s="28"/>
      <c r="AB61" s="17"/>
      <c r="AC61" s="28"/>
      <c r="AD61" s="27"/>
    </row>
    <row r="62" ht="15.75" customHeight="1">
      <c r="A62" s="16" t="s">
        <v>109</v>
      </c>
      <c r="B62" s="16" t="s">
        <v>235</v>
      </c>
      <c r="C62" s="16" t="s">
        <v>236</v>
      </c>
      <c r="D62" s="17" t="s">
        <v>96</v>
      </c>
      <c r="E62" s="18" t="s">
        <v>34</v>
      </c>
      <c r="F62" s="18">
        <v>1.0</v>
      </c>
      <c r="G62" s="19">
        <f t="shared" si="1"/>
        <v>0.9876717402</v>
      </c>
      <c r="H62" s="17">
        <v>28.0</v>
      </c>
      <c r="I62" s="10">
        <v>164.0</v>
      </c>
      <c r="J62" s="17">
        <v>14.0</v>
      </c>
      <c r="K62" s="17">
        <v>3.0</v>
      </c>
      <c r="L62" s="17"/>
      <c r="M62" s="20">
        <v>6.0</v>
      </c>
      <c r="N62" s="20">
        <v>2.0</v>
      </c>
      <c r="O62" s="20">
        <v>1.0</v>
      </c>
      <c r="P62" s="20">
        <f t="shared" si="2"/>
        <v>3</v>
      </c>
      <c r="Q62" s="21">
        <v>6.0</v>
      </c>
      <c r="R62" s="22">
        <f t="shared" si="3"/>
        <v>166.0470714</v>
      </c>
      <c r="S62" s="23">
        <f t="shared" si="4"/>
        <v>5.857142857</v>
      </c>
      <c r="T62" s="24">
        <f t="shared" si="5"/>
        <v>1</v>
      </c>
      <c r="U62" s="26">
        <f t="shared" si="6"/>
        <v>0.724137931</v>
      </c>
      <c r="V62" s="26">
        <f t="shared" si="7"/>
        <v>0.02298850575</v>
      </c>
      <c r="W62" s="19">
        <f t="shared" si="8"/>
        <v>0.01829268293</v>
      </c>
      <c r="X62" s="20">
        <f t="shared" si="9"/>
        <v>164</v>
      </c>
      <c r="Y62" s="27"/>
      <c r="Z62" s="17"/>
      <c r="AA62" s="28"/>
      <c r="AB62" s="17"/>
      <c r="AC62" s="28"/>
      <c r="AD62" s="16"/>
    </row>
    <row r="63" ht="15.75" customHeight="1">
      <c r="A63" s="27" t="s">
        <v>237</v>
      </c>
      <c r="B63" s="27" t="s">
        <v>238</v>
      </c>
      <c r="C63" s="16" t="s">
        <v>239</v>
      </c>
      <c r="D63" s="17" t="s">
        <v>240</v>
      </c>
      <c r="E63" s="18" t="s">
        <v>34</v>
      </c>
      <c r="F63" s="18">
        <v>1.0</v>
      </c>
      <c r="G63" s="19">
        <f t="shared" si="1"/>
        <v>0.4232878887</v>
      </c>
      <c r="H63" s="17">
        <v>12.0</v>
      </c>
      <c r="I63" s="10">
        <v>70.0</v>
      </c>
      <c r="J63" s="17">
        <v>5.0</v>
      </c>
      <c r="K63" s="17">
        <v>150.0</v>
      </c>
      <c r="L63" s="17"/>
      <c r="M63" s="20">
        <v>0.0</v>
      </c>
      <c r="N63" s="20">
        <v>0.0</v>
      </c>
      <c r="O63" s="20">
        <v>0.0</v>
      </c>
      <c r="P63" s="20">
        <f t="shared" si="2"/>
        <v>0</v>
      </c>
      <c r="Q63" s="21">
        <v>4.0</v>
      </c>
      <c r="R63" s="22">
        <f t="shared" si="3"/>
        <v>165.3720833</v>
      </c>
      <c r="S63" s="23">
        <f t="shared" si="4"/>
        <v>5.833333333</v>
      </c>
      <c r="T63" s="24">
        <f t="shared" si="5"/>
        <v>0</v>
      </c>
      <c r="U63" s="26">
        <f t="shared" si="6"/>
        <v>0.737704918</v>
      </c>
      <c r="V63" s="26" t="str">
        <f t="shared" si="7"/>
        <v>0%</v>
      </c>
      <c r="W63" s="19">
        <f t="shared" si="8"/>
        <v>2.142857143</v>
      </c>
      <c r="X63" s="20">
        <f t="shared" si="9"/>
        <v>70</v>
      </c>
      <c r="Y63" s="27"/>
      <c r="Z63" s="17"/>
      <c r="AA63" s="28"/>
      <c r="AB63" s="17"/>
      <c r="AC63" s="28"/>
      <c r="AD63" s="27"/>
    </row>
    <row r="64" ht="15.75" customHeight="1">
      <c r="A64" s="27" t="s">
        <v>241</v>
      </c>
      <c r="B64" s="27" t="s">
        <v>242</v>
      </c>
      <c r="C64" s="16" t="s">
        <v>243</v>
      </c>
      <c r="D64" s="17" t="s">
        <v>103</v>
      </c>
      <c r="E64" s="18" t="s">
        <v>34</v>
      </c>
      <c r="F64" s="18">
        <v>1.0</v>
      </c>
      <c r="G64" s="19">
        <f t="shared" si="1"/>
        <v>1.516781601</v>
      </c>
      <c r="H64" s="17">
        <v>43.0</v>
      </c>
      <c r="I64" s="10">
        <v>250.0</v>
      </c>
      <c r="J64" s="17">
        <v>22.0</v>
      </c>
      <c r="K64" s="17">
        <v>180.0</v>
      </c>
      <c r="L64" s="17"/>
      <c r="M64" s="20">
        <v>11.0</v>
      </c>
      <c r="N64" s="20">
        <v>3.0</v>
      </c>
      <c r="O64" s="20">
        <v>4.0</v>
      </c>
      <c r="P64" s="20">
        <f t="shared" si="2"/>
        <v>4</v>
      </c>
      <c r="Q64" s="21">
        <v>9.0</v>
      </c>
      <c r="R64" s="22">
        <f t="shared" si="3"/>
        <v>164.8226744</v>
      </c>
      <c r="S64" s="23">
        <f t="shared" si="4"/>
        <v>5.813953488</v>
      </c>
      <c r="T64" s="24">
        <f t="shared" si="5"/>
        <v>1.222222222</v>
      </c>
      <c r="U64" s="26">
        <f t="shared" si="6"/>
        <v>0.7122302158</v>
      </c>
      <c r="V64" s="26">
        <f t="shared" si="7"/>
        <v>0.05755395683</v>
      </c>
      <c r="W64" s="19">
        <f t="shared" si="8"/>
        <v>0.72</v>
      </c>
      <c r="X64" s="20">
        <f t="shared" si="9"/>
        <v>250</v>
      </c>
      <c r="Y64" s="27"/>
      <c r="Z64" s="17"/>
      <c r="AA64" s="28"/>
      <c r="AB64" s="17"/>
      <c r="AC64" s="28"/>
      <c r="AD64" s="16"/>
    </row>
    <row r="65" ht="15.75" customHeight="1">
      <c r="A65" s="27" t="s">
        <v>244</v>
      </c>
      <c r="B65" s="27" t="s">
        <v>245</v>
      </c>
      <c r="C65" s="16" t="s">
        <v>246</v>
      </c>
      <c r="D65" s="17" t="s">
        <v>247</v>
      </c>
      <c r="E65" s="18" t="s">
        <v>34</v>
      </c>
      <c r="F65" s="18">
        <v>1.0</v>
      </c>
      <c r="G65" s="19">
        <f t="shared" si="1"/>
        <v>0.9171237588</v>
      </c>
      <c r="H65" s="17">
        <v>26.0</v>
      </c>
      <c r="I65" s="10">
        <v>150.0</v>
      </c>
      <c r="J65" s="17">
        <v>13.0</v>
      </c>
      <c r="K65" s="17">
        <v>380.0</v>
      </c>
      <c r="L65" s="17"/>
      <c r="M65" s="20">
        <v>0.0</v>
      </c>
      <c r="N65" s="20">
        <v>0.0</v>
      </c>
      <c r="O65" s="20">
        <v>0.0</v>
      </c>
      <c r="P65" s="20">
        <f t="shared" si="2"/>
        <v>0</v>
      </c>
      <c r="Q65" s="21">
        <v>8.0</v>
      </c>
      <c r="R65" s="22">
        <f t="shared" si="3"/>
        <v>163.5548077</v>
      </c>
      <c r="S65" s="23">
        <f t="shared" si="4"/>
        <v>5.769230769</v>
      </c>
      <c r="T65" s="24">
        <f t="shared" si="5"/>
        <v>0</v>
      </c>
      <c r="U65" s="26">
        <f t="shared" si="6"/>
        <v>0.7852348993</v>
      </c>
      <c r="V65" s="26" t="str">
        <f t="shared" si="7"/>
        <v>0%</v>
      </c>
      <c r="W65" s="19">
        <f t="shared" si="8"/>
        <v>2.533333333</v>
      </c>
      <c r="X65" s="20">
        <f t="shared" si="9"/>
        <v>150</v>
      </c>
      <c r="Y65" s="27"/>
      <c r="Z65" s="17"/>
      <c r="AA65" s="28"/>
      <c r="AB65" s="17"/>
      <c r="AC65" s="28"/>
      <c r="AD65" s="16"/>
    </row>
    <row r="66" ht="15.75" customHeight="1">
      <c r="A66" s="27" t="s">
        <v>248</v>
      </c>
      <c r="B66" s="27" t="s">
        <v>249</v>
      </c>
      <c r="C66" s="16" t="s">
        <v>250</v>
      </c>
      <c r="D66" s="17" t="s">
        <v>103</v>
      </c>
      <c r="E66" s="18" t="s">
        <v>34</v>
      </c>
      <c r="F66" s="18">
        <v>1.0</v>
      </c>
      <c r="G66" s="19">
        <f t="shared" si="1"/>
        <v>1.164041694</v>
      </c>
      <c r="H66" s="17">
        <v>33.0</v>
      </c>
      <c r="I66" s="10">
        <v>190.0</v>
      </c>
      <c r="J66" s="17">
        <v>15.0</v>
      </c>
      <c r="K66" s="17">
        <v>10.0</v>
      </c>
      <c r="L66" s="17">
        <v>180.0</v>
      </c>
      <c r="M66" s="20">
        <v>11.0</v>
      </c>
      <c r="N66" s="20">
        <v>3.0</v>
      </c>
      <c r="O66" s="20">
        <v>5.0</v>
      </c>
      <c r="P66" s="20">
        <f t="shared" si="2"/>
        <v>3</v>
      </c>
      <c r="Q66" s="21">
        <v>5.0</v>
      </c>
      <c r="R66" s="22">
        <f t="shared" si="3"/>
        <v>163.2243939</v>
      </c>
      <c r="S66" s="23">
        <f t="shared" si="4"/>
        <v>5.757575758</v>
      </c>
      <c r="T66" s="24">
        <f t="shared" si="5"/>
        <v>2.2</v>
      </c>
      <c r="U66" s="26">
        <f t="shared" si="6"/>
        <v>0.6783919598</v>
      </c>
      <c r="V66" s="26">
        <f t="shared" si="7"/>
        <v>0.1005025126</v>
      </c>
      <c r="W66" s="19">
        <f t="shared" si="8"/>
        <v>0.05263157895</v>
      </c>
      <c r="X66" s="20">
        <f t="shared" si="9"/>
        <v>190</v>
      </c>
      <c r="Y66" s="27"/>
      <c r="Z66" s="17"/>
      <c r="AA66" s="28"/>
      <c r="AB66" s="17"/>
      <c r="AC66" s="28"/>
      <c r="AD66" s="27"/>
    </row>
    <row r="67" ht="15.75" customHeight="1">
      <c r="A67" s="27" t="s">
        <v>248</v>
      </c>
      <c r="B67" s="27" t="s">
        <v>251</v>
      </c>
      <c r="C67" s="16" t="s">
        <v>252</v>
      </c>
      <c r="D67" s="17" t="s">
        <v>103</v>
      </c>
      <c r="E67" s="18" t="s">
        <v>34</v>
      </c>
      <c r="F67" s="18">
        <v>1.0</v>
      </c>
      <c r="G67" s="19">
        <f t="shared" si="1"/>
        <v>1.164041694</v>
      </c>
      <c r="H67" s="17">
        <v>33.0</v>
      </c>
      <c r="I67" s="10">
        <v>190.0</v>
      </c>
      <c r="J67" s="17">
        <v>16.0</v>
      </c>
      <c r="K67" s="17">
        <v>10.0</v>
      </c>
      <c r="L67" s="17">
        <v>210.0</v>
      </c>
      <c r="M67" s="20">
        <v>10.0</v>
      </c>
      <c r="N67" s="20">
        <v>3.0</v>
      </c>
      <c r="O67" s="20">
        <v>5.0</v>
      </c>
      <c r="P67" s="20">
        <f t="shared" si="2"/>
        <v>2</v>
      </c>
      <c r="Q67" s="21">
        <v>5.0</v>
      </c>
      <c r="R67" s="22">
        <f t="shared" si="3"/>
        <v>163.2243939</v>
      </c>
      <c r="S67" s="23">
        <f t="shared" si="4"/>
        <v>5.757575758</v>
      </c>
      <c r="T67" s="24">
        <f t="shared" si="5"/>
        <v>2</v>
      </c>
      <c r="U67" s="26">
        <f t="shared" si="6"/>
        <v>0.7058823529</v>
      </c>
      <c r="V67" s="26">
        <f t="shared" si="7"/>
        <v>0.09803921569</v>
      </c>
      <c r="W67" s="19">
        <f t="shared" si="8"/>
        <v>0.05263157895</v>
      </c>
      <c r="X67" s="20">
        <f t="shared" si="9"/>
        <v>190</v>
      </c>
      <c r="Y67" s="27"/>
      <c r="Z67" s="17"/>
      <c r="AA67" s="28"/>
      <c r="AB67" s="17"/>
      <c r="AC67" s="28"/>
      <c r="AD67" s="27"/>
    </row>
    <row r="68" ht="15.75" customHeight="1">
      <c r="A68" s="27" t="s">
        <v>187</v>
      </c>
      <c r="B68" s="27" t="s">
        <v>253</v>
      </c>
      <c r="C68" s="16" t="s">
        <v>254</v>
      </c>
      <c r="D68" s="17" t="s">
        <v>103</v>
      </c>
      <c r="E68" s="18" t="s">
        <v>34</v>
      </c>
      <c r="F68" s="18">
        <v>1.0</v>
      </c>
      <c r="G68" s="19">
        <f t="shared" si="1"/>
        <v>1.164041694</v>
      </c>
      <c r="H68" s="17">
        <v>33.0</v>
      </c>
      <c r="I68" s="10">
        <v>190.0</v>
      </c>
      <c r="J68" s="17">
        <v>16.0</v>
      </c>
      <c r="K68" s="17">
        <v>65.0</v>
      </c>
      <c r="L68" s="17"/>
      <c r="M68" s="20">
        <v>10.0</v>
      </c>
      <c r="N68" s="20">
        <v>3.0</v>
      </c>
      <c r="O68" s="20">
        <v>4.0</v>
      </c>
      <c r="P68" s="20">
        <f t="shared" si="2"/>
        <v>3</v>
      </c>
      <c r="Q68" s="21">
        <v>5.0</v>
      </c>
      <c r="R68" s="22">
        <f t="shared" si="3"/>
        <v>163.2243939</v>
      </c>
      <c r="S68" s="23">
        <f t="shared" si="4"/>
        <v>5.757575758</v>
      </c>
      <c r="T68" s="24">
        <f t="shared" si="5"/>
        <v>2</v>
      </c>
      <c r="U68" s="26">
        <f t="shared" si="6"/>
        <v>0.7058823529</v>
      </c>
      <c r="V68" s="26">
        <f t="shared" si="7"/>
        <v>0.07843137255</v>
      </c>
      <c r="W68" s="19">
        <f t="shared" si="8"/>
        <v>0.3421052632</v>
      </c>
      <c r="X68" s="20">
        <f t="shared" si="9"/>
        <v>190</v>
      </c>
      <c r="Y68" s="27"/>
      <c r="Z68" s="17"/>
      <c r="AA68" s="28"/>
      <c r="AB68" s="17"/>
      <c r="AC68" s="28"/>
      <c r="AD68" s="27"/>
    </row>
    <row r="69" ht="15.75" customHeight="1">
      <c r="A69" s="27" t="s">
        <v>248</v>
      </c>
      <c r="B69" s="27" t="s">
        <v>255</v>
      </c>
      <c r="C69" s="16" t="s">
        <v>256</v>
      </c>
      <c r="D69" s="17" t="s">
        <v>103</v>
      </c>
      <c r="E69" s="18" t="s">
        <v>34</v>
      </c>
      <c r="F69" s="18">
        <v>1.0</v>
      </c>
      <c r="G69" s="19">
        <f t="shared" si="1"/>
        <v>1.164041694</v>
      </c>
      <c r="H69" s="17">
        <v>33.0</v>
      </c>
      <c r="I69" s="10">
        <v>190.0</v>
      </c>
      <c r="J69" s="17">
        <v>17.0</v>
      </c>
      <c r="K69" s="17">
        <v>10.0</v>
      </c>
      <c r="L69" s="17">
        <v>240.0</v>
      </c>
      <c r="M69" s="20">
        <v>9.0</v>
      </c>
      <c r="N69" s="20">
        <v>3.0</v>
      </c>
      <c r="O69" s="20">
        <v>3.0</v>
      </c>
      <c r="P69" s="20">
        <f t="shared" si="2"/>
        <v>3</v>
      </c>
      <c r="Q69" s="21">
        <v>5.0</v>
      </c>
      <c r="R69" s="22">
        <f t="shared" si="3"/>
        <v>163.2243939</v>
      </c>
      <c r="S69" s="23">
        <f t="shared" si="4"/>
        <v>5.757575758</v>
      </c>
      <c r="T69" s="24">
        <f t="shared" si="5"/>
        <v>1.8</v>
      </c>
      <c r="U69" s="26">
        <f t="shared" si="6"/>
        <v>0.7320574163</v>
      </c>
      <c r="V69" s="26">
        <f t="shared" si="7"/>
        <v>0.05741626794</v>
      </c>
      <c r="W69" s="19">
        <f t="shared" si="8"/>
        <v>0.05263157895</v>
      </c>
      <c r="X69" s="20">
        <f t="shared" si="9"/>
        <v>190</v>
      </c>
      <c r="Y69" s="27"/>
      <c r="Z69" s="17"/>
      <c r="AA69" s="28"/>
      <c r="AB69" s="17"/>
      <c r="AC69" s="28"/>
      <c r="AD69" s="27"/>
    </row>
    <row r="70" ht="15.75" customHeight="1">
      <c r="A70" s="27" t="s">
        <v>248</v>
      </c>
      <c r="B70" s="27" t="s">
        <v>258</v>
      </c>
      <c r="C70" s="16" t="s">
        <v>259</v>
      </c>
      <c r="D70" s="17" t="s">
        <v>103</v>
      </c>
      <c r="E70" s="18" t="s">
        <v>34</v>
      </c>
      <c r="F70" s="18">
        <v>1.0</v>
      </c>
      <c r="G70" s="19">
        <f t="shared" si="1"/>
        <v>1.164041694</v>
      </c>
      <c r="H70" s="17">
        <v>33.0</v>
      </c>
      <c r="I70" s="10">
        <v>190.0</v>
      </c>
      <c r="J70" s="17">
        <v>16.0</v>
      </c>
      <c r="K70" s="17">
        <v>35.0</v>
      </c>
      <c r="L70" s="17">
        <v>180.0</v>
      </c>
      <c r="M70" s="20">
        <v>6.0</v>
      </c>
      <c r="N70" s="20">
        <v>1.0</v>
      </c>
      <c r="O70" s="20">
        <v>3.0</v>
      </c>
      <c r="P70" s="20">
        <f t="shared" si="2"/>
        <v>2</v>
      </c>
      <c r="Q70" s="21">
        <v>8.0</v>
      </c>
      <c r="R70" s="22">
        <f t="shared" si="3"/>
        <v>163.2243939</v>
      </c>
      <c r="S70" s="23">
        <f t="shared" si="4"/>
        <v>5.757575758</v>
      </c>
      <c r="T70" s="24">
        <f t="shared" si="5"/>
        <v>0.75</v>
      </c>
      <c r="U70" s="26">
        <f t="shared" si="6"/>
        <v>0.72</v>
      </c>
      <c r="V70" s="26">
        <f t="shared" si="7"/>
        <v>0.06</v>
      </c>
      <c r="W70" s="19">
        <f t="shared" si="8"/>
        <v>0.1842105263</v>
      </c>
      <c r="X70" s="20">
        <f t="shared" si="9"/>
        <v>190</v>
      </c>
      <c r="Y70" s="27"/>
      <c r="Z70" s="17"/>
      <c r="AA70" s="28"/>
      <c r="AB70" s="17"/>
      <c r="AC70" s="28"/>
      <c r="AD70" s="27"/>
    </row>
    <row r="71" ht="15.75" customHeight="1">
      <c r="A71" s="27" t="s">
        <v>248</v>
      </c>
      <c r="B71" s="27" t="s">
        <v>260</v>
      </c>
      <c r="C71" s="16" t="s">
        <v>261</v>
      </c>
      <c r="D71" s="17" t="s">
        <v>103</v>
      </c>
      <c r="E71" s="18" t="s">
        <v>34</v>
      </c>
      <c r="F71" s="18">
        <v>1.0</v>
      </c>
      <c r="G71" s="19">
        <f t="shared" si="1"/>
        <v>1.164041694</v>
      </c>
      <c r="H71" s="17">
        <v>33.0</v>
      </c>
      <c r="I71" s="10">
        <v>190.0</v>
      </c>
      <c r="J71" s="17">
        <v>17.0</v>
      </c>
      <c r="K71" s="17">
        <v>10.0</v>
      </c>
      <c r="L71" s="17">
        <v>220.0</v>
      </c>
      <c r="M71" s="20">
        <v>5.0</v>
      </c>
      <c r="N71" s="20">
        <v>2.0</v>
      </c>
      <c r="O71" s="20">
        <v>3.0</v>
      </c>
      <c r="P71" s="20">
        <f t="shared" si="2"/>
        <v>0</v>
      </c>
      <c r="Q71" s="21">
        <v>8.0</v>
      </c>
      <c r="R71" s="22">
        <f t="shared" si="3"/>
        <v>163.2243939</v>
      </c>
      <c r="S71" s="23">
        <f t="shared" si="4"/>
        <v>5.757575758</v>
      </c>
      <c r="T71" s="24">
        <f t="shared" si="5"/>
        <v>0.625</v>
      </c>
      <c r="U71" s="26">
        <f t="shared" si="6"/>
        <v>0.7463414634</v>
      </c>
      <c r="V71" s="26">
        <f t="shared" si="7"/>
        <v>0.05853658537</v>
      </c>
      <c r="W71" s="19">
        <f t="shared" si="8"/>
        <v>0.05263157895</v>
      </c>
      <c r="X71" s="20">
        <f t="shared" si="9"/>
        <v>190</v>
      </c>
      <c r="Y71" s="27"/>
      <c r="Z71" s="17"/>
      <c r="AA71" s="28"/>
      <c r="AB71" s="17"/>
      <c r="AC71" s="28"/>
      <c r="AD71" s="16"/>
    </row>
    <row r="72" ht="15.75" customHeight="1">
      <c r="A72" s="16" t="s">
        <v>100</v>
      </c>
      <c r="B72" s="16" t="s">
        <v>262</v>
      </c>
      <c r="C72" s="16" t="s">
        <v>263</v>
      </c>
      <c r="D72" s="17" t="s">
        <v>130</v>
      </c>
      <c r="E72" s="18" t="s">
        <v>34</v>
      </c>
      <c r="F72" s="18">
        <v>1.0</v>
      </c>
      <c r="G72" s="19">
        <f t="shared" si="1"/>
        <v>1.410959629</v>
      </c>
      <c r="H72" s="17">
        <v>40.0</v>
      </c>
      <c r="I72" s="10">
        <v>230.0</v>
      </c>
      <c r="J72" s="17">
        <v>15.0</v>
      </c>
      <c r="K72" s="17">
        <v>100.0</v>
      </c>
      <c r="L72" s="17"/>
      <c r="M72" s="20">
        <v>21.0</v>
      </c>
      <c r="N72" s="20">
        <v>1.0</v>
      </c>
      <c r="O72" s="20">
        <v>14.0</v>
      </c>
      <c r="P72" s="20">
        <f t="shared" si="2"/>
        <v>6</v>
      </c>
      <c r="Q72" s="21">
        <v>3.0</v>
      </c>
      <c r="R72" s="22">
        <f t="shared" si="3"/>
        <v>163.009625</v>
      </c>
      <c r="S72" s="23">
        <f t="shared" si="4"/>
        <v>5.75</v>
      </c>
      <c r="T72" s="24">
        <f t="shared" si="5"/>
        <v>7</v>
      </c>
      <c r="U72" s="26">
        <f t="shared" si="6"/>
        <v>0.5844155844</v>
      </c>
      <c r="V72" s="26">
        <f t="shared" si="7"/>
        <v>0.2424242424</v>
      </c>
      <c r="W72" s="19">
        <f t="shared" si="8"/>
        <v>0.4347826087</v>
      </c>
      <c r="X72" s="20">
        <f t="shared" si="9"/>
        <v>230</v>
      </c>
      <c r="Y72" s="27"/>
      <c r="Z72" s="17"/>
      <c r="AA72" s="28"/>
      <c r="AB72" s="17"/>
      <c r="AC72" s="28"/>
      <c r="AD72" s="27"/>
    </row>
    <row r="73" ht="15.75" customHeight="1">
      <c r="A73" s="16" t="s">
        <v>100</v>
      </c>
      <c r="B73" s="16" t="s">
        <v>264</v>
      </c>
      <c r="C73" s="16" t="s">
        <v>265</v>
      </c>
      <c r="D73" s="17" t="s">
        <v>130</v>
      </c>
      <c r="E73" s="18" t="s">
        <v>34</v>
      </c>
      <c r="F73" s="18">
        <v>1.0</v>
      </c>
      <c r="G73" s="19">
        <f t="shared" si="1"/>
        <v>1.410959629</v>
      </c>
      <c r="H73" s="17">
        <v>40.0</v>
      </c>
      <c r="I73" s="10">
        <v>230.0</v>
      </c>
      <c r="J73" s="17">
        <v>15.0</v>
      </c>
      <c r="K73" s="17">
        <v>100.0</v>
      </c>
      <c r="L73" s="17"/>
      <c r="M73" s="20">
        <v>20.0</v>
      </c>
      <c r="N73" s="20">
        <v>1.0</v>
      </c>
      <c r="O73" s="20">
        <v>14.0</v>
      </c>
      <c r="P73" s="20">
        <f t="shared" si="2"/>
        <v>5</v>
      </c>
      <c r="Q73" s="21">
        <v>3.0</v>
      </c>
      <c r="R73" s="22">
        <f t="shared" si="3"/>
        <v>163.009625</v>
      </c>
      <c r="S73" s="23">
        <f t="shared" si="4"/>
        <v>5.75</v>
      </c>
      <c r="T73" s="24">
        <f t="shared" si="5"/>
        <v>6.666666667</v>
      </c>
      <c r="U73" s="26">
        <f t="shared" si="6"/>
        <v>0.5947136564</v>
      </c>
      <c r="V73" s="26">
        <f t="shared" si="7"/>
        <v>0.2466960352</v>
      </c>
      <c r="W73" s="19">
        <f t="shared" si="8"/>
        <v>0.4347826087</v>
      </c>
      <c r="X73" s="20">
        <f t="shared" si="9"/>
        <v>230</v>
      </c>
      <c r="Y73" s="27"/>
      <c r="Z73" s="17"/>
      <c r="AA73" s="28"/>
      <c r="AB73" s="17"/>
      <c r="AC73" s="28"/>
      <c r="AD73" s="27"/>
    </row>
    <row r="74" ht="15.75" customHeight="1">
      <c r="A74" s="16" t="s">
        <v>100</v>
      </c>
      <c r="B74" s="16" t="s">
        <v>266</v>
      </c>
      <c r="C74" s="16" t="s">
        <v>267</v>
      </c>
      <c r="D74" s="17" t="s">
        <v>130</v>
      </c>
      <c r="E74" s="18" t="s">
        <v>34</v>
      </c>
      <c r="F74" s="18">
        <v>1.0</v>
      </c>
      <c r="G74" s="19">
        <f t="shared" si="1"/>
        <v>1.410959629</v>
      </c>
      <c r="H74" s="17">
        <v>40.0</v>
      </c>
      <c r="I74" s="10">
        <v>230.0</v>
      </c>
      <c r="J74" s="17">
        <v>16.0</v>
      </c>
      <c r="K74" s="17">
        <v>150.0</v>
      </c>
      <c r="L74" s="17"/>
      <c r="M74" s="20">
        <v>19.0</v>
      </c>
      <c r="N74" s="20">
        <v>0.0</v>
      </c>
      <c r="O74" s="20">
        <v>16.0</v>
      </c>
      <c r="P74" s="20">
        <f t="shared" si="2"/>
        <v>3</v>
      </c>
      <c r="Q74" s="21">
        <v>3.0</v>
      </c>
      <c r="R74" s="22">
        <f t="shared" si="3"/>
        <v>163.009625</v>
      </c>
      <c r="S74" s="23">
        <f t="shared" si="4"/>
        <v>5.75</v>
      </c>
      <c r="T74" s="24">
        <f t="shared" si="5"/>
        <v>6.333333333</v>
      </c>
      <c r="U74" s="26">
        <f t="shared" si="6"/>
        <v>0.6206896552</v>
      </c>
      <c r="V74" s="26">
        <f t="shared" si="7"/>
        <v>0.275862069</v>
      </c>
      <c r="W74" s="19">
        <f t="shared" si="8"/>
        <v>0.652173913</v>
      </c>
      <c r="X74" s="20">
        <f t="shared" si="9"/>
        <v>230</v>
      </c>
      <c r="Y74" s="27"/>
      <c r="Z74" s="17"/>
      <c r="AA74" s="28"/>
      <c r="AB74" s="17"/>
      <c r="AC74" s="28"/>
      <c r="AD74" s="27"/>
    </row>
    <row r="75" ht="15.75" customHeight="1">
      <c r="A75" s="16" t="s">
        <v>100</v>
      </c>
      <c r="B75" s="16" t="s">
        <v>268</v>
      </c>
      <c r="C75" s="16" t="s">
        <v>269</v>
      </c>
      <c r="D75" s="17" t="s">
        <v>130</v>
      </c>
      <c r="E75" s="18" t="s">
        <v>34</v>
      </c>
      <c r="F75" s="18">
        <v>1.0</v>
      </c>
      <c r="G75" s="19">
        <f t="shared" si="1"/>
        <v>1.410959629</v>
      </c>
      <c r="H75" s="17">
        <v>40.0</v>
      </c>
      <c r="I75" s="10">
        <v>230.0</v>
      </c>
      <c r="J75" s="17">
        <v>15.0</v>
      </c>
      <c r="K75" s="17">
        <v>120.0</v>
      </c>
      <c r="L75" s="17"/>
      <c r="M75" s="20">
        <v>20.0</v>
      </c>
      <c r="N75" s="20">
        <v>1.0</v>
      </c>
      <c r="O75" s="20">
        <v>16.0</v>
      </c>
      <c r="P75" s="20">
        <f t="shared" si="2"/>
        <v>3</v>
      </c>
      <c r="Q75" s="21">
        <v>4.0</v>
      </c>
      <c r="R75" s="22">
        <f t="shared" si="3"/>
        <v>163.009625</v>
      </c>
      <c r="S75" s="23">
        <f t="shared" si="4"/>
        <v>5.75</v>
      </c>
      <c r="T75" s="24">
        <f t="shared" si="5"/>
        <v>5</v>
      </c>
      <c r="U75" s="26">
        <f t="shared" si="6"/>
        <v>0.5844155844</v>
      </c>
      <c r="V75" s="26">
        <f t="shared" si="7"/>
        <v>0.2770562771</v>
      </c>
      <c r="W75" s="19">
        <f t="shared" si="8"/>
        <v>0.5217391304</v>
      </c>
      <c r="X75" s="20">
        <f t="shared" si="9"/>
        <v>230</v>
      </c>
      <c r="Y75" s="27"/>
      <c r="Z75" s="17"/>
      <c r="AA75" s="28"/>
      <c r="AB75" s="17"/>
      <c r="AC75" s="28"/>
      <c r="AD75" s="27"/>
    </row>
    <row r="76" ht="15.75" customHeight="1">
      <c r="A76" s="27" t="s">
        <v>144</v>
      </c>
      <c r="B76" s="27" t="s">
        <v>270</v>
      </c>
      <c r="C76" s="16" t="s">
        <v>271</v>
      </c>
      <c r="D76" s="17" t="s">
        <v>130</v>
      </c>
      <c r="E76" s="18" t="s">
        <v>34</v>
      </c>
      <c r="F76" s="18">
        <v>1.0</v>
      </c>
      <c r="G76" s="19">
        <f t="shared" si="1"/>
        <v>1.410959629</v>
      </c>
      <c r="H76" s="17">
        <v>40.0</v>
      </c>
      <c r="I76" s="10">
        <v>230.0</v>
      </c>
      <c r="J76" s="17">
        <v>19.0</v>
      </c>
      <c r="K76" s="17">
        <v>0.0</v>
      </c>
      <c r="L76" s="17"/>
      <c r="M76" s="20">
        <v>14.0</v>
      </c>
      <c r="N76" s="20">
        <v>3.0</v>
      </c>
      <c r="O76" s="20">
        <v>7.0</v>
      </c>
      <c r="P76" s="20">
        <f t="shared" si="2"/>
        <v>4</v>
      </c>
      <c r="Q76" s="21">
        <v>4.0</v>
      </c>
      <c r="R76" s="22">
        <f t="shared" si="3"/>
        <v>163.009625</v>
      </c>
      <c r="S76" s="23">
        <f t="shared" si="4"/>
        <v>5.75</v>
      </c>
      <c r="T76" s="24">
        <f t="shared" si="5"/>
        <v>3.5</v>
      </c>
      <c r="U76" s="26">
        <f t="shared" si="6"/>
        <v>0.7037037037</v>
      </c>
      <c r="V76" s="26">
        <f t="shared" si="7"/>
        <v>0.1152263374</v>
      </c>
      <c r="W76" s="19">
        <f t="shared" si="8"/>
        <v>0</v>
      </c>
      <c r="X76" s="20">
        <f t="shared" si="9"/>
        <v>230</v>
      </c>
      <c r="Y76" s="27"/>
      <c r="Z76" s="17"/>
      <c r="AA76" s="28"/>
      <c r="AB76" s="17"/>
      <c r="AC76" s="28"/>
      <c r="AD76" s="27"/>
    </row>
    <row r="77" ht="15.75" customHeight="1">
      <c r="A77" s="27" t="s">
        <v>104</v>
      </c>
      <c r="B77" s="27" t="s">
        <v>272</v>
      </c>
      <c r="C77" s="16" t="s">
        <v>273</v>
      </c>
      <c r="D77" s="17" t="s">
        <v>130</v>
      </c>
      <c r="E77" s="18" t="s">
        <v>34</v>
      </c>
      <c r="F77" s="18">
        <v>1.0</v>
      </c>
      <c r="G77" s="19">
        <f t="shared" si="1"/>
        <v>1.410959629</v>
      </c>
      <c r="H77" s="17">
        <v>40.0</v>
      </c>
      <c r="I77" s="10">
        <v>230.0</v>
      </c>
      <c r="J77" s="17">
        <v>20.0</v>
      </c>
      <c r="K77" s="17">
        <v>0.0</v>
      </c>
      <c r="L77" s="17"/>
      <c r="M77" s="20">
        <v>13.0</v>
      </c>
      <c r="N77" s="20">
        <v>6.0</v>
      </c>
      <c r="O77" s="20">
        <v>5.0</v>
      </c>
      <c r="P77" s="20">
        <f t="shared" si="2"/>
        <v>2</v>
      </c>
      <c r="Q77" s="21">
        <v>4.0</v>
      </c>
      <c r="R77" s="22">
        <f t="shared" si="3"/>
        <v>163.009625</v>
      </c>
      <c r="S77" s="23">
        <f t="shared" si="4"/>
        <v>5.75</v>
      </c>
      <c r="T77" s="24">
        <f t="shared" si="5"/>
        <v>3.25</v>
      </c>
      <c r="U77" s="26">
        <f t="shared" si="6"/>
        <v>0.7258064516</v>
      </c>
      <c r="V77" s="26">
        <f t="shared" si="7"/>
        <v>0.08064516129</v>
      </c>
      <c r="W77" s="19">
        <f t="shared" si="8"/>
        <v>0</v>
      </c>
      <c r="X77" s="20">
        <f t="shared" si="9"/>
        <v>230</v>
      </c>
      <c r="Y77" s="27"/>
      <c r="Z77" s="17"/>
      <c r="AA77" s="28"/>
      <c r="AB77" s="17"/>
      <c r="AC77" s="28"/>
      <c r="AD77" s="27"/>
    </row>
    <row r="78" ht="15.75" customHeight="1">
      <c r="A78" s="27" t="s">
        <v>144</v>
      </c>
      <c r="B78" s="27" t="s">
        <v>274</v>
      </c>
      <c r="C78" s="16" t="s">
        <v>275</v>
      </c>
      <c r="D78" s="17" t="s">
        <v>130</v>
      </c>
      <c r="E78" s="18" t="s">
        <v>34</v>
      </c>
      <c r="F78" s="18">
        <v>1.0</v>
      </c>
      <c r="G78" s="19">
        <f t="shared" si="1"/>
        <v>1.410959629</v>
      </c>
      <c r="H78" s="17">
        <v>40.0</v>
      </c>
      <c r="I78" s="10">
        <v>230.0</v>
      </c>
      <c r="J78" s="17">
        <v>18.0</v>
      </c>
      <c r="K78" s="17">
        <v>15.0</v>
      </c>
      <c r="L78" s="17"/>
      <c r="M78" s="20">
        <v>15.0</v>
      </c>
      <c r="N78" s="20">
        <v>6.0</v>
      </c>
      <c r="O78" s="20">
        <v>5.0</v>
      </c>
      <c r="P78" s="20">
        <f t="shared" si="2"/>
        <v>4</v>
      </c>
      <c r="Q78" s="21">
        <v>5.0</v>
      </c>
      <c r="R78" s="22">
        <f t="shared" si="3"/>
        <v>163.009625</v>
      </c>
      <c r="S78" s="23">
        <f t="shared" si="4"/>
        <v>5.75</v>
      </c>
      <c r="T78" s="24">
        <f t="shared" si="5"/>
        <v>3</v>
      </c>
      <c r="U78" s="26">
        <f t="shared" si="6"/>
        <v>0.6694214876</v>
      </c>
      <c r="V78" s="26">
        <f t="shared" si="7"/>
        <v>0.0826446281</v>
      </c>
      <c r="W78" s="19">
        <f t="shared" si="8"/>
        <v>0.0652173913</v>
      </c>
      <c r="X78" s="20">
        <f t="shared" si="9"/>
        <v>230</v>
      </c>
      <c r="Y78" s="27"/>
      <c r="Z78" s="17"/>
      <c r="AA78" s="28"/>
      <c r="AB78" s="17"/>
      <c r="AC78" s="28"/>
      <c r="AD78" s="27"/>
    </row>
    <row r="79" ht="15.75" customHeight="1">
      <c r="A79" s="27" t="s">
        <v>276</v>
      </c>
      <c r="B79" s="27" t="s">
        <v>277</v>
      </c>
      <c r="C79" s="16" t="s">
        <v>278</v>
      </c>
      <c r="D79" s="17" t="s">
        <v>130</v>
      </c>
      <c r="E79" s="18" t="s">
        <v>34</v>
      </c>
      <c r="F79" s="18">
        <v>1.0</v>
      </c>
      <c r="G79" s="19">
        <f t="shared" si="1"/>
        <v>1.410959629</v>
      </c>
      <c r="H79" s="17">
        <v>40.0</v>
      </c>
      <c r="I79" s="10">
        <v>230.0</v>
      </c>
      <c r="J79" s="17">
        <v>14.0</v>
      </c>
      <c r="K79" s="17">
        <v>50.0</v>
      </c>
      <c r="L79" s="17"/>
      <c r="M79" s="20">
        <v>18.0</v>
      </c>
      <c r="N79" s="20">
        <v>1.0</v>
      </c>
      <c r="O79" s="20">
        <v>15.0</v>
      </c>
      <c r="P79" s="20">
        <f t="shared" si="2"/>
        <v>2</v>
      </c>
      <c r="Q79" s="21">
        <v>7.0</v>
      </c>
      <c r="R79" s="22">
        <f t="shared" si="3"/>
        <v>163.009625</v>
      </c>
      <c r="S79" s="23">
        <f t="shared" si="4"/>
        <v>5.75</v>
      </c>
      <c r="T79" s="24">
        <f t="shared" si="5"/>
        <v>2.571428571</v>
      </c>
      <c r="U79" s="26">
        <f t="shared" si="6"/>
        <v>0.5575221239</v>
      </c>
      <c r="V79" s="26">
        <f t="shared" si="7"/>
        <v>0.2654867257</v>
      </c>
      <c r="W79" s="19">
        <f t="shared" si="8"/>
        <v>0.2173913043</v>
      </c>
      <c r="X79" s="20">
        <f t="shared" si="9"/>
        <v>230</v>
      </c>
      <c r="Y79" s="27"/>
      <c r="Z79" s="17"/>
      <c r="AA79" s="28"/>
      <c r="AB79" s="17"/>
      <c r="AC79" s="28"/>
      <c r="AD79" s="27"/>
    </row>
    <row r="80" ht="15.75" customHeight="1">
      <c r="A80" s="16" t="s">
        <v>279</v>
      </c>
      <c r="B80" s="16" t="s">
        <v>280</v>
      </c>
      <c r="C80" s="16" t="s">
        <v>281</v>
      </c>
      <c r="D80" s="17" t="s">
        <v>282</v>
      </c>
      <c r="E80" s="18" t="s">
        <v>34</v>
      </c>
      <c r="F80" s="18">
        <v>1.0</v>
      </c>
      <c r="G80" s="19">
        <f t="shared" si="1"/>
        <v>0.9876717402</v>
      </c>
      <c r="H80" s="17">
        <v>28.0</v>
      </c>
      <c r="I80" s="10">
        <v>160.0</v>
      </c>
      <c r="J80" s="17">
        <v>10.0</v>
      </c>
      <c r="K80" s="17">
        <v>170.0</v>
      </c>
      <c r="L80" s="17">
        <v>350.0</v>
      </c>
      <c r="M80" s="20">
        <v>15.0</v>
      </c>
      <c r="N80" s="20">
        <v>1.0</v>
      </c>
      <c r="O80" s="20">
        <v>1.0</v>
      </c>
      <c r="P80" s="20">
        <f t="shared" si="2"/>
        <v>13</v>
      </c>
      <c r="Q80" s="21">
        <v>2.0</v>
      </c>
      <c r="R80" s="22">
        <f t="shared" si="3"/>
        <v>161.9971429</v>
      </c>
      <c r="S80" s="23">
        <f t="shared" si="4"/>
        <v>5.714285714</v>
      </c>
      <c r="T80" s="24">
        <f t="shared" si="5"/>
        <v>7.5</v>
      </c>
      <c r="U80" s="26">
        <f t="shared" si="6"/>
        <v>0.5696202532</v>
      </c>
      <c r="V80" s="26">
        <f t="shared" si="7"/>
        <v>0.0253164557</v>
      </c>
      <c r="W80" s="19">
        <f t="shared" si="8"/>
        <v>1.0625</v>
      </c>
      <c r="X80" s="20">
        <f t="shared" si="9"/>
        <v>160</v>
      </c>
      <c r="Y80" s="27"/>
      <c r="Z80" s="17"/>
      <c r="AA80" s="28"/>
      <c r="AB80" s="17"/>
      <c r="AC80" s="28"/>
      <c r="AD80" s="27"/>
    </row>
    <row r="81" ht="15.75" customHeight="1">
      <c r="A81" s="27" t="s">
        <v>283</v>
      </c>
      <c r="B81" s="27" t="s">
        <v>284</v>
      </c>
      <c r="C81" s="16" t="s">
        <v>285</v>
      </c>
      <c r="D81" s="17" t="s">
        <v>282</v>
      </c>
      <c r="E81" s="18" t="s">
        <v>34</v>
      </c>
      <c r="F81" s="18">
        <v>1.0</v>
      </c>
      <c r="G81" s="19">
        <f t="shared" si="1"/>
        <v>0.9876717402</v>
      </c>
      <c r="H81" s="17">
        <v>28.0</v>
      </c>
      <c r="I81" s="10">
        <v>160.0</v>
      </c>
      <c r="J81" s="17">
        <v>10.0</v>
      </c>
      <c r="K81" s="17">
        <v>160.0</v>
      </c>
      <c r="L81" s="17">
        <v>340.0</v>
      </c>
      <c r="M81" s="20">
        <v>15.0</v>
      </c>
      <c r="N81" s="20">
        <v>1.0</v>
      </c>
      <c r="O81" s="20">
        <v>1.0</v>
      </c>
      <c r="P81" s="20">
        <f t="shared" si="2"/>
        <v>13</v>
      </c>
      <c r="Q81" s="21">
        <v>2.0</v>
      </c>
      <c r="R81" s="22">
        <f t="shared" si="3"/>
        <v>161.9971429</v>
      </c>
      <c r="S81" s="23">
        <f t="shared" si="4"/>
        <v>5.714285714</v>
      </c>
      <c r="T81" s="24">
        <f t="shared" si="5"/>
        <v>7.5</v>
      </c>
      <c r="U81" s="26">
        <f t="shared" si="6"/>
        <v>0.5696202532</v>
      </c>
      <c r="V81" s="26">
        <f t="shared" si="7"/>
        <v>0.0253164557</v>
      </c>
      <c r="W81" s="19">
        <f t="shared" si="8"/>
        <v>1</v>
      </c>
      <c r="X81" s="20">
        <f t="shared" si="9"/>
        <v>160</v>
      </c>
      <c r="Y81" s="27"/>
      <c r="Z81" s="17"/>
      <c r="AA81" s="28"/>
      <c r="AB81" s="17"/>
      <c r="AC81" s="28"/>
      <c r="AD81" s="16"/>
    </row>
    <row r="82" ht="15.75" customHeight="1">
      <c r="A82" s="16" t="s">
        <v>104</v>
      </c>
      <c r="B82" s="16" t="s">
        <v>286</v>
      </c>
      <c r="C82" s="16" t="s">
        <v>287</v>
      </c>
      <c r="D82" s="17" t="s">
        <v>96</v>
      </c>
      <c r="E82" s="18" t="s">
        <v>34</v>
      </c>
      <c r="F82" s="18">
        <v>1.0</v>
      </c>
      <c r="G82" s="19">
        <f t="shared" si="1"/>
        <v>0.9876717402</v>
      </c>
      <c r="H82" s="17">
        <v>28.0</v>
      </c>
      <c r="I82" s="10">
        <v>160.0</v>
      </c>
      <c r="J82" s="17">
        <v>13.0</v>
      </c>
      <c r="K82" s="17">
        <v>0.0</v>
      </c>
      <c r="L82" s="17"/>
      <c r="M82" s="20">
        <v>8.0</v>
      </c>
      <c r="N82" s="20">
        <v>1.0</v>
      </c>
      <c r="O82" s="20">
        <v>1.0</v>
      </c>
      <c r="P82" s="20">
        <f t="shared" si="2"/>
        <v>6</v>
      </c>
      <c r="Q82" s="21">
        <v>5.0</v>
      </c>
      <c r="R82" s="22">
        <f t="shared" si="3"/>
        <v>161.9971429</v>
      </c>
      <c r="S82" s="23">
        <f t="shared" si="4"/>
        <v>5.714285714</v>
      </c>
      <c r="T82" s="24">
        <f t="shared" si="5"/>
        <v>1.6</v>
      </c>
      <c r="U82" s="26">
        <f t="shared" si="6"/>
        <v>0.6923076923</v>
      </c>
      <c r="V82" s="26">
        <f t="shared" si="7"/>
        <v>0.02366863905</v>
      </c>
      <c r="W82" s="19">
        <f t="shared" si="8"/>
        <v>0</v>
      </c>
      <c r="X82" s="20">
        <f t="shared" si="9"/>
        <v>160</v>
      </c>
      <c r="Y82" s="27"/>
      <c r="Z82" s="17"/>
      <c r="AA82" s="28"/>
      <c r="AB82" s="17"/>
      <c r="AC82" s="28"/>
      <c r="AD82" s="27"/>
    </row>
    <row r="83" ht="15.75" customHeight="1">
      <c r="A83" s="27" t="s">
        <v>104</v>
      </c>
      <c r="B83" s="27" t="s">
        <v>288</v>
      </c>
      <c r="C83" s="16" t="s">
        <v>289</v>
      </c>
      <c r="D83" s="17" t="s">
        <v>96</v>
      </c>
      <c r="E83" s="18" t="s">
        <v>34</v>
      </c>
      <c r="F83" s="18">
        <v>1.0</v>
      </c>
      <c r="G83" s="19">
        <f t="shared" si="1"/>
        <v>0.9876717402</v>
      </c>
      <c r="H83" s="17">
        <v>28.0</v>
      </c>
      <c r="I83" s="10">
        <v>160.0</v>
      </c>
      <c r="J83" s="17">
        <v>14.0</v>
      </c>
      <c r="K83" s="17">
        <v>0.0</v>
      </c>
      <c r="L83" s="17"/>
      <c r="M83" s="20">
        <v>6.0</v>
      </c>
      <c r="N83" s="20">
        <v>3.0</v>
      </c>
      <c r="O83" s="20">
        <v>1.0</v>
      </c>
      <c r="P83" s="20">
        <f t="shared" si="2"/>
        <v>2</v>
      </c>
      <c r="Q83" s="21">
        <v>6.0</v>
      </c>
      <c r="R83" s="22">
        <f t="shared" si="3"/>
        <v>161.9971429</v>
      </c>
      <c r="S83" s="23">
        <f t="shared" si="4"/>
        <v>5.714285714</v>
      </c>
      <c r="T83" s="24">
        <f t="shared" si="5"/>
        <v>1</v>
      </c>
      <c r="U83" s="26">
        <f t="shared" si="6"/>
        <v>0.724137931</v>
      </c>
      <c r="V83" s="26">
        <f t="shared" si="7"/>
        <v>0.02298850575</v>
      </c>
      <c r="W83" s="19">
        <f t="shared" si="8"/>
        <v>0</v>
      </c>
      <c r="X83" s="20">
        <f t="shared" si="9"/>
        <v>160</v>
      </c>
      <c r="Y83" s="27"/>
      <c r="Z83" s="17"/>
      <c r="AA83" s="28"/>
      <c r="AB83" s="17"/>
      <c r="AC83" s="28"/>
      <c r="AD83" s="27"/>
    </row>
    <row r="84" ht="15.75" customHeight="1">
      <c r="A84" s="27" t="s">
        <v>290</v>
      </c>
      <c r="B84" s="27" t="s">
        <v>291</v>
      </c>
      <c r="C84" s="16" t="s">
        <v>292</v>
      </c>
      <c r="D84" s="17" t="s">
        <v>212</v>
      </c>
      <c r="E84" s="18" t="s">
        <v>34</v>
      </c>
      <c r="F84" s="18">
        <v>1.0</v>
      </c>
      <c r="G84" s="19">
        <f t="shared" si="1"/>
        <v>2.045891462</v>
      </c>
      <c r="H84" s="17">
        <v>58.0</v>
      </c>
      <c r="I84" s="10">
        <v>330.0</v>
      </c>
      <c r="J84" s="17">
        <v>23.0</v>
      </c>
      <c r="K84" s="17">
        <v>170.0</v>
      </c>
      <c r="L84" s="17"/>
      <c r="M84" s="20">
        <v>13.0</v>
      </c>
      <c r="N84" s="20">
        <v>1.0</v>
      </c>
      <c r="O84" s="20">
        <v>7.0</v>
      </c>
      <c r="P84" s="20">
        <f t="shared" si="2"/>
        <v>5</v>
      </c>
      <c r="Q84" s="21">
        <v>20.0</v>
      </c>
      <c r="R84" s="22">
        <f t="shared" si="3"/>
        <v>161.2988793</v>
      </c>
      <c r="S84" s="23">
        <f t="shared" si="4"/>
        <v>5.689655172</v>
      </c>
      <c r="T84" s="24">
        <f t="shared" si="5"/>
        <v>0.65</v>
      </c>
      <c r="U84" s="26">
        <f t="shared" si="6"/>
        <v>0.610619469</v>
      </c>
      <c r="V84" s="26">
        <f t="shared" si="7"/>
        <v>0.08259587021</v>
      </c>
      <c r="W84" s="19">
        <f t="shared" si="8"/>
        <v>0.5151515152</v>
      </c>
      <c r="X84" s="20">
        <f t="shared" si="9"/>
        <v>330</v>
      </c>
      <c r="Y84" s="27"/>
      <c r="Z84" s="17"/>
      <c r="AA84" s="28"/>
      <c r="AB84" s="17"/>
      <c r="AC84" s="28"/>
      <c r="AD84" s="27"/>
    </row>
    <row r="85" ht="15.75" customHeight="1">
      <c r="A85" s="27" t="s">
        <v>172</v>
      </c>
      <c r="B85" s="27" t="s">
        <v>293</v>
      </c>
      <c r="C85" s="16" t="s">
        <v>294</v>
      </c>
      <c r="D85" s="17" t="s">
        <v>81</v>
      </c>
      <c r="E85" s="18" t="s">
        <v>34</v>
      </c>
      <c r="F85" s="18">
        <v>1.0</v>
      </c>
      <c r="G85" s="19">
        <f t="shared" si="1"/>
        <v>1.058219722</v>
      </c>
      <c r="H85" s="17">
        <v>30.0</v>
      </c>
      <c r="I85" s="10">
        <v>170.0</v>
      </c>
      <c r="J85" s="17">
        <v>11.0</v>
      </c>
      <c r="K85" s="17">
        <v>170.0</v>
      </c>
      <c r="L85" s="17"/>
      <c r="M85" s="20">
        <v>17.0</v>
      </c>
      <c r="N85" s="20">
        <v>6.0</v>
      </c>
      <c r="O85" s="20">
        <v>11.0</v>
      </c>
      <c r="P85" s="20">
        <f t="shared" si="2"/>
        <v>0</v>
      </c>
      <c r="Q85" s="21">
        <v>1.0</v>
      </c>
      <c r="R85" s="22">
        <f t="shared" si="3"/>
        <v>160.6471667</v>
      </c>
      <c r="S85" s="23">
        <f t="shared" si="4"/>
        <v>5.666666667</v>
      </c>
      <c r="T85" s="24">
        <f t="shared" si="5"/>
        <v>17</v>
      </c>
      <c r="U85" s="26">
        <f t="shared" si="6"/>
        <v>0.5789473684</v>
      </c>
      <c r="V85" s="26">
        <f t="shared" si="7"/>
        <v>0.2573099415</v>
      </c>
      <c r="W85" s="19">
        <f t="shared" si="8"/>
        <v>1</v>
      </c>
      <c r="X85" s="20">
        <f t="shared" si="9"/>
        <v>170</v>
      </c>
      <c r="Y85" s="27"/>
      <c r="Z85" s="17"/>
      <c r="AA85" s="28"/>
      <c r="AB85" s="17"/>
      <c r="AC85" s="28"/>
      <c r="AD85" s="27"/>
    </row>
    <row r="86" ht="15.75" customHeight="1">
      <c r="A86" s="16" t="s">
        <v>139</v>
      </c>
      <c r="B86" s="16" t="s">
        <v>295</v>
      </c>
      <c r="C86" s="16" t="s">
        <v>296</v>
      </c>
      <c r="D86" s="17" t="s">
        <v>96</v>
      </c>
      <c r="E86" s="18" t="s">
        <v>34</v>
      </c>
      <c r="F86" s="18">
        <v>1.0</v>
      </c>
      <c r="G86" s="19">
        <f t="shared" si="1"/>
        <v>1.058219722</v>
      </c>
      <c r="H86" s="17">
        <v>30.0</v>
      </c>
      <c r="I86" s="10">
        <v>170.0</v>
      </c>
      <c r="J86" s="17">
        <v>14.0</v>
      </c>
      <c r="K86" s="17">
        <v>0.0</v>
      </c>
      <c r="L86" s="17"/>
      <c r="M86" s="20">
        <v>12.0</v>
      </c>
      <c r="N86" s="20">
        <v>1.0</v>
      </c>
      <c r="O86" s="20">
        <v>9.0</v>
      </c>
      <c r="P86" s="20">
        <f t="shared" si="2"/>
        <v>2</v>
      </c>
      <c r="Q86" s="21">
        <v>3.0</v>
      </c>
      <c r="R86" s="22">
        <f t="shared" si="3"/>
        <v>160.6471667</v>
      </c>
      <c r="S86" s="23">
        <f t="shared" si="4"/>
        <v>5.666666667</v>
      </c>
      <c r="T86" s="24">
        <f t="shared" si="5"/>
        <v>4</v>
      </c>
      <c r="U86" s="26">
        <f t="shared" si="6"/>
        <v>0.6774193548</v>
      </c>
      <c r="V86" s="26">
        <f t="shared" si="7"/>
        <v>0.1935483871</v>
      </c>
      <c r="W86" s="19">
        <f t="shared" si="8"/>
        <v>0</v>
      </c>
      <c r="X86" s="20">
        <f t="shared" si="9"/>
        <v>170</v>
      </c>
      <c r="Y86" s="27"/>
      <c r="Z86" s="17"/>
      <c r="AA86" s="28"/>
      <c r="AB86" s="17"/>
      <c r="AC86" s="28"/>
      <c r="AD86" s="27"/>
    </row>
    <row r="87" ht="15.75" customHeight="1">
      <c r="A87" s="27" t="s">
        <v>213</v>
      </c>
      <c r="B87" s="27" t="s">
        <v>297</v>
      </c>
      <c r="C87" s="16" t="s">
        <v>298</v>
      </c>
      <c r="D87" s="17" t="s">
        <v>203</v>
      </c>
      <c r="E87" s="18" t="s">
        <v>34</v>
      </c>
      <c r="F87" s="18">
        <v>1.0</v>
      </c>
      <c r="G87" s="19">
        <f t="shared" si="1"/>
        <v>1.058219722</v>
      </c>
      <c r="H87" s="17">
        <v>30.0</v>
      </c>
      <c r="I87" s="10">
        <v>170.0</v>
      </c>
      <c r="J87" s="17">
        <v>13.0</v>
      </c>
      <c r="K87" s="17">
        <v>110.0</v>
      </c>
      <c r="L87" s="17"/>
      <c r="M87" s="20">
        <v>12.0</v>
      </c>
      <c r="N87" s="20">
        <v>3.0</v>
      </c>
      <c r="O87" s="20">
        <v>6.0</v>
      </c>
      <c r="P87" s="20">
        <f t="shared" si="2"/>
        <v>3</v>
      </c>
      <c r="Q87" s="21">
        <v>6.0</v>
      </c>
      <c r="R87" s="22">
        <f t="shared" si="3"/>
        <v>160.6471667</v>
      </c>
      <c r="S87" s="23">
        <f t="shared" si="4"/>
        <v>5.666666667</v>
      </c>
      <c r="T87" s="24">
        <f t="shared" si="5"/>
        <v>2</v>
      </c>
      <c r="U87" s="26">
        <f t="shared" si="6"/>
        <v>0.619047619</v>
      </c>
      <c r="V87" s="26">
        <f t="shared" si="7"/>
        <v>0.126984127</v>
      </c>
      <c r="W87" s="19">
        <f t="shared" si="8"/>
        <v>0.6470588235</v>
      </c>
      <c r="X87" s="20">
        <f t="shared" si="9"/>
        <v>170</v>
      </c>
      <c r="Y87" s="27"/>
      <c r="Z87" s="17"/>
      <c r="AA87" s="17"/>
      <c r="AB87" s="17"/>
      <c r="AC87" s="17"/>
      <c r="AD87" s="27"/>
    </row>
    <row r="88" ht="15.75" customHeight="1">
      <c r="A88" s="27" t="s">
        <v>64</v>
      </c>
      <c r="B88" s="27" t="s">
        <v>299</v>
      </c>
      <c r="C88" s="16" t="s">
        <v>300</v>
      </c>
      <c r="D88" s="17" t="s">
        <v>96</v>
      </c>
      <c r="E88" s="18" t="s">
        <v>34</v>
      </c>
      <c r="F88" s="18">
        <v>1.0</v>
      </c>
      <c r="G88" s="19">
        <f t="shared" si="1"/>
        <v>1.058219722</v>
      </c>
      <c r="H88" s="17">
        <v>30.0</v>
      </c>
      <c r="I88" s="10">
        <v>170.0</v>
      </c>
      <c r="J88" s="17">
        <v>14.0</v>
      </c>
      <c r="K88" s="17">
        <v>120.0</v>
      </c>
      <c r="L88" s="17"/>
      <c r="M88" s="20">
        <v>9.0</v>
      </c>
      <c r="N88" s="20">
        <v>1.0</v>
      </c>
      <c r="O88" s="20">
        <v>2.0</v>
      </c>
      <c r="P88" s="20">
        <f t="shared" si="2"/>
        <v>6</v>
      </c>
      <c r="Q88" s="21">
        <v>5.0</v>
      </c>
      <c r="R88" s="22">
        <f t="shared" si="3"/>
        <v>160.6471667</v>
      </c>
      <c r="S88" s="23">
        <f t="shared" si="4"/>
        <v>5.666666667</v>
      </c>
      <c r="T88" s="24">
        <f t="shared" si="5"/>
        <v>1.8</v>
      </c>
      <c r="U88" s="26">
        <f t="shared" si="6"/>
        <v>0.6923076923</v>
      </c>
      <c r="V88" s="26">
        <f t="shared" si="7"/>
        <v>0.04395604396</v>
      </c>
      <c r="W88" s="19">
        <f t="shared" si="8"/>
        <v>0.7058823529</v>
      </c>
      <c r="X88" s="20">
        <f t="shared" si="9"/>
        <v>170</v>
      </c>
      <c r="Y88" s="16"/>
      <c r="Z88" s="17"/>
      <c r="AA88" s="28"/>
      <c r="AB88" s="17"/>
      <c r="AC88" s="28"/>
      <c r="AD88" s="16"/>
    </row>
    <row r="89" ht="15.75" customHeight="1">
      <c r="A89" s="27" t="s">
        <v>104</v>
      </c>
      <c r="B89" s="27" t="s">
        <v>301</v>
      </c>
      <c r="C89" s="16" t="s">
        <v>302</v>
      </c>
      <c r="D89" s="17" t="s">
        <v>96</v>
      </c>
      <c r="E89" s="18" t="s">
        <v>34</v>
      </c>
      <c r="F89" s="18">
        <v>1.0</v>
      </c>
      <c r="G89" s="19">
        <f t="shared" si="1"/>
        <v>1.058219722</v>
      </c>
      <c r="H89" s="17">
        <v>30.0</v>
      </c>
      <c r="I89" s="10">
        <v>170.0</v>
      </c>
      <c r="J89" s="17">
        <v>15.0</v>
      </c>
      <c r="K89" s="17">
        <v>10.0</v>
      </c>
      <c r="L89" s="17"/>
      <c r="M89" s="20">
        <v>5.0</v>
      </c>
      <c r="N89" s="20">
        <v>3.0</v>
      </c>
      <c r="O89" s="20">
        <v>1.0</v>
      </c>
      <c r="P89" s="20">
        <f t="shared" si="2"/>
        <v>1</v>
      </c>
      <c r="Q89" s="21">
        <v>8.0</v>
      </c>
      <c r="R89" s="22">
        <f t="shared" si="3"/>
        <v>160.6471667</v>
      </c>
      <c r="S89" s="23">
        <f t="shared" si="4"/>
        <v>5.666666667</v>
      </c>
      <c r="T89" s="24">
        <f t="shared" si="5"/>
        <v>0.625</v>
      </c>
      <c r="U89" s="26">
        <f t="shared" si="6"/>
        <v>0.7219251337</v>
      </c>
      <c r="V89" s="26">
        <f t="shared" si="7"/>
        <v>0.02139037433</v>
      </c>
      <c r="W89" s="19">
        <f t="shared" si="8"/>
        <v>0.05882352941</v>
      </c>
      <c r="X89" s="20">
        <f t="shared" si="9"/>
        <v>170</v>
      </c>
      <c r="Y89" s="27"/>
      <c r="Z89" s="17"/>
      <c r="AA89" s="28"/>
      <c r="AB89" s="17"/>
      <c r="AC89" s="28"/>
      <c r="AD89" s="16"/>
    </row>
    <row r="90" ht="15.75" customHeight="1">
      <c r="A90" s="27" t="s">
        <v>139</v>
      </c>
      <c r="B90" s="27" t="s">
        <v>110</v>
      </c>
      <c r="C90" s="16" t="s">
        <v>303</v>
      </c>
      <c r="D90" s="17" t="s">
        <v>96</v>
      </c>
      <c r="E90" s="18" t="s">
        <v>34</v>
      </c>
      <c r="F90" s="18">
        <v>1.0</v>
      </c>
      <c r="G90" s="19">
        <f t="shared" si="1"/>
        <v>1.058219722</v>
      </c>
      <c r="H90" s="17">
        <v>30.0</v>
      </c>
      <c r="I90" s="10">
        <v>170.0</v>
      </c>
      <c r="J90" s="17">
        <v>15.0</v>
      </c>
      <c r="K90" s="17">
        <v>0.0</v>
      </c>
      <c r="L90" s="17"/>
      <c r="M90" s="20">
        <v>4.0</v>
      </c>
      <c r="N90" s="20">
        <v>1.0</v>
      </c>
      <c r="O90" s="20">
        <v>0.0</v>
      </c>
      <c r="P90" s="20">
        <f t="shared" si="2"/>
        <v>3</v>
      </c>
      <c r="Q90" s="21">
        <v>7.0</v>
      </c>
      <c r="R90" s="22">
        <f t="shared" si="3"/>
        <v>160.6471667</v>
      </c>
      <c r="S90" s="23">
        <f t="shared" si="4"/>
        <v>5.666666667</v>
      </c>
      <c r="T90" s="24">
        <f t="shared" si="5"/>
        <v>0.5714285714</v>
      </c>
      <c r="U90" s="26">
        <f t="shared" si="6"/>
        <v>0.7541899441</v>
      </c>
      <c r="V90" s="26" t="str">
        <f t="shared" si="7"/>
        <v>0%</v>
      </c>
      <c r="W90" s="19">
        <f t="shared" si="8"/>
        <v>0</v>
      </c>
      <c r="X90" s="20">
        <f t="shared" si="9"/>
        <v>170</v>
      </c>
      <c r="Y90" s="27"/>
      <c r="Z90" s="17"/>
      <c r="AA90" s="28"/>
      <c r="AB90" s="17"/>
      <c r="AC90" s="28"/>
      <c r="AD90" s="27"/>
    </row>
    <row r="91" ht="15.75" customHeight="1">
      <c r="A91" s="27" t="s">
        <v>304</v>
      </c>
      <c r="B91" s="27" t="s">
        <v>305</v>
      </c>
      <c r="C91" s="16" t="s">
        <v>306</v>
      </c>
      <c r="D91" s="17" t="s">
        <v>282</v>
      </c>
      <c r="E91" s="18" t="s">
        <v>34</v>
      </c>
      <c r="F91" s="18">
        <v>1.0</v>
      </c>
      <c r="G91" s="19">
        <f t="shared" si="1"/>
        <v>2.000035274</v>
      </c>
      <c r="H91" s="17">
        <v>56.7</v>
      </c>
      <c r="I91" s="10">
        <v>320.0</v>
      </c>
      <c r="J91" s="17">
        <v>20.0</v>
      </c>
      <c r="K91" s="17">
        <v>320.0</v>
      </c>
      <c r="L91" s="17"/>
      <c r="M91" s="20">
        <v>32.0</v>
      </c>
      <c r="N91" s="20">
        <v>3.0</v>
      </c>
      <c r="O91" s="20">
        <v>1.0</v>
      </c>
      <c r="P91" s="20">
        <f t="shared" si="2"/>
        <v>28</v>
      </c>
      <c r="Q91" s="21">
        <v>3.0</v>
      </c>
      <c r="R91" s="22">
        <f t="shared" si="3"/>
        <v>159.9971781</v>
      </c>
      <c r="S91" s="23">
        <f t="shared" si="4"/>
        <v>5.643738977</v>
      </c>
      <c r="T91" s="24">
        <f t="shared" si="5"/>
        <v>10.66666667</v>
      </c>
      <c r="U91" s="26">
        <f t="shared" si="6"/>
        <v>0.5625</v>
      </c>
      <c r="V91" s="26">
        <f t="shared" si="7"/>
        <v>0.0125</v>
      </c>
      <c r="W91" s="19">
        <f t="shared" si="8"/>
        <v>1</v>
      </c>
      <c r="X91" s="20">
        <f t="shared" si="9"/>
        <v>320</v>
      </c>
      <c r="Y91" s="27"/>
      <c r="Z91" s="17"/>
      <c r="AA91" s="28"/>
      <c r="AB91" s="17"/>
      <c r="AC91" s="28"/>
      <c r="AD91" s="27"/>
    </row>
    <row r="92" ht="15.75" customHeight="1">
      <c r="A92" s="27" t="s">
        <v>224</v>
      </c>
      <c r="B92" s="27" t="s">
        <v>307</v>
      </c>
      <c r="C92" s="16" t="s">
        <v>308</v>
      </c>
      <c r="D92" s="17" t="s">
        <v>103</v>
      </c>
      <c r="E92" s="18" t="s">
        <v>34</v>
      </c>
      <c r="F92" s="18">
        <v>1.0</v>
      </c>
      <c r="G92" s="19">
        <f t="shared" si="1"/>
        <v>1.128767703</v>
      </c>
      <c r="H92" s="17">
        <v>32.0</v>
      </c>
      <c r="I92" s="10">
        <v>180.0</v>
      </c>
      <c r="J92" s="17">
        <v>15.0</v>
      </c>
      <c r="K92" s="17">
        <v>30.0</v>
      </c>
      <c r="L92" s="17"/>
      <c r="M92" s="20">
        <v>10.0</v>
      </c>
      <c r="N92" s="20">
        <v>2.0</v>
      </c>
      <c r="O92" s="20">
        <v>5.0</v>
      </c>
      <c r="P92" s="20">
        <f t="shared" si="2"/>
        <v>3</v>
      </c>
      <c r="Q92" s="21">
        <v>6.0</v>
      </c>
      <c r="R92" s="22">
        <f t="shared" si="3"/>
        <v>159.4659375</v>
      </c>
      <c r="S92" s="23">
        <f t="shared" si="4"/>
        <v>5.625</v>
      </c>
      <c r="T92" s="24">
        <f t="shared" si="5"/>
        <v>1.666666667</v>
      </c>
      <c r="U92" s="26">
        <f t="shared" si="6"/>
        <v>0.6783919598</v>
      </c>
      <c r="V92" s="26">
        <f t="shared" si="7"/>
        <v>0.1005025126</v>
      </c>
      <c r="W92" s="19">
        <f t="shared" si="8"/>
        <v>0.1666666667</v>
      </c>
      <c r="X92" s="20">
        <f t="shared" si="9"/>
        <v>180</v>
      </c>
      <c r="Y92" s="27"/>
      <c r="Z92" s="17"/>
      <c r="AA92" s="28"/>
      <c r="AB92" s="17"/>
      <c r="AC92" s="28"/>
      <c r="AD92" s="27"/>
    </row>
    <row r="93" ht="15.75" customHeight="1">
      <c r="A93" s="27" t="s">
        <v>309</v>
      </c>
      <c r="B93" s="27" t="s">
        <v>310</v>
      </c>
      <c r="C93" s="16" t="s">
        <v>311</v>
      </c>
      <c r="D93" s="17" t="s">
        <v>103</v>
      </c>
      <c r="E93" s="18" t="s">
        <v>34</v>
      </c>
      <c r="F93" s="18">
        <v>1.0</v>
      </c>
      <c r="G93" s="19">
        <f t="shared" si="1"/>
        <v>1.128767703</v>
      </c>
      <c r="H93" s="17">
        <v>32.0</v>
      </c>
      <c r="I93" s="10">
        <v>180.0</v>
      </c>
      <c r="J93" s="17">
        <v>15.0</v>
      </c>
      <c r="K93" s="17">
        <v>100.0</v>
      </c>
      <c r="L93" s="17"/>
      <c r="M93" s="20">
        <v>8.0</v>
      </c>
      <c r="N93" s="20">
        <v>2.0</v>
      </c>
      <c r="O93" s="20">
        <v>3.0</v>
      </c>
      <c r="P93" s="20">
        <f t="shared" si="2"/>
        <v>3</v>
      </c>
      <c r="Q93" s="21">
        <v>7.0</v>
      </c>
      <c r="R93" s="22">
        <f t="shared" si="3"/>
        <v>159.4659375</v>
      </c>
      <c r="S93" s="23">
        <f t="shared" si="4"/>
        <v>5.625</v>
      </c>
      <c r="T93" s="24">
        <f t="shared" si="5"/>
        <v>1.142857143</v>
      </c>
      <c r="U93" s="26">
        <f t="shared" si="6"/>
        <v>0.6923076923</v>
      </c>
      <c r="V93" s="26">
        <f t="shared" si="7"/>
        <v>0.06153846154</v>
      </c>
      <c r="W93" s="19">
        <f t="shared" si="8"/>
        <v>0.5555555556</v>
      </c>
      <c r="X93" s="20">
        <f t="shared" si="9"/>
        <v>180</v>
      </c>
      <c r="Y93" s="27"/>
      <c r="Z93" s="17"/>
      <c r="AA93" s="28"/>
      <c r="AB93" s="17"/>
      <c r="AC93" s="28"/>
      <c r="AD93" s="27"/>
    </row>
    <row r="94" ht="15.75" customHeight="1">
      <c r="A94" s="16" t="s">
        <v>153</v>
      </c>
      <c r="B94" s="16" t="s">
        <v>312</v>
      </c>
      <c r="C94" s="16" t="s">
        <v>313</v>
      </c>
      <c r="D94" s="17" t="s">
        <v>103</v>
      </c>
      <c r="E94" s="18" t="s">
        <v>34</v>
      </c>
      <c r="F94" s="18">
        <v>1.0</v>
      </c>
      <c r="G94" s="19">
        <f t="shared" si="1"/>
        <v>1.128767703</v>
      </c>
      <c r="H94" s="17">
        <v>32.0</v>
      </c>
      <c r="I94" s="10">
        <v>180.0</v>
      </c>
      <c r="J94" s="17">
        <v>14.0</v>
      </c>
      <c r="K94" s="17">
        <v>85.0</v>
      </c>
      <c r="L94" s="17">
        <v>224.0</v>
      </c>
      <c r="M94" s="20">
        <v>8.0</v>
      </c>
      <c r="N94" s="20">
        <v>3.0</v>
      </c>
      <c r="O94" s="20">
        <v>4.0</v>
      </c>
      <c r="P94" s="20">
        <f t="shared" si="2"/>
        <v>1</v>
      </c>
      <c r="Q94" s="21">
        <v>7.0</v>
      </c>
      <c r="R94" s="22">
        <f t="shared" si="3"/>
        <v>159.4659375</v>
      </c>
      <c r="S94" s="23">
        <f t="shared" si="4"/>
        <v>5.625</v>
      </c>
      <c r="T94" s="24">
        <f t="shared" si="5"/>
        <v>1.142857143</v>
      </c>
      <c r="U94" s="26">
        <f t="shared" si="6"/>
        <v>0.6774193548</v>
      </c>
      <c r="V94" s="26">
        <f t="shared" si="7"/>
        <v>0.08602150538</v>
      </c>
      <c r="W94" s="19">
        <f t="shared" si="8"/>
        <v>0.4722222222</v>
      </c>
      <c r="X94" s="20">
        <f t="shared" si="9"/>
        <v>180</v>
      </c>
      <c r="Y94" s="27"/>
      <c r="Z94" s="17"/>
      <c r="AA94" s="28"/>
      <c r="AB94" s="17"/>
      <c r="AC94" s="28"/>
      <c r="AD94" s="27"/>
    </row>
    <row r="95" ht="15.75" customHeight="1">
      <c r="A95" s="27" t="s">
        <v>315</v>
      </c>
      <c r="B95" s="27" t="s">
        <v>316</v>
      </c>
      <c r="C95" s="16" t="s">
        <v>317</v>
      </c>
      <c r="D95" s="17" t="s">
        <v>318</v>
      </c>
      <c r="E95" s="18" t="s">
        <v>34</v>
      </c>
      <c r="F95" s="18">
        <v>1.0</v>
      </c>
      <c r="G95" s="19">
        <f t="shared" si="1"/>
        <v>0.8818497681</v>
      </c>
      <c r="H95" s="17">
        <v>25.0</v>
      </c>
      <c r="I95" s="10">
        <v>140.0</v>
      </c>
      <c r="J95" s="17">
        <v>8.0</v>
      </c>
      <c r="K95" s="17">
        <v>85.0</v>
      </c>
      <c r="L95" s="17"/>
      <c r="M95" s="20">
        <v>14.0</v>
      </c>
      <c r="N95" s="20">
        <v>0.0</v>
      </c>
      <c r="O95" s="20">
        <v>5.0</v>
      </c>
      <c r="P95" s="20">
        <f t="shared" si="2"/>
        <v>9</v>
      </c>
      <c r="Q95" s="21">
        <v>1.0</v>
      </c>
      <c r="R95" s="22">
        <f t="shared" si="3"/>
        <v>158.7572</v>
      </c>
      <c r="S95" s="23">
        <f t="shared" si="4"/>
        <v>5.6</v>
      </c>
      <c r="T95" s="24">
        <f t="shared" si="5"/>
        <v>14</v>
      </c>
      <c r="U95" s="26">
        <f t="shared" si="6"/>
        <v>0.5454545455</v>
      </c>
      <c r="V95" s="26">
        <f t="shared" si="7"/>
        <v>0.1515151515</v>
      </c>
      <c r="W95" s="19">
        <f t="shared" si="8"/>
        <v>0.6071428571</v>
      </c>
      <c r="X95" s="20">
        <f t="shared" si="9"/>
        <v>140</v>
      </c>
      <c r="Y95" s="27"/>
      <c r="Z95" s="17"/>
      <c r="AA95" s="28"/>
      <c r="AB95" s="17"/>
      <c r="AC95" s="28"/>
      <c r="AD95" s="27"/>
    </row>
    <row r="96" ht="15.75" customHeight="1">
      <c r="A96" s="27" t="s">
        <v>232</v>
      </c>
      <c r="B96" s="27" t="s">
        <v>319</v>
      </c>
      <c r="C96" s="16" t="s">
        <v>320</v>
      </c>
      <c r="D96" s="17" t="s">
        <v>212</v>
      </c>
      <c r="E96" s="18" t="s">
        <v>34</v>
      </c>
      <c r="F96" s="18">
        <v>1.0</v>
      </c>
      <c r="G96" s="19">
        <f t="shared" si="1"/>
        <v>1.199315685</v>
      </c>
      <c r="H96" s="17">
        <v>34.0</v>
      </c>
      <c r="I96" s="10">
        <v>190.0</v>
      </c>
      <c r="J96" s="17">
        <v>15.0</v>
      </c>
      <c r="K96" s="17">
        <v>55.0</v>
      </c>
      <c r="L96" s="17"/>
      <c r="M96" s="20">
        <v>16.0</v>
      </c>
      <c r="N96" s="20">
        <v>4.0</v>
      </c>
      <c r="O96" s="20">
        <v>10.0</v>
      </c>
      <c r="P96" s="20">
        <f t="shared" si="2"/>
        <v>2</v>
      </c>
      <c r="Q96" s="21">
        <v>2.0</v>
      </c>
      <c r="R96" s="22">
        <f t="shared" si="3"/>
        <v>158.4236765</v>
      </c>
      <c r="S96" s="23">
        <f t="shared" si="4"/>
        <v>5.588235294</v>
      </c>
      <c r="T96" s="24">
        <f t="shared" si="5"/>
        <v>8</v>
      </c>
      <c r="U96" s="26">
        <f t="shared" si="6"/>
        <v>0.652173913</v>
      </c>
      <c r="V96" s="26">
        <f t="shared" si="7"/>
        <v>0.193236715</v>
      </c>
      <c r="W96" s="19">
        <f t="shared" si="8"/>
        <v>0.2894736842</v>
      </c>
      <c r="X96" s="20">
        <f t="shared" si="9"/>
        <v>190</v>
      </c>
      <c r="Y96" s="27"/>
      <c r="Z96" s="17"/>
      <c r="AA96" s="28"/>
      <c r="AB96" s="17"/>
      <c r="AC96" s="28"/>
      <c r="AD96" s="27"/>
    </row>
    <row r="97" ht="15.75" customHeight="1">
      <c r="A97" s="27" t="s">
        <v>321</v>
      </c>
      <c r="B97" s="27" t="s">
        <v>322</v>
      </c>
      <c r="C97" s="16" t="s">
        <v>323</v>
      </c>
      <c r="D97" s="17" t="s">
        <v>130</v>
      </c>
      <c r="E97" s="18" t="s">
        <v>34</v>
      </c>
      <c r="F97" s="18">
        <v>1.0</v>
      </c>
      <c r="G97" s="19">
        <f t="shared" si="1"/>
        <v>1.516781601</v>
      </c>
      <c r="H97" s="17">
        <v>43.0</v>
      </c>
      <c r="I97" s="10">
        <v>240.0</v>
      </c>
      <c r="J97" s="17">
        <v>16.0</v>
      </c>
      <c r="K97" s="17">
        <v>45.0</v>
      </c>
      <c r="L97" s="17"/>
      <c r="M97" s="20">
        <v>23.0</v>
      </c>
      <c r="N97" s="20">
        <v>2.0</v>
      </c>
      <c r="O97" s="20">
        <v>20.0</v>
      </c>
      <c r="P97" s="20">
        <f t="shared" si="2"/>
        <v>1</v>
      </c>
      <c r="Q97" s="21">
        <v>3.0</v>
      </c>
      <c r="R97" s="22">
        <f t="shared" si="3"/>
        <v>158.2297674</v>
      </c>
      <c r="S97" s="23">
        <f t="shared" si="4"/>
        <v>5.581395349</v>
      </c>
      <c r="T97" s="24">
        <f t="shared" si="5"/>
        <v>7.666666667</v>
      </c>
      <c r="U97" s="26">
        <f t="shared" si="6"/>
        <v>0.5806451613</v>
      </c>
      <c r="V97" s="26">
        <f t="shared" si="7"/>
        <v>0.3225806452</v>
      </c>
      <c r="W97" s="19">
        <f t="shared" si="8"/>
        <v>0.1875</v>
      </c>
      <c r="X97" s="20">
        <f t="shared" si="9"/>
        <v>240</v>
      </c>
      <c r="Y97" s="27"/>
      <c r="Z97" s="17"/>
      <c r="AA97" s="28"/>
      <c r="AB97" s="17"/>
      <c r="AC97" s="28"/>
      <c r="AD97" s="27"/>
    </row>
    <row r="98" ht="15.75" customHeight="1">
      <c r="A98" s="27" t="s">
        <v>324</v>
      </c>
      <c r="B98" s="27" t="s">
        <v>325</v>
      </c>
      <c r="C98" s="16" t="s">
        <v>326</v>
      </c>
      <c r="D98" s="17" t="s">
        <v>212</v>
      </c>
      <c r="E98" s="18" t="s">
        <v>34</v>
      </c>
      <c r="F98" s="18">
        <v>1.0</v>
      </c>
      <c r="G98" s="19">
        <f t="shared" si="1"/>
        <v>1.269863666</v>
      </c>
      <c r="H98" s="17">
        <v>36.0</v>
      </c>
      <c r="I98" s="10">
        <v>200.0</v>
      </c>
      <c r="J98" s="17">
        <v>12.0</v>
      </c>
      <c r="K98" s="17">
        <v>130.0</v>
      </c>
      <c r="L98" s="17">
        <v>140.0</v>
      </c>
      <c r="M98" s="20">
        <v>18.0</v>
      </c>
      <c r="N98" s="20">
        <v>3.0</v>
      </c>
      <c r="O98" s="20">
        <v>8.0</v>
      </c>
      <c r="P98" s="20">
        <f t="shared" si="2"/>
        <v>7</v>
      </c>
      <c r="Q98" s="21">
        <v>5.0</v>
      </c>
      <c r="R98" s="22">
        <f t="shared" si="3"/>
        <v>157.4972222</v>
      </c>
      <c r="S98" s="23">
        <f t="shared" si="4"/>
        <v>5.555555556</v>
      </c>
      <c r="T98" s="24">
        <f t="shared" si="5"/>
        <v>3.6</v>
      </c>
      <c r="U98" s="26">
        <f t="shared" si="6"/>
        <v>0.54</v>
      </c>
      <c r="V98" s="26">
        <f t="shared" si="7"/>
        <v>0.16</v>
      </c>
      <c r="W98" s="19">
        <f t="shared" si="8"/>
        <v>0.65</v>
      </c>
      <c r="X98" s="20">
        <f t="shared" si="9"/>
        <v>200</v>
      </c>
      <c r="Y98" s="27"/>
      <c r="Z98" s="17"/>
      <c r="AA98" s="28"/>
      <c r="AB98" s="17"/>
      <c r="AC98" s="28"/>
      <c r="AD98" s="27"/>
    </row>
    <row r="99" ht="15.75" customHeight="1">
      <c r="A99" s="27" t="s">
        <v>324</v>
      </c>
      <c r="B99" s="27" t="s">
        <v>327</v>
      </c>
      <c r="C99" s="16" t="s">
        <v>328</v>
      </c>
      <c r="D99" s="17" t="s">
        <v>212</v>
      </c>
      <c r="E99" s="18" t="s">
        <v>34</v>
      </c>
      <c r="F99" s="18">
        <v>1.0</v>
      </c>
      <c r="G99" s="19">
        <f t="shared" si="1"/>
        <v>1.269863666</v>
      </c>
      <c r="H99" s="17">
        <v>36.0</v>
      </c>
      <c r="I99" s="10">
        <v>200.0</v>
      </c>
      <c r="J99" s="17">
        <v>12.0</v>
      </c>
      <c r="K99" s="17">
        <v>170.0</v>
      </c>
      <c r="L99" s="17">
        <v>130.0</v>
      </c>
      <c r="M99" s="20">
        <v>18.0</v>
      </c>
      <c r="N99" s="20">
        <v>3.0</v>
      </c>
      <c r="O99" s="20">
        <v>8.0</v>
      </c>
      <c r="P99" s="20">
        <f t="shared" si="2"/>
        <v>7</v>
      </c>
      <c r="Q99" s="21">
        <v>5.0</v>
      </c>
      <c r="R99" s="22">
        <f t="shared" si="3"/>
        <v>157.4972222</v>
      </c>
      <c r="S99" s="23">
        <f t="shared" si="4"/>
        <v>5.555555556</v>
      </c>
      <c r="T99" s="24">
        <f t="shared" si="5"/>
        <v>3.6</v>
      </c>
      <c r="U99" s="26">
        <f t="shared" si="6"/>
        <v>0.54</v>
      </c>
      <c r="V99" s="26">
        <f t="shared" si="7"/>
        <v>0.16</v>
      </c>
      <c r="W99" s="19">
        <f t="shared" si="8"/>
        <v>0.85</v>
      </c>
      <c r="X99" s="20">
        <f t="shared" si="9"/>
        <v>200</v>
      </c>
      <c r="Y99" s="27"/>
      <c r="Z99" s="17"/>
      <c r="AA99" s="28"/>
      <c r="AB99" s="17"/>
      <c r="AC99" s="28"/>
      <c r="AD99" s="27"/>
    </row>
    <row r="100" ht="15.75" customHeight="1">
      <c r="A100" s="27" t="s">
        <v>324</v>
      </c>
      <c r="B100" s="27" t="s">
        <v>329</v>
      </c>
      <c r="C100" s="16" t="s">
        <v>330</v>
      </c>
      <c r="D100" s="17" t="s">
        <v>212</v>
      </c>
      <c r="E100" s="18" t="s">
        <v>34</v>
      </c>
      <c r="F100" s="18">
        <v>1.0</v>
      </c>
      <c r="G100" s="19">
        <f t="shared" si="1"/>
        <v>1.269863666</v>
      </c>
      <c r="H100" s="17">
        <v>36.0</v>
      </c>
      <c r="I100" s="10">
        <v>200.0</v>
      </c>
      <c r="J100" s="17">
        <v>12.0</v>
      </c>
      <c r="K100" s="17">
        <v>170.0</v>
      </c>
      <c r="L100" s="17">
        <v>100.0</v>
      </c>
      <c r="M100" s="20">
        <v>17.0</v>
      </c>
      <c r="N100" s="20">
        <v>3.0</v>
      </c>
      <c r="O100" s="20">
        <v>8.0</v>
      </c>
      <c r="P100" s="20">
        <f t="shared" si="2"/>
        <v>6</v>
      </c>
      <c r="Q100" s="21">
        <v>5.0</v>
      </c>
      <c r="R100" s="22">
        <f t="shared" si="3"/>
        <v>157.4972222</v>
      </c>
      <c r="S100" s="23">
        <f t="shared" si="4"/>
        <v>5.555555556</v>
      </c>
      <c r="T100" s="24">
        <f t="shared" si="5"/>
        <v>3.4</v>
      </c>
      <c r="U100" s="26">
        <f t="shared" si="6"/>
        <v>0.5510204082</v>
      </c>
      <c r="V100" s="26">
        <f t="shared" si="7"/>
        <v>0.1632653061</v>
      </c>
      <c r="W100" s="19">
        <f t="shared" si="8"/>
        <v>0.85</v>
      </c>
      <c r="X100" s="20">
        <f t="shared" si="9"/>
        <v>200</v>
      </c>
      <c r="Y100" s="27"/>
      <c r="Z100" s="17"/>
      <c r="AA100" s="28"/>
      <c r="AB100" s="17"/>
      <c r="AC100" s="28"/>
      <c r="AD100" s="27"/>
    </row>
    <row r="101" ht="15.75" customHeight="1">
      <c r="A101" s="27" t="s">
        <v>213</v>
      </c>
      <c r="B101" s="27" t="s">
        <v>331</v>
      </c>
      <c r="C101" s="16" t="s">
        <v>332</v>
      </c>
      <c r="D101" s="17" t="s">
        <v>203</v>
      </c>
      <c r="E101" s="18" t="s">
        <v>34</v>
      </c>
      <c r="F101" s="18">
        <v>1.0</v>
      </c>
      <c r="G101" s="19">
        <f t="shared" si="1"/>
        <v>1.269863666</v>
      </c>
      <c r="H101" s="17">
        <v>36.0</v>
      </c>
      <c r="I101" s="10">
        <v>200.0</v>
      </c>
      <c r="J101" s="17">
        <v>10.0</v>
      </c>
      <c r="K101" s="17">
        <v>320.0</v>
      </c>
      <c r="L101" s="17"/>
      <c r="M101" s="20">
        <v>12.0</v>
      </c>
      <c r="N101" s="20">
        <v>2.0</v>
      </c>
      <c r="O101" s="20">
        <v>1.0</v>
      </c>
      <c r="P101" s="20">
        <f t="shared" si="2"/>
        <v>9</v>
      </c>
      <c r="Q101" s="21">
        <v>6.0</v>
      </c>
      <c r="R101" s="22">
        <f t="shared" si="3"/>
        <v>157.4972222</v>
      </c>
      <c r="S101" s="23">
        <f t="shared" si="4"/>
        <v>5.555555556</v>
      </c>
      <c r="T101" s="24">
        <f t="shared" si="5"/>
        <v>2</v>
      </c>
      <c r="U101" s="26">
        <f t="shared" si="6"/>
        <v>0.5555555556</v>
      </c>
      <c r="V101" s="26">
        <f t="shared" si="7"/>
        <v>0.02469135802</v>
      </c>
      <c r="W101" s="19">
        <f t="shared" si="8"/>
        <v>1.6</v>
      </c>
      <c r="X101" s="20">
        <f t="shared" si="9"/>
        <v>200</v>
      </c>
      <c r="Y101" s="27"/>
      <c r="Z101" s="17"/>
      <c r="AA101" s="17"/>
      <c r="AB101" s="17"/>
      <c r="AC101" s="17"/>
      <c r="AD101" s="27"/>
    </row>
    <row r="102" ht="15.75" customHeight="1">
      <c r="A102" s="27" t="s">
        <v>333</v>
      </c>
      <c r="B102" s="27" t="s">
        <v>334</v>
      </c>
      <c r="C102" s="16" t="s">
        <v>335</v>
      </c>
      <c r="D102" s="17" t="s">
        <v>318</v>
      </c>
      <c r="E102" s="18" t="s">
        <v>34</v>
      </c>
      <c r="F102" s="18">
        <v>1.0</v>
      </c>
      <c r="G102" s="19">
        <f t="shared" si="1"/>
        <v>1.022945731</v>
      </c>
      <c r="H102" s="17">
        <v>29.0</v>
      </c>
      <c r="I102" s="10">
        <v>160.0</v>
      </c>
      <c r="J102" s="17">
        <v>10.0</v>
      </c>
      <c r="K102" s="17">
        <v>95.0</v>
      </c>
      <c r="L102" s="17">
        <v>20.0</v>
      </c>
      <c r="M102" s="20">
        <v>17.0</v>
      </c>
      <c r="N102" s="20">
        <v>1.0</v>
      </c>
      <c r="O102" s="20">
        <v>7.0</v>
      </c>
      <c r="P102" s="20">
        <f t="shared" si="2"/>
        <v>9</v>
      </c>
      <c r="Q102" s="21">
        <v>2.0</v>
      </c>
      <c r="R102" s="22">
        <f t="shared" si="3"/>
        <v>156.4110345</v>
      </c>
      <c r="S102" s="23">
        <f t="shared" si="4"/>
        <v>5.517241379</v>
      </c>
      <c r="T102" s="24">
        <f t="shared" si="5"/>
        <v>8.5</v>
      </c>
      <c r="U102" s="26">
        <f t="shared" si="6"/>
        <v>0.5421686747</v>
      </c>
      <c r="V102" s="26">
        <f t="shared" si="7"/>
        <v>0.1686746988</v>
      </c>
      <c r="W102" s="19">
        <f t="shared" si="8"/>
        <v>0.59375</v>
      </c>
      <c r="X102" s="20">
        <f t="shared" si="9"/>
        <v>160</v>
      </c>
      <c r="Y102" s="27"/>
      <c r="Z102" s="17"/>
      <c r="AA102" s="28"/>
      <c r="AB102" s="17"/>
      <c r="AC102" s="28"/>
      <c r="AD102" s="27"/>
    </row>
    <row r="103" ht="15.75" customHeight="1">
      <c r="A103" s="16" t="s">
        <v>336</v>
      </c>
      <c r="B103" s="16" t="s">
        <v>337</v>
      </c>
      <c r="C103" s="16" t="s">
        <v>338</v>
      </c>
      <c r="D103" s="17" t="s">
        <v>81</v>
      </c>
      <c r="E103" s="18" t="s">
        <v>34</v>
      </c>
      <c r="F103" s="18">
        <v>1.0</v>
      </c>
      <c r="G103" s="19">
        <f t="shared" si="1"/>
        <v>0.7054798145</v>
      </c>
      <c r="H103" s="17">
        <v>20.0</v>
      </c>
      <c r="I103" s="10">
        <v>110.0</v>
      </c>
      <c r="J103" s="17">
        <v>6.0</v>
      </c>
      <c r="K103" s="17">
        <v>0.0</v>
      </c>
      <c r="L103" s="17"/>
      <c r="M103" s="20">
        <v>12.0</v>
      </c>
      <c r="N103" s="20">
        <v>1.0</v>
      </c>
      <c r="O103" s="20">
        <v>9.0</v>
      </c>
      <c r="P103" s="20">
        <f t="shared" si="2"/>
        <v>2</v>
      </c>
      <c r="Q103" s="21">
        <v>1.0</v>
      </c>
      <c r="R103" s="22">
        <f t="shared" si="3"/>
        <v>155.92225</v>
      </c>
      <c r="S103" s="23">
        <f t="shared" si="4"/>
        <v>5.5</v>
      </c>
      <c r="T103" s="24">
        <f t="shared" si="5"/>
        <v>12</v>
      </c>
      <c r="U103" s="26">
        <f t="shared" si="6"/>
        <v>0.5094339623</v>
      </c>
      <c r="V103" s="26">
        <f t="shared" si="7"/>
        <v>0.3396226415</v>
      </c>
      <c r="W103" s="19">
        <f t="shared" si="8"/>
        <v>0</v>
      </c>
      <c r="X103" s="20">
        <f t="shared" si="9"/>
        <v>110</v>
      </c>
      <c r="Y103" s="27"/>
      <c r="Z103" s="17"/>
      <c r="AA103" s="28"/>
      <c r="AB103" s="17"/>
      <c r="AC103" s="28"/>
      <c r="AD103" s="16"/>
    </row>
    <row r="104" ht="15.75" customHeight="1">
      <c r="A104" s="27" t="s">
        <v>339</v>
      </c>
      <c r="B104" s="27" t="s">
        <v>340</v>
      </c>
      <c r="C104" s="16" t="s">
        <v>341</v>
      </c>
      <c r="D104" s="17" t="s">
        <v>130</v>
      </c>
      <c r="E104" s="18" t="s">
        <v>34</v>
      </c>
      <c r="F104" s="18">
        <v>1.0</v>
      </c>
      <c r="G104" s="19">
        <f t="shared" si="1"/>
        <v>1.410959629</v>
      </c>
      <c r="H104" s="17">
        <v>40.0</v>
      </c>
      <c r="I104" s="10">
        <v>220.0</v>
      </c>
      <c r="J104" s="17">
        <v>14.0</v>
      </c>
      <c r="K104" s="17">
        <v>80.0</v>
      </c>
      <c r="L104" s="17"/>
      <c r="M104" s="20">
        <v>23.0</v>
      </c>
      <c r="N104" s="20">
        <v>1.0</v>
      </c>
      <c r="O104" s="20">
        <v>20.0</v>
      </c>
      <c r="P104" s="20">
        <f t="shared" si="2"/>
        <v>2</v>
      </c>
      <c r="Q104" s="21">
        <v>2.0</v>
      </c>
      <c r="R104" s="22">
        <f t="shared" si="3"/>
        <v>155.92225</v>
      </c>
      <c r="S104" s="23">
        <f t="shared" si="4"/>
        <v>5.5</v>
      </c>
      <c r="T104" s="24">
        <f t="shared" si="5"/>
        <v>11.5</v>
      </c>
      <c r="U104" s="26">
        <f t="shared" si="6"/>
        <v>0.5575221239</v>
      </c>
      <c r="V104" s="26">
        <f t="shared" si="7"/>
        <v>0.3539823009</v>
      </c>
      <c r="W104" s="19">
        <f t="shared" si="8"/>
        <v>0.3636363636</v>
      </c>
      <c r="X104" s="20">
        <f t="shared" si="9"/>
        <v>220</v>
      </c>
      <c r="Y104" s="27"/>
      <c r="Z104" s="17"/>
      <c r="AA104" s="28"/>
      <c r="AB104" s="17"/>
      <c r="AC104" s="28"/>
      <c r="AD104" s="27"/>
    </row>
    <row r="105" ht="15.75" customHeight="1">
      <c r="A105" s="27" t="s">
        <v>276</v>
      </c>
      <c r="B105" s="27" t="s">
        <v>342</v>
      </c>
      <c r="C105" s="16" t="s">
        <v>343</v>
      </c>
      <c r="D105" s="17" t="s">
        <v>130</v>
      </c>
      <c r="E105" s="18" t="s">
        <v>34</v>
      </c>
      <c r="F105" s="18">
        <v>1.0</v>
      </c>
      <c r="G105" s="19">
        <f t="shared" si="1"/>
        <v>1.410959629</v>
      </c>
      <c r="H105" s="17">
        <v>40.0</v>
      </c>
      <c r="I105" s="10">
        <v>220.0</v>
      </c>
      <c r="J105" s="17">
        <v>13.0</v>
      </c>
      <c r="K105" s="17">
        <v>55.0</v>
      </c>
      <c r="L105" s="17"/>
      <c r="M105" s="20">
        <v>22.0</v>
      </c>
      <c r="N105" s="20">
        <v>1.0</v>
      </c>
      <c r="O105" s="20">
        <v>11.0</v>
      </c>
      <c r="P105" s="20">
        <f t="shared" si="2"/>
        <v>10</v>
      </c>
      <c r="Q105" s="21">
        <v>4.0</v>
      </c>
      <c r="R105" s="22">
        <f t="shared" si="3"/>
        <v>155.92225</v>
      </c>
      <c r="S105" s="23">
        <f t="shared" si="4"/>
        <v>5.5</v>
      </c>
      <c r="T105" s="24">
        <f t="shared" si="5"/>
        <v>5.5</v>
      </c>
      <c r="U105" s="26">
        <f t="shared" si="6"/>
        <v>0.5294117647</v>
      </c>
      <c r="V105" s="26">
        <f t="shared" si="7"/>
        <v>0.1990950226</v>
      </c>
      <c r="W105" s="19">
        <f t="shared" si="8"/>
        <v>0.25</v>
      </c>
      <c r="X105" s="20">
        <f t="shared" si="9"/>
        <v>220</v>
      </c>
      <c r="Y105" s="27"/>
      <c r="Z105" s="17"/>
      <c r="AA105" s="28"/>
      <c r="AB105" s="17"/>
      <c r="AC105" s="28"/>
      <c r="AD105" s="16"/>
    </row>
    <row r="106" ht="15.75" customHeight="1">
      <c r="A106" s="27" t="s">
        <v>127</v>
      </c>
      <c r="B106" s="27" t="s">
        <v>344</v>
      </c>
      <c r="C106" s="16" t="s">
        <v>345</v>
      </c>
      <c r="D106" s="17" t="s">
        <v>130</v>
      </c>
      <c r="E106" s="18" t="s">
        <v>34</v>
      </c>
      <c r="F106" s="18">
        <v>1.0</v>
      </c>
      <c r="G106" s="19">
        <f t="shared" si="1"/>
        <v>1.410959629</v>
      </c>
      <c r="H106" s="17">
        <v>40.0</v>
      </c>
      <c r="I106" s="10">
        <v>220.0</v>
      </c>
      <c r="J106" s="17">
        <v>13.0</v>
      </c>
      <c r="K106" s="17">
        <v>40.0</v>
      </c>
      <c r="L106" s="17"/>
      <c r="M106" s="20">
        <v>22.0</v>
      </c>
      <c r="N106" s="20">
        <v>1.0</v>
      </c>
      <c r="O106" s="20">
        <v>20.0</v>
      </c>
      <c r="P106" s="20">
        <f t="shared" si="2"/>
        <v>1</v>
      </c>
      <c r="Q106" s="21">
        <v>4.0</v>
      </c>
      <c r="R106" s="22">
        <f t="shared" si="3"/>
        <v>155.92225</v>
      </c>
      <c r="S106" s="23">
        <f t="shared" si="4"/>
        <v>5.5</v>
      </c>
      <c r="T106" s="24">
        <f t="shared" si="5"/>
        <v>5.5</v>
      </c>
      <c r="U106" s="26">
        <f t="shared" si="6"/>
        <v>0.5294117647</v>
      </c>
      <c r="V106" s="26">
        <f t="shared" si="7"/>
        <v>0.3619909502</v>
      </c>
      <c r="W106" s="19">
        <f t="shared" si="8"/>
        <v>0.1818181818</v>
      </c>
      <c r="X106" s="20">
        <f t="shared" si="9"/>
        <v>220</v>
      </c>
      <c r="Y106" s="27"/>
      <c r="Z106" s="17"/>
      <c r="AA106" s="28"/>
      <c r="AB106" s="17"/>
      <c r="AC106" s="28"/>
      <c r="AD106" s="16"/>
    </row>
    <row r="107" ht="15.75" customHeight="1">
      <c r="A107" s="27" t="s">
        <v>346</v>
      </c>
      <c r="B107" s="92" t="s">
        <v>347</v>
      </c>
      <c r="C107" s="16" t="s">
        <v>348</v>
      </c>
      <c r="D107" s="17" t="s">
        <v>130</v>
      </c>
      <c r="E107" s="18" t="s">
        <v>34</v>
      </c>
      <c r="F107" s="18">
        <v>1.0</v>
      </c>
      <c r="G107" s="19">
        <f t="shared" si="1"/>
        <v>1.410959629</v>
      </c>
      <c r="H107" s="17">
        <v>40.0</v>
      </c>
      <c r="I107" s="10">
        <v>220.0</v>
      </c>
      <c r="J107" s="17">
        <v>15.0</v>
      </c>
      <c r="K107" s="17">
        <v>0.0</v>
      </c>
      <c r="L107" s="17"/>
      <c r="M107" s="20">
        <v>20.0</v>
      </c>
      <c r="N107" s="20">
        <v>3.0</v>
      </c>
      <c r="O107" s="20">
        <v>14.0</v>
      </c>
      <c r="P107" s="20">
        <f t="shared" si="2"/>
        <v>3</v>
      </c>
      <c r="Q107" s="21">
        <v>4.0</v>
      </c>
      <c r="R107" s="22">
        <f t="shared" si="3"/>
        <v>155.92225</v>
      </c>
      <c r="S107" s="23">
        <f t="shared" si="4"/>
        <v>5.5</v>
      </c>
      <c r="T107" s="24">
        <f t="shared" si="5"/>
        <v>5</v>
      </c>
      <c r="U107" s="26">
        <f t="shared" si="6"/>
        <v>0.5844155844</v>
      </c>
      <c r="V107" s="26">
        <f t="shared" si="7"/>
        <v>0.2424242424</v>
      </c>
      <c r="W107" s="19">
        <f t="shared" si="8"/>
        <v>0</v>
      </c>
      <c r="X107" s="20">
        <f t="shared" si="9"/>
        <v>220</v>
      </c>
      <c r="Y107" s="27"/>
      <c r="Z107" s="17"/>
      <c r="AA107" s="28"/>
      <c r="AB107" s="17"/>
      <c r="AC107" s="28"/>
      <c r="AD107" s="27"/>
    </row>
    <row r="108" ht="15.75" customHeight="1">
      <c r="A108" s="27" t="s">
        <v>100</v>
      </c>
      <c r="B108" s="27" t="s">
        <v>349</v>
      </c>
      <c r="C108" s="16" t="s">
        <v>350</v>
      </c>
      <c r="D108" s="17" t="s">
        <v>130</v>
      </c>
      <c r="E108" s="18" t="s">
        <v>34</v>
      </c>
      <c r="F108" s="18">
        <v>1.0</v>
      </c>
      <c r="G108" s="19">
        <f t="shared" si="1"/>
        <v>1.410959629</v>
      </c>
      <c r="H108" s="17">
        <v>40.0</v>
      </c>
      <c r="I108" s="10">
        <v>220.0</v>
      </c>
      <c r="J108" s="17">
        <v>14.0</v>
      </c>
      <c r="K108" s="17">
        <v>120.0</v>
      </c>
      <c r="L108" s="17"/>
      <c r="M108" s="20">
        <v>20.0</v>
      </c>
      <c r="N108" s="20">
        <v>1.0</v>
      </c>
      <c r="O108" s="20">
        <v>16.0</v>
      </c>
      <c r="P108" s="20">
        <f t="shared" si="2"/>
        <v>3</v>
      </c>
      <c r="Q108" s="21">
        <v>4.0</v>
      </c>
      <c r="R108" s="22">
        <f t="shared" si="3"/>
        <v>155.92225</v>
      </c>
      <c r="S108" s="23">
        <f t="shared" si="4"/>
        <v>5.5</v>
      </c>
      <c r="T108" s="24">
        <f t="shared" si="5"/>
        <v>5</v>
      </c>
      <c r="U108" s="26">
        <f t="shared" si="6"/>
        <v>0.5675675676</v>
      </c>
      <c r="V108" s="26">
        <f t="shared" si="7"/>
        <v>0.2882882883</v>
      </c>
      <c r="W108" s="19">
        <f t="shared" si="8"/>
        <v>0.5454545455</v>
      </c>
      <c r="X108" s="20">
        <f t="shared" si="9"/>
        <v>220</v>
      </c>
      <c r="Y108" s="27"/>
      <c r="Z108" s="17"/>
      <c r="AA108" s="28"/>
      <c r="AB108" s="17"/>
      <c r="AC108" s="28"/>
      <c r="AD108" s="27"/>
    </row>
    <row r="109" ht="15.75" customHeight="1">
      <c r="A109" s="27" t="s">
        <v>351</v>
      </c>
      <c r="B109" s="27" t="s">
        <v>352</v>
      </c>
      <c r="C109" s="16" t="s">
        <v>353</v>
      </c>
      <c r="D109" s="17" t="s">
        <v>212</v>
      </c>
      <c r="E109" s="18" t="s">
        <v>34</v>
      </c>
      <c r="F109" s="18">
        <v>1.0</v>
      </c>
      <c r="G109" s="19">
        <f t="shared" si="1"/>
        <v>1.410959629</v>
      </c>
      <c r="H109" s="17">
        <v>40.0</v>
      </c>
      <c r="I109" s="10">
        <v>220.0</v>
      </c>
      <c r="J109" s="17">
        <v>15.0</v>
      </c>
      <c r="K109" s="17">
        <v>70.0</v>
      </c>
      <c r="L109" s="17">
        <v>150.0</v>
      </c>
      <c r="M109" s="20">
        <v>16.0</v>
      </c>
      <c r="N109" s="20">
        <v>3.0</v>
      </c>
      <c r="O109" s="20">
        <v>9.0</v>
      </c>
      <c r="P109" s="20">
        <f t="shared" si="2"/>
        <v>4</v>
      </c>
      <c r="Q109" s="21">
        <v>4.0</v>
      </c>
      <c r="R109" s="22">
        <f t="shared" si="3"/>
        <v>155.92225</v>
      </c>
      <c r="S109" s="23">
        <f t="shared" si="4"/>
        <v>5.5</v>
      </c>
      <c r="T109" s="24">
        <f t="shared" si="5"/>
        <v>4</v>
      </c>
      <c r="U109" s="26">
        <f t="shared" si="6"/>
        <v>0.6279069767</v>
      </c>
      <c r="V109" s="26">
        <f t="shared" si="7"/>
        <v>0.1674418605</v>
      </c>
      <c r="W109" s="19">
        <f t="shared" si="8"/>
        <v>0.3181818182</v>
      </c>
      <c r="X109" s="20">
        <f t="shared" si="9"/>
        <v>220</v>
      </c>
      <c r="Y109" s="27"/>
      <c r="Z109" s="17"/>
      <c r="AA109" s="28"/>
      <c r="AB109" s="17"/>
      <c r="AC109" s="28"/>
      <c r="AD109" s="27"/>
    </row>
    <row r="110" ht="15.75" customHeight="1">
      <c r="A110" s="27" t="s">
        <v>351</v>
      </c>
      <c r="B110" s="27" t="s">
        <v>354</v>
      </c>
      <c r="C110" s="16" t="s">
        <v>355</v>
      </c>
      <c r="D110" s="17" t="s">
        <v>212</v>
      </c>
      <c r="E110" s="18" t="s">
        <v>34</v>
      </c>
      <c r="F110" s="18">
        <v>1.0</v>
      </c>
      <c r="G110" s="19">
        <f t="shared" si="1"/>
        <v>1.410959629</v>
      </c>
      <c r="H110" s="17">
        <v>40.0</v>
      </c>
      <c r="I110" s="10">
        <v>220.0</v>
      </c>
      <c r="J110" s="17">
        <v>16.0</v>
      </c>
      <c r="K110" s="17">
        <v>70.0</v>
      </c>
      <c r="L110" s="17">
        <v>170.0</v>
      </c>
      <c r="M110" s="20">
        <v>15.0</v>
      </c>
      <c r="N110" s="20">
        <v>3.0</v>
      </c>
      <c r="O110" s="20">
        <v>9.0</v>
      </c>
      <c r="P110" s="20">
        <f t="shared" si="2"/>
        <v>3</v>
      </c>
      <c r="Q110" s="21">
        <v>5.0</v>
      </c>
      <c r="R110" s="22">
        <f t="shared" si="3"/>
        <v>155.92225</v>
      </c>
      <c r="S110" s="23">
        <f t="shared" si="4"/>
        <v>5.5</v>
      </c>
      <c r="T110" s="24">
        <f t="shared" si="5"/>
        <v>3</v>
      </c>
      <c r="U110" s="26">
        <f t="shared" si="6"/>
        <v>0.6428571429</v>
      </c>
      <c r="V110" s="26">
        <f t="shared" si="7"/>
        <v>0.1607142857</v>
      </c>
      <c r="W110" s="19">
        <f t="shared" si="8"/>
        <v>0.3181818182</v>
      </c>
      <c r="X110" s="20">
        <f t="shared" si="9"/>
        <v>220</v>
      </c>
      <c r="Y110" s="27"/>
      <c r="Z110" s="17"/>
      <c r="AA110" s="28"/>
      <c r="AB110" s="17"/>
      <c r="AC110" s="28"/>
      <c r="AD110" s="27"/>
    </row>
    <row r="111" ht="15.75" customHeight="1">
      <c r="A111" s="27" t="s">
        <v>351</v>
      </c>
      <c r="B111" s="27" t="s">
        <v>356</v>
      </c>
      <c r="C111" s="16" t="s">
        <v>357</v>
      </c>
      <c r="D111" s="17" t="s">
        <v>212</v>
      </c>
      <c r="E111" s="18" t="s">
        <v>34</v>
      </c>
      <c r="F111" s="18">
        <v>1.0</v>
      </c>
      <c r="G111" s="19">
        <f t="shared" si="1"/>
        <v>1.410959629</v>
      </c>
      <c r="H111" s="17">
        <v>40.0</v>
      </c>
      <c r="I111" s="10">
        <v>220.0</v>
      </c>
      <c r="J111" s="17">
        <v>17.0</v>
      </c>
      <c r="K111" s="17">
        <v>130.0</v>
      </c>
      <c r="L111" s="17">
        <v>200.0</v>
      </c>
      <c r="M111" s="20">
        <v>13.0</v>
      </c>
      <c r="N111" s="20">
        <v>3.0</v>
      </c>
      <c r="O111" s="20">
        <v>7.0</v>
      </c>
      <c r="P111" s="20">
        <f t="shared" si="2"/>
        <v>3</v>
      </c>
      <c r="Q111" s="21">
        <v>5.0</v>
      </c>
      <c r="R111" s="22">
        <f t="shared" si="3"/>
        <v>155.92225</v>
      </c>
      <c r="S111" s="23">
        <f t="shared" si="4"/>
        <v>5.5</v>
      </c>
      <c r="T111" s="24">
        <f t="shared" si="5"/>
        <v>2.6</v>
      </c>
      <c r="U111" s="26">
        <f t="shared" si="6"/>
        <v>0.68</v>
      </c>
      <c r="V111" s="26">
        <f t="shared" si="7"/>
        <v>0.1244444444</v>
      </c>
      <c r="W111" s="19">
        <f t="shared" si="8"/>
        <v>0.5909090909</v>
      </c>
      <c r="X111" s="20">
        <f t="shared" si="9"/>
        <v>220</v>
      </c>
      <c r="Y111" s="27"/>
      <c r="Z111" s="17"/>
      <c r="AA111" s="28"/>
      <c r="AB111" s="17"/>
      <c r="AC111" s="28"/>
      <c r="AD111" s="27"/>
    </row>
    <row r="112" ht="15.75" customHeight="1">
      <c r="A112" s="27" t="s">
        <v>351</v>
      </c>
      <c r="B112" s="27" t="s">
        <v>358</v>
      </c>
      <c r="C112" s="16" t="s">
        <v>359</v>
      </c>
      <c r="D112" s="17" t="s">
        <v>212</v>
      </c>
      <c r="E112" s="18" t="s">
        <v>34</v>
      </c>
      <c r="F112" s="18">
        <v>1.0</v>
      </c>
      <c r="G112" s="19">
        <f t="shared" si="1"/>
        <v>1.410959629</v>
      </c>
      <c r="H112" s="17">
        <v>40.0</v>
      </c>
      <c r="I112" s="10">
        <v>220.0</v>
      </c>
      <c r="J112" s="17">
        <v>17.0</v>
      </c>
      <c r="K112" s="17">
        <v>90.0</v>
      </c>
      <c r="L112" s="17">
        <v>170.0</v>
      </c>
      <c r="M112" s="20">
        <v>13.0</v>
      </c>
      <c r="N112" s="20">
        <v>3.0</v>
      </c>
      <c r="O112" s="20">
        <v>8.0</v>
      </c>
      <c r="P112" s="20">
        <f t="shared" si="2"/>
        <v>2</v>
      </c>
      <c r="Q112" s="21">
        <v>5.0</v>
      </c>
      <c r="R112" s="22">
        <f t="shared" si="3"/>
        <v>155.92225</v>
      </c>
      <c r="S112" s="23">
        <f t="shared" si="4"/>
        <v>5.5</v>
      </c>
      <c r="T112" s="24">
        <f t="shared" si="5"/>
        <v>2.6</v>
      </c>
      <c r="U112" s="26">
        <f t="shared" si="6"/>
        <v>0.68</v>
      </c>
      <c r="V112" s="26">
        <f t="shared" si="7"/>
        <v>0.1422222222</v>
      </c>
      <c r="W112" s="19">
        <f t="shared" si="8"/>
        <v>0.4090909091</v>
      </c>
      <c r="X112" s="20">
        <f t="shared" si="9"/>
        <v>220</v>
      </c>
      <c r="Y112" s="27"/>
      <c r="Z112" s="17"/>
      <c r="AA112" s="28"/>
      <c r="AB112" s="17"/>
      <c r="AC112" s="28"/>
      <c r="AD112" s="27"/>
    </row>
    <row r="113" ht="15.75" customHeight="1">
      <c r="A113" s="27" t="s">
        <v>351</v>
      </c>
      <c r="B113" s="27" t="s">
        <v>360</v>
      </c>
      <c r="C113" s="16" t="s">
        <v>361</v>
      </c>
      <c r="D113" s="17" t="s">
        <v>212</v>
      </c>
      <c r="E113" s="18" t="s">
        <v>34</v>
      </c>
      <c r="F113" s="18">
        <v>1.0</v>
      </c>
      <c r="G113" s="19">
        <f t="shared" si="1"/>
        <v>1.410959629</v>
      </c>
      <c r="H113" s="17">
        <v>40.0</v>
      </c>
      <c r="I113" s="10">
        <v>220.0</v>
      </c>
      <c r="J113" s="17">
        <v>17.0</v>
      </c>
      <c r="K113" s="17">
        <v>90.0</v>
      </c>
      <c r="L113" s="17">
        <v>200.0</v>
      </c>
      <c r="M113" s="20">
        <v>13.0</v>
      </c>
      <c r="N113" s="20">
        <v>3.0</v>
      </c>
      <c r="O113" s="20">
        <v>7.0</v>
      </c>
      <c r="P113" s="20">
        <f t="shared" si="2"/>
        <v>3</v>
      </c>
      <c r="Q113" s="21">
        <v>5.0</v>
      </c>
      <c r="R113" s="22">
        <f t="shared" si="3"/>
        <v>155.92225</v>
      </c>
      <c r="S113" s="23">
        <f t="shared" si="4"/>
        <v>5.5</v>
      </c>
      <c r="T113" s="24">
        <f t="shared" si="5"/>
        <v>2.6</v>
      </c>
      <c r="U113" s="26">
        <f t="shared" si="6"/>
        <v>0.68</v>
      </c>
      <c r="V113" s="26">
        <f t="shared" si="7"/>
        <v>0.1244444444</v>
      </c>
      <c r="W113" s="19">
        <f t="shared" si="8"/>
        <v>0.4090909091</v>
      </c>
      <c r="X113" s="20">
        <f t="shared" si="9"/>
        <v>220</v>
      </c>
      <c r="Y113" s="27"/>
      <c r="Z113" s="17"/>
      <c r="AA113" s="28"/>
      <c r="AB113" s="17"/>
      <c r="AC113" s="28"/>
      <c r="AD113" s="27"/>
    </row>
    <row r="114" ht="15.75" customHeight="1">
      <c r="A114" s="27" t="s">
        <v>290</v>
      </c>
      <c r="B114" s="27" t="s">
        <v>362</v>
      </c>
      <c r="C114" s="16" t="s">
        <v>363</v>
      </c>
      <c r="D114" s="17" t="s">
        <v>212</v>
      </c>
      <c r="E114" s="18" t="s">
        <v>34</v>
      </c>
      <c r="F114" s="18">
        <v>1.0</v>
      </c>
      <c r="G114" s="19">
        <f t="shared" si="1"/>
        <v>1.410959629</v>
      </c>
      <c r="H114" s="17">
        <v>40.0</v>
      </c>
      <c r="I114" s="10">
        <v>220.0</v>
      </c>
      <c r="J114" s="17">
        <v>14.0</v>
      </c>
      <c r="K114" s="17">
        <v>120.0</v>
      </c>
      <c r="L114" s="17">
        <v>130.0</v>
      </c>
      <c r="M114" s="20">
        <v>12.0</v>
      </c>
      <c r="N114" s="20">
        <v>1.0</v>
      </c>
      <c r="O114" s="20">
        <v>6.0</v>
      </c>
      <c r="P114" s="20">
        <f t="shared" si="2"/>
        <v>5</v>
      </c>
      <c r="Q114" s="21">
        <v>13.0</v>
      </c>
      <c r="R114" s="22">
        <f t="shared" si="3"/>
        <v>155.92225</v>
      </c>
      <c r="S114" s="23">
        <f t="shared" si="4"/>
        <v>5.5</v>
      </c>
      <c r="T114" s="24">
        <f t="shared" si="5"/>
        <v>0.9230769231</v>
      </c>
      <c r="U114" s="26">
        <f t="shared" si="6"/>
        <v>0.5575221239</v>
      </c>
      <c r="V114" s="26">
        <f t="shared" si="7"/>
        <v>0.1061946903</v>
      </c>
      <c r="W114" s="19">
        <f t="shared" si="8"/>
        <v>0.5454545455</v>
      </c>
      <c r="X114" s="20">
        <f t="shared" si="9"/>
        <v>220</v>
      </c>
      <c r="Y114" s="27"/>
      <c r="Z114" s="17"/>
      <c r="AA114" s="28"/>
      <c r="AB114" s="17"/>
      <c r="AC114" s="28"/>
      <c r="AD114" s="27"/>
    </row>
    <row r="115" ht="15.75" customHeight="1">
      <c r="A115" s="27" t="s">
        <v>290</v>
      </c>
      <c r="B115" s="27" t="s">
        <v>364</v>
      </c>
      <c r="C115" s="16" t="s">
        <v>365</v>
      </c>
      <c r="D115" s="17" t="s">
        <v>212</v>
      </c>
      <c r="E115" s="18" t="s">
        <v>34</v>
      </c>
      <c r="F115" s="18">
        <v>1.0</v>
      </c>
      <c r="G115" s="19">
        <f t="shared" si="1"/>
        <v>1.410959629</v>
      </c>
      <c r="H115" s="17">
        <v>40.0</v>
      </c>
      <c r="I115" s="10">
        <v>220.0</v>
      </c>
      <c r="J115" s="17">
        <v>13.0</v>
      </c>
      <c r="K115" s="17">
        <v>100.0</v>
      </c>
      <c r="L115" s="17">
        <v>100.0</v>
      </c>
      <c r="M115" s="20">
        <v>12.0</v>
      </c>
      <c r="N115" s="20">
        <v>1.0</v>
      </c>
      <c r="O115" s="20">
        <v>6.0</v>
      </c>
      <c r="P115" s="20">
        <f t="shared" si="2"/>
        <v>5</v>
      </c>
      <c r="Q115" s="21">
        <v>13.0</v>
      </c>
      <c r="R115" s="22">
        <f t="shared" si="3"/>
        <v>155.92225</v>
      </c>
      <c r="S115" s="23">
        <f t="shared" si="4"/>
        <v>5.5</v>
      </c>
      <c r="T115" s="24">
        <f t="shared" si="5"/>
        <v>0.9230769231</v>
      </c>
      <c r="U115" s="26">
        <f t="shared" si="6"/>
        <v>0.5391705069</v>
      </c>
      <c r="V115" s="26">
        <f t="shared" si="7"/>
        <v>0.1105990783</v>
      </c>
      <c r="W115" s="19">
        <f t="shared" si="8"/>
        <v>0.4545454545</v>
      </c>
      <c r="X115" s="20">
        <f t="shared" si="9"/>
        <v>220</v>
      </c>
      <c r="Y115" s="27"/>
      <c r="Z115" s="17"/>
      <c r="AA115" s="28"/>
      <c r="AB115" s="17"/>
      <c r="AC115" s="28"/>
      <c r="AD115" s="27"/>
    </row>
    <row r="116" ht="15.75" customHeight="1">
      <c r="A116" s="27" t="s">
        <v>290</v>
      </c>
      <c r="B116" s="27" t="s">
        <v>367</v>
      </c>
      <c r="C116" s="16" t="s">
        <v>368</v>
      </c>
      <c r="D116" s="17" t="s">
        <v>212</v>
      </c>
      <c r="E116" s="18" t="s">
        <v>34</v>
      </c>
      <c r="F116" s="18">
        <v>1.0</v>
      </c>
      <c r="G116" s="19">
        <f t="shared" si="1"/>
        <v>1.410959629</v>
      </c>
      <c r="H116" s="17">
        <v>40.0</v>
      </c>
      <c r="I116" s="10">
        <v>220.0</v>
      </c>
      <c r="J116" s="17">
        <v>13.0</v>
      </c>
      <c r="K116" s="17">
        <v>120.0</v>
      </c>
      <c r="L116" s="17">
        <v>130.0</v>
      </c>
      <c r="M116" s="20">
        <v>12.0</v>
      </c>
      <c r="N116" s="20">
        <v>1.0</v>
      </c>
      <c r="O116" s="20">
        <v>6.0</v>
      </c>
      <c r="P116" s="20">
        <f t="shared" si="2"/>
        <v>5</v>
      </c>
      <c r="Q116" s="21">
        <v>13.0</v>
      </c>
      <c r="R116" s="22">
        <f t="shared" si="3"/>
        <v>155.92225</v>
      </c>
      <c r="S116" s="23">
        <f t="shared" si="4"/>
        <v>5.5</v>
      </c>
      <c r="T116" s="24">
        <f t="shared" si="5"/>
        <v>0.9230769231</v>
      </c>
      <c r="U116" s="26">
        <f t="shared" si="6"/>
        <v>0.5391705069</v>
      </c>
      <c r="V116" s="26">
        <f t="shared" si="7"/>
        <v>0.1105990783</v>
      </c>
      <c r="W116" s="19">
        <f t="shared" si="8"/>
        <v>0.5454545455</v>
      </c>
      <c r="X116" s="20">
        <f t="shared" si="9"/>
        <v>220</v>
      </c>
      <c r="Y116" s="27"/>
      <c r="Z116" s="17"/>
      <c r="AA116" s="28"/>
      <c r="AB116" s="17"/>
      <c r="AC116" s="28"/>
      <c r="AD116" s="27"/>
    </row>
    <row r="117" ht="15.75" customHeight="1">
      <c r="A117" s="27" t="s">
        <v>290</v>
      </c>
      <c r="B117" s="27" t="s">
        <v>369</v>
      </c>
      <c r="C117" s="16" t="s">
        <v>370</v>
      </c>
      <c r="D117" s="17" t="s">
        <v>212</v>
      </c>
      <c r="E117" s="18" t="s">
        <v>34</v>
      </c>
      <c r="F117" s="18">
        <v>1.0</v>
      </c>
      <c r="G117" s="19">
        <f t="shared" si="1"/>
        <v>1.410959629</v>
      </c>
      <c r="H117" s="17">
        <v>40.0</v>
      </c>
      <c r="I117" s="10">
        <v>220.0</v>
      </c>
      <c r="J117" s="17">
        <v>14.0</v>
      </c>
      <c r="K117" s="17">
        <v>100.0</v>
      </c>
      <c r="L117" s="17">
        <v>150.0</v>
      </c>
      <c r="M117" s="20">
        <v>11.0</v>
      </c>
      <c r="N117" s="20">
        <v>1.0</v>
      </c>
      <c r="O117" s="20">
        <v>5.0</v>
      </c>
      <c r="P117" s="20">
        <f t="shared" si="2"/>
        <v>5</v>
      </c>
      <c r="Q117" s="21">
        <v>13.0</v>
      </c>
      <c r="R117" s="22">
        <f t="shared" si="3"/>
        <v>155.92225</v>
      </c>
      <c r="S117" s="23">
        <f t="shared" si="4"/>
        <v>5.5</v>
      </c>
      <c r="T117" s="24">
        <f t="shared" si="5"/>
        <v>0.8461538462</v>
      </c>
      <c r="U117" s="26">
        <f t="shared" si="6"/>
        <v>0.5675675676</v>
      </c>
      <c r="V117" s="26">
        <f t="shared" si="7"/>
        <v>0.09009009009</v>
      </c>
      <c r="W117" s="19">
        <f t="shared" si="8"/>
        <v>0.4545454545</v>
      </c>
      <c r="X117" s="20">
        <f t="shared" si="9"/>
        <v>220</v>
      </c>
      <c r="Y117" s="27"/>
      <c r="Z117" s="17"/>
      <c r="AA117" s="28"/>
      <c r="AB117" s="17"/>
      <c r="AC117" s="28"/>
      <c r="AD117" s="27"/>
    </row>
    <row r="118" ht="15.75" customHeight="1">
      <c r="A118" s="27" t="s">
        <v>290</v>
      </c>
      <c r="B118" s="27" t="s">
        <v>371</v>
      </c>
      <c r="C118" s="16" t="s">
        <v>372</v>
      </c>
      <c r="D118" s="17" t="s">
        <v>212</v>
      </c>
      <c r="E118" s="18" t="s">
        <v>34</v>
      </c>
      <c r="F118" s="18">
        <v>1.0</v>
      </c>
      <c r="G118" s="19">
        <f t="shared" si="1"/>
        <v>1.410959629</v>
      </c>
      <c r="H118" s="17">
        <v>40.0</v>
      </c>
      <c r="I118" s="10">
        <v>220.0</v>
      </c>
      <c r="J118" s="17">
        <v>14.0</v>
      </c>
      <c r="K118" s="17">
        <v>105.0</v>
      </c>
      <c r="L118" s="17">
        <v>100.0</v>
      </c>
      <c r="M118" s="20">
        <v>11.0</v>
      </c>
      <c r="N118" s="20">
        <v>1.0</v>
      </c>
      <c r="O118" s="20">
        <v>7.0</v>
      </c>
      <c r="P118" s="20">
        <f t="shared" si="2"/>
        <v>3</v>
      </c>
      <c r="Q118" s="21">
        <v>13.0</v>
      </c>
      <c r="R118" s="22">
        <f t="shared" si="3"/>
        <v>155.92225</v>
      </c>
      <c r="S118" s="23">
        <f t="shared" si="4"/>
        <v>5.5</v>
      </c>
      <c r="T118" s="24">
        <f t="shared" si="5"/>
        <v>0.8461538462</v>
      </c>
      <c r="U118" s="26">
        <f t="shared" si="6"/>
        <v>0.5675675676</v>
      </c>
      <c r="V118" s="26">
        <f t="shared" si="7"/>
        <v>0.1261261261</v>
      </c>
      <c r="W118" s="19">
        <f t="shared" si="8"/>
        <v>0.4772727273</v>
      </c>
      <c r="X118" s="20">
        <f t="shared" si="9"/>
        <v>220</v>
      </c>
      <c r="Y118" s="27"/>
      <c r="Z118" s="17"/>
      <c r="AA118" s="28"/>
      <c r="AB118" s="17"/>
      <c r="AC118" s="28"/>
      <c r="AD118" s="27"/>
    </row>
    <row r="119" ht="15.75" customHeight="1">
      <c r="A119" s="27" t="s">
        <v>290</v>
      </c>
      <c r="B119" s="27" t="s">
        <v>373</v>
      </c>
      <c r="C119" s="16" t="s">
        <v>374</v>
      </c>
      <c r="D119" s="17" t="s">
        <v>212</v>
      </c>
      <c r="E119" s="18" t="s">
        <v>34</v>
      </c>
      <c r="F119" s="18">
        <v>1.0</v>
      </c>
      <c r="G119" s="19">
        <f t="shared" si="1"/>
        <v>1.410959629</v>
      </c>
      <c r="H119" s="17">
        <v>40.0</v>
      </c>
      <c r="I119" s="10">
        <v>220.0</v>
      </c>
      <c r="J119" s="17">
        <v>14.0</v>
      </c>
      <c r="K119" s="17">
        <v>120.0</v>
      </c>
      <c r="L119" s="17">
        <v>70.0</v>
      </c>
      <c r="M119" s="20">
        <v>11.0</v>
      </c>
      <c r="N119" s="20">
        <v>1.0</v>
      </c>
      <c r="O119" s="20">
        <v>5.0</v>
      </c>
      <c r="P119" s="20">
        <f t="shared" si="2"/>
        <v>5</v>
      </c>
      <c r="Q119" s="21">
        <v>13.0</v>
      </c>
      <c r="R119" s="22">
        <f t="shared" si="3"/>
        <v>155.92225</v>
      </c>
      <c r="S119" s="23">
        <f t="shared" si="4"/>
        <v>5.5</v>
      </c>
      <c r="T119" s="24">
        <f t="shared" si="5"/>
        <v>0.8461538462</v>
      </c>
      <c r="U119" s="26">
        <f t="shared" si="6"/>
        <v>0.5675675676</v>
      </c>
      <c r="V119" s="26">
        <f t="shared" si="7"/>
        <v>0.09009009009</v>
      </c>
      <c r="W119" s="19">
        <f t="shared" si="8"/>
        <v>0.5454545455</v>
      </c>
      <c r="X119" s="20">
        <f t="shared" si="9"/>
        <v>220</v>
      </c>
      <c r="Y119" s="27"/>
      <c r="Z119" s="17"/>
      <c r="AA119" s="28"/>
      <c r="AB119" s="17"/>
      <c r="AC119" s="28"/>
      <c r="AD119" s="27"/>
    </row>
    <row r="120" ht="15.75" customHeight="1">
      <c r="A120" s="27" t="s">
        <v>290</v>
      </c>
      <c r="B120" s="27" t="s">
        <v>375</v>
      </c>
      <c r="C120" s="16" t="s">
        <v>376</v>
      </c>
      <c r="D120" s="17" t="s">
        <v>212</v>
      </c>
      <c r="E120" s="18" t="s">
        <v>34</v>
      </c>
      <c r="F120" s="18">
        <v>1.0</v>
      </c>
      <c r="G120" s="19">
        <f t="shared" si="1"/>
        <v>1.410959629</v>
      </c>
      <c r="H120" s="17">
        <v>40.0</v>
      </c>
      <c r="I120" s="10">
        <v>220.0</v>
      </c>
      <c r="J120" s="17">
        <v>14.0</v>
      </c>
      <c r="K120" s="17">
        <v>100.0</v>
      </c>
      <c r="L120" s="17">
        <v>60.0</v>
      </c>
      <c r="M120" s="20">
        <v>11.0</v>
      </c>
      <c r="N120" s="20">
        <v>1.0</v>
      </c>
      <c r="O120" s="20">
        <v>5.0</v>
      </c>
      <c r="P120" s="20">
        <f t="shared" si="2"/>
        <v>5</v>
      </c>
      <c r="Q120" s="21">
        <v>13.0</v>
      </c>
      <c r="R120" s="22">
        <f t="shared" si="3"/>
        <v>155.92225</v>
      </c>
      <c r="S120" s="23">
        <f t="shared" si="4"/>
        <v>5.5</v>
      </c>
      <c r="T120" s="24">
        <f t="shared" si="5"/>
        <v>0.8461538462</v>
      </c>
      <c r="U120" s="26">
        <f t="shared" si="6"/>
        <v>0.5675675676</v>
      </c>
      <c r="V120" s="26">
        <f t="shared" si="7"/>
        <v>0.09009009009</v>
      </c>
      <c r="W120" s="19">
        <f t="shared" si="8"/>
        <v>0.4545454545</v>
      </c>
      <c r="X120" s="20">
        <f t="shared" si="9"/>
        <v>220</v>
      </c>
      <c r="Y120" s="27"/>
      <c r="Z120" s="17"/>
      <c r="AA120" s="28"/>
      <c r="AB120" s="17"/>
      <c r="AC120" s="28"/>
      <c r="AD120" s="27"/>
    </row>
    <row r="121" ht="15.75" customHeight="1">
      <c r="A121" s="27" t="s">
        <v>290</v>
      </c>
      <c r="B121" s="27" t="s">
        <v>377</v>
      </c>
      <c r="C121" s="16" t="s">
        <v>378</v>
      </c>
      <c r="D121" s="17" t="s">
        <v>212</v>
      </c>
      <c r="E121" s="18" t="s">
        <v>34</v>
      </c>
      <c r="F121" s="18">
        <v>1.0</v>
      </c>
      <c r="G121" s="19">
        <f t="shared" si="1"/>
        <v>1.410959629</v>
      </c>
      <c r="H121" s="17">
        <v>40.0</v>
      </c>
      <c r="I121" s="10">
        <v>220.0</v>
      </c>
      <c r="J121" s="17">
        <v>13.0</v>
      </c>
      <c r="K121" s="17">
        <v>100.0</v>
      </c>
      <c r="L121" s="17">
        <v>150.0</v>
      </c>
      <c r="M121" s="20">
        <v>11.0</v>
      </c>
      <c r="N121" s="20">
        <v>1.0</v>
      </c>
      <c r="O121" s="20">
        <v>5.0</v>
      </c>
      <c r="P121" s="20">
        <f t="shared" si="2"/>
        <v>5</v>
      </c>
      <c r="Q121" s="21">
        <v>13.0</v>
      </c>
      <c r="R121" s="22">
        <f t="shared" si="3"/>
        <v>155.92225</v>
      </c>
      <c r="S121" s="23">
        <f t="shared" si="4"/>
        <v>5.5</v>
      </c>
      <c r="T121" s="24">
        <f t="shared" si="5"/>
        <v>0.8461538462</v>
      </c>
      <c r="U121" s="26">
        <f t="shared" si="6"/>
        <v>0.5492957746</v>
      </c>
      <c r="V121" s="26">
        <f t="shared" si="7"/>
        <v>0.09389671362</v>
      </c>
      <c r="W121" s="19">
        <f t="shared" si="8"/>
        <v>0.4545454545</v>
      </c>
      <c r="X121" s="20">
        <f t="shared" si="9"/>
        <v>220</v>
      </c>
      <c r="Y121" s="27"/>
      <c r="Z121" s="17"/>
      <c r="AA121" s="28"/>
      <c r="AB121" s="17"/>
      <c r="AC121" s="28"/>
      <c r="AD121" s="27"/>
    </row>
    <row r="122" ht="15.75" customHeight="1">
      <c r="A122" s="27" t="s">
        <v>104</v>
      </c>
      <c r="B122" s="27" t="s">
        <v>379</v>
      </c>
      <c r="C122" s="16" t="s">
        <v>380</v>
      </c>
      <c r="D122" s="17" t="s">
        <v>96</v>
      </c>
      <c r="E122" s="18" t="s">
        <v>34</v>
      </c>
      <c r="F122" s="18">
        <v>1.0</v>
      </c>
      <c r="G122" s="19">
        <f t="shared" si="1"/>
        <v>1.058219722</v>
      </c>
      <c r="H122" s="17">
        <v>30.0</v>
      </c>
      <c r="I122" s="10">
        <v>165.0</v>
      </c>
      <c r="J122" s="17">
        <v>14.0</v>
      </c>
      <c r="K122" s="17">
        <v>0.0</v>
      </c>
      <c r="L122" s="17"/>
      <c r="M122" s="20">
        <v>5.0</v>
      </c>
      <c r="N122" s="20">
        <v>3.0</v>
      </c>
      <c r="O122" s="20">
        <v>1.0</v>
      </c>
      <c r="P122" s="20">
        <f t="shared" si="2"/>
        <v>1</v>
      </c>
      <c r="Q122" s="21">
        <v>6.0</v>
      </c>
      <c r="R122" s="22">
        <f t="shared" si="3"/>
        <v>155.92225</v>
      </c>
      <c r="S122" s="23">
        <f t="shared" si="4"/>
        <v>5.5</v>
      </c>
      <c r="T122" s="24">
        <f t="shared" si="5"/>
        <v>0.8333333333</v>
      </c>
      <c r="U122" s="26">
        <f t="shared" si="6"/>
        <v>0.7411764706</v>
      </c>
      <c r="V122" s="26">
        <f t="shared" si="7"/>
        <v>0.02352941176</v>
      </c>
      <c r="W122" s="19">
        <f t="shared" si="8"/>
        <v>0</v>
      </c>
      <c r="X122" s="20">
        <f t="shared" si="9"/>
        <v>165</v>
      </c>
      <c r="Y122" s="27"/>
      <c r="Z122" s="17"/>
      <c r="AA122" s="28"/>
      <c r="AB122" s="17"/>
      <c r="AC122" s="28"/>
      <c r="AD122" s="16"/>
    </row>
    <row r="123" ht="15.75" customHeight="1">
      <c r="A123" s="27" t="s">
        <v>290</v>
      </c>
      <c r="B123" s="27" t="s">
        <v>381</v>
      </c>
      <c r="C123" s="16" t="s">
        <v>382</v>
      </c>
      <c r="D123" s="17" t="s">
        <v>212</v>
      </c>
      <c r="E123" s="18" t="s">
        <v>34</v>
      </c>
      <c r="F123" s="18">
        <v>1.0</v>
      </c>
      <c r="G123" s="19">
        <f t="shared" si="1"/>
        <v>1.410959629</v>
      </c>
      <c r="H123" s="17">
        <v>40.0</v>
      </c>
      <c r="I123" s="10">
        <v>220.0</v>
      </c>
      <c r="J123" s="17">
        <v>13.0</v>
      </c>
      <c r="K123" s="17">
        <v>100.0</v>
      </c>
      <c r="L123" s="17">
        <v>100.0</v>
      </c>
      <c r="M123" s="20">
        <v>11.0</v>
      </c>
      <c r="N123" s="20">
        <v>1.0</v>
      </c>
      <c r="O123" s="20">
        <v>5.0</v>
      </c>
      <c r="P123" s="20">
        <f t="shared" si="2"/>
        <v>5</v>
      </c>
      <c r="Q123" s="21">
        <v>14.0</v>
      </c>
      <c r="R123" s="22">
        <f t="shared" si="3"/>
        <v>155.92225</v>
      </c>
      <c r="S123" s="23">
        <f t="shared" si="4"/>
        <v>5.5</v>
      </c>
      <c r="T123" s="24">
        <f t="shared" si="5"/>
        <v>0.7857142857</v>
      </c>
      <c r="U123" s="26">
        <f t="shared" si="6"/>
        <v>0.5391705069</v>
      </c>
      <c r="V123" s="26">
        <f t="shared" si="7"/>
        <v>0.09216589862</v>
      </c>
      <c r="W123" s="19">
        <f t="shared" si="8"/>
        <v>0.4545454545</v>
      </c>
      <c r="X123" s="20">
        <f t="shared" si="9"/>
        <v>220</v>
      </c>
      <c r="Y123" s="27"/>
      <c r="Z123" s="17"/>
      <c r="AA123" s="28"/>
      <c r="AB123" s="17"/>
      <c r="AC123" s="28"/>
      <c r="AD123" s="27"/>
    </row>
    <row r="124" ht="15.75" customHeight="1">
      <c r="A124" s="27" t="s">
        <v>290</v>
      </c>
      <c r="B124" s="27" t="s">
        <v>383</v>
      </c>
      <c r="C124" s="16" t="s">
        <v>384</v>
      </c>
      <c r="D124" s="17" t="s">
        <v>212</v>
      </c>
      <c r="E124" s="18" t="s">
        <v>34</v>
      </c>
      <c r="F124" s="18">
        <v>1.0</v>
      </c>
      <c r="G124" s="19">
        <f t="shared" si="1"/>
        <v>1.410959629</v>
      </c>
      <c r="H124" s="17">
        <v>40.0</v>
      </c>
      <c r="I124" s="10">
        <v>220.0</v>
      </c>
      <c r="J124" s="17">
        <v>14.0</v>
      </c>
      <c r="K124" s="17">
        <v>100.0</v>
      </c>
      <c r="L124" s="17">
        <v>100.0</v>
      </c>
      <c r="M124" s="20">
        <v>10.0</v>
      </c>
      <c r="N124" s="20">
        <v>1.0</v>
      </c>
      <c r="O124" s="20">
        <v>6.0</v>
      </c>
      <c r="P124" s="20">
        <f t="shared" si="2"/>
        <v>3</v>
      </c>
      <c r="Q124" s="21">
        <v>13.0</v>
      </c>
      <c r="R124" s="22">
        <f t="shared" si="3"/>
        <v>155.92225</v>
      </c>
      <c r="S124" s="23">
        <f t="shared" si="4"/>
        <v>5.5</v>
      </c>
      <c r="T124" s="24">
        <f t="shared" si="5"/>
        <v>0.7692307692</v>
      </c>
      <c r="U124" s="26">
        <f t="shared" si="6"/>
        <v>0.5779816514</v>
      </c>
      <c r="V124" s="26">
        <f t="shared" si="7"/>
        <v>0.1100917431</v>
      </c>
      <c r="W124" s="19">
        <f t="shared" si="8"/>
        <v>0.4545454545</v>
      </c>
      <c r="X124" s="20">
        <f t="shared" si="9"/>
        <v>220</v>
      </c>
      <c r="Y124" s="27"/>
      <c r="Z124" s="17"/>
      <c r="AA124" s="28"/>
      <c r="AB124" s="17"/>
      <c r="AC124" s="28"/>
      <c r="AD124" s="27"/>
    </row>
    <row r="125" ht="15.75" customHeight="1">
      <c r="A125" s="27" t="s">
        <v>333</v>
      </c>
      <c r="B125" s="27" t="s">
        <v>385</v>
      </c>
      <c r="C125" s="16" t="s">
        <v>386</v>
      </c>
      <c r="D125" s="17" t="s">
        <v>318</v>
      </c>
      <c r="E125" s="18" t="s">
        <v>34</v>
      </c>
      <c r="F125" s="18">
        <v>1.0</v>
      </c>
      <c r="G125" s="19">
        <f t="shared" si="1"/>
        <v>1.093493712</v>
      </c>
      <c r="H125" s="17">
        <v>31.0</v>
      </c>
      <c r="I125" s="10">
        <v>170.0</v>
      </c>
      <c r="J125" s="17">
        <v>9.0</v>
      </c>
      <c r="K125" s="17">
        <v>115.0</v>
      </c>
      <c r="L125" s="17"/>
      <c r="M125" s="20">
        <v>19.0</v>
      </c>
      <c r="N125" s="20">
        <v>0.0</v>
      </c>
      <c r="O125" s="20">
        <v>7.0</v>
      </c>
      <c r="P125" s="20">
        <f t="shared" si="2"/>
        <v>12</v>
      </c>
      <c r="Q125" s="21">
        <v>2.0</v>
      </c>
      <c r="R125" s="22">
        <f t="shared" si="3"/>
        <v>155.465</v>
      </c>
      <c r="S125" s="23">
        <f t="shared" si="4"/>
        <v>5.483870968</v>
      </c>
      <c r="T125" s="24">
        <f t="shared" si="5"/>
        <v>9.5</v>
      </c>
      <c r="U125" s="26">
        <f t="shared" si="6"/>
        <v>0.4909090909</v>
      </c>
      <c r="V125" s="26">
        <f t="shared" si="7"/>
        <v>0.1696969697</v>
      </c>
      <c r="W125" s="19">
        <f t="shared" si="8"/>
        <v>0.6764705882</v>
      </c>
      <c r="X125" s="20">
        <f t="shared" si="9"/>
        <v>170</v>
      </c>
      <c r="Y125" s="27"/>
      <c r="Z125" s="17"/>
      <c r="AA125" s="28"/>
      <c r="AB125" s="17"/>
      <c r="AC125" s="28"/>
      <c r="AD125" s="16"/>
    </row>
    <row r="126" ht="15.75" customHeight="1">
      <c r="A126" s="16" t="s">
        <v>315</v>
      </c>
      <c r="B126" s="16" t="s">
        <v>387</v>
      </c>
      <c r="C126" s="16" t="s">
        <v>388</v>
      </c>
      <c r="D126" s="17" t="s">
        <v>318</v>
      </c>
      <c r="E126" s="18" t="s">
        <v>34</v>
      </c>
      <c r="F126" s="18">
        <v>1.0</v>
      </c>
      <c r="G126" s="19">
        <f t="shared" si="1"/>
        <v>1.093493712</v>
      </c>
      <c r="H126" s="17">
        <v>31.0</v>
      </c>
      <c r="I126" s="10">
        <v>170.0</v>
      </c>
      <c r="J126" s="17">
        <v>10.0</v>
      </c>
      <c r="K126" s="17">
        <v>85.0</v>
      </c>
      <c r="L126" s="17"/>
      <c r="M126" s="20">
        <v>18.0</v>
      </c>
      <c r="N126" s="20">
        <v>1.0</v>
      </c>
      <c r="O126" s="20">
        <v>5.0</v>
      </c>
      <c r="P126" s="20">
        <f t="shared" si="2"/>
        <v>12</v>
      </c>
      <c r="Q126" s="21">
        <v>2.0</v>
      </c>
      <c r="R126" s="22">
        <f t="shared" si="3"/>
        <v>155.465</v>
      </c>
      <c r="S126" s="23">
        <f t="shared" si="4"/>
        <v>5.483870968</v>
      </c>
      <c r="T126" s="24">
        <f t="shared" si="5"/>
        <v>9</v>
      </c>
      <c r="U126" s="26">
        <f t="shared" si="6"/>
        <v>0.5294117647</v>
      </c>
      <c r="V126" s="26">
        <f t="shared" si="7"/>
        <v>0.1176470588</v>
      </c>
      <c r="W126" s="19">
        <f t="shared" si="8"/>
        <v>0.5</v>
      </c>
      <c r="X126" s="20">
        <f t="shared" si="9"/>
        <v>170</v>
      </c>
      <c r="Y126" s="27"/>
      <c r="Z126" s="17"/>
      <c r="AA126" s="28"/>
      <c r="AB126" s="17"/>
      <c r="AC126" s="28"/>
      <c r="AD126" s="27"/>
    </row>
    <row r="127" ht="15.75" customHeight="1">
      <c r="A127" s="16" t="s">
        <v>389</v>
      </c>
      <c r="B127" s="16" t="s">
        <v>390</v>
      </c>
      <c r="C127" s="16" t="s">
        <v>391</v>
      </c>
      <c r="D127" s="17" t="s">
        <v>130</v>
      </c>
      <c r="E127" s="18" t="s">
        <v>34</v>
      </c>
      <c r="F127" s="18">
        <v>1.0</v>
      </c>
      <c r="G127" s="19">
        <f t="shared" si="1"/>
        <v>1.48150761</v>
      </c>
      <c r="H127" s="17">
        <v>42.0</v>
      </c>
      <c r="I127" s="10">
        <v>230.0</v>
      </c>
      <c r="J127" s="17">
        <v>17.0</v>
      </c>
      <c r="K127" s="17">
        <v>110.0</v>
      </c>
      <c r="L127" s="17">
        <v>216.0</v>
      </c>
      <c r="M127" s="20">
        <v>18.0</v>
      </c>
      <c r="N127" s="20">
        <v>3.0</v>
      </c>
      <c r="O127" s="20">
        <v>12.0</v>
      </c>
      <c r="P127" s="20">
        <f t="shared" si="2"/>
        <v>3</v>
      </c>
      <c r="Q127" s="21">
        <v>5.0</v>
      </c>
      <c r="R127" s="22">
        <f t="shared" si="3"/>
        <v>155.2472619</v>
      </c>
      <c r="S127" s="23">
        <f t="shared" si="4"/>
        <v>5.476190476</v>
      </c>
      <c r="T127" s="24">
        <f t="shared" si="5"/>
        <v>3.6</v>
      </c>
      <c r="U127" s="26">
        <f t="shared" si="6"/>
        <v>0.6244897959</v>
      </c>
      <c r="V127" s="26">
        <f t="shared" si="7"/>
        <v>0.1959183673</v>
      </c>
      <c r="W127" s="19">
        <f t="shared" si="8"/>
        <v>0.4782608696</v>
      </c>
      <c r="X127" s="20">
        <f t="shared" si="9"/>
        <v>230</v>
      </c>
      <c r="Y127" s="16"/>
      <c r="Z127" s="17"/>
      <c r="AA127" s="28"/>
      <c r="AB127" s="17"/>
      <c r="AC127" s="28"/>
      <c r="AD127" s="16"/>
    </row>
    <row r="128" ht="15.75" customHeight="1">
      <c r="A128" s="27" t="s">
        <v>392</v>
      </c>
      <c r="B128" s="27" t="s">
        <v>393</v>
      </c>
      <c r="C128" s="16" t="s">
        <v>394</v>
      </c>
      <c r="D128" s="17" t="s">
        <v>130</v>
      </c>
      <c r="E128" s="18" t="s">
        <v>34</v>
      </c>
      <c r="F128" s="18">
        <v>1.0</v>
      </c>
      <c r="G128" s="19">
        <f t="shared" si="1"/>
        <v>1.421541826</v>
      </c>
      <c r="H128" s="17">
        <v>40.3</v>
      </c>
      <c r="I128" s="10">
        <v>220.0</v>
      </c>
      <c r="J128" s="17">
        <v>15.0</v>
      </c>
      <c r="K128" s="17">
        <v>140.0</v>
      </c>
      <c r="L128" s="17"/>
      <c r="M128" s="20">
        <v>17.0</v>
      </c>
      <c r="N128" s="20">
        <v>2.0</v>
      </c>
      <c r="O128" s="20">
        <v>13.0</v>
      </c>
      <c r="P128" s="20">
        <f t="shared" si="2"/>
        <v>2</v>
      </c>
      <c r="Q128" s="21">
        <v>6.0</v>
      </c>
      <c r="R128" s="22">
        <f t="shared" si="3"/>
        <v>154.7615385</v>
      </c>
      <c r="S128" s="23">
        <f t="shared" si="4"/>
        <v>5.459057072</v>
      </c>
      <c r="T128" s="24">
        <f t="shared" si="5"/>
        <v>2.833333333</v>
      </c>
      <c r="U128" s="26">
        <f t="shared" si="6"/>
        <v>0.5947136564</v>
      </c>
      <c r="V128" s="26">
        <f t="shared" si="7"/>
        <v>0.2290748899</v>
      </c>
      <c r="W128" s="19">
        <f t="shared" si="8"/>
        <v>0.6363636364</v>
      </c>
      <c r="X128" s="20">
        <f t="shared" si="9"/>
        <v>220</v>
      </c>
      <c r="Y128" s="27"/>
      <c r="Z128" s="17"/>
      <c r="AA128" s="28"/>
      <c r="AB128" s="17"/>
      <c r="AC128" s="28"/>
      <c r="AD128" s="16"/>
    </row>
    <row r="129" ht="15.75" customHeight="1">
      <c r="A129" s="27" t="s">
        <v>395</v>
      </c>
      <c r="B129" s="27" t="s">
        <v>396</v>
      </c>
      <c r="C129" s="16" t="s">
        <v>397</v>
      </c>
      <c r="D129" s="17" t="s">
        <v>212</v>
      </c>
      <c r="E129" s="18" t="s">
        <v>34</v>
      </c>
      <c r="F129" s="18">
        <v>1.0</v>
      </c>
      <c r="G129" s="19">
        <f t="shared" si="1"/>
        <v>1.234589675</v>
      </c>
      <c r="H129" s="17">
        <v>35.0</v>
      </c>
      <c r="I129" s="10">
        <v>190.0</v>
      </c>
      <c r="J129" s="17">
        <v>13.0</v>
      </c>
      <c r="K129" s="17">
        <v>100.0</v>
      </c>
      <c r="L129" s="17"/>
      <c r="M129" s="20">
        <v>13.0</v>
      </c>
      <c r="N129" s="20">
        <v>3.0</v>
      </c>
      <c r="O129" s="20">
        <v>5.0</v>
      </c>
      <c r="P129" s="20">
        <f t="shared" si="2"/>
        <v>5</v>
      </c>
      <c r="Q129" s="21">
        <v>5.0</v>
      </c>
      <c r="R129" s="22">
        <f t="shared" si="3"/>
        <v>153.8972857</v>
      </c>
      <c r="S129" s="23">
        <f t="shared" si="4"/>
        <v>5.428571429</v>
      </c>
      <c r="T129" s="24">
        <f t="shared" si="5"/>
        <v>2.6</v>
      </c>
      <c r="U129" s="26">
        <f t="shared" si="6"/>
        <v>0.619047619</v>
      </c>
      <c r="V129" s="26">
        <f t="shared" si="7"/>
        <v>0.1058201058</v>
      </c>
      <c r="W129" s="19">
        <f t="shared" si="8"/>
        <v>0.5263157895</v>
      </c>
      <c r="X129" s="20">
        <f t="shared" si="9"/>
        <v>190</v>
      </c>
      <c r="Y129" s="27"/>
      <c r="Z129" s="17"/>
      <c r="AA129" s="28"/>
      <c r="AB129" s="17"/>
      <c r="AC129" s="28"/>
      <c r="AD129" s="27"/>
    </row>
    <row r="130" ht="15.75" customHeight="1">
      <c r="A130" s="27" t="s">
        <v>324</v>
      </c>
      <c r="B130" s="27" t="s">
        <v>398</v>
      </c>
      <c r="C130" s="16" t="s">
        <v>399</v>
      </c>
      <c r="D130" s="17" t="s">
        <v>212</v>
      </c>
      <c r="E130" s="18" t="s">
        <v>34</v>
      </c>
      <c r="F130" s="18">
        <v>1.0</v>
      </c>
      <c r="G130" s="19">
        <f t="shared" si="1"/>
        <v>1.234589675</v>
      </c>
      <c r="H130" s="17">
        <v>35.0</v>
      </c>
      <c r="I130" s="10">
        <v>190.0</v>
      </c>
      <c r="J130" s="17">
        <v>13.0</v>
      </c>
      <c r="K130" s="17">
        <v>180.0</v>
      </c>
      <c r="L130" s="17">
        <v>100.0</v>
      </c>
      <c r="M130" s="20">
        <v>14.0</v>
      </c>
      <c r="N130" s="20">
        <v>2.0</v>
      </c>
      <c r="O130" s="20">
        <v>8.0</v>
      </c>
      <c r="P130" s="20">
        <f t="shared" si="2"/>
        <v>4</v>
      </c>
      <c r="Q130" s="21">
        <v>6.0</v>
      </c>
      <c r="R130" s="22">
        <f t="shared" si="3"/>
        <v>153.8972857</v>
      </c>
      <c r="S130" s="23">
        <f t="shared" si="4"/>
        <v>5.428571429</v>
      </c>
      <c r="T130" s="24">
        <f t="shared" si="5"/>
        <v>2.333333333</v>
      </c>
      <c r="U130" s="26">
        <f t="shared" si="6"/>
        <v>0.5939086294</v>
      </c>
      <c r="V130" s="26">
        <f t="shared" si="7"/>
        <v>0.1624365482</v>
      </c>
      <c r="W130" s="19">
        <f t="shared" si="8"/>
        <v>0.9473684211</v>
      </c>
      <c r="X130" s="20">
        <f t="shared" si="9"/>
        <v>190</v>
      </c>
      <c r="Y130" s="27"/>
      <c r="Z130" s="17"/>
      <c r="AA130" s="28"/>
      <c r="AB130" s="17"/>
      <c r="AC130" s="28"/>
      <c r="AD130" s="27"/>
    </row>
    <row r="131" ht="15.75" customHeight="1">
      <c r="A131" s="27" t="s">
        <v>400</v>
      </c>
      <c r="B131" s="27" t="s">
        <v>401</v>
      </c>
      <c r="C131" s="16" t="s">
        <v>402</v>
      </c>
      <c r="D131" s="17" t="s">
        <v>212</v>
      </c>
      <c r="E131" s="18" t="s">
        <v>34</v>
      </c>
      <c r="F131" s="18">
        <v>1.0</v>
      </c>
      <c r="G131" s="19">
        <f t="shared" si="1"/>
        <v>1.234589675</v>
      </c>
      <c r="H131" s="17">
        <v>35.0</v>
      </c>
      <c r="I131" s="10">
        <v>190.0</v>
      </c>
      <c r="J131" s="17">
        <v>13.0</v>
      </c>
      <c r="K131" s="17">
        <v>65.0</v>
      </c>
      <c r="L131" s="17">
        <v>280.0</v>
      </c>
      <c r="M131" s="20">
        <v>10.0</v>
      </c>
      <c r="N131" s="20">
        <v>2.0</v>
      </c>
      <c r="O131" s="20">
        <v>6.0</v>
      </c>
      <c r="P131" s="20">
        <f t="shared" si="2"/>
        <v>2</v>
      </c>
      <c r="Q131" s="21">
        <v>7.0</v>
      </c>
      <c r="R131" s="22">
        <f t="shared" si="3"/>
        <v>153.8972857</v>
      </c>
      <c r="S131" s="23">
        <f t="shared" si="4"/>
        <v>5.428571429</v>
      </c>
      <c r="T131" s="24">
        <f t="shared" si="5"/>
        <v>1.428571429</v>
      </c>
      <c r="U131" s="26">
        <f t="shared" si="6"/>
        <v>0.6324324324</v>
      </c>
      <c r="V131" s="26">
        <f t="shared" si="7"/>
        <v>0.1297297297</v>
      </c>
      <c r="W131" s="19">
        <f t="shared" si="8"/>
        <v>0.3421052632</v>
      </c>
      <c r="X131" s="20">
        <f t="shared" si="9"/>
        <v>190</v>
      </c>
      <c r="Y131" s="27"/>
      <c r="Z131" s="17"/>
      <c r="AA131" s="28"/>
      <c r="AB131" s="17"/>
      <c r="AC131" s="28"/>
      <c r="AD131" s="27"/>
    </row>
    <row r="132" ht="15.75" customHeight="1">
      <c r="A132" s="27" t="s">
        <v>400</v>
      </c>
      <c r="B132" s="27" t="s">
        <v>403</v>
      </c>
      <c r="C132" s="16" t="s">
        <v>404</v>
      </c>
      <c r="D132" s="17" t="s">
        <v>212</v>
      </c>
      <c r="E132" s="18" t="s">
        <v>34</v>
      </c>
      <c r="F132" s="18">
        <v>1.0</v>
      </c>
      <c r="G132" s="19">
        <f t="shared" si="1"/>
        <v>1.234589675</v>
      </c>
      <c r="H132" s="17">
        <v>35.0</v>
      </c>
      <c r="I132" s="10">
        <v>190.0</v>
      </c>
      <c r="J132" s="17">
        <v>13.0</v>
      </c>
      <c r="K132" s="17">
        <v>60.0</v>
      </c>
      <c r="L132" s="17">
        <v>220.0</v>
      </c>
      <c r="M132" s="20">
        <v>11.0</v>
      </c>
      <c r="N132" s="20">
        <v>2.0</v>
      </c>
      <c r="O132" s="20">
        <v>6.0</v>
      </c>
      <c r="P132" s="20">
        <f t="shared" si="2"/>
        <v>3</v>
      </c>
      <c r="Q132" s="21">
        <v>8.0</v>
      </c>
      <c r="R132" s="22">
        <f t="shared" si="3"/>
        <v>153.8972857</v>
      </c>
      <c r="S132" s="23">
        <f t="shared" si="4"/>
        <v>5.428571429</v>
      </c>
      <c r="T132" s="24">
        <f t="shared" si="5"/>
        <v>1.375</v>
      </c>
      <c r="U132" s="26">
        <f t="shared" si="6"/>
        <v>0.6062176166</v>
      </c>
      <c r="V132" s="26">
        <f t="shared" si="7"/>
        <v>0.1243523316</v>
      </c>
      <c r="W132" s="19">
        <f t="shared" si="8"/>
        <v>0.3157894737</v>
      </c>
      <c r="X132" s="20">
        <f t="shared" si="9"/>
        <v>190</v>
      </c>
      <c r="Y132" s="27"/>
      <c r="Z132" s="17"/>
      <c r="AA132" s="28"/>
      <c r="AB132" s="17"/>
      <c r="AC132" s="28"/>
      <c r="AD132" s="27"/>
    </row>
    <row r="133" ht="15.75" customHeight="1">
      <c r="A133" s="27" t="s">
        <v>400</v>
      </c>
      <c r="B133" s="27" t="s">
        <v>405</v>
      </c>
      <c r="C133" s="16" t="s">
        <v>406</v>
      </c>
      <c r="D133" s="17" t="s">
        <v>212</v>
      </c>
      <c r="E133" s="18" t="s">
        <v>34</v>
      </c>
      <c r="F133" s="18">
        <v>1.0</v>
      </c>
      <c r="G133" s="19">
        <f t="shared" si="1"/>
        <v>1.234589675</v>
      </c>
      <c r="H133" s="17">
        <v>35.0</v>
      </c>
      <c r="I133" s="10">
        <v>190.0</v>
      </c>
      <c r="J133" s="17">
        <v>13.0</v>
      </c>
      <c r="K133" s="17">
        <v>60.0</v>
      </c>
      <c r="L133" s="17">
        <v>230.0</v>
      </c>
      <c r="M133" s="20">
        <v>10.0</v>
      </c>
      <c r="N133" s="20">
        <v>1.0</v>
      </c>
      <c r="O133" s="20">
        <v>6.0</v>
      </c>
      <c r="P133" s="20">
        <f t="shared" si="2"/>
        <v>3</v>
      </c>
      <c r="Q133" s="21">
        <v>8.0</v>
      </c>
      <c r="R133" s="22">
        <f t="shared" si="3"/>
        <v>153.8972857</v>
      </c>
      <c r="S133" s="23">
        <f t="shared" si="4"/>
        <v>5.428571429</v>
      </c>
      <c r="T133" s="24">
        <f t="shared" si="5"/>
        <v>1.25</v>
      </c>
      <c r="U133" s="26">
        <f t="shared" si="6"/>
        <v>0.619047619</v>
      </c>
      <c r="V133" s="26">
        <f t="shared" si="7"/>
        <v>0.126984127</v>
      </c>
      <c r="W133" s="19">
        <f t="shared" si="8"/>
        <v>0.3157894737</v>
      </c>
      <c r="X133" s="20">
        <f t="shared" si="9"/>
        <v>190</v>
      </c>
      <c r="Y133" s="27"/>
      <c r="Z133" s="17"/>
      <c r="AA133" s="28"/>
      <c r="AB133" s="17"/>
      <c r="AC133" s="28"/>
      <c r="AD133" s="27"/>
    </row>
    <row r="134" ht="15.75" customHeight="1">
      <c r="A134" s="27" t="s">
        <v>407</v>
      </c>
      <c r="B134" s="27" t="s">
        <v>408</v>
      </c>
      <c r="C134" s="16" t="s">
        <v>409</v>
      </c>
      <c r="D134" s="17" t="s">
        <v>96</v>
      </c>
      <c r="E134" s="18" t="s">
        <v>34</v>
      </c>
      <c r="F134" s="18">
        <v>1.0</v>
      </c>
      <c r="G134" s="19">
        <f t="shared" si="1"/>
        <v>1.499144606</v>
      </c>
      <c r="H134" s="17">
        <v>42.5</v>
      </c>
      <c r="I134" s="10">
        <v>230.0</v>
      </c>
      <c r="J134" s="17">
        <v>15.0</v>
      </c>
      <c r="K134" s="17">
        <v>180.0</v>
      </c>
      <c r="L134" s="17">
        <v>122.0</v>
      </c>
      <c r="M134" s="20">
        <v>22.0</v>
      </c>
      <c r="N134" s="20">
        <v>2.0</v>
      </c>
      <c r="O134" s="20">
        <v>17.0</v>
      </c>
      <c r="P134" s="20">
        <f t="shared" si="2"/>
        <v>3</v>
      </c>
      <c r="Q134" s="21">
        <v>3.0</v>
      </c>
      <c r="R134" s="22">
        <f t="shared" si="3"/>
        <v>153.4208235</v>
      </c>
      <c r="S134" s="23">
        <f t="shared" si="4"/>
        <v>5.411764706</v>
      </c>
      <c r="T134" s="24">
        <f t="shared" si="5"/>
        <v>7.333333333</v>
      </c>
      <c r="U134" s="26">
        <f t="shared" si="6"/>
        <v>0.5744680851</v>
      </c>
      <c r="V134" s="26">
        <f t="shared" si="7"/>
        <v>0.2893617021</v>
      </c>
      <c r="W134" s="19">
        <f t="shared" si="8"/>
        <v>0.7826086957</v>
      </c>
      <c r="X134" s="20">
        <f t="shared" si="9"/>
        <v>230</v>
      </c>
      <c r="Y134" s="27"/>
      <c r="Z134" s="17"/>
      <c r="AA134" s="28"/>
      <c r="AB134" s="17"/>
      <c r="AC134" s="28"/>
      <c r="AD134" s="27"/>
    </row>
    <row r="135" ht="15.75" customHeight="1">
      <c r="A135" s="27" t="s">
        <v>407</v>
      </c>
      <c r="B135" s="27" t="s">
        <v>410</v>
      </c>
      <c r="C135" s="16" t="s">
        <v>411</v>
      </c>
      <c r="D135" s="17" t="s">
        <v>96</v>
      </c>
      <c r="E135" s="18" t="s">
        <v>34</v>
      </c>
      <c r="F135" s="18">
        <v>1.0</v>
      </c>
      <c r="G135" s="19">
        <f t="shared" si="1"/>
        <v>1.499144606</v>
      </c>
      <c r="H135" s="17">
        <v>42.5</v>
      </c>
      <c r="I135" s="10">
        <v>230.0</v>
      </c>
      <c r="J135" s="17">
        <v>16.0</v>
      </c>
      <c r="K135" s="17">
        <v>210.0</v>
      </c>
      <c r="L135" s="17">
        <v>279.0</v>
      </c>
      <c r="M135" s="20">
        <v>18.0</v>
      </c>
      <c r="N135" s="20">
        <v>3.0</v>
      </c>
      <c r="O135" s="20">
        <v>11.0</v>
      </c>
      <c r="P135" s="20">
        <f t="shared" si="2"/>
        <v>4</v>
      </c>
      <c r="Q135" s="21">
        <v>7.0</v>
      </c>
      <c r="R135" s="22">
        <f t="shared" si="3"/>
        <v>153.4208235</v>
      </c>
      <c r="S135" s="23">
        <f t="shared" si="4"/>
        <v>5.411764706</v>
      </c>
      <c r="T135" s="24">
        <f t="shared" si="5"/>
        <v>2.571428571</v>
      </c>
      <c r="U135" s="26">
        <f t="shared" si="6"/>
        <v>0.5901639344</v>
      </c>
      <c r="V135" s="26">
        <f t="shared" si="7"/>
        <v>0.1803278689</v>
      </c>
      <c r="W135" s="19">
        <f t="shared" si="8"/>
        <v>0.9130434783</v>
      </c>
      <c r="X135" s="20">
        <f t="shared" si="9"/>
        <v>230</v>
      </c>
      <c r="Y135" s="27"/>
      <c r="Z135" s="17"/>
      <c r="AA135" s="28"/>
      <c r="AB135" s="17"/>
      <c r="AC135" s="28"/>
      <c r="AD135" s="27"/>
    </row>
    <row r="136" ht="15.75" customHeight="1">
      <c r="A136" s="27" t="s">
        <v>412</v>
      </c>
      <c r="B136" s="27" t="s">
        <v>413</v>
      </c>
      <c r="C136" s="16" t="s">
        <v>414</v>
      </c>
      <c r="D136" s="17" t="s">
        <v>103</v>
      </c>
      <c r="E136" s="18" t="s">
        <v>34</v>
      </c>
      <c r="F136" s="18">
        <v>1.0</v>
      </c>
      <c r="G136" s="19">
        <f t="shared" si="1"/>
        <v>1.305137657</v>
      </c>
      <c r="H136" s="17">
        <v>37.0</v>
      </c>
      <c r="I136" s="10">
        <v>200.0</v>
      </c>
      <c r="J136" s="17">
        <v>11.0</v>
      </c>
      <c r="K136" s="17">
        <v>15.0</v>
      </c>
      <c r="L136" s="17"/>
      <c r="M136" s="20">
        <v>22.0</v>
      </c>
      <c r="N136" s="20">
        <v>1.0</v>
      </c>
      <c r="O136" s="20">
        <v>21.0</v>
      </c>
      <c r="P136" s="20">
        <f t="shared" si="2"/>
        <v>0</v>
      </c>
      <c r="Q136" s="21">
        <v>2.0</v>
      </c>
      <c r="R136" s="22">
        <f t="shared" si="3"/>
        <v>153.2405405</v>
      </c>
      <c r="S136" s="23">
        <f t="shared" si="4"/>
        <v>5.405405405</v>
      </c>
      <c r="T136" s="24">
        <f t="shared" si="5"/>
        <v>11</v>
      </c>
      <c r="U136" s="26">
        <f t="shared" si="6"/>
        <v>0.5076923077</v>
      </c>
      <c r="V136" s="26">
        <f t="shared" si="7"/>
        <v>0.4307692308</v>
      </c>
      <c r="W136" s="19">
        <f t="shared" si="8"/>
        <v>0.075</v>
      </c>
      <c r="X136" s="20">
        <f t="shared" si="9"/>
        <v>200</v>
      </c>
      <c r="Y136" s="27"/>
      <c r="Z136" s="17"/>
      <c r="AA136" s="28"/>
      <c r="AB136" s="17"/>
      <c r="AC136" s="28"/>
      <c r="AD136" s="27"/>
    </row>
    <row r="137" ht="15.75" customHeight="1">
      <c r="A137" s="27" t="s">
        <v>415</v>
      </c>
      <c r="B137" s="27" t="s">
        <v>416</v>
      </c>
      <c r="C137" s="16" t="s">
        <v>417</v>
      </c>
      <c r="D137" s="17" t="s">
        <v>130</v>
      </c>
      <c r="E137" s="18" t="s">
        <v>34</v>
      </c>
      <c r="F137" s="18">
        <v>1.0</v>
      </c>
      <c r="G137" s="19">
        <f t="shared" si="1"/>
        <v>1.375685638</v>
      </c>
      <c r="H137" s="17">
        <v>39.0</v>
      </c>
      <c r="I137" s="10">
        <v>210.0</v>
      </c>
      <c r="J137" s="17">
        <v>13.0</v>
      </c>
      <c r="K137" s="17">
        <v>140.0</v>
      </c>
      <c r="L137" s="17"/>
      <c r="M137" s="20">
        <v>24.0</v>
      </c>
      <c r="N137" s="20">
        <v>0.0</v>
      </c>
      <c r="O137" s="20">
        <v>24.0</v>
      </c>
      <c r="P137" s="20">
        <f t="shared" si="2"/>
        <v>0</v>
      </c>
      <c r="Q137" s="21">
        <v>1.0</v>
      </c>
      <c r="R137" s="22">
        <f t="shared" si="3"/>
        <v>152.6511538</v>
      </c>
      <c r="S137" s="23">
        <f t="shared" si="4"/>
        <v>5.384615385</v>
      </c>
      <c r="T137" s="24">
        <f t="shared" si="5"/>
        <v>24</v>
      </c>
      <c r="U137" s="26">
        <f t="shared" si="6"/>
        <v>0.5391705069</v>
      </c>
      <c r="V137" s="26">
        <f t="shared" si="7"/>
        <v>0.4423963134</v>
      </c>
      <c r="W137" s="19">
        <f t="shared" si="8"/>
        <v>0.6666666667</v>
      </c>
      <c r="X137" s="20">
        <f t="shared" si="9"/>
        <v>210</v>
      </c>
      <c r="Y137" s="27"/>
      <c r="Z137" s="17"/>
      <c r="AA137" s="28"/>
      <c r="AB137" s="17"/>
      <c r="AC137" s="28"/>
      <c r="AD137" s="27"/>
    </row>
    <row r="138" ht="15.75" customHeight="1">
      <c r="A138" s="16" t="s">
        <v>104</v>
      </c>
      <c r="B138" s="16" t="s">
        <v>418</v>
      </c>
      <c r="C138" s="16" t="s">
        <v>419</v>
      </c>
      <c r="D138" s="17" t="s">
        <v>96</v>
      </c>
      <c r="E138" s="18" t="s">
        <v>34</v>
      </c>
      <c r="F138" s="18">
        <v>1.0</v>
      </c>
      <c r="G138" s="19">
        <f t="shared" si="1"/>
        <v>1.375685638</v>
      </c>
      <c r="H138" s="17">
        <v>39.0</v>
      </c>
      <c r="I138" s="10">
        <v>210.0</v>
      </c>
      <c r="J138" s="17">
        <v>15.0</v>
      </c>
      <c r="K138" s="17">
        <v>155.0</v>
      </c>
      <c r="L138" s="17"/>
      <c r="M138" s="20">
        <v>21.0</v>
      </c>
      <c r="N138" s="20">
        <v>2.0</v>
      </c>
      <c r="O138" s="20">
        <v>17.0</v>
      </c>
      <c r="P138" s="20">
        <f t="shared" si="2"/>
        <v>2</v>
      </c>
      <c r="Q138" s="21">
        <v>1.0</v>
      </c>
      <c r="R138" s="22">
        <f t="shared" si="3"/>
        <v>152.6511538</v>
      </c>
      <c r="S138" s="23">
        <f t="shared" si="4"/>
        <v>5.384615385</v>
      </c>
      <c r="T138" s="24">
        <f t="shared" si="5"/>
        <v>21</v>
      </c>
      <c r="U138" s="26">
        <f t="shared" si="6"/>
        <v>0.6053811659</v>
      </c>
      <c r="V138" s="26">
        <f t="shared" si="7"/>
        <v>0.3049327354</v>
      </c>
      <c r="W138" s="19">
        <f t="shared" si="8"/>
        <v>0.7380952381</v>
      </c>
      <c r="X138" s="20">
        <f t="shared" si="9"/>
        <v>210</v>
      </c>
      <c r="Y138" s="27"/>
      <c r="Z138" s="17"/>
      <c r="AA138" s="28"/>
      <c r="AB138" s="17"/>
      <c r="AC138" s="28"/>
      <c r="AD138" s="27"/>
    </row>
    <row r="139" ht="15.75" customHeight="1">
      <c r="A139" s="27" t="s">
        <v>290</v>
      </c>
      <c r="B139" s="27" t="s">
        <v>420</v>
      </c>
      <c r="C139" s="16" t="s">
        <v>421</v>
      </c>
      <c r="D139" s="17" t="s">
        <v>212</v>
      </c>
      <c r="E139" s="18" t="s">
        <v>34</v>
      </c>
      <c r="F139" s="18">
        <v>1.0</v>
      </c>
      <c r="G139" s="19">
        <f t="shared" si="1"/>
        <v>1.410959629</v>
      </c>
      <c r="H139" s="17">
        <v>40.0</v>
      </c>
      <c r="I139" s="10">
        <v>215.0</v>
      </c>
      <c r="J139" s="17">
        <v>13.0</v>
      </c>
      <c r="K139" s="17">
        <v>80.0</v>
      </c>
      <c r="L139" s="17">
        <v>130.0</v>
      </c>
      <c r="M139" s="20">
        <v>13.0</v>
      </c>
      <c r="N139" s="20">
        <v>1.0</v>
      </c>
      <c r="O139" s="20">
        <v>8.0</v>
      </c>
      <c r="P139" s="20">
        <f t="shared" si="2"/>
        <v>4</v>
      </c>
      <c r="Q139" s="21">
        <v>12.0</v>
      </c>
      <c r="R139" s="22">
        <f t="shared" si="3"/>
        <v>152.3785625</v>
      </c>
      <c r="S139" s="23">
        <f t="shared" si="4"/>
        <v>5.375</v>
      </c>
      <c r="T139" s="24">
        <f t="shared" si="5"/>
        <v>1.083333333</v>
      </c>
      <c r="U139" s="26">
        <f t="shared" si="6"/>
        <v>0.5391705069</v>
      </c>
      <c r="V139" s="26">
        <f t="shared" si="7"/>
        <v>0.1474654378</v>
      </c>
      <c r="W139" s="19">
        <f t="shared" si="8"/>
        <v>0.3720930233</v>
      </c>
      <c r="X139" s="20">
        <f t="shared" si="9"/>
        <v>215</v>
      </c>
      <c r="Y139" s="27"/>
      <c r="Z139" s="17"/>
      <c r="AA139" s="28"/>
      <c r="AB139" s="17"/>
      <c r="AC139" s="28"/>
      <c r="AD139" s="27"/>
    </row>
    <row r="140" ht="15.75" customHeight="1">
      <c r="A140" s="27" t="s">
        <v>290</v>
      </c>
      <c r="B140" s="27" t="s">
        <v>422</v>
      </c>
      <c r="C140" s="16" t="s">
        <v>423</v>
      </c>
      <c r="D140" s="17" t="s">
        <v>212</v>
      </c>
      <c r="E140" s="18" t="s">
        <v>34</v>
      </c>
      <c r="F140" s="18">
        <v>1.0</v>
      </c>
      <c r="G140" s="19">
        <f t="shared" si="1"/>
        <v>1.410959629</v>
      </c>
      <c r="H140" s="17">
        <v>40.0</v>
      </c>
      <c r="I140" s="10">
        <v>215.0</v>
      </c>
      <c r="J140" s="17">
        <v>13.0</v>
      </c>
      <c r="K140" s="17">
        <v>120.0</v>
      </c>
      <c r="L140" s="17">
        <v>150.0</v>
      </c>
      <c r="M140" s="20">
        <v>12.0</v>
      </c>
      <c r="N140" s="20">
        <v>1.0</v>
      </c>
      <c r="O140" s="20">
        <v>5.0</v>
      </c>
      <c r="P140" s="20">
        <f t="shared" si="2"/>
        <v>6</v>
      </c>
      <c r="Q140" s="21">
        <v>13.0</v>
      </c>
      <c r="R140" s="22">
        <f t="shared" si="3"/>
        <v>152.3785625</v>
      </c>
      <c r="S140" s="23">
        <f t="shared" si="4"/>
        <v>5.375</v>
      </c>
      <c r="T140" s="24">
        <f t="shared" si="5"/>
        <v>0.9230769231</v>
      </c>
      <c r="U140" s="26">
        <f t="shared" si="6"/>
        <v>0.5391705069</v>
      </c>
      <c r="V140" s="26">
        <f t="shared" si="7"/>
        <v>0.09216589862</v>
      </c>
      <c r="W140" s="19">
        <f t="shared" si="8"/>
        <v>0.5581395349</v>
      </c>
      <c r="X140" s="20">
        <f t="shared" si="9"/>
        <v>215</v>
      </c>
      <c r="Y140" s="27"/>
      <c r="Z140" s="17"/>
      <c r="AA140" s="28"/>
      <c r="AB140" s="17"/>
      <c r="AC140" s="28"/>
      <c r="AD140" s="27"/>
    </row>
    <row r="141" ht="15.75" customHeight="1">
      <c r="A141" s="27" t="s">
        <v>290</v>
      </c>
      <c r="B141" s="27" t="s">
        <v>425</v>
      </c>
      <c r="C141" s="16" t="s">
        <v>426</v>
      </c>
      <c r="D141" s="17" t="s">
        <v>212</v>
      </c>
      <c r="E141" s="18" t="s">
        <v>34</v>
      </c>
      <c r="F141" s="18">
        <v>1.0</v>
      </c>
      <c r="G141" s="19">
        <f t="shared" si="1"/>
        <v>1.410959629</v>
      </c>
      <c r="H141" s="17">
        <v>40.0</v>
      </c>
      <c r="I141" s="10">
        <v>215.0</v>
      </c>
      <c r="J141" s="17">
        <v>14.0</v>
      </c>
      <c r="K141" s="17">
        <v>160.0</v>
      </c>
      <c r="L141" s="17">
        <v>100.0</v>
      </c>
      <c r="M141" s="20">
        <v>11.0</v>
      </c>
      <c r="N141" s="20">
        <v>1.0</v>
      </c>
      <c r="O141" s="20">
        <v>6.0</v>
      </c>
      <c r="P141" s="20">
        <f t="shared" si="2"/>
        <v>4</v>
      </c>
      <c r="Q141" s="21">
        <v>13.0</v>
      </c>
      <c r="R141" s="22">
        <f t="shared" si="3"/>
        <v>152.3785625</v>
      </c>
      <c r="S141" s="23">
        <f t="shared" si="4"/>
        <v>5.375</v>
      </c>
      <c r="T141" s="24">
        <f t="shared" si="5"/>
        <v>0.8461538462</v>
      </c>
      <c r="U141" s="26">
        <f t="shared" si="6"/>
        <v>0.5675675676</v>
      </c>
      <c r="V141" s="26">
        <f t="shared" si="7"/>
        <v>0.1081081081</v>
      </c>
      <c r="W141" s="19">
        <f t="shared" si="8"/>
        <v>0.7441860465</v>
      </c>
      <c r="X141" s="20">
        <f t="shared" si="9"/>
        <v>215</v>
      </c>
      <c r="Y141" s="27"/>
      <c r="Z141" s="17"/>
      <c r="AA141" s="28"/>
      <c r="AB141" s="17"/>
      <c r="AC141" s="28"/>
      <c r="AD141" s="16"/>
    </row>
    <row r="142" ht="15.75" customHeight="1">
      <c r="A142" s="16" t="s">
        <v>427</v>
      </c>
      <c r="B142" s="16" t="s">
        <v>428</v>
      </c>
      <c r="C142" s="16" t="s">
        <v>429</v>
      </c>
      <c r="D142" s="17" t="s">
        <v>81</v>
      </c>
      <c r="E142" s="18" t="s">
        <v>34</v>
      </c>
      <c r="F142" s="18">
        <v>1.0</v>
      </c>
      <c r="G142" s="19">
        <f t="shared" si="1"/>
        <v>0.9876717402</v>
      </c>
      <c r="H142" s="17">
        <v>28.0</v>
      </c>
      <c r="I142" s="10">
        <v>150.0</v>
      </c>
      <c r="J142" s="17">
        <v>10.0</v>
      </c>
      <c r="K142" s="17">
        <v>0.0</v>
      </c>
      <c r="L142" s="17">
        <v>150.0</v>
      </c>
      <c r="M142" s="20">
        <v>17.0</v>
      </c>
      <c r="N142" s="20">
        <v>2.0</v>
      </c>
      <c r="O142" s="20">
        <v>10.0</v>
      </c>
      <c r="P142" s="20">
        <f t="shared" si="2"/>
        <v>5</v>
      </c>
      <c r="Q142" s="21">
        <v>1.0</v>
      </c>
      <c r="R142" s="22">
        <f t="shared" si="3"/>
        <v>151.8723214</v>
      </c>
      <c r="S142" s="23">
        <f t="shared" si="4"/>
        <v>5.357142857</v>
      </c>
      <c r="T142" s="24">
        <f t="shared" si="5"/>
        <v>17</v>
      </c>
      <c r="U142" s="26">
        <f t="shared" si="6"/>
        <v>0.5555555556</v>
      </c>
      <c r="V142" s="26">
        <f t="shared" si="7"/>
        <v>0.2469135802</v>
      </c>
      <c r="W142" s="19">
        <f t="shared" si="8"/>
        <v>0</v>
      </c>
      <c r="X142" s="20">
        <f t="shared" si="9"/>
        <v>150</v>
      </c>
      <c r="Y142" s="16"/>
      <c r="Z142" s="17"/>
      <c r="AA142" s="28"/>
      <c r="AB142" s="17"/>
      <c r="AC142" s="28"/>
      <c r="AD142" s="16"/>
    </row>
    <row r="143" ht="15.75" customHeight="1">
      <c r="A143" s="27" t="s">
        <v>279</v>
      </c>
      <c r="B143" s="27" t="s">
        <v>430</v>
      </c>
      <c r="C143" s="16" t="s">
        <v>431</v>
      </c>
      <c r="D143" s="17" t="s">
        <v>282</v>
      </c>
      <c r="E143" s="18" t="s">
        <v>34</v>
      </c>
      <c r="F143" s="18">
        <v>1.0</v>
      </c>
      <c r="G143" s="19">
        <f t="shared" si="1"/>
        <v>0.9876717402</v>
      </c>
      <c r="H143" s="17">
        <v>28.0</v>
      </c>
      <c r="I143" s="10">
        <v>150.0</v>
      </c>
      <c r="J143" s="17">
        <v>9.0</v>
      </c>
      <c r="K143" s="17">
        <v>115.0</v>
      </c>
      <c r="L143" s="17"/>
      <c r="M143" s="20">
        <v>16.0</v>
      </c>
      <c r="N143" s="20">
        <v>2.0</v>
      </c>
      <c r="O143" s="20">
        <v>1.0</v>
      </c>
      <c r="P143" s="20">
        <f t="shared" si="2"/>
        <v>13</v>
      </c>
      <c r="Q143" s="21">
        <v>2.0</v>
      </c>
      <c r="R143" s="22">
        <f t="shared" si="3"/>
        <v>151.8723214</v>
      </c>
      <c r="S143" s="23">
        <f t="shared" si="4"/>
        <v>5.357142857</v>
      </c>
      <c r="T143" s="24">
        <f t="shared" si="5"/>
        <v>8</v>
      </c>
      <c r="U143" s="26">
        <f t="shared" si="6"/>
        <v>0.5294117647</v>
      </c>
      <c r="V143" s="26">
        <f t="shared" si="7"/>
        <v>0.02614379085</v>
      </c>
      <c r="W143" s="19">
        <f t="shared" si="8"/>
        <v>0.7666666667</v>
      </c>
      <c r="X143" s="20">
        <f t="shared" si="9"/>
        <v>150</v>
      </c>
      <c r="Y143" s="27"/>
      <c r="Z143" s="17"/>
      <c r="AA143" s="28"/>
      <c r="AB143" s="17"/>
      <c r="AC143" s="28"/>
      <c r="AD143" s="27"/>
    </row>
    <row r="144" ht="15.75" customHeight="1">
      <c r="A144" s="27" t="s">
        <v>432</v>
      </c>
      <c r="B144" s="27" t="s">
        <v>433</v>
      </c>
      <c r="C144" s="16" t="s">
        <v>434</v>
      </c>
      <c r="D144" s="17" t="s">
        <v>282</v>
      </c>
      <c r="E144" s="18" t="s">
        <v>34</v>
      </c>
      <c r="F144" s="18">
        <v>1.0</v>
      </c>
      <c r="G144" s="19">
        <f t="shared" si="1"/>
        <v>0.9876717402</v>
      </c>
      <c r="H144" s="17">
        <v>28.0</v>
      </c>
      <c r="I144" s="10">
        <v>150.0</v>
      </c>
      <c r="J144" s="17">
        <v>10.0</v>
      </c>
      <c r="K144" s="17">
        <v>300.0</v>
      </c>
      <c r="L144" s="17"/>
      <c r="M144" s="20">
        <v>13.0</v>
      </c>
      <c r="N144" s="20">
        <v>1.0</v>
      </c>
      <c r="O144" s="20">
        <v>1.0</v>
      </c>
      <c r="P144" s="20">
        <f t="shared" si="2"/>
        <v>11</v>
      </c>
      <c r="Q144" s="21">
        <v>2.0</v>
      </c>
      <c r="R144" s="22">
        <f t="shared" si="3"/>
        <v>151.8723214</v>
      </c>
      <c r="S144" s="23">
        <f t="shared" si="4"/>
        <v>5.357142857</v>
      </c>
      <c r="T144" s="24">
        <f t="shared" si="5"/>
        <v>6.5</v>
      </c>
      <c r="U144" s="26">
        <f t="shared" si="6"/>
        <v>0.6</v>
      </c>
      <c r="V144" s="26">
        <f t="shared" si="7"/>
        <v>0.02666666667</v>
      </c>
      <c r="W144" s="19">
        <f t="shared" si="8"/>
        <v>2</v>
      </c>
      <c r="X144" s="20">
        <f t="shared" si="9"/>
        <v>150</v>
      </c>
      <c r="Y144" s="27"/>
      <c r="Z144" s="17"/>
      <c r="AA144" s="28"/>
      <c r="AB144" s="17"/>
      <c r="AC144" s="28"/>
      <c r="AD144" s="27"/>
    </row>
    <row r="145" ht="15.75" customHeight="1">
      <c r="A145" s="27" t="s">
        <v>435</v>
      </c>
      <c r="B145" s="27" t="s">
        <v>436</v>
      </c>
      <c r="C145" s="16" t="s">
        <v>437</v>
      </c>
      <c r="D145" s="17" t="s">
        <v>130</v>
      </c>
      <c r="E145" s="18" t="s">
        <v>34</v>
      </c>
      <c r="F145" s="18">
        <v>1.0</v>
      </c>
      <c r="G145" s="19">
        <f t="shared" si="1"/>
        <v>0.9876717402</v>
      </c>
      <c r="H145" s="17">
        <v>28.0</v>
      </c>
      <c r="I145" s="10">
        <v>150.0</v>
      </c>
      <c r="J145" s="17">
        <v>8.0</v>
      </c>
      <c r="K145" s="17">
        <v>60.0</v>
      </c>
      <c r="L145" s="17"/>
      <c r="M145" s="20">
        <v>16.0</v>
      </c>
      <c r="N145" s="20">
        <v>1.0</v>
      </c>
      <c r="O145" s="20">
        <v>14.0</v>
      </c>
      <c r="P145" s="20">
        <f t="shared" si="2"/>
        <v>1</v>
      </c>
      <c r="Q145" s="21">
        <v>3.0</v>
      </c>
      <c r="R145" s="22">
        <f t="shared" si="3"/>
        <v>151.8723214</v>
      </c>
      <c r="S145" s="23">
        <f t="shared" si="4"/>
        <v>5.357142857</v>
      </c>
      <c r="T145" s="24">
        <f t="shared" si="5"/>
        <v>5.333333333</v>
      </c>
      <c r="U145" s="26">
        <f t="shared" si="6"/>
        <v>0.4864864865</v>
      </c>
      <c r="V145" s="26">
        <f t="shared" si="7"/>
        <v>0.3783783784</v>
      </c>
      <c r="W145" s="19">
        <f t="shared" si="8"/>
        <v>0.4</v>
      </c>
      <c r="X145" s="20">
        <f t="shared" si="9"/>
        <v>150</v>
      </c>
      <c r="Y145" s="27"/>
      <c r="Z145" s="17"/>
      <c r="AA145" s="28"/>
      <c r="AB145" s="17"/>
      <c r="AC145" s="28"/>
      <c r="AD145" s="27"/>
    </row>
    <row r="146" ht="15.75" customHeight="1">
      <c r="A146" s="16" t="s">
        <v>438</v>
      </c>
      <c r="B146" s="16" t="s">
        <v>439</v>
      </c>
      <c r="C146" s="16" t="s">
        <v>440</v>
      </c>
      <c r="D146" s="17" t="s">
        <v>96</v>
      </c>
      <c r="E146" s="18" t="s">
        <v>34</v>
      </c>
      <c r="F146" s="18">
        <v>1.0</v>
      </c>
      <c r="G146" s="19">
        <f t="shared" si="1"/>
        <v>0.9876717402</v>
      </c>
      <c r="H146" s="17">
        <v>28.0</v>
      </c>
      <c r="I146" s="10">
        <v>150.0</v>
      </c>
      <c r="J146" s="17">
        <v>11.0</v>
      </c>
      <c r="K146" s="17">
        <v>70.0</v>
      </c>
      <c r="L146" s="17"/>
      <c r="M146" s="20">
        <v>11.0</v>
      </c>
      <c r="N146" s="20">
        <v>2.0</v>
      </c>
      <c r="O146" s="20">
        <v>7.0</v>
      </c>
      <c r="P146" s="20">
        <f t="shared" si="2"/>
        <v>2</v>
      </c>
      <c r="Q146" s="21">
        <v>4.0</v>
      </c>
      <c r="R146" s="22">
        <f t="shared" si="3"/>
        <v>151.8723214</v>
      </c>
      <c r="S146" s="23">
        <f t="shared" si="4"/>
        <v>5.357142857</v>
      </c>
      <c r="T146" s="24">
        <f t="shared" si="5"/>
        <v>2.75</v>
      </c>
      <c r="U146" s="26">
        <f t="shared" si="6"/>
        <v>0.6226415094</v>
      </c>
      <c r="V146" s="26">
        <f t="shared" si="7"/>
        <v>0.1761006289</v>
      </c>
      <c r="W146" s="19">
        <f t="shared" si="8"/>
        <v>0.4666666667</v>
      </c>
      <c r="X146" s="20">
        <f t="shared" si="9"/>
        <v>150</v>
      </c>
      <c r="Y146" s="27"/>
      <c r="Z146" s="17"/>
      <c r="AA146" s="28"/>
      <c r="AB146" s="17"/>
      <c r="AC146" s="28"/>
      <c r="AD146" s="27"/>
    </row>
    <row r="147" ht="15.75" customHeight="1">
      <c r="A147" s="16" t="s">
        <v>438</v>
      </c>
      <c r="B147" s="16" t="s">
        <v>441</v>
      </c>
      <c r="C147" s="16" t="s">
        <v>442</v>
      </c>
      <c r="D147" s="17" t="s">
        <v>96</v>
      </c>
      <c r="E147" s="18" t="s">
        <v>34</v>
      </c>
      <c r="F147" s="18">
        <v>1.0</v>
      </c>
      <c r="G147" s="19">
        <f t="shared" si="1"/>
        <v>0.9876717402</v>
      </c>
      <c r="H147" s="17">
        <v>28.0</v>
      </c>
      <c r="I147" s="10">
        <v>150.0</v>
      </c>
      <c r="J147" s="17">
        <v>11.0</v>
      </c>
      <c r="K147" s="17">
        <v>85.0</v>
      </c>
      <c r="L147" s="17"/>
      <c r="M147" s="20">
        <v>10.0</v>
      </c>
      <c r="N147" s="20">
        <v>2.0</v>
      </c>
      <c r="O147" s="20">
        <v>5.0</v>
      </c>
      <c r="P147" s="20">
        <f t="shared" si="2"/>
        <v>3</v>
      </c>
      <c r="Q147" s="21">
        <v>4.0</v>
      </c>
      <c r="R147" s="22">
        <f t="shared" si="3"/>
        <v>151.8723214</v>
      </c>
      <c r="S147" s="23">
        <f t="shared" si="4"/>
        <v>5.357142857</v>
      </c>
      <c r="T147" s="24">
        <f t="shared" si="5"/>
        <v>2.5</v>
      </c>
      <c r="U147" s="26">
        <f t="shared" si="6"/>
        <v>0.6387096774</v>
      </c>
      <c r="V147" s="26">
        <f t="shared" si="7"/>
        <v>0.1290322581</v>
      </c>
      <c r="W147" s="19">
        <f t="shared" si="8"/>
        <v>0.5666666667</v>
      </c>
      <c r="X147" s="20">
        <f t="shared" si="9"/>
        <v>150</v>
      </c>
      <c r="Y147" s="27"/>
      <c r="Z147" s="17"/>
      <c r="AA147" s="28"/>
      <c r="AB147" s="17"/>
      <c r="AC147" s="28"/>
      <c r="AD147" s="27"/>
    </row>
    <row r="148" ht="15.75" customHeight="1">
      <c r="A148" s="27" t="s">
        <v>139</v>
      </c>
      <c r="B148" s="27" t="s">
        <v>443</v>
      </c>
      <c r="C148" s="16" t="s">
        <v>444</v>
      </c>
      <c r="D148" s="17" t="s">
        <v>203</v>
      </c>
      <c r="E148" s="18" t="s">
        <v>34</v>
      </c>
      <c r="F148" s="18">
        <v>1.0</v>
      </c>
      <c r="G148" s="19">
        <f t="shared" si="1"/>
        <v>0.9876717402</v>
      </c>
      <c r="H148" s="17">
        <v>28.0</v>
      </c>
      <c r="I148" s="10">
        <v>150.0</v>
      </c>
      <c r="J148" s="17">
        <v>12.0</v>
      </c>
      <c r="K148" s="17">
        <v>0.0</v>
      </c>
      <c r="L148" s="17"/>
      <c r="M148" s="20">
        <v>9.0</v>
      </c>
      <c r="N148" s="20">
        <v>2.0</v>
      </c>
      <c r="O148" s="20">
        <v>5.0</v>
      </c>
      <c r="P148" s="20">
        <f t="shared" si="2"/>
        <v>2</v>
      </c>
      <c r="Q148" s="21">
        <v>5.0</v>
      </c>
      <c r="R148" s="22">
        <f t="shared" si="3"/>
        <v>151.8723214</v>
      </c>
      <c r="S148" s="23">
        <f t="shared" si="4"/>
        <v>5.357142857</v>
      </c>
      <c r="T148" s="24">
        <f t="shared" si="5"/>
        <v>1.8</v>
      </c>
      <c r="U148" s="26">
        <f t="shared" si="6"/>
        <v>0.6585365854</v>
      </c>
      <c r="V148" s="26">
        <f t="shared" si="7"/>
        <v>0.1219512195</v>
      </c>
      <c r="W148" s="19">
        <f t="shared" si="8"/>
        <v>0</v>
      </c>
      <c r="X148" s="20">
        <f t="shared" si="9"/>
        <v>150</v>
      </c>
      <c r="Y148" s="27"/>
      <c r="Z148" s="17"/>
      <c r="AA148" s="17"/>
      <c r="AB148" s="17"/>
      <c r="AC148" s="17"/>
      <c r="AD148" s="27"/>
    </row>
    <row r="149" ht="15.75" customHeight="1">
      <c r="A149" s="16" t="s">
        <v>104</v>
      </c>
      <c r="B149" s="16" t="s">
        <v>445</v>
      </c>
      <c r="C149" s="16" t="s">
        <v>446</v>
      </c>
      <c r="D149" s="17" t="s">
        <v>96</v>
      </c>
      <c r="E149" s="18" t="s">
        <v>34</v>
      </c>
      <c r="F149" s="18">
        <v>1.0</v>
      </c>
      <c r="G149" s="19">
        <f t="shared" si="1"/>
        <v>0.9876717402</v>
      </c>
      <c r="H149" s="17">
        <v>28.0</v>
      </c>
      <c r="I149" s="10">
        <v>150.0</v>
      </c>
      <c r="J149" s="17">
        <v>8.0</v>
      </c>
      <c r="K149" s="17">
        <v>9.0</v>
      </c>
      <c r="L149" s="17"/>
      <c r="M149" s="20">
        <v>8.0</v>
      </c>
      <c r="N149" s="20">
        <v>8.0</v>
      </c>
      <c r="O149" s="20">
        <v>0.0</v>
      </c>
      <c r="P149" s="20">
        <f t="shared" si="2"/>
        <v>0</v>
      </c>
      <c r="Q149" s="21">
        <v>5.0</v>
      </c>
      <c r="R149" s="22">
        <f t="shared" si="3"/>
        <v>151.8723214</v>
      </c>
      <c r="S149" s="23">
        <f t="shared" si="4"/>
        <v>5.357142857</v>
      </c>
      <c r="T149" s="24">
        <f t="shared" si="5"/>
        <v>1.6</v>
      </c>
      <c r="U149" s="26">
        <f t="shared" si="6"/>
        <v>0.5806451613</v>
      </c>
      <c r="V149" s="26" t="str">
        <f t="shared" si="7"/>
        <v>0%</v>
      </c>
      <c r="W149" s="19">
        <f t="shared" si="8"/>
        <v>0.06</v>
      </c>
      <c r="X149" s="20">
        <f t="shared" si="9"/>
        <v>150</v>
      </c>
      <c r="Y149" s="27"/>
      <c r="Z149" s="17"/>
      <c r="AA149" s="28"/>
      <c r="AB149" s="17"/>
      <c r="AC149" s="28"/>
      <c r="AD149" s="27"/>
    </row>
    <row r="150" ht="15.75" customHeight="1">
      <c r="A150" s="16" t="s">
        <v>447</v>
      </c>
      <c r="B150" s="16" t="s">
        <v>448</v>
      </c>
      <c r="C150" s="16" t="s">
        <v>449</v>
      </c>
      <c r="D150" s="17" t="s">
        <v>282</v>
      </c>
      <c r="E150" s="18" t="s">
        <v>34</v>
      </c>
      <c r="F150" s="18">
        <v>1.0</v>
      </c>
      <c r="G150" s="19">
        <f t="shared" si="1"/>
        <v>0.9876717402</v>
      </c>
      <c r="H150" s="17">
        <v>28.0</v>
      </c>
      <c r="I150" s="10">
        <v>150.0</v>
      </c>
      <c r="J150" s="17">
        <v>10.0</v>
      </c>
      <c r="K150" s="17">
        <v>350.0</v>
      </c>
      <c r="L150" s="17"/>
      <c r="M150" s="20">
        <v>1.0</v>
      </c>
      <c r="N150" s="20">
        <v>0.0</v>
      </c>
      <c r="O150" s="20">
        <v>0.0</v>
      </c>
      <c r="P150" s="20">
        <f t="shared" si="2"/>
        <v>1</v>
      </c>
      <c r="Q150" s="21">
        <v>13.0</v>
      </c>
      <c r="R150" s="22">
        <f t="shared" si="3"/>
        <v>151.8723214</v>
      </c>
      <c r="S150" s="23">
        <f t="shared" si="4"/>
        <v>5.357142857</v>
      </c>
      <c r="T150" s="24">
        <f t="shared" si="5"/>
        <v>0.07692307692</v>
      </c>
      <c r="U150" s="26">
        <f t="shared" si="6"/>
        <v>0.6164383562</v>
      </c>
      <c r="V150" s="26" t="str">
        <f t="shared" si="7"/>
        <v>0%</v>
      </c>
      <c r="W150" s="19">
        <f t="shared" si="8"/>
        <v>2.333333333</v>
      </c>
      <c r="X150" s="20">
        <f t="shared" si="9"/>
        <v>150</v>
      </c>
      <c r="Y150" s="27"/>
      <c r="Z150" s="17"/>
      <c r="AA150" s="28"/>
      <c r="AB150" s="17"/>
      <c r="AC150" s="28"/>
      <c r="AD150" s="16"/>
    </row>
    <row r="151" ht="15.75" customHeight="1">
      <c r="A151" s="27" t="s">
        <v>450</v>
      </c>
      <c r="B151" s="27" t="s">
        <v>451</v>
      </c>
      <c r="C151" s="16" t="s">
        <v>452</v>
      </c>
      <c r="D151" s="17" t="s">
        <v>81</v>
      </c>
      <c r="E151" s="18" t="s">
        <v>34</v>
      </c>
      <c r="F151" s="18">
        <v>1.0</v>
      </c>
      <c r="G151" s="19">
        <f t="shared" si="1"/>
        <v>1.058219722</v>
      </c>
      <c r="H151" s="17">
        <v>30.0</v>
      </c>
      <c r="I151" s="10">
        <v>160.0</v>
      </c>
      <c r="J151" s="17">
        <v>9.0</v>
      </c>
      <c r="K151" s="17">
        <v>0.0</v>
      </c>
      <c r="L151" s="17"/>
      <c r="M151" s="20">
        <v>19.0</v>
      </c>
      <c r="N151" s="20">
        <v>2.0</v>
      </c>
      <c r="O151" s="20">
        <v>3.0</v>
      </c>
      <c r="P151" s="20">
        <f t="shared" si="2"/>
        <v>14</v>
      </c>
      <c r="Q151" s="21">
        <v>1.0</v>
      </c>
      <c r="R151" s="22">
        <f t="shared" si="3"/>
        <v>151.1973333</v>
      </c>
      <c r="S151" s="23">
        <f t="shared" si="4"/>
        <v>5.333333333</v>
      </c>
      <c r="T151" s="24">
        <f t="shared" si="5"/>
        <v>19</v>
      </c>
      <c r="U151" s="26">
        <f t="shared" si="6"/>
        <v>0.5031055901</v>
      </c>
      <c r="V151" s="26">
        <f t="shared" si="7"/>
        <v>0.07453416149</v>
      </c>
      <c r="W151" s="19">
        <f t="shared" si="8"/>
        <v>0</v>
      </c>
      <c r="X151" s="20">
        <f t="shared" si="9"/>
        <v>160</v>
      </c>
      <c r="Y151" s="27"/>
      <c r="Z151" s="17"/>
      <c r="AA151" s="28"/>
      <c r="AB151" s="17"/>
      <c r="AC151" s="28"/>
      <c r="AD151" s="16"/>
    </row>
    <row r="152" ht="15.75" customHeight="1">
      <c r="A152" s="16" t="s">
        <v>453</v>
      </c>
      <c r="B152" s="16" t="s">
        <v>454</v>
      </c>
      <c r="C152" s="16" t="s">
        <v>455</v>
      </c>
      <c r="D152" s="17" t="s">
        <v>456</v>
      </c>
      <c r="E152" s="18" t="s">
        <v>34</v>
      </c>
      <c r="F152" s="18">
        <v>1.0</v>
      </c>
      <c r="G152" s="19">
        <f t="shared" si="1"/>
        <v>1.058219722</v>
      </c>
      <c r="H152" s="17">
        <v>30.0</v>
      </c>
      <c r="I152" s="10">
        <v>160.0</v>
      </c>
      <c r="J152" s="17">
        <v>9.0</v>
      </c>
      <c r="K152" s="17">
        <v>80.0</v>
      </c>
      <c r="L152" s="17"/>
      <c r="M152" s="20">
        <v>19.0</v>
      </c>
      <c r="N152" s="20">
        <v>1.0</v>
      </c>
      <c r="O152" s="20">
        <v>9.0</v>
      </c>
      <c r="P152" s="20">
        <f t="shared" si="2"/>
        <v>9</v>
      </c>
      <c r="Q152" s="21">
        <v>1.0</v>
      </c>
      <c r="R152" s="22">
        <f t="shared" si="3"/>
        <v>151.1973333</v>
      </c>
      <c r="S152" s="23">
        <f t="shared" si="4"/>
        <v>5.333333333</v>
      </c>
      <c r="T152" s="24">
        <f t="shared" si="5"/>
        <v>19</v>
      </c>
      <c r="U152" s="26">
        <f t="shared" si="6"/>
        <v>0.5031055901</v>
      </c>
      <c r="V152" s="26">
        <f t="shared" si="7"/>
        <v>0.2236024845</v>
      </c>
      <c r="W152" s="19">
        <f t="shared" si="8"/>
        <v>0.5</v>
      </c>
      <c r="X152" s="20">
        <f t="shared" si="9"/>
        <v>160</v>
      </c>
      <c r="Y152" s="27"/>
      <c r="Z152" s="17"/>
      <c r="AA152" s="28"/>
      <c r="AB152" s="17"/>
      <c r="AC152" s="28"/>
      <c r="AD152" s="27"/>
    </row>
    <row r="153" ht="15.75" customHeight="1">
      <c r="A153" s="27" t="s">
        <v>213</v>
      </c>
      <c r="B153" s="27" t="s">
        <v>457</v>
      </c>
      <c r="C153" s="16" t="s">
        <v>458</v>
      </c>
      <c r="D153" s="17" t="s">
        <v>203</v>
      </c>
      <c r="E153" s="18" t="s">
        <v>34</v>
      </c>
      <c r="F153" s="18">
        <v>1.0</v>
      </c>
      <c r="G153" s="19">
        <f t="shared" si="1"/>
        <v>1.058219722</v>
      </c>
      <c r="H153" s="17">
        <v>30.0</v>
      </c>
      <c r="I153" s="10">
        <v>160.0</v>
      </c>
      <c r="J153" s="17">
        <v>9.0</v>
      </c>
      <c r="K153" s="17">
        <v>10.0</v>
      </c>
      <c r="L153" s="17"/>
      <c r="M153" s="20">
        <v>18.0</v>
      </c>
      <c r="N153" s="20">
        <v>2.0</v>
      </c>
      <c r="O153" s="20">
        <v>15.0</v>
      </c>
      <c r="P153" s="20">
        <f t="shared" si="2"/>
        <v>1</v>
      </c>
      <c r="Q153" s="21">
        <v>2.0</v>
      </c>
      <c r="R153" s="22">
        <f t="shared" si="3"/>
        <v>151.1973333</v>
      </c>
      <c r="S153" s="23">
        <f t="shared" si="4"/>
        <v>5.333333333</v>
      </c>
      <c r="T153" s="24">
        <f t="shared" si="5"/>
        <v>9</v>
      </c>
      <c r="U153" s="26">
        <f t="shared" si="6"/>
        <v>0.5031055901</v>
      </c>
      <c r="V153" s="26">
        <f t="shared" si="7"/>
        <v>0.3726708075</v>
      </c>
      <c r="W153" s="19">
        <f t="shared" si="8"/>
        <v>0.0625</v>
      </c>
      <c r="X153" s="20">
        <f t="shared" si="9"/>
        <v>160</v>
      </c>
      <c r="Y153" s="27"/>
      <c r="Z153" s="17"/>
      <c r="AA153" s="17"/>
      <c r="AB153" s="17"/>
      <c r="AC153" s="17"/>
      <c r="AD153" s="27"/>
    </row>
    <row r="154" ht="15.75" customHeight="1">
      <c r="A154" s="27" t="s">
        <v>459</v>
      </c>
      <c r="B154" s="27" t="s">
        <v>460</v>
      </c>
      <c r="C154" s="16" t="s">
        <v>461</v>
      </c>
      <c r="D154" s="17" t="s">
        <v>33</v>
      </c>
      <c r="E154" s="18" t="s">
        <v>34</v>
      </c>
      <c r="F154" s="18">
        <v>1.0</v>
      </c>
      <c r="G154" s="19">
        <f t="shared" si="1"/>
        <v>3.174659165</v>
      </c>
      <c r="H154" s="17">
        <v>90.0</v>
      </c>
      <c r="I154" s="10">
        <v>480.0</v>
      </c>
      <c r="J154" s="17">
        <v>24.0</v>
      </c>
      <c r="K154" s="17">
        <v>280.0</v>
      </c>
      <c r="L154" s="17"/>
      <c r="M154" s="20">
        <v>60.0</v>
      </c>
      <c r="N154" s="20">
        <v>0.0</v>
      </c>
      <c r="O154" s="20">
        <v>24.0</v>
      </c>
      <c r="P154" s="20">
        <f t="shared" si="2"/>
        <v>36</v>
      </c>
      <c r="Q154" s="21">
        <v>8.0</v>
      </c>
      <c r="R154" s="22">
        <f t="shared" si="3"/>
        <v>151.1973333</v>
      </c>
      <c r="S154" s="23">
        <f t="shared" si="4"/>
        <v>5.333333333</v>
      </c>
      <c r="T154" s="24">
        <f t="shared" si="5"/>
        <v>7.5</v>
      </c>
      <c r="U154" s="26">
        <f t="shared" si="6"/>
        <v>0.4426229508</v>
      </c>
      <c r="V154" s="26">
        <f t="shared" si="7"/>
        <v>0.1967213115</v>
      </c>
      <c r="W154" s="19">
        <f t="shared" si="8"/>
        <v>0.5833333333</v>
      </c>
      <c r="X154" s="20">
        <f t="shared" si="9"/>
        <v>480</v>
      </c>
      <c r="Y154" s="27"/>
      <c r="Z154" s="17"/>
      <c r="AA154" s="28"/>
      <c r="AB154" s="17"/>
      <c r="AC154" s="28"/>
      <c r="AD154" s="27"/>
    </row>
    <row r="155" ht="15.75" customHeight="1">
      <c r="A155" s="27" t="s">
        <v>139</v>
      </c>
      <c r="B155" s="27" t="s">
        <v>462</v>
      </c>
      <c r="C155" s="16" t="s">
        <v>463</v>
      </c>
      <c r="D155" s="17" t="s">
        <v>282</v>
      </c>
      <c r="E155" s="18" t="s">
        <v>34</v>
      </c>
      <c r="F155" s="18">
        <v>1.0</v>
      </c>
      <c r="G155" s="19">
        <f t="shared" si="1"/>
        <v>1.058219722</v>
      </c>
      <c r="H155" s="17">
        <v>30.0</v>
      </c>
      <c r="I155" s="10">
        <v>160.0</v>
      </c>
      <c r="J155" s="17">
        <v>11.0</v>
      </c>
      <c r="K155" s="17">
        <v>360.0</v>
      </c>
      <c r="L155" s="17"/>
      <c r="M155" s="20">
        <v>15.0</v>
      </c>
      <c r="N155" s="20">
        <v>1.0</v>
      </c>
      <c r="O155" s="20">
        <v>3.0</v>
      </c>
      <c r="P155" s="20">
        <f t="shared" si="2"/>
        <v>11</v>
      </c>
      <c r="Q155" s="21">
        <v>2.0</v>
      </c>
      <c r="R155" s="22">
        <f t="shared" si="3"/>
        <v>151.1973333</v>
      </c>
      <c r="S155" s="23">
        <f t="shared" si="4"/>
        <v>5.333333333</v>
      </c>
      <c r="T155" s="24">
        <f t="shared" si="5"/>
        <v>7.5</v>
      </c>
      <c r="U155" s="26">
        <f t="shared" si="6"/>
        <v>0.5928143713</v>
      </c>
      <c r="V155" s="26">
        <f t="shared" si="7"/>
        <v>0.07185628743</v>
      </c>
      <c r="W155" s="19">
        <f t="shared" si="8"/>
        <v>2.25</v>
      </c>
      <c r="X155" s="20">
        <f t="shared" si="9"/>
        <v>160</v>
      </c>
      <c r="Y155" s="27"/>
      <c r="Z155" s="17"/>
      <c r="AA155" s="28"/>
      <c r="AB155" s="17"/>
      <c r="AC155" s="28"/>
      <c r="AD155" s="16"/>
    </row>
    <row r="156" ht="15.75" customHeight="1">
      <c r="A156" s="27" t="s">
        <v>464</v>
      </c>
      <c r="B156" s="27" t="s">
        <v>465</v>
      </c>
      <c r="C156" s="16" t="s">
        <v>466</v>
      </c>
      <c r="D156" s="17" t="s">
        <v>130</v>
      </c>
      <c r="E156" s="18" t="s">
        <v>34</v>
      </c>
      <c r="F156" s="18">
        <v>1.0</v>
      </c>
      <c r="G156" s="19">
        <f t="shared" si="1"/>
        <v>0.5291098608</v>
      </c>
      <c r="H156" s="17">
        <v>15.0</v>
      </c>
      <c r="I156" s="10">
        <v>80.0</v>
      </c>
      <c r="J156" s="17">
        <v>4.0</v>
      </c>
      <c r="K156" s="17">
        <v>25.0</v>
      </c>
      <c r="L156" s="17"/>
      <c r="M156" s="20">
        <v>7.0</v>
      </c>
      <c r="N156" s="20">
        <v>0.0</v>
      </c>
      <c r="O156" s="20">
        <v>7.0</v>
      </c>
      <c r="P156" s="20">
        <f t="shared" si="2"/>
        <v>0</v>
      </c>
      <c r="Q156" s="21">
        <v>1.0</v>
      </c>
      <c r="R156" s="22">
        <f t="shared" si="3"/>
        <v>151.1973333</v>
      </c>
      <c r="S156" s="23">
        <f t="shared" si="4"/>
        <v>5.333333333</v>
      </c>
      <c r="T156" s="24">
        <f t="shared" si="5"/>
        <v>7</v>
      </c>
      <c r="U156" s="26">
        <f t="shared" si="6"/>
        <v>0.5294117647</v>
      </c>
      <c r="V156" s="26">
        <f t="shared" si="7"/>
        <v>0.4117647059</v>
      </c>
      <c r="W156" s="19">
        <f t="shared" si="8"/>
        <v>0.3125</v>
      </c>
      <c r="X156" s="20">
        <f t="shared" si="9"/>
        <v>80</v>
      </c>
      <c r="Y156" s="27"/>
      <c r="Z156" s="17"/>
      <c r="AA156" s="28"/>
      <c r="AB156" s="17"/>
      <c r="AC156" s="28"/>
      <c r="AD156" s="27"/>
    </row>
    <row r="157" ht="15.75" customHeight="1">
      <c r="A157" s="27" t="s">
        <v>213</v>
      </c>
      <c r="B157" s="27" t="s">
        <v>467</v>
      </c>
      <c r="C157" s="16" t="s">
        <v>468</v>
      </c>
      <c r="D157" s="17" t="s">
        <v>203</v>
      </c>
      <c r="E157" s="18" t="s">
        <v>34</v>
      </c>
      <c r="F157" s="18">
        <v>1.0</v>
      </c>
      <c r="G157" s="19">
        <f t="shared" si="1"/>
        <v>1.058219722</v>
      </c>
      <c r="H157" s="17">
        <v>30.0</v>
      </c>
      <c r="I157" s="10">
        <v>160.0</v>
      </c>
      <c r="J157" s="17">
        <v>10.0</v>
      </c>
      <c r="K157" s="17">
        <v>75.0</v>
      </c>
      <c r="L157" s="17"/>
      <c r="M157" s="20">
        <v>15.0</v>
      </c>
      <c r="N157" s="20">
        <v>4.0</v>
      </c>
      <c r="O157" s="20">
        <v>12.0</v>
      </c>
      <c r="P157" s="20">
        <f t="shared" si="2"/>
        <v>-1</v>
      </c>
      <c r="Q157" s="21">
        <v>4.0</v>
      </c>
      <c r="R157" s="22">
        <f t="shared" si="3"/>
        <v>151.1973333</v>
      </c>
      <c r="S157" s="23">
        <f t="shared" si="4"/>
        <v>5.333333333</v>
      </c>
      <c r="T157" s="24">
        <f t="shared" si="5"/>
        <v>3.75</v>
      </c>
      <c r="U157" s="26">
        <f t="shared" si="6"/>
        <v>0.5421686747</v>
      </c>
      <c r="V157" s="26">
        <f t="shared" si="7"/>
        <v>0.2891566265</v>
      </c>
      <c r="W157" s="19">
        <f t="shared" si="8"/>
        <v>0.46875</v>
      </c>
      <c r="X157" s="20">
        <f t="shared" si="9"/>
        <v>160</v>
      </c>
      <c r="Y157" s="27"/>
      <c r="Z157" s="17"/>
      <c r="AA157" s="17"/>
      <c r="AB157" s="17"/>
      <c r="AC157" s="17"/>
      <c r="AD157" s="27"/>
    </row>
    <row r="158" ht="15.75" customHeight="1">
      <c r="A158" s="27" t="s">
        <v>104</v>
      </c>
      <c r="B158" s="27" t="s">
        <v>469</v>
      </c>
      <c r="C158" s="16" t="s">
        <v>470</v>
      </c>
      <c r="D158" s="17" t="s">
        <v>203</v>
      </c>
      <c r="E158" s="18" t="s">
        <v>34</v>
      </c>
      <c r="F158" s="18">
        <v>1.0</v>
      </c>
      <c r="G158" s="19">
        <f t="shared" si="1"/>
        <v>1.058219722</v>
      </c>
      <c r="H158" s="17">
        <v>30.0</v>
      </c>
      <c r="I158" s="10">
        <v>160.0</v>
      </c>
      <c r="J158" s="17">
        <v>11.0</v>
      </c>
      <c r="K158" s="17">
        <v>70.0</v>
      </c>
      <c r="L158" s="17"/>
      <c r="M158" s="20">
        <v>12.0</v>
      </c>
      <c r="N158" s="20">
        <v>2.0</v>
      </c>
      <c r="O158" s="20">
        <v>7.0</v>
      </c>
      <c r="P158" s="20">
        <f t="shared" si="2"/>
        <v>3</v>
      </c>
      <c r="Q158" s="21">
        <v>4.0</v>
      </c>
      <c r="R158" s="22">
        <f t="shared" si="3"/>
        <v>151.1973333</v>
      </c>
      <c r="S158" s="23">
        <f t="shared" si="4"/>
        <v>5.333333333</v>
      </c>
      <c r="T158" s="24">
        <f t="shared" si="5"/>
        <v>3</v>
      </c>
      <c r="U158" s="26">
        <f t="shared" si="6"/>
        <v>0.6073619632</v>
      </c>
      <c r="V158" s="26">
        <f t="shared" si="7"/>
        <v>0.1717791411</v>
      </c>
      <c r="W158" s="19">
        <f t="shared" si="8"/>
        <v>0.4375</v>
      </c>
      <c r="X158" s="20">
        <f t="shared" si="9"/>
        <v>160</v>
      </c>
      <c r="Y158" s="27"/>
      <c r="Z158" s="17"/>
      <c r="AA158" s="17"/>
      <c r="AB158" s="17"/>
      <c r="AC158" s="17"/>
      <c r="AD158" s="27"/>
    </row>
    <row r="159" ht="15.75" customHeight="1">
      <c r="A159" s="16" t="s">
        <v>229</v>
      </c>
      <c r="B159" s="16" t="s">
        <v>471</v>
      </c>
      <c r="C159" s="16" t="s">
        <v>472</v>
      </c>
      <c r="D159" s="17" t="s">
        <v>103</v>
      </c>
      <c r="E159" s="18" t="s">
        <v>34</v>
      </c>
      <c r="F159" s="18">
        <v>1.0</v>
      </c>
      <c r="G159" s="19">
        <f t="shared" si="1"/>
        <v>1.058219722</v>
      </c>
      <c r="H159" s="17">
        <v>30.0</v>
      </c>
      <c r="I159" s="10">
        <v>160.0</v>
      </c>
      <c r="J159" s="17">
        <v>10.0</v>
      </c>
      <c r="K159" s="17">
        <v>120.0</v>
      </c>
      <c r="L159" s="17"/>
      <c r="M159" s="20">
        <v>14.0</v>
      </c>
      <c r="N159" s="20">
        <v>0.0</v>
      </c>
      <c r="O159" s="20">
        <v>8.0</v>
      </c>
      <c r="P159" s="20">
        <f t="shared" si="2"/>
        <v>6</v>
      </c>
      <c r="Q159" s="21">
        <v>5.0</v>
      </c>
      <c r="R159" s="22">
        <f t="shared" si="3"/>
        <v>151.1973333</v>
      </c>
      <c r="S159" s="23">
        <f t="shared" si="4"/>
        <v>5.333333333</v>
      </c>
      <c r="T159" s="24">
        <f t="shared" si="5"/>
        <v>2.8</v>
      </c>
      <c r="U159" s="26">
        <f t="shared" si="6"/>
        <v>0.5421686747</v>
      </c>
      <c r="V159" s="26">
        <f t="shared" si="7"/>
        <v>0.1927710843</v>
      </c>
      <c r="W159" s="19">
        <f t="shared" si="8"/>
        <v>0.75</v>
      </c>
      <c r="X159" s="20">
        <f t="shared" si="9"/>
        <v>160</v>
      </c>
      <c r="Y159" s="27"/>
      <c r="Z159" s="17"/>
      <c r="AA159" s="28"/>
      <c r="AB159" s="17"/>
      <c r="AC159" s="28"/>
      <c r="AD159" s="27"/>
    </row>
    <row r="160" ht="15.75" customHeight="1">
      <c r="A160" s="27" t="s">
        <v>473</v>
      </c>
      <c r="B160" s="27" t="s">
        <v>474</v>
      </c>
      <c r="C160" s="16" t="s">
        <v>475</v>
      </c>
      <c r="D160" s="17" t="s">
        <v>130</v>
      </c>
      <c r="E160" s="18" t="s">
        <v>34</v>
      </c>
      <c r="F160" s="18">
        <v>1.0</v>
      </c>
      <c r="G160" s="19">
        <f t="shared" si="1"/>
        <v>1.587329583</v>
      </c>
      <c r="H160" s="17">
        <v>45.0</v>
      </c>
      <c r="I160" s="10">
        <v>240.0</v>
      </c>
      <c r="J160" s="17">
        <v>14.0</v>
      </c>
      <c r="K160" s="17">
        <v>90.0</v>
      </c>
      <c r="L160" s="17">
        <v>190.0</v>
      </c>
      <c r="M160" s="20">
        <v>21.0</v>
      </c>
      <c r="N160" s="20">
        <v>2.0</v>
      </c>
      <c r="O160" s="20">
        <v>13.0</v>
      </c>
      <c r="P160" s="20">
        <f t="shared" si="2"/>
        <v>6</v>
      </c>
      <c r="Q160" s="21">
        <v>8.0</v>
      </c>
      <c r="R160" s="22">
        <f t="shared" si="3"/>
        <v>151.1973333</v>
      </c>
      <c r="S160" s="23">
        <f t="shared" si="4"/>
        <v>5.333333333</v>
      </c>
      <c r="T160" s="24">
        <f t="shared" si="5"/>
        <v>2.625</v>
      </c>
      <c r="U160" s="26">
        <f t="shared" si="6"/>
        <v>0.520661157</v>
      </c>
      <c r="V160" s="26">
        <f t="shared" si="7"/>
        <v>0.2148760331</v>
      </c>
      <c r="W160" s="19">
        <f t="shared" si="8"/>
        <v>0.375</v>
      </c>
      <c r="X160" s="20">
        <f t="shared" si="9"/>
        <v>240</v>
      </c>
      <c r="Y160" s="27"/>
      <c r="Z160" s="17"/>
      <c r="AA160" s="28"/>
      <c r="AB160" s="17"/>
      <c r="AC160" s="28"/>
      <c r="AD160" s="27"/>
    </row>
    <row r="161" ht="15.75" customHeight="1">
      <c r="A161" s="27" t="s">
        <v>64</v>
      </c>
      <c r="B161" s="27" t="s">
        <v>476</v>
      </c>
      <c r="C161" s="16" t="s">
        <v>477</v>
      </c>
      <c r="D161" s="17" t="s">
        <v>203</v>
      </c>
      <c r="E161" s="18" t="s">
        <v>34</v>
      </c>
      <c r="F161" s="18">
        <v>1.0</v>
      </c>
      <c r="G161" s="19">
        <f t="shared" si="1"/>
        <v>1.058219722</v>
      </c>
      <c r="H161" s="17">
        <v>30.0</v>
      </c>
      <c r="I161" s="10">
        <v>160.0</v>
      </c>
      <c r="J161" s="17">
        <v>10.0</v>
      </c>
      <c r="K161" s="17">
        <v>40.0</v>
      </c>
      <c r="L161" s="17"/>
      <c r="M161" s="20">
        <v>12.0</v>
      </c>
      <c r="N161" s="20">
        <v>1.0</v>
      </c>
      <c r="O161" s="20">
        <v>9.0</v>
      </c>
      <c r="P161" s="20">
        <f t="shared" si="2"/>
        <v>2</v>
      </c>
      <c r="Q161" s="21">
        <v>5.0</v>
      </c>
      <c r="R161" s="22">
        <f t="shared" si="3"/>
        <v>151.1973333</v>
      </c>
      <c r="S161" s="23">
        <f t="shared" si="4"/>
        <v>5.333333333</v>
      </c>
      <c r="T161" s="24">
        <f t="shared" si="5"/>
        <v>2.4</v>
      </c>
      <c r="U161" s="26">
        <f t="shared" si="6"/>
        <v>0.5696202532</v>
      </c>
      <c r="V161" s="26">
        <f t="shared" si="7"/>
        <v>0.2278481013</v>
      </c>
      <c r="W161" s="19">
        <f t="shared" si="8"/>
        <v>0.25</v>
      </c>
      <c r="X161" s="20">
        <f t="shared" si="9"/>
        <v>160</v>
      </c>
      <c r="Y161" s="27"/>
      <c r="Z161" s="17"/>
      <c r="AA161" s="17"/>
      <c r="AB161" s="17"/>
      <c r="AC161" s="17"/>
      <c r="AD161" s="27"/>
    </row>
    <row r="162" ht="15.75" customHeight="1">
      <c r="A162" s="27" t="s">
        <v>139</v>
      </c>
      <c r="B162" s="27" t="s">
        <v>479</v>
      </c>
      <c r="C162" s="16" t="s">
        <v>480</v>
      </c>
      <c r="D162" s="17" t="s">
        <v>203</v>
      </c>
      <c r="E162" s="18" t="s">
        <v>34</v>
      </c>
      <c r="F162" s="18">
        <v>1.0</v>
      </c>
      <c r="G162" s="19">
        <f t="shared" si="1"/>
        <v>1.058219722</v>
      </c>
      <c r="H162" s="17">
        <v>30.0</v>
      </c>
      <c r="I162" s="10">
        <v>160.0</v>
      </c>
      <c r="J162" s="17">
        <v>11.0</v>
      </c>
      <c r="K162" s="17">
        <v>200.0</v>
      </c>
      <c r="L162" s="17"/>
      <c r="M162" s="20">
        <v>12.0</v>
      </c>
      <c r="N162" s="20">
        <v>2.0</v>
      </c>
      <c r="O162" s="20">
        <v>0.0</v>
      </c>
      <c r="P162" s="20">
        <f t="shared" si="2"/>
        <v>10</v>
      </c>
      <c r="Q162" s="21">
        <v>5.0</v>
      </c>
      <c r="R162" s="22">
        <f t="shared" si="3"/>
        <v>151.1973333</v>
      </c>
      <c r="S162" s="23">
        <f t="shared" si="4"/>
        <v>5.333333333</v>
      </c>
      <c r="T162" s="24">
        <f t="shared" si="5"/>
        <v>2.4</v>
      </c>
      <c r="U162" s="26">
        <f t="shared" si="6"/>
        <v>0.5928143713</v>
      </c>
      <c r="V162" s="26" t="str">
        <f t="shared" si="7"/>
        <v>0%</v>
      </c>
      <c r="W162" s="19">
        <f t="shared" si="8"/>
        <v>1.25</v>
      </c>
      <c r="X162" s="20">
        <f t="shared" si="9"/>
        <v>160</v>
      </c>
      <c r="Y162" s="27"/>
      <c r="Z162" s="17"/>
      <c r="AA162" s="17"/>
      <c r="AB162" s="17"/>
      <c r="AC162" s="17"/>
      <c r="AD162" s="27"/>
    </row>
    <row r="163" ht="15.75" customHeight="1">
      <c r="A163" s="27" t="s">
        <v>407</v>
      </c>
      <c r="B163" s="27" t="s">
        <v>481</v>
      </c>
      <c r="C163" s="16" t="s">
        <v>482</v>
      </c>
      <c r="D163" s="17" t="s">
        <v>96</v>
      </c>
      <c r="E163" s="18" t="s">
        <v>34</v>
      </c>
      <c r="F163" s="18">
        <v>1.0</v>
      </c>
      <c r="G163" s="19">
        <f t="shared" si="1"/>
        <v>1.058219722</v>
      </c>
      <c r="H163" s="17">
        <v>30.0</v>
      </c>
      <c r="I163" s="10">
        <v>160.0</v>
      </c>
      <c r="J163" s="17">
        <v>12.0</v>
      </c>
      <c r="K163" s="17">
        <v>150.0</v>
      </c>
      <c r="L163" s="17"/>
      <c r="M163" s="20">
        <v>11.0</v>
      </c>
      <c r="N163" s="20">
        <v>3.0</v>
      </c>
      <c r="O163" s="20">
        <v>6.0</v>
      </c>
      <c r="P163" s="20">
        <f t="shared" si="2"/>
        <v>2</v>
      </c>
      <c r="Q163" s="21">
        <v>5.0</v>
      </c>
      <c r="R163" s="22">
        <f t="shared" si="3"/>
        <v>151.1973333</v>
      </c>
      <c r="S163" s="23">
        <f t="shared" si="4"/>
        <v>5.333333333</v>
      </c>
      <c r="T163" s="24">
        <f t="shared" si="5"/>
        <v>2.2</v>
      </c>
      <c r="U163" s="26">
        <f t="shared" si="6"/>
        <v>0.6279069767</v>
      </c>
      <c r="V163" s="26">
        <f t="shared" si="7"/>
        <v>0.1395348837</v>
      </c>
      <c r="W163" s="19">
        <f t="shared" si="8"/>
        <v>0.9375</v>
      </c>
      <c r="X163" s="20">
        <f t="shared" si="9"/>
        <v>160</v>
      </c>
      <c r="Y163" s="16"/>
      <c r="Z163" s="17"/>
      <c r="AA163" s="28"/>
      <c r="AB163" s="17"/>
      <c r="AC163" s="28"/>
      <c r="AD163" s="16"/>
    </row>
    <row r="164" ht="15.75" customHeight="1">
      <c r="A164" s="27" t="s">
        <v>483</v>
      </c>
      <c r="B164" s="27" t="s">
        <v>484</v>
      </c>
      <c r="C164" s="16" t="s">
        <v>485</v>
      </c>
      <c r="D164" s="17" t="s">
        <v>99</v>
      </c>
      <c r="E164" s="18" t="s">
        <v>34</v>
      </c>
      <c r="F164" s="18">
        <v>1.0</v>
      </c>
      <c r="G164" s="19">
        <f t="shared" si="1"/>
        <v>1.058219722</v>
      </c>
      <c r="H164" s="17">
        <v>30.0</v>
      </c>
      <c r="I164" s="10">
        <v>160.0</v>
      </c>
      <c r="J164" s="17">
        <v>9.0</v>
      </c>
      <c r="K164" s="17">
        <v>105.0</v>
      </c>
      <c r="L164" s="17"/>
      <c r="M164" s="20">
        <v>11.0</v>
      </c>
      <c r="N164" s="20">
        <v>0.0</v>
      </c>
      <c r="O164" s="20">
        <v>11.0</v>
      </c>
      <c r="P164" s="20">
        <f t="shared" si="2"/>
        <v>0</v>
      </c>
      <c r="Q164" s="21">
        <v>7.0</v>
      </c>
      <c r="R164" s="22">
        <f t="shared" si="3"/>
        <v>151.1973333</v>
      </c>
      <c r="S164" s="23">
        <f t="shared" si="4"/>
        <v>5.333333333</v>
      </c>
      <c r="T164" s="24">
        <f t="shared" si="5"/>
        <v>1.571428571</v>
      </c>
      <c r="U164" s="26">
        <f t="shared" si="6"/>
        <v>0.5294117647</v>
      </c>
      <c r="V164" s="26">
        <f t="shared" si="7"/>
        <v>0.2875816993</v>
      </c>
      <c r="W164" s="19">
        <f t="shared" si="8"/>
        <v>0.65625</v>
      </c>
      <c r="X164" s="20">
        <f t="shared" si="9"/>
        <v>160</v>
      </c>
      <c r="Y164" s="27"/>
      <c r="Z164" s="17"/>
      <c r="AA164" s="28"/>
      <c r="AB164" s="17"/>
      <c r="AC164" s="28"/>
      <c r="AD164" s="16"/>
    </row>
    <row r="165" ht="15.75" customHeight="1">
      <c r="A165" s="16" t="s">
        <v>486</v>
      </c>
      <c r="B165" s="16" t="s">
        <v>487</v>
      </c>
      <c r="C165" s="16" t="s">
        <v>488</v>
      </c>
      <c r="D165" s="17" t="s">
        <v>96</v>
      </c>
      <c r="E165" s="18" t="s">
        <v>34</v>
      </c>
      <c r="F165" s="18">
        <v>1.0</v>
      </c>
      <c r="G165" s="19">
        <f t="shared" si="1"/>
        <v>1.058219722</v>
      </c>
      <c r="H165" s="17">
        <v>30.0</v>
      </c>
      <c r="I165" s="10">
        <v>160.0</v>
      </c>
      <c r="J165" s="17">
        <v>14.0</v>
      </c>
      <c r="K165" s="17">
        <v>160.0</v>
      </c>
      <c r="L165" s="17">
        <v>310.0</v>
      </c>
      <c r="M165" s="20">
        <v>8.0</v>
      </c>
      <c r="N165" s="20">
        <v>3.0</v>
      </c>
      <c r="O165" s="20">
        <v>2.0</v>
      </c>
      <c r="P165" s="20">
        <f t="shared" si="2"/>
        <v>3</v>
      </c>
      <c r="Q165" s="21">
        <v>6.0</v>
      </c>
      <c r="R165" s="22">
        <f t="shared" si="3"/>
        <v>151.1973333</v>
      </c>
      <c r="S165" s="23">
        <f t="shared" si="4"/>
        <v>5.333333333</v>
      </c>
      <c r="T165" s="24">
        <f t="shared" si="5"/>
        <v>1.333333333</v>
      </c>
      <c r="U165" s="26">
        <f t="shared" si="6"/>
        <v>0.6923076923</v>
      </c>
      <c r="V165" s="26">
        <f t="shared" si="7"/>
        <v>0.04395604396</v>
      </c>
      <c r="W165" s="19">
        <f t="shared" si="8"/>
        <v>1</v>
      </c>
      <c r="X165" s="20">
        <f t="shared" si="9"/>
        <v>160</v>
      </c>
      <c r="Y165" s="27"/>
      <c r="Z165" s="17"/>
      <c r="AA165" s="28"/>
      <c r="AB165" s="17"/>
      <c r="AC165" s="28"/>
      <c r="AD165" s="16"/>
    </row>
    <row r="166" ht="15.75" customHeight="1">
      <c r="A166" s="27" t="s">
        <v>139</v>
      </c>
      <c r="B166" s="27" t="s">
        <v>489</v>
      </c>
      <c r="C166" s="16" t="s">
        <v>490</v>
      </c>
      <c r="D166" s="17" t="s">
        <v>96</v>
      </c>
      <c r="E166" s="18" t="s">
        <v>34</v>
      </c>
      <c r="F166" s="18">
        <v>1.0</v>
      </c>
      <c r="G166" s="19">
        <f t="shared" si="1"/>
        <v>1.058219722</v>
      </c>
      <c r="H166" s="17">
        <v>30.0</v>
      </c>
      <c r="I166" s="10">
        <v>160.0</v>
      </c>
      <c r="J166" s="17">
        <v>14.0</v>
      </c>
      <c r="K166" s="17">
        <v>240.0</v>
      </c>
      <c r="L166" s="17"/>
      <c r="M166" s="20">
        <v>7.0</v>
      </c>
      <c r="N166" s="20">
        <v>3.0</v>
      </c>
      <c r="O166" s="20">
        <v>1.0</v>
      </c>
      <c r="P166" s="20">
        <f t="shared" si="2"/>
        <v>3</v>
      </c>
      <c r="Q166" s="21">
        <v>6.0</v>
      </c>
      <c r="R166" s="22">
        <f t="shared" si="3"/>
        <v>151.1973333</v>
      </c>
      <c r="S166" s="23">
        <f t="shared" si="4"/>
        <v>5.333333333</v>
      </c>
      <c r="T166" s="24">
        <f t="shared" si="5"/>
        <v>1.166666667</v>
      </c>
      <c r="U166" s="26">
        <f t="shared" si="6"/>
        <v>0.7078651685</v>
      </c>
      <c r="V166" s="26">
        <f t="shared" si="7"/>
        <v>0.02247191011</v>
      </c>
      <c r="W166" s="19">
        <f t="shared" si="8"/>
        <v>1.5</v>
      </c>
      <c r="X166" s="20">
        <f t="shared" si="9"/>
        <v>160</v>
      </c>
      <c r="Y166" s="27"/>
      <c r="Z166" s="17"/>
      <c r="AA166" s="28"/>
      <c r="AB166" s="17"/>
      <c r="AC166" s="28"/>
      <c r="AD166" s="27"/>
    </row>
    <row r="167" ht="15.75" customHeight="1">
      <c r="A167" s="27" t="s">
        <v>491</v>
      </c>
      <c r="B167" s="27" t="s">
        <v>492</v>
      </c>
      <c r="C167" s="16" t="s">
        <v>493</v>
      </c>
      <c r="D167" s="17" t="s">
        <v>203</v>
      </c>
      <c r="E167" s="18" t="s">
        <v>34</v>
      </c>
      <c r="F167" s="18">
        <v>1.0</v>
      </c>
      <c r="G167" s="19">
        <f t="shared" si="1"/>
        <v>1.128767703</v>
      </c>
      <c r="H167" s="17">
        <v>32.0</v>
      </c>
      <c r="I167" s="10">
        <v>170.0</v>
      </c>
      <c r="J167" s="17">
        <v>13.0</v>
      </c>
      <c r="K167" s="17">
        <v>85.0</v>
      </c>
      <c r="L167" s="17">
        <v>160.0</v>
      </c>
      <c r="M167" s="20">
        <v>12.0</v>
      </c>
      <c r="N167" s="20">
        <v>2.0</v>
      </c>
      <c r="O167" s="20">
        <v>5.0</v>
      </c>
      <c r="P167" s="20">
        <f t="shared" si="2"/>
        <v>5</v>
      </c>
      <c r="Q167" s="21">
        <v>4.0</v>
      </c>
      <c r="R167" s="22">
        <f t="shared" si="3"/>
        <v>150.6067188</v>
      </c>
      <c r="S167" s="23">
        <f t="shared" si="4"/>
        <v>5.3125</v>
      </c>
      <c r="T167" s="24">
        <f t="shared" si="5"/>
        <v>3</v>
      </c>
      <c r="U167" s="26">
        <f t="shared" si="6"/>
        <v>0.6464088398</v>
      </c>
      <c r="V167" s="26">
        <f t="shared" si="7"/>
        <v>0.1104972376</v>
      </c>
      <c r="W167" s="19">
        <f t="shared" si="8"/>
        <v>0.5</v>
      </c>
      <c r="X167" s="20">
        <f t="shared" si="9"/>
        <v>170</v>
      </c>
      <c r="Y167" s="27"/>
      <c r="Z167" s="17"/>
      <c r="AA167" s="17"/>
      <c r="AB167" s="17"/>
      <c r="AC167" s="17"/>
      <c r="AD167" s="27"/>
    </row>
    <row r="168" ht="15.75" customHeight="1">
      <c r="A168" s="27" t="s">
        <v>464</v>
      </c>
      <c r="B168" s="27" t="s">
        <v>494</v>
      </c>
      <c r="C168" s="16" t="s">
        <v>495</v>
      </c>
      <c r="D168" s="17" t="s">
        <v>130</v>
      </c>
      <c r="E168" s="18" t="s">
        <v>34</v>
      </c>
      <c r="F168" s="18">
        <v>1.0</v>
      </c>
      <c r="G168" s="19">
        <f t="shared" si="1"/>
        <v>1.728425545</v>
      </c>
      <c r="H168" s="17">
        <v>49.0</v>
      </c>
      <c r="I168" s="10">
        <v>260.0</v>
      </c>
      <c r="J168" s="17">
        <v>15.0</v>
      </c>
      <c r="K168" s="17">
        <v>120.0</v>
      </c>
      <c r="L168" s="17"/>
      <c r="M168" s="20">
        <v>24.0</v>
      </c>
      <c r="N168" s="20">
        <v>3.0</v>
      </c>
      <c r="O168" s="20">
        <v>10.0</v>
      </c>
      <c r="P168" s="20">
        <f t="shared" si="2"/>
        <v>11</v>
      </c>
      <c r="Q168" s="21">
        <v>8.0</v>
      </c>
      <c r="R168" s="22">
        <f t="shared" si="3"/>
        <v>150.4259184</v>
      </c>
      <c r="S168" s="23">
        <f t="shared" si="4"/>
        <v>5.306122449</v>
      </c>
      <c r="T168" s="24">
        <f t="shared" si="5"/>
        <v>3</v>
      </c>
      <c r="U168" s="26">
        <f t="shared" si="6"/>
        <v>0.5133079848</v>
      </c>
      <c r="V168" s="26">
        <f t="shared" si="7"/>
        <v>0.1520912548</v>
      </c>
      <c r="W168" s="19">
        <f t="shared" si="8"/>
        <v>0.4615384615</v>
      </c>
      <c r="X168" s="20">
        <f t="shared" si="9"/>
        <v>260</v>
      </c>
      <c r="Y168" s="27"/>
      <c r="Z168" s="17"/>
      <c r="AA168" s="28"/>
      <c r="AB168" s="17"/>
      <c r="AC168" s="28"/>
      <c r="AD168" s="27"/>
    </row>
    <row r="169" ht="15.75" customHeight="1">
      <c r="A169" s="16" t="s">
        <v>496</v>
      </c>
      <c r="B169" s="16" t="s">
        <v>497</v>
      </c>
      <c r="C169" s="16" t="s">
        <v>498</v>
      </c>
      <c r="D169" s="17" t="s">
        <v>81</v>
      </c>
      <c r="E169" s="18" t="s">
        <v>34</v>
      </c>
      <c r="F169" s="18">
        <v>1.0</v>
      </c>
      <c r="G169" s="19">
        <f t="shared" si="1"/>
        <v>1.199315685</v>
      </c>
      <c r="H169" s="17">
        <v>34.0</v>
      </c>
      <c r="I169" s="10">
        <v>180.0</v>
      </c>
      <c r="J169" s="17">
        <v>10.0</v>
      </c>
      <c r="K169" s="17">
        <v>5.0</v>
      </c>
      <c r="L169" s="17"/>
      <c r="M169" s="20">
        <v>21.0</v>
      </c>
      <c r="N169" s="20">
        <v>3.0</v>
      </c>
      <c r="O169" s="20">
        <v>5.0</v>
      </c>
      <c r="P169" s="20">
        <f t="shared" si="2"/>
        <v>13</v>
      </c>
      <c r="Q169" s="21">
        <v>1.0</v>
      </c>
      <c r="R169" s="22">
        <f t="shared" si="3"/>
        <v>150.0855882</v>
      </c>
      <c r="S169" s="23">
        <f t="shared" si="4"/>
        <v>5.294117647</v>
      </c>
      <c r="T169" s="24">
        <f t="shared" si="5"/>
        <v>21</v>
      </c>
      <c r="U169" s="26">
        <f t="shared" si="6"/>
        <v>0.5056179775</v>
      </c>
      <c r="V169" s="26">
        <f t="shared" si="7"/>
        <v>0.1123595506</v>
      </c>
      <c r="W169" s="19">
        <f t="shared" si="8"/>
        <v>0.02777777778</v>
      </c>
      <c r="X169" s="20">
        <f t="shared" si="9"/>
        <v>180</v>
      </c>
      <c r="Y169" s="27"/>
      <c r="Z169" s="17"/>
      <c r="AA169" s="28"/>
      <c r="AB169" s="17"/>
      <c r="AC169" s="28"/>
      <c r="AD169" s="27"/>
    </row>
    <row r="170" ht="15.75" customHeight="1">
      <c r="A170" s="27" t="s">
        <v>232</v>
      </c>
      <c r="B170" s="27" t="s">
        <v>499</v>
      </c>
      <c r="C170" s="16" t="s">
        <v>500</v>
      </c>
      <c r="D170" s="17" t="s">
        <v>212</v>
      </c>
      <c r="E170" s="18" t="s">
        <v>34</v>
      </c>
      <c r="F170" s="18">
        <v>1.0</v>
      </c>
      <c r="G170" s="19">
        <f t="shared" si="1"/>
        <v>1.199315685</v>
      </c>
      <c r="H170" s="17">
        <v>34.0</v>
      </c>
      <c r="I170" s="10">
        <v>180.0</v>
      </c>
      <c r="J170" s="17">
        <v>14.0</v>
      </c>
      <c r="K170" s="17">
        <v>95.0</v>
      </c>
      <c r="L170" s="17"/>
      <c r="M170" s="20">
        <v>16.0</v>
      </c>
      <c r="N170" s="20">
        <v>4.0</v>
      </c>
      <c r="O170" s="20">
        <v>9.0</v>
      </c>
      <c r="P170" s="20">
        <f t="shared" si="2"/>
        <v>3</v>
      </c>
      <c r="Q170" s="21">
        <v>3.0</v>
      </c>
      <c r="R170" s="22">
        <f t="shared" si="3"/>
        <v>150.0855882</v>
      </c>
      <c r="S170" s="23">
        <f t="shared" si="4"/>
        <v>5.294117647</v>
      </c>
      <c r="T170" s="24">
        <f t="shared" si="5"/>
        <v>5.333333333</v>
      </c>
      <c r="U170" s="26">
        <f t="shared" si="6"/>
        <v>0.6237623762</v>
      </c>
      <c r="V170" s="26">
        <f t="shared" si="7"/>
        <v>0.1782178218</v>
      </c>
      <c r="W170" s="19">
        <f t="shared" si="8"/>
        <v>0.5277777778</v>
      </c>
      <c r="X170" s="20">
        <f t="shared" si="9"/>
        <v>180</v>
      </c>
      <c r="Y170" s="27"/>
      <c r="Z170" s="17"/>
      <c r="AA170" s="28"/>
      <c r="AB170" s="17"/>
      <c r="AC170" s="28"/>
      <c r="AD170" s="16"/>
    </row>
    <row r="171" ht="15.75" customHeight="1">
      <c r="A171" s="27" t="s">
        <v>501</v>
      </c>
      <c r="B171" s="27" t="s">
        <v>502</v>
      </c>
      <c r="C171" s="16" t="s">
        <v>503</v>
      </c>
      <c r="D171" s="17" t="s">
        <v>130</v>
      </c>
      <c r="E171" s="18" t="s">
        <v>34</v>
      </c>
      <c r="F171" s="18">
        <v>1.0</v>
      </c>
      <c r="G171" s="19">
        <f t="shared" si="1"/>
        <v>1.269863666</v>
      </c>
      <c r="H171" s="17">
        <v>36.0</v>
      </c>
      <c r="I171" s="10">
        <v>190.0</v>
      </c>
      <c r="J171" s="17">
        <v>12.0</v>
      </c>
      <c r="K171" s="17">
        <v>25.0</v>
      </c>
      <c r="L171" s="17"/>
      <c r="M171" s="20">
        <v>20.0</v>
      </c>
      <c r="N171" s="20">
        <v>1.0</v>
      </c>
      <c r="O171" s="20">
        <v>18.0</v>
      </c>
      <c r="P171" s="20">
        <f t="shared" si="2"/>
        <v>1</v>
      </c>
      <c r="Q171" s="21">
        <v>4.0</v>
      </c>
      <c r="R171" s="22">
        <f t="shared" si="3"/>
        <v>149.6223611</v>
      </c>
      <c r="S171" s="23">
        <f t="shared" si="4"/>
        <v>5.277777778</v>
      </c>
      <c r="T171" s="24">
        <f t="shared" si="5"/>
        <v>5</v>
      </c>
      <c r="U171" s="26">
        <f t="shared" si="6"/>
        <v>0.5294117647</v>
      </c>
      <c r="V171" s="26">
        <f t="shared" si="7"/>
        <v>0.3529411765</v>
      </c>
      <c r="W171" s="19">
        <f t="shared" si="8"/>
        <v>0.1315789474</v>
      </c>
      <c r="X171" s="20">
        <f t="shared" si="9"/>
        <v>190</v>
      </c>
      <c r="Y171" s="27"/>
      <c r="Z171" s="17"/>
      <c r="AA171" s="28"/>
      <c r="AB171" s="17"/>
      <c r="AC171" s="28"/>
      <c r="AD171" s="27"/>
    </row>
    <row r="172" ht="15.75" customHeight="1">
      <c r="A172" s="27" t="s">
        <v>504</v>
      </c>
      <c r="B172" s="27" t="s">
        <v>505</v>
      </c>
      <c r="C172" s="16" t="s">
        <v>506</v>
      </c>
      <c r="D172" s="17" t="s">
        <v>507</v>
      </c>
      <c r="E172" s="18" t="s">
        <v>34</v>
      </c>
      <c r="F172" s="18">
        <v>1.0</v>
      </c>
      <c r="G172" s="19">
        <f t="shared" si="1"/>
        <v>2.680823295</v>
      </c>
      <c r="H172" s="17">
        <v>76.0</v>
      </c>
      <c r="I172" s="10">
        <v>400.0</v>
      </c>
      <c r="J172" s="17">
        <v>23.0</v>
      </c>
      <c r="K172" s="17">
        <v>23.0</v>
      </c>
      <c r="L172" s="17"/>
      <c r="M172" s="20">
        <v>46.0</v>
      </c>
      <c r="N172" s="20">
        <v>2.0</v>
      </c>
      <c r="O172" s="20">
        <v>14.0</v>
      </c>
      <c r="P172" s="20">
        <f t="shared" si="2"/>
        <v>30</v>
      </c>
      <c r="Q172" s="21">
        <v>3.0</v>
      </c>
      <c r="R172" s="22">
        <f t="shared" si="3"/>
        <v>149.2078947</v>
      </c>
      <c r="S172" s="23">
        <f t="shared" si="4"/>
        <v>5.263157895</v>
      </c>
      <c r="T172" s="24">
        <f t="shared" si="5"/>
        <v>15.33333333</v>
      </c>
      <c r="U172" s="26">
        <f t="shared" si="6"/>
        <v>0.5136476427</v>
      </c>
      <c r="V172" s="26">
        <f t="shared" si="7"/>
        <v>0.1389578164</v>
      </c>
      <c r="W172" s="19">
        <f t="shared" si="8"/>
        <v>0.0575</v>
      </c>
      <c r="X172" s="20">
        <f t="shared" si="9"/>
        <v>400</v>
      </c>
      <c r="Y172" s="27"/>
      <c r="Z172" s="17"/>
      <c r="AA172" s="28"/>
      <c r="AB172" s="17"/>
      <c r="AC172" s="28"/>
      <c r="AD172" s="27"/>
    </row>
    <row r="173" ht="15.75" customHeight="1">
      <c r="A173" s="27" t="s">
        <v>508</v>
      </c>
      <c r="B173" s="27" t="s">
        <v>505</v>
      </c>
      <c r="C173" s="16" t="s">
        <v>509</v>
      </c>
      <c r="D173" s="17" t="s">
        <v>507</v>
      </c>
      <c r="E173" s="18" t="s">
        <v>34</v>
      </c>
      <c r="F173" s="18">
        <v>1.0</v>
      </c>
      <c r="G173" s="19">
        <f t="shared" si="1"/>
        <v>2.680823295</v>
      </c>
      <c r="H173" s="17">
        <v>76.0</v>
      </c>
      <c r="I173" s="10">
        <v>400.0</v>
      </c>
      <c r="J173" s="17">
        <v>23.0</v>
      </c>
      <c r="K173" s="17">
        <v>23.0</v>
      </c>
      <c r="L173" s="17"/>
      <c r="M173" s="20">
        <v>46.0</v>
      </c>
      <c r="N173" s="20">
        <v>2.0</v>
      </c>
      <c r="O173" s="20">
        <v>14.0</v>
      </c>
      <c r="P173" s="20">
        <f t="shared" si="2"/>
        <v>30</v>
      </c>
      <c r="Q173" s="21">
        <v>3.0</v>
      </c>
      <c r="R173" s="22">
        <f t="shared" si="3"/>
        <v>149.2078947</v>
      </c>
      <c r="S173" s="23">
        <f t="shared" si="4"/>
        <v>5.263157895</v>
      </c>
      <c r="T173" s="24">
        <f t="shared" si="5"/>
        <v>15.33333333</v>
      </c>
      <c r="U173" s="26">
        <f t="shared" si="6"/>
        <v>0.5136476427</v>
      </c>
      <c r="V173" s="26">
        <f t="shared" si="7"/>
        <v>0.1389578164</v>
      </c>
      <c r="W173" s="19">
        <f t="shared" si="8"/>
        <v>0.0575</v>
      </c>
      <c r="X173" s="20">
        <f t="shared" si="9"/>
        <v>400</v>
      </c>
      <c r="Y173" s="27"/>
      <c r="Z173" s="17"/>
      <c r="AA173" s="28"/>
      <c r="AB173" s="17"/>
      <c r="AC173" s="28"/>
      <c r="AD173" s="27"/>
    </row>
    <row r="174" ht="15.75" customHeight="1">
      <c r="A174" s="16" t="s">
        <v>510</v>
      </c>
      <c r="B174" s="16" t="s">
        <v>511</v>
      </c>
      <c r="C174" s="16" t="s">
        <v>512</v>
      </c>
      <c r="D174" s="17" t="s">
        <v>282</v>
      </c>
      <c r="E174" s="18" t="s">
        <v>34</v>
      </c>
      <c r="F174" s="18">
        <v>1.0</v>
      </c>
      <c r="G174" s="19">
        <f t="shared" si="1"/>
        <v>1.340411647</v>
      </c>
      <c r="H174" s="17">
        <v>38.0</v>
      </c>
      <c r="I174" s="10">
        <v>200.0</v>
      </c>
      <c r="J174" s="17">
        <v>12.0</v>
      </c>
      <c r="K174" s="17">
        <v>400.0</v>
      </c>
      <c r="L174" s="17">
        <v>125.0</v>
      </c>
      <c r="M174" s="20">
        <v>22.0</v>
      </c>
      <c r="N174" s="20">
        <v>1.0</v>
      </c>
      <c r="O174" s="20">
        <v>5.0</v>
      </c>
      <c r="P174" s="20">
        <f t="shared" si="2"/>
        <v>16</v>
      </c>
      <c r="Q174" s="21">
        <v>2.0</v>
      </c>
      <c r="R174" s="22">
        <f t="shared" si="3"/>
        <v>149.2078947</v>
      </c>
      <c r="S174" s="23">
        <f t="shared" si="4"/>
        <v>5.263157895</v>
      </c>
      <c r="T174" s="24">
        <f t="shared" si="5"/>
        <v>11</v>
      </c>
      <c r="U174" s="26">
        <f t="shared" si="6"/>
        <v>0.5294117647</v>
      </c>
      <c r="V174" s="26">
        <f t="shared" si="7"/>
        <v>0.09803921569</v>
      </c>
      <c r="W174" s="19">
        <f t="shared" si="8"/>
        <v>2</v>
      </c>
      <c r="X174" s="20">
        <f t="shared" si="9"/>
        <v>200</v>
      </c>
      <c r="Y174" s="27"/>
      <c r="Z174" s="17"/>
      <c r="AA174" s="28"/>
      <c r="AB174" s="17"/>
      <c r="AC174" s="28"/>
      <c r="AD174" s="27"/>
    </row>
    <row r="175" ht="15.75" customHeight="1">
      <c r="A175" s="27" t="s">
        <v>513</v>
      </c>
      <c r="B175" s="27" t="s">
        <v>514</v>
      </c>
      <c r="C175" s="16" t="s">
        <v>515</v>
      </c>
      <c r="D175" s="17" t="s">
        <v>130</v>
      </c>
      <c r="E175" s="18" t="s">
        <v>34</v>
      </c>
      <c r="F175" s="18">
        <v>1.0</v>
      </c>
      <c r="G175" s="19">
        <f t="shared" si="1"/>
        <v>1.340411647</v>
      </c>
      <c r="H175" s="17">
        <v>38.0</v>
      </c>
      <c r="I175" s="10">
        <v>200.0</v>
      </c>
      <c r="J175" s="17">
        <v>17.0</v>
      </c>
      <c r="K175" s="17">
        <v>0.0</v>
      </c>
      <c r="L175" s="17"/>
      <c r="M175" s="20">
        <v>17.0</v>
      </c>
      <c r="N175" s="20">
        <v>4.0</v>
      </c>
      <c r="O175" s="20">
        <v>10.0</v>
      </c>
      <c r="P175" s="20">
        <f t="shared" si="2"/>
        <v>3</v>
      </c>
      <c r="Q175" s="21">
        <v>2.0</v>
      </c>
      <c r="R175" s="22">
        <f t="shared" si="3"/>
        <v>149.2078947</v>
      </c>
      <c r="S175" s="23">
        <f t="shared" si="4"/>
        <v>5.263157895</v>
      </c>
      <c r="T175" s="24">
        <f t="shared" si="5"/>
        <v>8.5</v>
      </c>
      <c r="U175" s="26">
        <f t="shared" si="6"/>
        <v>0.6681222707</v>
      </c>
      <c r="V175" s="26">
        <f t="shared" si="7"/>
        <v>0.1746724891</v>
      </c>
      <c r="W175" s="19">
        <f t="shared" si="8"/>
        <v>0</v>
      </c>
      <c r="X175" s="20">
        <f t="shared" si="9"/>
        <v>200</v>
      </c>
      <c r="Y175" s="27"/>
      <c r="Z175" s="17"/>
      <c r="AA175" s="28"/>
      <c r="AB175" s="17"/>
      <c r="AC175" s="28"/>
      <c r="AD175" s="27"/>
    </row>
    <row r="176" ht="15.75" customHeight="1">
      <c r="A176" s="16" t="s">
        <v>501</v>
      </c>
      <c r="B176" s="16" t="s">
        <v>516</v>
      </c>
      <c r="C176" s="16" t="s">
        <v>517</v>
      </c>
      <c r="D176" s="17" t="s">
        <v>130</v>
      </c>
      <c r="E176" s="18" t="s">
        <v>34</v>
      </c>
      <c r="F176" s="18">
        <v>1.0</v>
      </c>
      <c r="G176" s="19">
        <f t="shared" si="1"/>
        <v>1.340411647</v>
      </c>
      <c r="H176" s="17">
        <v>38.0</v>
      </c>
      <c r="I176" s="10">
        <v>200.0</v>
      </c>
      <c r="J176" s="17">
        <v>13.0</v>
      </c>
      <c r="K176" s="17">
        <v>60.0</v>
      </c>
      <c r="L176" s="17"/>
      <c r="M176" s="20">
        <v>21.0</v>
      </c>
      <c r="N176" s="20">
        <v>1.0</v>
      </c>
      <c r="O176" s="20">
        <v>20.0</v>
      </c>
      <c r="P176" s="20">
        <f t="shared" si="2"/>
        <v>0</v>
      </c>
      <c r="Q176" s="21">
        <v>3.0</v>
      </c>
      <c r="R176" s="22">
        <f t="shared" si="3"/>
        <v>149.2078947</v>
      </c>
      <c r="S176" s="23">
        <f t="shared" si="4"/>
        <v>5.263157895</v>
      </c>
      <c r="T176" s="24">
        <f t="shared" si="5"/>
        <v>7</v>
      </c>
      <c r="U176" s="26">
        <f t="shared" si="6"/>
        <v>0.5492957746</v>
      </c>
      <c r="V176" s="26">
        <f t="shared" si="7"/>
        <v>0.3755868545</v>
      </c>
      <c r="W176" s="19">
        <f t="shared" si="8"/>
        <v>0.3</v>
      </c>
      <c r="X176" s="20">
        <f t="shared" si="9"/>
        <v>200</v>
      </c>
      <c r="Y176" s="27"/>
      <c r="Z176" s="17"/>
      <c r="AA176" s="28"/>
      <c r="AB176" s="17"/>
      <c r="AC176" s="28"/>
      <c r="AD176" s="27"/>
    </row>
    <row r="177" ht="15.75" customHeight="1">
      <c r="A177" s="27" t="s">
        <v>518</v>
      </c>
      <c r="B177" s="27" t="s">
        <v>519</v>
      </c>
      <c r="C177" s="16" t="s">
        <v>520</v>
      </c>
      <c r="D177" s="17" t="s">
        <v>103</v>
      </c>
      <c r="E177" s="18" t="s">
        <v>34</v>
      </c>
      <c r="F177" s="18">
        <v>1.0</v>
      </c>
      <c r="G177" s="19">
        <f t="shared" si="1"/>
        <v>1.340411647</v>
      </c>
      <c r="H177" s="17">
        <v>38.0</v>
      </c>
      <c r="I177" s="10">
        <v>200.0</v>
      </c>
      <c r="J177" s="17">
        <v>14.0</v>
      </c>
      <c r="K177" s="17">
        <v>20.0</v>
      </c>
      <c r="L177" s="17"/>
      <c r="M177" s="20">
        <v>10.0</v>
      </c>
      <c r="N177" s="20">
        <v>3.0</v>
      </c>
      <c r="O177" s="20">
        <v>6.0</v>
      </c>
      <c r="P177" s="20">
        <f t="shared" si="2"/>
        <v>1</v>
      </c>
      <c r="Q177" s="21">
        <v>11.0</v>
      </c>
      <c r="R177" s="22">
        <f t="shared" si="3"/>
        <v>149.2078947</v>
      </c>
      <c r="S177" s="23">
        <f t="shared" si="4"/>
        <v>5.263157895</v>
      </c>
      <c r="T177" s="24">
        <f t="shared" si="5"/>
        <v>0.9090909091</v>
      </c>
      <c r="U177" s="26">
        <f t="shared" si="6"/>
        <v>0.6</v>
      </c>
      <c r="V177" s="26">
        <f t="shared" si="7"/>
        <v>0.1142857143</v>
      </c>
      <c r="W177" s="19">
        <f t="shared" si="8"/>
        <v>0.1</v>
      </c>
      <c r="X177" s="20">
        <f t="shared" si="9"/>
        <v>200</v>
      </c>
      <c r="Y177" s="27"/>
      <c r="Z177" s="17"/>
      <c r="AA177" s="28"/>
      <c r="AB177" s="17"/>
      <c r="AC177" s="28"/>
      <c r="AD177" s="27"/>
    </row>
    <row r="178" ht="15.75" customHeight="1">
      <c r="A178" s="16" t="s">
        <v>518</v>
      </c>
      <c r="B178" s="16" t="s">
        <v>521</v>
      </c>
      <c r="C178" s="16" t="s">
        <v>522</v>
      </c>
      <c r="D178" s="17" t="s">
        <v>103</v>
      </c>
      <c r="E178" s="18" t="s">
        <v>34</v>
      </c>
      <c r="F178" s="18">
        <v>1.0</v>
      </c>
      <c r="G178" s="19">
        <f t="shared" si="1"/>
        <v>1.340411647</v>
      </c>
      <c r="H178" s="17">
        <v>38.0</v>
      </c>
      <c r="I178" s="10">
        <v>200.0</v>
      </c>
      <c r="J178" s="17">
        <v>16.0</v>
      </c>
      <c r="K178" s="17">
        <v>15.0</v>
      </c>
      <c r="L178" s="17"/>
      <c r="M178" s="20">
        <v>10.0</v>
      </c>
      <c r="N178" s="20">
        <v>3.0</v>
      </c>
      <c r="O178" s="20">
        <v>4.0</v>
      </c>
      <c r="P178" s="20">
        <f t="shared" si="2"/>
        <v>3</v>
      </c>
      <c r="Q178" s="21">
        <v>11.0</v>
      </c>
      <c r="R178" s="22">
        <f t="shared" si="3"/>
        <v>149.2078947</v>
      </c>
      <c r="S178" s="23">
        <f t="shared" si="4"/>
        <v>5.263157895</v>
      </c>
      <c r="T178" s="24">
        <f t="shared" si="5"/>
        <v>0.9090909091</v>
      </c>
      <c r="U178" s="26">
        <f t="shared" si="6"/>
        <v>0.6315789474</v>
      </c>
      <c r="V178" s="26">
        <f t="shared" si="7"/>
        <v>0.0701754386</v>
      </c>
      <c r="W178" s="19">
        <f t="shared" si="8"/>
        <v>0.075</v>
      </c>
      <c r="X178" s="20">
        <f t="shared" si="9"/>
        <v>200</v>
      </c>
      <c r="Y178" s="27"/>
      <c r="Z178" s="17"/>
      <c r="AA178" s="28"/>
      <c r="AB178" s="17"/>
      <c r="AC178" s="28"/>
      <c r="AD178" s="27"/>
    </row>
    <row r="179" ht="15.75" customHeight="1">
      <c r="A179" s="16" t="s">
        <v>518</v>
      </c>
      <c r="B179" s="16" t="s">
        <v>523</v>
      </c>
      <c r="C179" s="16" t="s">
        <v>524</v>
      </c>
      <c r="D179" s="17" t="s">
        <v>103</v>
      </c>
      <c r="E179" s="18" t="s">
        <v>34</v>
      </c>
      <c r="F179" s="18">
        <v>1.0</v>
      </c>
      <c r="G179" s="19">
        <f t="shared" si="1"/>
        <v>1.340411647</v>
      </c>
      <c r="H179" s="17">
        <v>38.0</v>
      </c>
      <c r="I179" s="10">
        <v>200.0</v>
      </c>
      <c r="J179" s="17">
        <v>16.0</v>
      </c>
      <c r="K179" s="17">
        <v>25.0</v>
      </c>
      <c r="L179" s="17"/>
      <c r="M179" s="20">
        <v>10.0</v>
      </c>
      <c r="N179" s="20">
        <v>2.0</v>
      </c>
      <c r="O179" s="20">
        <v>5.0</v>
      </c>
      <c r="P179" s="20">
        <f t="shared" si="2"/>
        <v>3</v>
      </c>
      <c r="Q179" s="21">
        <v>11.0</v>
      </c>
      <c r="R179" s="22">
        <f t="shared" si="3"/>
        <v>149.2078947</v>
      </c>
      <c r="S179" s="23">
        <f t="shared" si="4"/>
        <v>5.263157895</v>
      </c>
      <c r="T179" s="24">
        <f t="shared" si="5"/>
        <v>0.9090909091</v>
      </c>
      <c r="U179" s="26">
        <f t="shared" si="6"/>
        <v>0.6315789474</v>
      </c>
      <c r="V179" s="26">
        <f t="shared" si="7"/>
        <v>0.08771929825</v>
      </c>
      <c r="W179" s="19">
        <f t="shared" si="8"/>
        <v>0.125</v>
      </c>
      <c r="X179" s="20">
        <f t="shared" si="9"/>
        <v>200</v>
      </c>
      <c r="Y179" s="27"/>
      <c r="Z179" s="17"/>
      <c r="AA179" s="28"/>
      <c r="AB179" s="17"/>
      <c r="AC179" s="28"/>
      <c r="AD179" s="27"/>
    </row>
    <row r="180" ht="15.75" customHeight="1">
      <c r="A180" s="16" t="s">
        <v>518</v>
      </c>
      <c r="B180" s="16" t="s">
        <v>525</v>
      </c>
      <c r="C180" s="16" t="s">
        <v>526</v>
      </c>
      <c r="D180" s="17" t="s">
        <v>103</v>
      </c>
      <c r="E180" s="18" t="s">
        <v>34</v>
      </c>
      <c r="F180" s="18">
        <v>1.0</v>
      </c>
      <c r="G180" s="19">
        <f t="shared" si="1"/>
        <v>1.340411647</v>
      </c>
      <c r="H180" s="17">
        <v>38.0</v>
      </c>
      <c r="I180" s="10">
        <v>200.0</v>
      </c>
      <c r="J180" s="17">
        <v>16.0</v>
      </c>
      <c r="K180" s="17">
        <v>15.0</v>
      </c>
      <c r="L180" s="17"/>
      <c r="M180" s="20">
        <v>10.0</v>
      </c>
      <c r="N180" s="20">
        <v>3.0</v>
      </c>
      <c r="O180" s="20">
        <v>4.0</v>
      </c>
      <c r="P180" s="20">
        <f t="shared" si="2"/>
        <v>3</v>
      </c>
      <c r="Q180" s="21">
        <v>11.0</v>
      </c>
      <c r="R180" s="22">
        <f t="shared" si="3"/>
        <v>149.2078947</v>
      </c>
      <c r="S180" s="23">
        <f t="shared" si="4"/>
        <v>5.263157895</v>
      </c>
      <c r="T180" s="24">
        <f t="shared" si="5"/>
        <v>0.9090909091</v>
      </c>
      <c r="U180" s="26">
        <f t="shared" si="6"/>
        <v>0.6315789474</v>
      </c>
      <c r="V180" s="26">
        <f t="shared" si="7"/>
        <v>0.0701754386</v>
      </c>
      <c r="W180" s="19">
        <f t="shared" si="8"/>
        <v>0.075</v>
      </c>
      <c r="X180" s="20">
        <f t="shared" si="9"/>
        <v>200</v>
      </c>
      <c r="Y180" s="27"/>
      <c r="Z180" s="17"/>
      <c r="AA180" s="28"/>
      <c r="AB180" s="17"/>
      <c r="AC180" s="28"/>
      <c r="AD180" s="16"/>
    </row>
    <row r="181" ht="15.75" customHeight="1">
      <c r="A181" s="27" t="s">
        <v>518</v>
      </c>
      <c r="B181" s="27" t="s">
        <v>527</v>
      </c>
      <c r="C181" s="16" t="s">
        <v>528</v>
      </c>
      <c r="D181" s="17" t="s">
        <v>103</v>
      </c>
      <c r="E181" s="18" t="s">
        <v>34</v>
      </c>
      <c r="F181" s="18">
        <v>1.0</v>
      </c>
      <c r="G181" s="19">
        <f t="shared" si="1"/>
        <v>1.340411647</v>
      </c>
      <c r="H181" s="17">
        <v>38.0</v>
      </c>
      <c r="I181" s="10">
        <v>200.0</v>
      </c>
      <c r="J181" s="17">
        <v>16.0</v>
      </c>
      <c r="K181" s="17">
        <v>20.0</v>
      </c>
      <c r="L181" s="17"/>
      <c r="M181" s="20">
        <v>9.0</v>
      </c>
      <c r="N181" s="20">
        <v>4.0</v>
      </c>
      <c r="O181" s="20">
        <v>3.0</v>
      </c>
      <c r="P181" s="20">
        <f t="shared" si="2"/>
        <v>2</v>
      </c>
      <c r="Q181" s="21">
        <v>11.0</v>
      </c>
      <c r="R181" s="22">
        <f t="shared" si="3"/>
        <v>149.2078947</v>
      </c>
      <c r="S181" s="23">
        <f t="shared" si="4"/>
        <v>5.263157895</v>
      </c>
      <c r="T181" s="24">
        <f t="shared" si="5"/>
        <v>0.8181818182</v>
      </c>
      <c r="U181" s="26">
        <f t="shared" si="6"/>
        <v>0.6428571429</v>
      </c>
      <c r="V181" s="26">
        <f t="shared" si="7"/>
        <v>0.05357142857</v>
      </c>
      <c r="W181" s="19">
        <f t="shared" si="8"/>
        <v>0.1</v>
      </c>
      <c r="X181" s="20">
        <f t="shared" si="9"/>
        <v>200</v>
      </c>
      <c r="Y181" s="27"/>
      <c r="Z181" s="17"/>
      <c r="AA181" s="28"/>
      <c r="AB181" s="17"/>
      <c r="AC181" s="28"/>
      <c r="AD181" s="16"/>
    </row>
    <row r="182" ht="15.75" customHeight="1">
      <c r="A182" s="16" t="s">
        <v>529</v>
      </c>
      <c r="B182" s="16" t="s">
        <v>530</v>
      </c>
      <c r="C182" s="16" t="s">
        <v>531</v>
      </c>
      <c r="D182" s="17" t="s">
        <v>130</v>
      </c>
      <c r="E182" s="18" t="s">
        <v>34</v>
      </c>
      <c r="F182" s="18">
        <v>1.0</v>
      </c>
      <c r="G182" s="19">
        <f t="shared" si="1"/>
        <v>1.679041958</v>
      </c>
      <c r="H182" s="17">
        <v>47.6</v>
      </c>
      <c r="I182" s="10">
        <v>250.0</v>
      </c>
      <c r="J182" s="17">
        <v>16.0</v>
      </c>
      <c r="K182" s="17">
        <v>150.0</v>
      </c>
      <c r="L182" s="17"/>
      <c r="M182" s="20">
        <v>25.0</v>
      </c>
      <c r="N182" s="20">
        <v>2.0</v>
      </c>
      <c r="O182" s="20">
        <v>17.0</v>
      </c>
      <c r="P182" s="20">
        <f t="shared" si="2"/>
        <v>6</v>
      </c>
      <c r="Q182" s="21">
        <v>5.0</v>
      </c>
      <c r="R182" s="22">
        <f t="shared" si="3"/>
        <v>148.8944328</v>
      </c>
      <c r="S182" s="23">
        <f t="shared" si="4"/>
        <v>5.25210084</v>
      </c>
      <c r="T182" s="24">
        <f t="shared" si="5"/>
        <v>5</v>
      </c>
      <c r="U182" s="26">
        <f t="shared" si="6"/>
        <v>0.5454545455</v>
      </c>
      <c r="V182" s="26">
        <f t="shared" si="7"/>
        <v>0.2575757576</v>
      </c>
      <c r="W182" s="19">
        <f t="shared" si="8"/>
        <v>0.6</v>
      </c>
      <c r="X182" s="20">
        <f t="shared" si="9"/>
        <v>250</v>
      </c>
      <c r="Y182" s="27"/>
      <c r="Z182" s="17"/>
      <c r="AA182" s="28"/>
      <c r="AB182" s="17"/>
      <c r="AC182" s="28"/>
      <c r="AD182" s="27"/>
    </row>
    <row r="183" ht="15.75" customHeight="1">
      <c r="A183" s="27" t="s">
        <v>435</v>
      </c>
      <c r="B183" s="27" t="s">
        <v>533</v>
      </c>
      <c r="C183" s="16" t="s">
        <v>534</v>
      </c>
      <c r="D183" s="17" t="s">
        <v>130</v>
      </c>
      <c r="E183" s="18" t="s">
        <v>34</v>
      </c>
      <c r="F183" s="18">
        <v>1.0</v>
      </c>
      <c r="G183" s="19">
        <f t="shared" si="1"/>
        <v>1.410959629</v>
      </c>
      <c r="H183" s="17">
        <v>40.0</v>
      </c>
      <c r="I183" s="10">
        <v>210.0</v>
      </c>
      <c r="J183" s="17">
        <v>11.0</v>
      </c>
      <c r="K183" s="17">
        <v>40.0</v>
      </c>
      <c r="L183" s="17"/>
      <c r="M183" s="20">
        <v>29.0</v>
      </c>
      <c r="N183" s="20">
        <v>0.0</v>
      </c>
      <c r="O183" s="20">
        <v>28.0</v>
      </c>
      <c r="P183" s="20">
        <f t="shared" si="2"/>
        <v>1</v>
      </c>
      <c r="Q183" s="21">
        <v>2.0</v>
      </c>
      <c r="R183" s="22">
        <f t="shared" si="3"/>
        <v>148.834875</v>
      </c>
      <c r="S183" s="23">
        <f t="shared" si="4"/>
        <v>5.25</v>
      </c>
      <c r="T183" s="24">
        <f t="shared" si="5"/>
        <v>14.5</v>
      </c>
      <c r="U183" s="26">
        <f t="shared" si="6"/>
        <v>0.4439461883</v>
      </c>
      <c r="V183" s="26">
        <f t="shared" si="7"/>
        <v>0.5022421525</v>
      </c>
      <c r="W183" s="19">
        <f t="shared" si="8"/>
        <v>0.1904761905</v>
      </c>
      <c r="X183" s="20">
        <f t="shared" si="9"/>
        <v>210</v>
      </c>
      <c r="Y183" s="27"/>
      <c r="Z183" s="17"/>
      <c r="AA183" s="28"/>
      <c r="AB183" s="17"/>
      <c r="AC183" s="28"/>
      <c r="AD183" s="27"/>
    </row>
    <row r="184" ht="15.75" customHeight="1">
      <c r="A184" s="27" t="s">
        <v>276</v>
      </c>
      <c r="B184" s="27" t="s">
        <v>535</v>
      </c>
      <c r="C184" s="16" t="s">
        <v>536</v>
      </c>
      <c r="D184" s="17" t="s">
        <v>130</v>
      </c>
      <c r="E184" s="18" t="s">
        <v>34</v>
      </c>
      <c r="F184" s="18">
        <v>1.0</v>
      </c>
      <c r="G184" s="19">
        <f t="shared" si="1"/>
        <v>1.410959629</v>
      </c>
      <c r="H184" s="17">
        <v>40.0</v>
      </c>
      <c r="I184" s="10">
        <v>210.0</v>
      </c>
      <c r="J184" s="17">
        <v>11.0</v>
      </c>
      <c r="K184" s="17">
        <v>50.0</v>
      </c>
      <c r="L184" s="17"/>
      <c r="M184" s="20">
        <v>25.0</v>
      </c>
      <c r="N184" s="20">
        <v>1.0</v>
      </c>
      <c r="O184" s="20">
        <v>14.0</v>
      </c>
      <c r="P184" s="20">
        <f t="shared" si="2"/>
        <v>10</v>
      </c>
      <c r="Q184" s="21">
        <v>3.0</v>
      </c>
      <c r="R184" s="22">
        <f t="shared" si="3"/>
        <v>148.834875</v>
      </c>
      <c r="S184" s="23">
        <f t="shared" si="4"/>
        <v>5.25</v>
      </c>
      <c r="T184" s="24">
        <f t="shared" si="5"/>
        <v>8.333333333</v>
      </c>
      <c r="U184" s="26">
        <f t="shared" si="6"/>
        <v>0.4691943128</v>
      </c>
      <c r="V184" s="26">
        <f t="shared" si="7"/>
        <v>0.2654028436</v>
      </c>
      <c r="W184" s="19">
        <f t="shared" si="8"/>
        <v>0.2380952381</v>
      </c>
      <c r="X184" s="20">
        <f t="shared" si="9"/>
        <v>210</v>
      </c>
      <c r="Y184" s="27"/>
      <c r="Z184" s="17"/>
      <c r="AA184" s="28"/>
      <c r="AB184" s="17"/>
      <c r="AC184" s="28"/>
      <c r="AD184" s="27"/>
    </row>
    <row r="185" ht="15.75" customHeight="1">
      <c r="A185" s="27" t="s">
        <v>351</v>
      </c>
      <c r="B185" s="27" t="s">
        <v>537</v>
      </c>
      <c r="C185" s="16" t="s">
        <v>538</v>
      </c>
      <c r="D185" s="17" t="s">
        <v>212</v>
      </c>
      <c r="E185" s="18" t="s">
        <v>34</v>
      </c>
      <c r="F185" s="18">
        <v>1.0</v>
      </c>
      <c r="G185" s="19">
        <f t="shared" si="1"/>
        <v>1.410959629</v>
      </c>
      <c r="H185" s="17">
        <v>40.0</v>
      </c>
      <c r="I185" s="10">
        <v>210.0</v>
      </c>
      <c r="J185" s="17">
        <v>14.0</v>
      </c>
      <c r="K185" s="17">
        <v>80.0</v>
      </c>
      <c r="L185" s="17">
        <v>190.0</v>
      </c>
      <c r="M185" s="20">
        <v>16.0</v>
      </c>
      <c r="N185" s="20">
        <v>3.0</v>
      </c>
      <c r="O185" s="20">
        <v>9.0</v>
      </c>
      <c r="P185" s="20">
        <f t="shared" si="2"/>
        <v>4</v>
      </c>
      <c r="Q185" s="21">
        <v>4.0</v>
      </c>
      <c r="R185" s="22">
        <f t="shared" si="3"/>
        <v>148.834875</v>
      </c>
      <c r="S185" s="23">
        <f t="shared" si="4"/>
        <v>5.25</v>
      </c>
      <c r="T185" s="24">
        <f t="shared" si="5"/>
        <v>4</v>
      </c>
      <c r="U185" s="26">
        <f t="shared" si="6"/>
        <v>0.6116504854</v>
      </c>
      <c r="V185" s="26">
        <f t="shared" si="7"/>
        <v>0.1747572816</v>
      </c>
      <c r="W185" s="19">
        <f t="shared" si="8"/>
        <v>0.380952381</v>
      </c>
      <c r="X185" s="20">
        <f t="shared" si="9"/>
        <v>210</v>
      </c>
      <c r="Y185" s="27"/>
      <c r="Z185" s="17"/>
      <c r="AA185" s="28"/>
      <c r="AB185" s="17"/>
      <c r="AC185" s="28"/>
      <c r="AD185" s="27"/>
    </row>
    <row r="186" ht="15.75" customHeight="1">
      <c r="A186" s="27" t="s">
        <v>539</v>
      </c>
      <c r="B186" s="27" t="s">
        <v>540</v>
      </c>
      <c r="C186" s="16" t="s">
        <v>541</v>
      </c>
      <c r="D186" s="17" t="s">
        <v>130</v>
      </c>
      <c r="E186" s="18" t="s">
        <v>34</v>
      </c>
      <c r="F186" s="18">
        <v>1.0</v>
      </c>
      <c r="G186" s="19">
        <f t="shared" si="1"/>
        <v>1.410959629</v>
      </c>
      <c r="H186" s="17">
        <v>40.0</v>
      </c>
      <c r="I186" s="10">
        <v>210.0</v>
      </c>
      <c r="J186" s="17">
        <v>12.0</v>
      </c>
      <c r="K186" s="17">
        <v>45.0</v>
      </c>
      <c r="L186" s="17"/>
      <c r="M186" s="20">
        <v>20.0</v>
      </c>
      <c r="N186" s="20">
        <v>2.0</v>
      </c>
      <c r="O186" s="20">
        <v>14.0</v>
      </c>
      <c r="P186" s="20">
        <f t="shared" si="2"/>
        <v>4</v>
      </c>
      <c r="Q186" s="21">
        <v>5.0</v>
      </c>
      <c r="R186" s="22">
        <f t="shared" si="3"/>
        <v>148.834875</v>
      </c>
      <c r="S186" s="23">
        <f t="shared" si="4"/>
        <v>5.25</v>
      </c>
      <c r="T186" s="24">
        <f t="shared" si="5"/>
        <v>4</v>
      </c>
      <c r="U186" s="26">
        <f t="shared" si="6"/>
        <v>0.5192307692</v>
      </c>
      <c r="V186" s="26">
        <f t="shared" si="7"/>
        <v>0.2692307692</v>
      </c>
      <c r="W186" s="19">
        <f t="shared" si="8"/>
        <v>0.2142857143</v>
      </c>
      <c r="X186" s="20">
        <f t="shared" si="9"/>
        <v>210</v>
      </c>
      <c r="Y186" s="27"/>
      <c r="Z186" s="17"/>
      <c r="AA186" s="28"/>
      <c r="AB186" s="17"/>
      <c r="AC186" s="28"/>
      <c r="AD186" s="16"/>
    </row>
    <row r="187" ht="15.75" customHeight="1">
      <c r="A187" s="27" t="s">
        <v>435</v>
      </c>
      <c r="B187" s="27" t="s">
        <v>542</v>
      </c>
      <c r="C187" s="16" t="s">
        <v>543</v>
      </c>
      <c r="D187" s="17" t="s">
        <v>130</v>
      </c>
      <c r="E187" s="18" t="s">
        <v>34</v>
      </c>
      <c r="F187" s="18">
        <v>1.0</v>
      </c>
      <c r="G187" s="19">
        <f t="shared" si="1"/>
        <v>1.48150761</v>
      </c>
      <c r="H187" s="17">
        <v>42.0</v>
      </c>
      <c r="I187" s="10">
        <v>220.0</v>
      </c>
      <c r="J187" s="17">
        <v>12.0</v>
      </c>
      <c r="K187" s="17">
        <v>20.0</v>
      </c>
      <c r="L187" s="17"/>
      <c r="M187" s="20">
        <v>25.0</v>
      </c>
      <c r="N187" s="20">
        <v>2.0</v>
      </c>
      <c r="O187" s="20">
        <v>21.0</v>
      </c>
      <c r="P187" s="20">
        <f t="shared" si="2"/>
        <v>2</v>
      </c>
      <c r="Q187" s="21">
        <v>3.0</v>
      </c>
      <c r="R187" s="22">
        <f t="shared" si="3"/>
        <v>148.497381</v>
      </c>
      <c r="S187" s="23">
        <f t="shared" si="4"/>
        <v>5.238095238</v>
      </c>
      <c r="T187" s="24">
        <f t="shared" si="5"/>
        <v>8.333333333</v>
      </c>
      <c r="U187" s="26">
        <f t="shared" si="6"/>
        <v>0.4909090909</v>
      </c>
      <c r="V187" s="26">
        <f t="shared" si="7"/>
        <v>0.3818181818</v>
      </c>
      <c r="W187" s="19">
        <f t="shared" si="8"/>
        <v>0.09090909091</v>
      </c>
      <c r="X187" s="20">
        <f t="shared" si="9"/>
        <v>220</v>
      </c>
      <c r="Y187" s="27"/>
      <c r="Z187" s="17"/>
      <c r="AA187" s="28"/>
      <c r="AB187" s="17"/>
      <c r="AC187" s="28"/>
      <c r="AD187" s="27"/>
    </row>
    <row r="188" ht="15.75" customHeight="1">
      <c r="A188" s="27" t="s">
        <v>544</v>
      </c>
      <c r="B188" s="27" t="s">
        <v>545</v>
      </c>
      <c r="C188" s="16" t="s">
        <v>546</v>
      </c>
      <c r="D188" s="17" t="s">
        <v>282</v>
      </c>
      <c r="E188" s="18" t="s">
        <v>34</v>
      </c>
      <c r="F188" s="18">
        <v>1.0</v>
      </c>
      <c r="G188" s="19">
        <f t="shared" si="1"/>
        <v>1.48150761</v>
      </c>
      <c r="H188" s="17">
        <v>42.0</v>
      </c>
      <c r="I188" s="10">
        <v>220.0</v>
      </c>
      <c r="J188" s="17">
        <v>14.0</v>
      </c>
      <c r="K188" s="17">
        <v>170.0</v>
      </c>
      <c r="L188" s="17">
        <v>650.0</v>
      </c>
      <c r="M188" s="20">
        <v>24.0</v>
      </c>
      <c r="N188" s="20">
        <v>2.0</v>
      </c>
      <c r="O188" s="20">
        <v>0.0</v>
      </c>
      <c r="P188" s="20">
        <f t="shared" si="2"/>
        <v>22</v>
      </c>
      <c r="Q188" s="21">
        <v>3.0</v>
      </c>
      <c r="R188" s="22">
        <f t="shared" si="3"/>
        <v>148.497381</v>
      </c>
      <c r="S188" s="23">
        <f t="shared" si="4"/>
        <v>5.238095238</v>
      </c>
      <c r="T188" s="24">
        <f t="shared" si="5"/>
        <v>8</v>
      </c>
      <c r="U188" s="26">
        <f t="shared" si="6"/>
        <v>0.5384615385</v>
      </c>
      <c r="V188" s="26" t="str">
        <f t="shared" si="7"/>
        <v>0%</v>
      </c>
      <c r="W188" s="19">
        <f t="shared" si="8"/>
        <v>0.7727272727</v>
      </c>
      <c r="X188" s="20">
        <f t="shared" si="9"/>
        <v>220</v>
      </c>
      <c r="Y188" s="27"/>
      <c r="Z188" s="17"/>
      <c r="AA188" s="28"/>
      <c r="AB188" s="17"/>
      <c r="AC188" s="28"/>
      <c r="AD188" s="27"/>
    </row>
    <row r="189" ht="15.75" customHeight="1">
      <c r="A189" s="16" t="s">
        <v>435</v>
      </c>
      <c r="B189" s="16" t="s">
        <v>547</v>
      </c>
      <c r="C189" s="16" t="s">
        <v>548</v>
      </c>
      <c r="D189" s="17" t="s">
        <v>130</v>
      </c>
      <c r="E189" s="18" t="s">
        <v>34</v>
      </c>
      <c r="F189" s="18">
        <v>1.0</v>
      </c>
      <c r="G189" s="19">
        <f t="shared" si="1"/>
        <v>1.48150761</v>
      </c>
      <c r="H189" s="17">
        <v>42.0</v>
      </c>
      <c r="I189" s="10">
        <v>220.0</v>
      </c>
      <c r="J189" s="17">
        <v>11.0</v>
      </c>
      <c r="K189" s="17">
        <v>20.0</v>
      </c>
      <c r="L189" s="17"/>
      <c r="M189" s="20">
        <v>26.0</v>
      </c>
      <c r="N189" s="20">
        <v>1.0</v>
      </c>
      <c r="O189" s="20">
        <v>22.0</v>
      </c>
      <c r="P189" s="20">
        <f t="shared" si="2"/>
        <v>3</v>
      </c>
      <c r="Q189" s="21">
        <v>4.0</v>
      </c>
      <c r="R189" s="22">
        <f t="shared" si="3"/>
        <v>148.497381</v>
      </c>
      <c r="S189" s="23">
        <f t="shared" si="4"/>
        <v>5.238095238</v>
      </c>
      <c r="T189" s="24">
        <f t="shared" si="5"/>
        <v>6.5</v>
      </c>
      <c r="U189" s="26">
        <f t="shared" si="6"/>
        <v>0.4520547945</v>
      </c>
      <c r="V189" s="26">
        <f t="shared" si="7"/>
        <v>0.401826484</v>
      </c>
      <c r="W189" s="19">
        <f t="shared" si="8"/>
        <v>0.09090909091</v>
      </c>
      <c r="X189" s="20">
        <f t="shared" si="9"/>
        <v>220</v>
      </c>
      <c r="Y189" s="27"/>
      <c r="Z189" s="17"/>
      <c r="AA189" s="28"/>
      <c r="AB189" s="17"/>
      <c r="AC189" s="28"/>
      <c r="AD189" s="27"/>
    </row>
    <row r="190" ht="15.75" customHeight="1">
      <c r="A190" s="27" t="s">
        <v>435</v>
      </c>
      <c r="B190" s="27" t="s">
        <v>549</v>
      </c>
      <c r="C190" s="16" t="s">
        <v>550</v>
      </c>
      <c r="D190" s="17" t="s">
        <v>130</v>
      </c>
      <c r="E190" s="18" t="s">
        <v>34</v>
      </c>
      <c r="F190" s="18">
        <v>1.0</v>
      </c>
      <c r="G190" s="19">
        <f t="shared" si="1"/>
        <v>1.48150761</v>
      </c>
      <c r="H190" s="17">
        <v>42.0</v>
      </c>
      <c r="I190" s="10">
        <v>220.0</v>
      </c>
      <c r="J190" s="17">
        <v>12.0</v>
      </c>
      <c r="K190" s="17">
        <v>25.0</v>
      </c>
      <c r="L190" s="17"/>
      <c r="M190" s="20">
        <v>25.0</v>
      </c>
      <c r="N190" s="20">
        <v>2.0</v>
      </c>
      <c r="O190" s="20">
        <v>22.0</v>
      </c>
      <c r="P190" s="20">
        <f t="shared" si="2"/>
        <v>1</v>
      </c>
      <c r="Q190" s="21">
        <v>4.0</v>
      </c>
      <c r="R190" s="22">
        <f t="shared" si="3"/>
        <v>148.497381</v>
      </c>
      <c r="S190" s="23">
        <f t="shared" si="4"/>
        <v>5.238095238</v>
      </c>
      <c r="T190" s="24">
        <f t="shared" si="5"/>
        <v>6.25</v>
      </c>
      <c r="U190" s="26">
        <f t="shared" si="6"/>
        <v>0.4821428571</v>
      </c>
      <c r="V190" s="26">
        <f t="shared" si="7"/>
        <v>0.3928571429</v>
      </c>
      <c r="W190" s="19">
        <f t="shared" si="8"/>
        <v>0.1136363636</v>
      </c>
      <c r="X190" s="20">
        <f t="shared" si="9"/>
        <v>220</v>
      </c>
      <c r="Y190" s="27"/>
      <c r="Z190" s="17"/>
      <c r="AA190" s="28"/>
      <c r="AB190" s="17"/>
      <c r="AC190" s="28"/>
      <c r="AD190" s="27"/>
    </row>
    <row r="191" ht="15.75" customHeight="1">
      <c r="A191" s="27" t="s">
        <v>435</v>
      </c>
      <c r="B191" s="27" t="s">
        <v>551</v>
      </c>
      <c r="C191" s="16" t="s">
        <v>552</v>
      </c>
      <c r="D191" s="17" t="s">
        <v>130</v>
      </c>
      <c r="E191" s="18" t="s">
        <v>34</v>
      </c>
      <c r="F191" s="18">
        <v>1.0</v>
      </c>
      <c r="G191" s="19">
        <f t="shared" si="1"/>
        <v>1.48150761</v>
      </c>
      <c r="H191" s="17">
        <v>42.0</v>
      </c>
      <c r="I191" s="10">
        <v>220.0</v>
      </c>
      <c r="J191" s="17">
        <v>12.0</v>
      </c>
      <c r="K191" s="17">
        <v>10.0</v>
      </c>
      <c r="L191" s="17"/>
      <c r="M191" s="20">
        <v>25.0</v>
      </c>
      <c r="N191" s="20">
        <v>2.0</v>
      </c>
      <c r="O191" s="20">
        <v>20.0</v>
      </c>
      <c r="P191" s="20">
        <f t="shared" si="2"/>
        <v>3</v>
      </c>
      <c r="Q191" s="21">
        <v>4.0</v>
      </c>
      <c r="R191" s="22">
        <f t="shared" si="3"/>
        <v>148.497381</v>
      </c>
      <c r="S191" s="23">
        <f t="shared" si="4"/>
        <v>5.238095238</v>
      </c>
      <c r="T191" s="24">
        <f t="shared" si="5"/>
        <v>6.25</v>
      </c>
      <c r="U191" s="26">
        <f t="shared" si="6"/>
        <v>0.4821428571</v>
      </c>
      <c r="V191" s="26">
        <f t="shared" si="7"/>
        <v>0.3571428571</v>
      </c>
      <c r="W191" s="19">
        <f t="shared" si="8"/>
        <v>0.04545454545</v>
      </c>
      <c r="X191" s="20">
        <f t="shared" si="9"/>
        <v>220</v>
      </c>
      <c r="Y191" s="27"/>
      <c r="Z191" s="17"/>
      <c r="AA191" s="28"/>
      <c r="AB191" s="17"/>
      <c r="AC191" s="28"/>
      <c r="AD191" s="27"/>
    </row>
    <row r="192" ht="15.75" customHeight="1">
      <c r="A192" s="27" t="s">
        <v>553</v>
      </c>
      <c r="B192" s="27" t="s">
        <v>554</v>
      </c>
      <c r="C192" s="16" t="s">
        <v>555</v>
      </c>
      <c r="D192" s="17" t="s">
        <v>130</v>
      </c>
      <c r="E192" s="18" t="s">
        <v>34</v>
      </c>
      <c r="F192" s="18">
        <v>1.0</v>
      </c>
      <c r="G192" s="19">
        <f t="shared" si="1"/>
        <v>1.48150761</v>
      </c>
      <c r="H192" s="17">
        <v>42.0</v>
      </c>
      <c r="I192" s="10">
        <v>220.0</v>
      </c>
      <c r="J192" s="17">
        <v>13.0</v>
      </c>
      <c r="K192" s="17">
        <v>135.0</v>
      </c>
      <c r="L192" s="17"/>
      <c r="M192" s="20">
        <v>23.0</v>
      </c>
      <c r="N192" s="20">
        <v>1.0</v>
      </c>
      <c r="O192" s="20">
        <v>18.0</v>
      </c>
      <c r="P192" s="20">
        <f t="shared" si="2"/>
        <v>4</v>
      </c>
      <c r="Q192" s="21">
        <v>4.0</v>
      </c>
      <c r="R192" s="22">
        <f t="shared" si="3"/>
        <v>148.497381</v>
      </c>
      <c r="S192" s="23">
        <f t="shared" si="4"/>
        <v>5.238095238</v>
      </c>
      <c r="T192" s="24">
        <f t="shared" si="5"/>
        <v>5.75</v>
      </c>
      <c r="U192" s="26">
        <f t="shared" si="6"/>
        <v>0.52</v>
      </c>
      <c r="V192" s="26">
        <f t="shared" si="7"/>
        <v>0.32</v>
      </c>
      <c r="W192" s="19">
        <f t="shared" si="8"/>
        <v>0.6136363636</v>
      </c>
      <c r="X192" s="20">
        <f t="shared" si="9"/>
        <v>220</v>
      </c>
      <c r="Y192" s="27"/>
      <c r="Z192" s="17"/>
      <c r="AA192" s="28"/>
      <c r="AB192" s="17"/>
      <c r="AC192" s="28"/>
      <c r="AD192" s="27"/>
    </row>
    <row r="193" ht="15.75" customHeight="1">
      <c r="A193" s="16" t="s">
        <v>139</v>
      </c>
      <c r="B193" s="16" t="s">
        <v>556</v>
      </c>
      <c r="C193" s="16" t="s">
        <v>557</v>
      </c>
      <c r="D193" s="17" t="s">
        <v>96</v>
      </c>
      <c r="E193" s="18" t="s">
        <v>34</v>
      </c>
      <c r="F193" s="18">
        <v>1.0</v>
      </c>
      <c r="G193" s="19">
        <f t="shared" si="1"/>
        <v>3.527399072</v>
      </c>
      <c r="H193" s="17">
        <v>100.0</v>
      </c>
      <c r="I193" s="10">
        <v>520.0</v>
      </c>
      <c r="J193" s="17">
        <v>34.0</v>
      </c>
      <c r="K193" s="17">
        <v>180.0</v>
      </c>
      <c r="L193" s="17"/>
      <c r="M193" s="20">
        <v>50.0</v>
      </c>
      <c r="N193" s="20">
        <v>4.0</v>
      </c>
      <c r="O193" s="20">
        <v>38.0</v>
      </c>
      <c r="P193" s="20">
        <f t="shared" si="2"/>
        <v>8</v>
      </c>
      <c r="Q193" s="21">
        <v>9.0</v>
      </c>
      <c r="R193" s="22">
        <f t="shared" si="3"/>
        <v>147.4174</v>
      </c>
      <c r="S193" s="23">
        <f t="shared" si="4"/>
        <v>5.2</v>
      </c>
      <c r="T193" s="24">
        <f t="shared" si="5"/>
        <v>5.555555556</v>
      </c>
      <c r="U193" s="26">
        <f t="shared" si="6"/>
        <v>0.5645756458</v>
      </c>
      <c r="V193" s="26">
        <f t="shared" si="7"/>
        <v>0.2804428044</v>
      </c>
      <c r="W193" s="19">
        <f t="shared" si="8"/>
        <v>0.3461538462</v>
      </c>
      <c r="X193" s="20">
        <f t="shared" si="9"/>
        <v>520</v>
      </c>
      <c r="Y193" s="27"/>
      <c r="Z193" s="17"/>
      <c r="AA193" s="28"/>
      <c r="AB193" s="17"/>
      <c r="AC193" s="28"/>
      <c r="AD193" s="27"/>
    </row>
    <row r="194" ht="15.75" customHeight="1">
      <c r="A194" s="27" t="s">
        <v>558</v>
      </c>
      <c r="B194" s="27" t="s">
        <v>559</v>
      </c>
      <c r="C194" s="16" t="s">
        <v>560</v>
      </c>
      <c r="D194" s="17" t="s">
        <v>247</v>
      </c>
      <c r="E194" s="18" t="s">
        <v>34</v>
      </c>
      <c r="F194" s="18">
        <v>1.0</v>
      </c>
      <c r="G194" s="19">
        <f t="shared" si="1"/>
        <v>0.8818497681</v>
      </c>
      <c r="H194" s="17">
        <v>25.0</v>
      </c>
      <c r="I194" s="10">
        <v>130.0</v>
      </c>
      <c r="J194" s="17">
        <v>11.0</v>
      </c>
      <c r="K194" s="17">
        <v>410.0</v>
      </c>
      <c r="L194" s="17">
        <v>120.0</v>
      </c>
      <c r="M194" s="20">
        <v>1.0</v>
      </c>
      <c r="N194" s="20">
        <v>0.0</v>
      </c>
      <c r="O194" s="20">
        <v>1.0</v>
      </c>
      <c r="P194" s="20">
        <f t="shared" si="2"/>
        <v>0</v>
      </c>
      <c r="Q194" s="21">
        <v>7.0</v>
      </c>
      <c r="R194" s="22">
        <f t="shared" si="3"/>
        <v>147.4174</v>
      </c>
      <c r="S194" s="23">
        <f t="shared" si="4"/>
        <v>5.2</v>
      </c>
      <c r="T194" s="24">
        <f t="shared" si="5"/>
        <v>0.1428571429</v>
      </c>
      <c r="U194" s="26">
        <f t="shared" si="6"/>
        <v>0.7557251908</v>
      </c>
      <c r="V194" s="26">
        <f t="shared" si="7"/>
        <v>0.03053435115</v>
      </c>
      <c r="W194" s="19">
        <f t="shared" si="8"/>
        <v>3.153846154</v>
      </c>
      <c r="X194" s="20">
        <f t="shared" si="9"/>
        <v>130</v>
      </c>
      <c r="Y194" s="27"/>
      <c r="Z194" s="17"/>
      <c r="AA194" s="28"/>
      <c r="AB194" s="17"/>
      <c r="AC194" s="28"/>
      <c r="AD194" s="16"/>
    </row>
    <row r="195" ht="15.75" customHeight="1">
      <c r="A195" s="27" t="s">
        <v>104</v>
      </c>
      <c r="B195" s="27" t="s">
        <v>561</v>
      </c>
      <c r="C195" s="16" t="s">
        <v>562</v>
      </c>
      <c r="D195" s="17" t="s">
        <v>563</v>
      </c>
      <c r="E195" s="18" t="s">
        <v>34</v>
      </c>
      <c r="F195" s="18">
        <v>1.0</v>
      </c>
      <c r="G195" s="19">
        <f t="shared" si="1"/>
        <v>1.798973527</v>
      </c>
      <c r="H195" s="17">
        <v>51.0</v>
      </c>
      <c r="I195" s="10">
        <v>265.0</v>
      </c>
      <c r="J195" s="17">
        <v>8.0</v>
      </c>
      <c r="K195" s="17">
        <v>120.0</v>
      </c>
      <c r="L195" s="17"/>
      <c r="M195" s="20">
        <v>30.0</v>
      </c>
      <c r="N195" s="20">
        <v>4.0</v>
      </c>
      <c r="O195" s="20">
        <v>11.0</v>
      </c>
      <c r="P195" s="20">
        <f t="shared" si="2"/>
        <v>15</v>
      </c>
      <c r="Q195" s="21">
        <v>4.0</v>
      </c>
      <c r="R195" s="22">
        <f t="shared" si="3"/>
        <v>147.3062255</v>
      </c>
      <c r="S195" s="23">
        <f t="shared" si="4"/>
        <v>5.196078431</v>
      </c>
      <c r="T195" s="24">
        <f t="shared" si="5"/>
        <v>7.5</v>
      </c>
      <c r="U195" s="26">
        <f t="shared" si="6"/>
        <v>0.3461538462</v>
      </c>
      <c r="V195" s="26">
        <f t="shared" si="7"/>
        <v>0.2115384615</v>
      </c>
      <c r="W195" s="19">
        <f t="shared" si="8"/>
        <v>0.4528301887</v>
      </c>
      <c r="X195" s="20">
        <f t="shared" si="9"/>
        <v>265</v>
      </c>
      <c r="Y195" s="27"/>
      <c r="Z195" s="17"/>
      <c r="AA195" s="28"/>
      <c r="AB195" s="17"/>
      <c r="AC195" s="28"/>
      <c r="AD195" s="27"/>
    </row>
    <row r="196" ht="15.75" customHeight="1">
      <c r="A196" s="27" t="s">
        <v>568</v>
      </c>
      <c r="B196" s="27" t="s">
        <v>428</v>
      </c>
      <c r="C196" s="16" t="s">
        <v>569</v>
      </c>
      <c r="D196" s="17" t="s">
        <v>81</v>
      </c>
      <c r="E196" s="18" t="s">
        <v>34</v>
      </c>
      <c r="F196" s="18">
        <v>1.0</v>
      </c>
      <c r="G196" s="19">
        <f t="shared" si="1"/>
        <v>3.527399072</v>
      </c>
      <c r="H196" s="17">
        <v>100.0</v>
      </c>
      <c r="I196" s="10">
        <v>519.0</v>
      </c>
      <c r="J196" s="17">
        <v>34.0</v>
      </c>
      <c r="K196" s="17">
        <v>6.0</v>
      </c>
      <c r="L196" s="17"/>
      <c r="M196" s="20">
        <v>58.0</v>
      </c>
      <c r="N196" s="20">
        <v>8.0</v>
      </c>
      <c r="O196" s="20">
        <v>35.0</v>
      </c>
      <c r="P196" s="20">
        <f t="shared" si="2"/>
        <v>15</v>
      </c>
      <c r="Q196" s="21">
        <v>2.0</v>
      </c>
      <c r="R196" s="22">
        <f t="shared" si="3"/>
        <v>147.133905</v>
      </c>
      <c r="S196" s="23">
        <f t="shared" si="4"/>
        <v>5.19</v>
      </c>
      <c r="T196" s="24">
        <f t="shared" si="5"/>
        <v>29</v>
      </c>
      <c r="U196" s="26">
        <f t="shared" si="6"/>
        <v>0.5604395604</v>
      </c>
      <c r="V196" s="26">
        <f t="shared" si="7"/>
        <v>0.2564102564</v>
      </c>
      <c r="W196" s="19">
        <f t="shared" si="8"/>
        <v>0.01156069364</v>
      </c>
      <c r="X196" s="20">
        <f t="shared" si="9"/>
        <v>519</v>
      </c>
      <c r="Y196" s="27"/>
      <c r="Z196" s="17"/>
      <c r="AA196" s="28"/>
      <c r="AB196" s="17"/>
      <c r="AC196" s="28"/>
      <c r="AD196" s="27"/>
    </row>
    <row r="197" ht="15.75" customHeight="1">
      <c r="A197" s="27" t="s">
        <v>339</v>
      </c>
      <c r="B197" s="27" t="s">
        <v>579</v>
      </c>
      <c r="C197" s="16" t="s">
        <v>580</v>
      </c>
      <c r="D197" s="17" t="s">
        <v>318</v>
      </c>
      <c r="E197" s="18" t="s">
        <v>34</v>
      </c>
      <c r="F197" s="18">
        <v>1.0</v>
      </c>
      <c r="G197" s="19">
        <f t="shared" si="1"/>
        <v>1.022945731</v>
      </c>
      <c r="H197" s="17">
        <v>29.0</v>
      </c>
      <c r="I197" s="10">
        <v>150.0</v>
      </c>
      <c r="J197" s="17">
        <v>7.0</v>
      </c>
      <c r="K197" s="17">
        <v>80.0</v>
      </c>
      <c r="L197" s="17">
        <v>10.0</v>
      </c>
      <c r="M197" s="20">
        <v>21.0</v>
      </c>
      <c r="N197" s="20">
        <v>0.0</v>
      </c>
      <c r="O197" s="20">
        <v>12.0</v>
      </c>
      <c r="P197" s="20">
        <f t="shared" si="2"/>
        <v>9</v>
      </c>
      <c r="Q197" s="21">
        <v>1.0</v>
      </c>
      <c r="R197" s="22">
        <f t="shared" si="3"/>
        <v>146.6353448</v>
      </c>
      <c r="S197" s="23">
        <f t="shared" si="4"/>
        <v>5.172413793</v>
      </c>
      <c r="T197" s="24">
        <f t="shared" si="5"/>
        <v>21</v>
      </c>
      <c r="U197" s="26">
        <f t="shared" si="6"/>
        <v>0.417218543</v>
      </c>
      <c r="V197" s="26">
        <f t="shared" si="7"/>
        <v>0.3178807947</v>
      </c>
      <c r="W197" s="19">
        <f t="shared" si="8"/>
        <v>0.5333333333</v>
      </c>
      <c r="X197" s="20">
        <f t="shared" si="9"/>
        <v>150</v>
      </c>
      <c r="Y197" s="16"/>
      <c r="Z197" s="17"/>
      <c r="AA197" s="28"/>
      <c r="AB197" s="17"/>
      <c r="AC197" s="28"/>
      <c r="AD197" s="16"/>
    </row>
    <row r="198" ht="15.75" customHeight="1">
      <c r="A198" s="27" t="s">
        <v>290</v>
      </c>
      <c r="B198" s="27" t="s">
        <v>586</v>
      </c>
      <c r="C198" s="16" t="s">
        <v>587</v>
      </c>
      <c r="D198" s="17" t="s">
        <v>212</v>
      </c>
      <c r="E198" s="18" t="s">
        <v>34</v>
      </c>
      <c r="F198" s="18">
        <v>1.0</v>
      </c>
      <c r="G198" s="19">
        <f t="shared" si="1"/>
        <v>2.045891462</v>
      </c>
      <c r="H198" s="17">
        <v>58.0</v>
      </c>
      <c r="I198" s="10">
        <v>300.0</v>
      </c>
      <c r="J198" s="17">
        <v>21.0</v>
      </c>
      <c r="K198" s="17">
        <v>230.0</v>
      </c>
      <c r="L198" s="17"/>
      <c r="M198" s="20">
        <v>13.0</v>
      </c>
      <c r="N198" s="20">
        <v>1.0</v>
      </c>
      <c r="O198" s="20">
        <v>7.0</v>
      </c>
      <c r="P198" s="20">
        <f t="shared" si="2"/>
        <v>5</v>
      </c>
      <c r="Q198" s="21">
        <v>20.0</v>
      </c>
      <c r="R198" s="22">
        <f t="shared" si="3"/>
        <v>146.6353448</v>
      </c>
      <c r="S198" s="23">
        <f t="shared" si="4"/>
        <v>5.172413793</v>
      </c>
      <c r="T198" s="24">
        <f t="shared" si="5"/>
        <v>0.65</v>
      </c>
      <c r="U198" s="26">
        <f t="shared" si="6"/>
        <v>0.5887850467</v>
      </c>
      <c r="V198" s="26">
        <f t="shared" si="7"/>
        <v>0.08722741433</v>
      </c>
      <c r="W198" s="19">
        <f t="shared" si="8"/>
        <v>0.7666666667</v>
      </c>
      <c r="X198" s="20">
        <f t="shared" si="9"/>
        <v>300</v>
      </c>
      <c r="Y198" s="27"/>
      <c r="Z198" s="17"/>
      <c r="AA198" s="28"/>
      <c r="AB198" s="17"/>
      <c r="AC198" s="28"/>
      <c r="AD198" s="27"/>
    </row>
    <row r="199" ht="15.75" customHeight="1">
      <c r="A199" s="27" t="s">
        <v>333</v>
      </c>
      <c r="B199" s="27" t="s">
        <v>595</v>
      </c>
      <c r="C199" s="16" t="s">
        <v>596</v>
      </c>
      <c r="D199" s="17" t="s">
        <v>318</v>
      </c>
      <c r="E199" s="18" t="s">
        <v>34</v>
      </c>
      <c r="F199" s="18">
        <v>1.0</v>
      </c>
      <c r="G199" s="19">
        <f t="shared" si="1"/>
        <v>1.093493712</v>
      </c>
      <c r="H199" s="17">
        <v>31.0</v>
      </c>
      <c r="I199" s="10">
        <v>160.0</v>
      </c>
      <c r="J199" s="17">
        <v>9.0</v>
      </c>
      <c r="K199" s="17">
        <v>90.0</v>
      </c>
      <c r="L199" s="17"/>
      <c r="M199" s="20">
        <v>19.0</v>
      </c>
      <c r="N199" s="20">
        <v>0.0</v>
      </c>
      <c r="O199" s="20">
        <v>7.0</v>
      </c>
      <c r="P199" s="20">
        <f t="shared" si="2"/>
        <v>12</v>
      </c>
      <c r="Q199" s="21">
        <v>2.0</v>
      </c>
      <c r="R199" s="22">
        <f t="shared" si="3"/>
        <v>146.32</v>
      </c>
      <c r="S199" s="23">
        <f t="shared" si="4"/>
        <v>5.161290323</v>
      </c>
      <c r="T199" s="24">
        <f t="shared" si="5"/>
        <v>9.5</v>
      </c>
      <c r="U199" s="26">
        <f t="shared" si="6"/>
        <v>0.4909090909</v>
      </c>
      <c r="V199" s="26">
        <f t="shared" si="7"/>
        <v>0.1696969697</v>
      </c>
      <c r="W199" s="19">
        <f t="shared" si="8"/>
        <v>0.5625</v>
      </c>
      <c r="X199" s="20">
        <f t="shared" si="9"/>
        <v>160</v>
      </c>
      <c r="Y199" s="27"/>
      <c r="Z199" s="17"/>
      <c r="AA199" s="28"/>
      <c r="AB199" s="17"/>
      <c r="AC199" s="28"/>
      <c r="AD199" s="16"/>
    </row>
    <row r="200" ht="15.75" customHeight="1">
      <c r="A200" s="27" t="s">
        <v>607</v>
      </c>
      <c r="B200" s="27" t="s">
        <v>608</v>
      </c>
      <c r="C200" s="16" t="s">
        <v>609</v>
      </c>
      <c r="D200" s="17" t="s">
        <v>212</v>
      </c>
      <c r="E200" s="18" t="s">
        <v>34</v>
      </c>
      <c r="F200" s="18">
        <v>1.0</v>
      </c>
      <c r="G200" s="19">
        <f t="shared" si="1"/>
        <v>2.186987425</v>
      </c>
      <c r="H200" s="17">
        <v>62.0</v>
      </c>
      <c r="I200" s="10">
        <v>320.0</v>
      </c>
      <c r="J200" s="17">
        <v>21.0</v>
      </c>
      <c r="K200" s="17">
        <v>25.0</v>
      </c>
      <c r="L200" s="17"/>
      <c r="M200" s="20">
        <v>24.0</v>
      </c>
      <c r="N200" s="20">
        <v>4.0</v>
      </c>
      <c r="O200" s="20">
        <v>15.0</v>
      </c>
      <c r="P200" s="20">
        <f t="shared" si="2"/>
        <v>5</v>
      </c>
      <c r="Q200" s="21">
        <v>12.0</v>
      </c>
      <c r="R200" s="22">
        <f t="shared" si="3"/>
        <v>146.32</v>
      </c>
      <c r="S200" s="23">
        <f t="shared" si="4"/>
        <v>5.161290323</v>
      </c>
      <c r="T200" s="24">
        <f t="shared" si="5"/>
        <v>2</v>
      </c>
      <c r="U200" s="26">
        <f t="shared" si="6"/>
        <v>0.5675675676</v>
      </c>
      <c r="V200" s="26">
        <f t="shared" si="7"/>
        <v>0.1801801802</v>
      </c>
      <c r="W200" s="19">
        <f t="shared" si="8"/>
        <v>0.078125</v>
      </c>
      <c r="X200" s="20">
        <f t="shared" si="9"/>
        <v>320</v>
      </c>
      <c r="Y200" s="27"/>
      <c r="Z200" s="17"/>
      <c r="AA200" s="28"/>
      <c r="AB200" s="17"/>
      <c r="AC200" s="28"/>
      <c r="AD200" s="27"/>
    </row>
    <row r="201" ht="15.75" customHeight="1">
      <c r="A201" s="27" t="s">
        <v>395</v>
      </c>
      <c r="B201" s="27" t="s">
        <v>623</v>
      </c>
      <c r="C201" s="16" t="s">
        <v>624</v>
      </c>
      <c r="D201" s="17" t="s">
        <v>212</v>
      </c>
      <c r="E201" s="18" t="s">
        <v>34</v>
      </c>
      <c r="F201" s="18">
        <v>1.0</v>
      </c>
      <c r="G201" s="19">
        <f t="shared" si="1"/>
        <v>1.234589675</v>
      </c>
      <c r="H201" s="17">
        <v>35.0</v>
      </c>
      <c r="I201" s="10">
        <v>180.0</v>
      </c>
      <c r="J201" s="17">
        <v>12.0</v>
      </c>
      <c r="K201" s="17">
        <v>100.0</v>
      </c>
      <c r="L201" s="17"/>
      <c r="M201" s="20">
        <v>14.0</v>
      </c>
      <c r="N201" s="20">
        <v>3.0</v>
      </c>
      <c r="O201" s="20">
        <v>7.0</v>
      </c>
      <c r="P201" s="20">
        <f t="shared" si="2"/>
        <v>4</v>
      </c>
      <c r="Q201" s="21">
        <v>5.0</v>
      </c>
      <c r="R201" s="22">
        <f t="shared" si="3"/>
        <v>145.7974286</v>
      </c>
      <c r="S201" s="23">
        <f t="shared" si="4"/>
        <v>5.142857143</v>
      </c>
      <c r="T201" s="24">
        <f t="shared" si="5"/>
        <v>2.8</v>
      </c>
      <c r="U201" s="26">
        <f t="shared" si="6"/>
        <v>0.5869565217</v>
      </c>
      <c r="V201" s="26">
        <f t="shared" si="7"/>
        <v>0.152173913</v>
      </c>
      <c r="W201" s="19">
        <f t="shared" si="8"/>
        <v>0.5555555556</v>
      </c>
      <c r="X201" s="20">
        <f t="shared" si="9"/>
        <v>180</v>
      </c>
      <c r="Y201" s="27"/>
      <c r="Z201" s="17"/>
      <c r="AA201" s="28"/>
      <c r="AB201" s="17"/>
      <c r="AC201" s="28"/>
      <c r="AD201" s="27"/>
    </row>
    <row r="202" ht="15.75" customHeight="1">
      <c r="A202" s="27" t="s">
        <v>395</v>
      </c>
      <c r="B202" s="27" t="s">
        <v>640</v>
      </c>
      <c r="C202" s="16" t="s">
        <v>641</v>
      </c>
      <c r="D202" s="17" t="s">
        <v>212</v>
      </c>
      <c r="E202" s="18" t="s">
        <v>34</v>
      </c>
      <c r="F202" s="18">
        <v>1.0</v>
      </c>
      <c r="G202" s="19">
        <f t="shared" si="1"/>
        <v>1.234589675</v>
      </c>
      <c r="H202" s="17">
        <v>35.0</v>
      </c>
      <c r="I202" s="10">
        <v>180.0</v>
      </c>
      <c r="J202" s="17">
        <v>12.0</v>
      </c>
      <c r="K202" s="17">
        <v>100.0</v>
      </c>
      <c r="L202" s="17"/>
      <c r="M202" s="20">
        <v>13.0</v>
      </c>
      <c r="N202" s="20">
        <v>3.0</v>
      </c>
      <c r="O202" s="20">
        <v>7.0</v>
      </c>
      <c r="P202" s="20">
        <f t="shared" si="2"/>
        <v>3</v>
      </c>
      <c r="Q202" s="21">
        <v>6.0</v>
      </c>
      <c r="R202" s="22">
        <f t="shared" si="3"/>
        <v>145.7974286</v>
      </c>
      <c r="S202" s="23">
        <f t="shared" si="4"/>
        <v>5.142857143</v>
      </c>
      <c r="T202" s="24">
        <f t="shared" si="5"/>
        <v>2.166666667</v>
      </c>
      <c r="U202" s="26">
        <f t="shared" si="6"/>
        <v>0.5869565217</v>
      </c>
      <c r="V202" s="26">
        <f t="shared" si="7"/>
        <v>0.152173913</v>
      </c>
      <c r="W202" s="19">
        <f t="shared" si="8"/>
        <v>0.5555555556</v>
      </c>
      <c r="X202" s="20">
        <f t="shared" si="9"/>
        <v>180</v>
      </c>
      <c r="Y202" s="27"/>
      <c r="Z202" s="17"/>
      <c r="AA202" s="28"/>
      <c r="AB202" s="17"/>
      <c r="AC202" s="28"/>
      <c r="AD202" s="16"/>
    </row>
    <row r="203" ht="15.75" customHeight="1">
      <c r="A203" s="27" t="s">
        <v>400</v>
      </c>
      <c r="B203" s="27" t="s">
        <v>656</v>
      </c>
      <c r="C203" s="16" t="s">
        <v>657</v>
      </c>
      <c r="D203" s="17" t="s">
        <v>212</v>
      </c>
      <c r="E203" s="18" t="s">
        <v>34</v>
      </c>
      <c r="F203" s="18">
        <v>1.0</v>
      </c>
      <c r="G203" s="19">
        <f t="shared" si="1"/>
        <v>1.234589675</v>
      </c>
      <c r="H203" s="17">
        <v>35.0</v>
      </c>
      <c r="I203" s="10">
        <v>180.0</v>
      </c>
      <c r="J203" s="17">
        <v>12.0</v>
      </c>
      <c r="K203" s="17">
        <v>65.0</v>
      </c>
      <c r="L203" s="17"/>
      <c r="M203" s="20">
        <v>11.0</v>
      </c>
      <c r="N203" s="20">
        <v>1.0</v>
      </c>
      <c r="O203" s="20">
        <v>7.0</v>
      </c>
      <c r="P203" s="20">
        <f t="shared" si="2"/>
        <v>3</v>
      </c>
      <c r="Q203" s="21">
        <v>7.0</v>
      </c>
      <c r="R203" s="22">
        <f t="shared" si="3"/>
        <v>145.7974286</v>
      </c>
      <c r="S203" s="23">
        <f t="shared" si="4"/>
        <v>5.142857143</v>
      </c>
      <c r="T203" s="24">
        <f t="shared" si="5"/>
        <v>1.571428571</v>
      </c>
      <c r="U203" s="26">
        <f t="shared" si="6"/>
        <v>0.6</v>
      </c>
      <c r="V203" s="26">
        <f t="shared" si="7"/>
        <v>0.1555555556</v>
      </c>
      <c r="W203" s="19">
        <f t="shared" si="8"/>
        <v>0.3611111111</v>
      </c>
      <c r="X203" s="20">
        <f t="shared" si="9"/>
        <v>180</v>
      </c>
      <c r="Y203" s="27"/>
      <c r="Z203" s="17"/>
      <c r="AA203" s="28"/>
      <c r="AB203" s="17"/>
      <c r="AC203" s="28"/>
      <c r="AD203" s="27"/>
    </row>
    <row r="204" ht="15.75" customHeight="1">
      <c r="A204" s="27" t="s">
        <v>671</v>
      </c>
      <c r="B204" s="27" t="s">
        <v>672</v>
      </c>
      <c r="C204" s="16" t="s">
        <v>673</v>
      </c>
      <c r="D204" s="17" t="s">
        <v>282</v>
      </c>
      <c r="E204" s="18" t="s">
        <v>34</v>
      </c>
      <c r="F204" s="18">
        <v>1.0</v>
      </c>
      <c r="G204" s="19">
        <f t="shared" si="1"/>
        <v>1.305137657</v>
      </c>
      <c r="H204" s="17">
        <v>37.0</v>
      </c>
      <c r="I204" s="10">
        <v>190.0</v>
      </c>
      <c r="J204" s="17">
        <v>13.0</v>
      </c>
      <c r="K204" s="17">
        <v>200.0</v>
      </c>
      <c r="L204" s="17"/>
      <c r="M204" s="20">
        <v>19.0</v>
      </c>
      <c r="N204" s="20">
        <v>1.0</v>
      </c>
      <c r="O204" s="20">
        <v>1.0</v>
      </c>
      <c r="P204" s="20">
        <f t="shared" si="2"/>
        <v>17</v>
      </c>
      <c r="Q204" s="21">
        <v>1.0</v>
      </c>
      <c r="R204" s="22">
        <f t="shared" si="3"/>
        <v>145.5785135</v>
      </c>
      <c r="S204" s="23">
        <f t="shared" si="4"/>
        <v>5.135135135</v>
      </c>
      <c r="T204" s="24">
        <f t="shared" si="5"/>
        <v>19</v>
      </c>
      <c r="U204" s="26">
        <f t="shared" si="6"/>
        <v>0.5939086294</v>
      </c>
      <c r="V204" s="26">
        <f t="shared" si="7"/>
        <v>0.02030456853</v>
      </c>
      <c r="W204" s="19">
        <f t="shared" si="8"/>
        <v>1.052631579</v>
      </c>
      <c r="X204" s="20">
        <f t="shared" si="9"/>
        <v>190</v>
      </c>
      <c r="Y204" s="27"/>
      <c r="Z204" s="17"/>
      <c r="AA204" s="28"/>
      <c r="AB204" s="17"/>
      <c r="AC204" s="28"/>
      <c r="AD204" s="16"/>
    </row>
    <row r="205" ht="15.75" customHeight="1">
      <c r="A205" s="16" t="s">
        <v>553</v>
      </c>
      <c r="B205" s="16" t="s">
        <v>689</v>
      </c>
      <c r="C205" s="16" t="s">
        <v>690</v>
      </c>
      <c r="D205" s="17" t="s">
        <v>103</v>
      </c>
      <c r="E205" s="18" t="s">
        <v>34</v>
      </c>
      <c r="F205" s="18">
        <v>1.0</v>
      </c>
      <c r="G205" s="19">
        <f t="shared" si="1"/>
        <v>1.305137657</v>
      </c>
      <c r="H205" s="17">
        <v>37.0</v>
      </c>
      <c r="I205" s="10">
        <v>190.0</v>
      </c>
      <c r="J205" s="17">
        <v>12.0</v>
      </c>
      <c r="K205" s="17">
        <v>140.0</v>
      </c>
      <c r="L205" s="17"/>
      <c r="M205" s="20">
        <v>21.0</v>
      </c>
      <c r="N205" s="20">
        <v>1.0</v>
      </c>
      <c r="O205" s="20">
        <v>19.0</v>
      </c>
      <c r="P205" s="20">
        <f t="shared" si="2"/>
        <v>1</v>
      </c>
      <c r="Q205" s="21">
        <v>3.0</v>
      </c>
      <c r="R205" s="22">
        <f t="shared" si="3"/>
        <v>145.5785135</v>
      </c>
      <c r="S205" s="23">
        <f t="shared" si="4"/>
        <v>5.135135135</v>
      </c>
      <c r="T205" s="24">
        <f t="shared" si="5"/>
        <v>7</v>
      </c>
      <c r="U205" s="26">
        <f t="shared" si="6"/>
        <v>0.5294117647</v>
      </c>
      <c r="V205" s="26">
        <f t="shared" si="7"/>
        <v>0.3725490196</v>
      </c>
      <c r="W205" s="19">
        <f t="shared" si="8"/>
        <v>0.7368421053</v>
      </c>
      <c r="X205" s="20">
        <f t="shared" si="9"/>
        <v>190</v>
      </c>
      <c r="Y205" s="27"/>
      <c r="Z205" s="17"/>
      <c r="AA205" s="28"/>
      <c r="AB205" s="17"/>
      <c r="AC205" s="28"/>
      <c r="AD205" s="27"/>
    </row>
    <row r="206" ht="15.75" customHeight="1">
      <c r="A206" s="27" t="s">
        <v>702</v>
      </c>
      <c r="B206" s="27" t="s">
        <v>703</v>
      </c>
      <c r="C206" s="16" t="s">
        <v>704</v>
      </c>
      <c r="D206" s="17" t="s">
        <v>130</v>
      </c>
      <c r="E206" s="18" t="s">
        <v>34</v>
      </c>
      <c r="F206" s="18">
        <v>1.0</v>
      </c>
      <c r="G206" s="19">
        <f t="shared" si="1"/>
        <v>1.375685638</v>
      </c>
      <c r="H206" s="17">
        <v>39.0</v>
      </c>
      <c r="I206" s="10">
        <v>200.0</v>
      </c>
      <c r="J206" s="17">
        <v>11.0</v>
      </c>
      <c r="K206" s="17">
        <v>40.0</v>
      </c>
      <c r="L206" s="17"/>
      <c r="M206" s="20">
        <v>23.0</v>
      </c>
      <c r="N206" s="20">
        <v>1.0</v>
      </c>
      <c r="O206" s="20">
        <v>22.0</v>
      </c>
      <c r="P206" s="20">
        <f t="shared" si="2"/>
        <v>0</v>
      </c>
      <c r="Q206" s="21">
        <v>3.0</v>
      </c>
      <c r="R206" s="22">
        <f t="shared" si="3"/>
        <v>145.3820513</v>
      </c>
      <c r="S206" s="23">
        <f t="shared" si="4"/>
        <v>5.128205128</v>
      </c>
      <c r="T206" s="24">
        <f t="shared" si="5"/>
        <v>7.666666667</v>
      </c>
      <c r="U206" s="26">
        <f t="shared" si="6"/>
        <v>0.4876847291</v>
      </c>
      <c r="V206" s="26">
        <f t="shared" si="7"/>
        <v>0.4334975369</v>
      </c>
      <c r="W206" s="19">
        <f t="shared" si="8"/>
        <v>0.2</v>
      </c>
      <c r="X206" s="20">
        <f t="shared" si="9"/>
        <v>200</v>
      </c>
      <c r="Y206" s="27"/>
      <c r="Z206" s="17"/>
      <c r="AA206" s="28"/>
      <c r="AB206" s="17"/>
      <c r="AC206" s="28"/>
      <c r="AD206" s="27"/>
    </row>
    <row r="207" ht="15.75" customHeight="1">
      <c r="A207" s="27" t="s">
        <v>510</v>
      </c>
      <c r="B207" s="27" t="s">
        <v>712</v>
      </c>
      <c r="C207" s="16" t="s">
        <v>713</v>
      </c>
      <c r="D207" s="17" t="s">
        <v>282</v>
      </c>
      <c r="E207" s="18" t="s">
        <v>34</v>
      </c>
      <c r="F207" s="18">
        <v>1.0</v>
      </c>
      <c r="G207" s="19">
        <f t="shared" si="1"/>
        <v>1.375685638</v>
      </c>
      <c r="H207" s="17">
        <v>39.0</v>
      </c>
      <c r="I207" s="10">
        <v>200.0</v>
      </c>
      <c r="J207" s="17">
        <v>11.0</v>
      </c>
      <c r="K207" s="17">
        <v>400.0</v>
      </c>
      <c r="L207" s="17">
        <v>95.0</v>
      </c>
      <c r="M207" s="20">
        <v>21.0</v>
      </c>
      <c r="N207" s="20">
        <v>1.0</v>
      </c>
      <c r="O207" s="20">
        <v>5.0</v>
      </c>
      <c r="P207" s="20">
        <f t="shared" si="2"/>
        <v>15</v>
      </c>
      <c r="Q207" s="21">
        <v>4.0</v>
      </c>
      <c r="R207" s="22">
        <f t="shared" si="3"/>
        <v>145.3820513</v>
      </c>
      <c r="S207" s="23">
        <f t="shared" si="4"/>
        <v>5.128205128</v>
      </c>
      <c r="T207" s="24">
        <f t="shared" si="5"/>
        <v>5.25</v>
      </c>
      <c r="U207" s="26">
        <f t="shared" si="6"/>
        <v>0.4974874372</v>
      </c>
      <c r="V207" s="26">
        <f t="shared" si="7"/>
        <v>0.1005025126</v>
      </c>
      <c r="W207" s="19">
        <f t="shared" si="8"/>
        <v>2</v>
      </c>
      <c r="X207" s="20">
        <f t="shared" si="9"/>
        <v>200</v>
      </c>
      <c r="Y207" s="27"/>
      <c r="Z207" s="17"/>
      <c r="AA207" s="28"/>
      <c r="AB207" s="17"/>
      <c r="AC207" s="28"/>
      <c r="AD207" s="27"/>
    </row>
    <row r="208" ht="15.75" customHeight="1">
      <c r="A208" s="27" t="s">
        <v>553</v>
      </c>
      <c r="B208" s="27" t="s">
        <v>720</v>
      </c>
      <c r="C208" s="16" t="s">
        <v>721</v>
      </c>
      <c r="D208" s="17" t="s">
        <v>130</v>
      </c>
      <c r="E208" s="18" t="s">
        <v>34</v>
      </c>
      <c r="F208" s="18">
        <v>1.0</v>
      </c>
      <c r="G208" s="19">
        <f t="shared" si="1"/>
        <v>1.375685638</v>
      </c>
      <c r="H208" s="17">
        <v>39.0</v>
      </c>
      <c r="I208" s="10">
        <v>200.0</v>
      </c>
      <c r="J208" s="17">
        <v>12.0</v>
      </c>
      <c r="K208" s="17">
        <v>150.0</v>
      </c>
      <c r="L208" s="17"/>
      <c r="M208" s="20">
        <v>22.0</v>
      </c>
      <c r="N208" s="20">
        <v>1.0</v>
      </c>
      <c r="O208" s="20">
        <v>19.0</v>
      </c>
      <c r="P208" s="20">
        <f t="shared" si="2"/>
        <v>2</v>
      </c>
      <c r="Q208" s="21">
        <v>5.0</v>
      </c>
      <c r="R208" s="22">
        <f t="shared" si="3"/>
        <v>145.3820513</v>
      </c>
      <c r="S208" s="23">
        <f t="shared" si="4"/>
        <v>5.128205128</v>
      </c>
      <c r="T208" s="24">
        <f t="shared" si="5"/>
        <v>4.4</v>
      </c>
      <c r="U208" s="26">
        <f t="shared" si="6"/>
        <v>0.5</v>
      </c>
      <c r="V208" s="26">
        <f t="shared" si="7"/>
        <v>0.3518518519</v>
      </c>
      <c r="W208" s="19">
        <f t="shared" si="8"/>
        <v>0.75</v>
      </c>
      <c r="X208" s="20">
        <f t="shared" si="9"/>
        <v>200</v>
      </c>
      <c r="Y208" s="27"/>
      <c r="Z208" s="17"/>
      <c r="AA208" s="28"/>
      <c r="AB208" s="17"/>
      <c r="AC208" s="28"/>
      <c r="AD208" s="16"/>
    </row>
    <row r="209" ht="15.75" customHeight="1">
      <c r="A209" s="27" t="s">
        <v>324</v>
      </c>
      <c r="B209" s="27" t="s">
        <v>729</v>
      </c>
      <c r="C209" s="16" t="s">
        <v>730</v>
      </c>
      <c r="D209" s="17" t="s">
        <v>212</v>
      </c>
      <c r="E209" s="18" t="s">
        <v>34</v>
      </c>
      <c r="F209" s="18">
        <v>1.0</v>
      </c>
      <c r="G209" s="19">
        <f t="shared" si="1"/>
        <v>1.375685638</v>
      </c>
      <c r="H209" s="17">
        <v>39.0</v>
      </c>
      <c r="I209" s="10">
        <v>200.0</v>
      </c>
      <c r="J209" s="17">
        <v>11.0</v>
      </c>
      <c r="K209" s="17">
        <v>190.0</v>
      </c>
      <c r="L209" s="17">
        <v>110.0</v>
      </c>
      <c r="M209" s="20">
        <v>16.0</v>
      </c>
      <c r="N209" s="20">
        <v>2.0</v>
      </c>
      <c r="O209" s="20">
        <v>7.0</v>
      </c>
      <c r="P209" s="20">
        <f t="shared" si="2"/>
        <v>7</v>
      </c>
      <c r="Q209" s="21">
        <v>10.0</v>
      </c>
      <c r="R209" s="22">
        <f t="shared" si="3"/>
        <v>145.3820513</v>
      </c>
      <c r="S209" s="23">
        <f t="shared" si="4"/>
        <v>5.128205128</v>
      </c>
      <c r="T209" s="24">
        <f t="shared" si="5"/>
        <v>1.6</v>
      </c>
      <c r="U209" s="26">
        <f t="shared" si="6"/>
        <v>0.4876847291</v>
      </c>
      <c r="V209" s="26">
        <f t="shared" si="7"/>
        <v>0.1379310345</v>
      </c>
      <c r="W209" s="19">
        <f t="shared" si="8"/>
        <v>0.95</v>
      </c>
      <c r="X209" s="20">
        <f t="shared" si="9"/>
        <v>200</v>
      </c>
      <c r="Y209" s="27"/>
      <c r="Z209" s="17"/>
      <c r="AA209" s="28"/>
      <c r="AB209" s="17"/>
      <c r="AC209" s="28"/>
      <c r="AD209" s="27"/>
    </row>
    <row r="210" ht="15.75" customHeight="1">
      <c r="A210" s="27" t="s">
        <v>324</v>
      </c>
      <c r="B210" s="27" t="s">
        <v>741</v>
      </c>
      <c r="C210" s="16" t="s">
        <v>742</v>
      </c>
      <c r="D210" s="17" t="s">
        <v>212</v>
      </c>
      <c r="E210" s="18" t="s">
        <v>34</v>
      </c>
      <c r="F210" s="18">
        <v>1.0</v>
      </c>
      <c r="G210" s="19">
        <f t="shared" si="1"/>
        <v>1.375685638</v>
      </c>
      <c r="H210" s="17">
        <v>39.0</v>
      </c>
      <c r="I210" s="10">
        <v>200.0</v>
      </c>
      <c r="J210" s="17">
        <v>11.0</v>
      </c>
      <c r="K210" s="17">
        <v>170.0</v>
      </c>
      <c r="L210" s="17">
        <v>130.0</v>
      </c>
      <c r="M210" s="20">
        <v>15.0</v>
      </c>
      <c r="N210" s="20">
        <v>2.0</v>
      </c>
      <c r="O210" s="20">
        <v>8.0</v>
      </c>
      <c r="P210" s="20">
        <f t="shared" si="2"/>
        <v>5</v>
      </c>
      <c r="Q210" s="21">
        <v>10.0</v>
      </c>
      <c r="R210" s="22">
        <f t="shared" si="3"/>
        <v>145.3820513</v>
      </c>
      <c r="S210" s="23">
        <f t="shared" si="4"/>
        <v>5.128205128</v>
      </c>
      <c r="T210" s="24">
        <f t="shared" si="5"/>
        <v>1.5</v>
      </c>
      <c r="U210" s="26">
        <f t="shared" si="6"/>
        <v>0.4974874372</v>
      </c>
      <c r="V210" s="26">
        <f t="shared" si="7"/>
        <v>0.1608040201</v>
      </c>
      <c r="W210" s="19">
        <f t="shared" si="8"/>
        <v>0.85</v>
      </c>
      <c r="X210" s="20">
        <f t="shared" si="9"/>
        <v>200</v>
      </c>
      <c r="Y210" s="27"/>
      <c r="Z210" s="17"/>
      <c r="AA210" s="28"/>
      <c r="AB210" s="17"/>
      <c r="AC210" s="28"/>
      <c r="AD210" s="16"/>
    </row>
    <row r="211" ht="15.75" customHeight="1">
      <c r="A211" s="27" t="s">
        <v>389</v>
      </c>
      <c r="B211" s="27" t="s">
        <v>751</v>
      </c>
      <c r="C211" s="16" t="s">
        <v>752</v>
      </c>
      <c r="D211" s="17" t="s">
        <v>130</v>
      </c>
      <c r="E211" s="18" t="s">
        <v>34</v>
      </c>
      <c r="F211" s="18">
        <v>1.0</v>
      </c>
      <c r="G211" s="19">
        <f t="shared" si="1"/>
        <v>1.44623362</v>
      </c>
      <c r="H211" s="17">
        <v>41.0</v>
      </c>
      <c r="I211" s="10">
        <v>210.0</v>
      </c>
      <c r="J211" s="17">
        <v>12.0</v>
      </c>
      <c r="K211" s="17">
        <v>60.0</v>
      </c>
      <c r="L211" s="17">
        <v>130.0</v>
      </c>
      <c r="M211" s="20">
        <v>23.0</v>
      </c>
      <c r="N211" s="20">
        <v>1.0</v>
      </c>
      <c r="O211" s="20">
        <v>21.0</v>
      </c>
      <c r="P211" s="20">
        <f t="shared" si="2"/>
        <v>1</v>
      </c>
      <c r="Q211" s="21">
        <v>4.0</v>
      </c>
      <c r="R211" s="22">
        <f t="shared" si="3"/>
        <v>145.2047561</v>
      </c>
      <c r="S211" s="23">
        <f t="shared" si="4"/>
        <v>5.12195122</v>
      </c>
      <c r="T211" s="24">
        <f t="shared" si="5"/>
        <v>5.75</v>
      </c>
      <c r="U211" s="26">
        <f t="shared" si="6"/>
        <v>0.5</v>
      </c>
      <c r="V211" s="26">
        <f t="shared" si="7"/>
        <v>0.3888888889</v>
      </c>
      <c r="W211" s="19">
        <f t="shared" si="8"/>
        <v>0.2857142857</v>
      </c>
      <c r="X211" s="20">
        <f t="shared" si="9"/>
        <v>210</v>
      </c>
      <c r="Y211" s="27"/>
      <c r="Z211" s="17"/>
      <c r="AA211" s="28"/>
      <c r="AB211" s="17"/>
      <c r="AC211" s="28"/>
      <c r="AD211" s="27"/>
    </row>
    <row r="212" ht="15.75" customHeight="1">
      <c r="A212" s="16" t="s">
        <v>760</v>
      </c>
      <c r="B212" s="16" t="s">
        <v>761</v>
      </c>
      <c r="C212" s="16" t="s">
        <v>762</v>
      </c>
      <c r="D212" s="17" t="s">
        <v>212</v>
      </c>
      <c r="E212" s="18" t="s">
        <v>34</v>
      </c>
      <c r="F212" s="18">
        <v>1.0</v>
      </c>
      <c r="G212" s="19">
        <f t="shared" si="1"/>
        <v>1.516781601</v>
      </c>
      <c r="H212" s="17">
        <v>43.0</v>
      </c>
      <c r="I212" s="10">
        <v>220.0</v>
      </c>
      <c r="J212" s="17">
        <v>16.0</v>
      </c>
      <c r="K212" s="17">
        <v>35.0</v>
      </c>
      <c r="L212" s="17"/>
      <c r="M212" s="20">
        <v>20.0</v>
      </c>
      <c r="N212" s="20">
        <v>4.0</v>
      </c>
      <c r="O212" s="20">
        <v>11.0</v>
      </c>
      <c r="P212" s="20">
        <f t="shared" si="2"/>
        <v>5</v>
      </c>
      <c r="Q212" s="21">
        <v>2.0</v>
      </c>
      <c r="R212" s="22">
        <f t="shared" si="3"/>
        <v>145.0439535</v>
      </c>
      <c r="S212" s="23">
        <f t="shared" si="4"/>
        <v>5.11627907</v>
      </c>
      <c r="T212" s="24">
        <f t="shared" si="5"/>
        <v>10</v>
      </c>
      <c r="U212" s="26">
        <f t="shared" si="6"/>
        <v>0.6206896552</v>
      </c>
      <c r="V212" s="26">
        <f t="shared" si="7"/>
        <v>0.1896551724</v>
      </c>
      <c r="W212" s="19">
        <f t="shared" si="8"/>
        <v>0.1590909091</v>
      </c>
      <c r="X212" s="20">
        <f t="shared" si="9"/>
        <v>220</v>
      </c>
      <c r="Y212" s="27"/>
      <c r="Z212" s="17"/>
      <c r="AA212" s="28"/>
      <c r="AB212" s="17"/>
      <c r="AC212" s="28"/>
      <c r="AD212" s="27"/>
    </row>
    <row r="213" ht="15.75" customHeight="1">
      <c r="A213" s="16" t="s">
        <v>760</v>
      </c>
      <c r="B213" s="16" t="s">
        <v>768</v>
      </c>
      <c r="C213" s="16" t="s">
        <v>769</v>
      </c>
      <c r="D213" s="17" t="s">
        <v>212</v>
      </c>
      <c r="E213" s="18" t="s">
        <v>34</v>
      </c>
      <c r="F213" s="18">
        <v>1.0</v>
      </c>
      <c r="G213" s="19">
        <f t="shared" si="1"/>
        <v>1.516781601</v>
      </c>
      <c r="H213" s="17">
        <v>43.0</v>
      </c>
      <c r="I213" s="10">
        <v>220.0</v>
      </c>
      <c r="J213" s="17">
        <v>16.0</v>
      </c>
      <c r="K213" s="17">
        <v>35.0</v>
      </c>
      <c r="L213" s="17"/>
      <c r="M213" s="20">
        <v>19.0</v>
      </c>
      <c r="N213" s="20">
        <v>4.0</v>
      </c>
      <c r="O213" s="20">
        <v>10.0</v>
      </c>
      <c r="P213" s="20">
        <f t="shared" si="2"/>
        <v>5</v>
      </c>
      <c r="Q213" s="21">
        <v>3.0</v>
      </c>
      <c r="R213" s="22">
        <f t="shared" si="3"/>
        <v>145.0439535</v>
      </c>
      <c r="S213" s="23">
        <f t="shared" si="4"/>
        <v>5.11627907</v>
      </c>
      <c r="T213" s="24">
        <f t="shared" si="5"/>
        <v>6.333333333</v>
      </c>
      <c r="U213" s="26">
        <f t="shared" si="6"/>
        <v>0.6206896552</v>
      </c>
      <c r="V213" s="26">
        <f t="shared" si="7"/>
        <v>0.1724137931</v>
      </c>
      <c r="W213" s="19">
        <f t="shared" si="8"/>
        <v>0.1590909091</v>
      </c>
      <c r="X213" s="20">
        <f t="shared" si="9"/>
        <v>220</v>
      </c>
      <c r="Y213" s="27"/>
      <c r="Z213" s="17"/>
      <c r="AA213" s="28"/>
      <c r="AB213" s="17"/>
      <c r="AC213" s="28"/>
      <c r="AD213" s="27"/>
    </row>
    <row r="214" ht="15.75" customHeight="1">
      <c r="A214" s="27" t="s">
        <v>778</v>
      </c>
      <c r="B214" s="27" t="s">
        <v>779</v>
      </c>
      <c r="C214" s="16" t="s">
        <v>781</v>
      </c>
      <c r="D214" s="17" t="s">
        <v>282</v>
      </c>
      <c r="E214" s="18" t="s">
        <v>34</v>
      </c>
      <c r="F214" s="18">
        <v>1.0</v>
      </c>
      <c r="G214" s="19">
        <f t="shared" si="1"/>
        <v>1.516781601</v>
      </c>
      <c r="H214" s="17">
        <v>43.0</v>
      </c>
      <c r="I214" s="10">
        <v>220.0</v>
      </c>
      <c r="J214" s="17">
        <v>11.0</v>
      </c>
      <c r="K214" s="17">
        <v>330.0</v>
      </c>
      <c r="L214" s="17"/>
      <c r="M214" s="20">
        <v>25.0</v>
      </c>
      <c r="N214" s="20">
        <v>1.0</v>
      </c>
      <c r="O214" s="20">
        <v>5.0</v>
      </c>
      <c r="P214" s="20">
        <f t="shared" si="2"/>
        <v>19</v>
      </c>
      <c r="Q214" s="21">
        <v>5.0</v>
      </c>
      <c r="R214" s="22">
        <f t="shared" si="3"/>
        <v>145.0439535</v>
      </c>
      <c r="S214" s="23">
        <f t="shared" si="4"/>
        <v>5.11627907</v>
      </c>
      <c r="T214" s="24">
        <f t="shared" si="5"/>
        <v>5</v>
      </c>
      <c r="U214" s="26">
        <f t="shared" si="6"/>
        <v>0.4520547945</v>
      </c>
      <c r="V214" s="26">
        <f t="shared" si="7"/>
        <v>0.09132420091</v>
      </c>
      <c r="W214" s="19">
        <f t="shared" si="8"/>
        <v>1.5</v>
      </c>
      <c r="X214" s="20">
        <f t="shared" si="9"/>
        <v>220</v>
      </c>
      <c r="Y214" s="27"/>
      <c r="Z214" s="17"/>
      <c r="AA214" s="28"/>
      <c r="AB214" s="17"/>
      <c r="AC214" s="28"/>
      <c r="AD214" s="27"/>
    </row>
    <row r="215" ht="15.75" customHeight="1">
      <c r="A215" s="27" t="s">
        <v>760</v>
      </c>
      <c r="B215" s="27" t="s">
        <v>790</v>
      </c>
      <c r="C215" s="16" t="s">
        <v>791</v>
      </c>
      <c r="D215" s="17" t="s">
        <v>212</v>
      </c>
      <c r="E215" s="18" t="s">
        <v>34</v>
      </c>
      <c r="F215" s="18">
        <v>1.0</v>
      </c>
      <c r="G215" s="19">
        <f t="shared" si="1"/>
        <v>1.516781601</v>
      </c>
      <c r="H215" s="17">
        <v>43.0</v>
      </c>
      <c r="I215" s="10">
        <v>220.0</v>
      </c>
      <c r="J215" s="17">
        <v>16.0</v>
      </c>
      <c r="K215" s="17">
        <v>40.0</v>
      </c>
      <c r="L215" s="17"/>
      <c r="M215" s="20">
        <v>18.0</v>
      </c>
      <c r="N215" s="20">
        <v>3.0</v>
      </c>
      <c r="O215" s="20">
        <v>13.0</v>
      </c>
      <c r="P215" s="20">
        <f t="shared" si="2"/>
        <v>2</v>
      </c>
      <c r="Q215" s="21">
        <v>5.0</v>
      </c>
      <c r="R215" s="22">
        <f t="shared" si="3"/>
        <v>145.0439535</v>
      </c>
      <c r="S215" s="23">
        <f t="shared" si="4"/>
        <v>5.11627907</v>
      </c>
      <c r="T215" s="24">
        <f t="shared" si="5"/>
        <v>3.6</v>
      </c>
      <c r="U215" s="26">
        <f t="shared" si="6"/>
        <v>0.6101694915</v>
      </c>
      <c r="V215" s="26">
        <f t="shared" si="7"/>
        <v>0.2203389831</v>
      </c>
      <c r="W215" s="19">
        <f t="shared" si="8"/>
        <v>0.1818181818</v>
      </c>
      <c r="X215" s="20">
        <f t="shared" si="9"/>
        <v>220</v>
      </c>
      <c r="Y215" s="27"/>
      <c r="Z215" s="17"/>
      <c r="AA215" s="28"/>
      <c r="AB215" s="17"/>
      <c r="AC215" s="28"/>
      <c r="AD215" s="27"/>
    </row>
    <row r="216" ht="15.75" customHeight="1">
      <c r="A216" s="27" t="s">
        <v>760</v>
      </c>
      <c r="B216" s="27" t="s">
        <v>799</v>
      </c>
      <c r="C216" s="16" t="s">
        <v>800</v>
      </c>
      <c r="D216" s="17" t="s">
        <v>212</v>
      </c>
      <c r="E216" s="18" t="s">
        <v>34</v>
      </c>
      <c r="F216" s="18">
        <v>1.0</v>
      </c>
      <c r="G216" s="19">
        <f t="shared" si="1"/>
        <v>1.516781601</v>
      </c>
      <c r="H216" s="17">
        <v>43.0</v>
      </c>
      <c r="I216" s="10">
        <v>220.0</v>
      </c>
      <c r="J216" s="17">
        <v>14.0</v>
      </c>
      <c r="K216" s="17">
        <v>105.0</v>
      </c>
      <c r="L216" s="17"/>
      <c r="M216" s="20">
        <v>20.0</v>
      </c>
      <c r="N216" s="20">
        <v>2.0</v>
      </c>
      <c r="O216" s="20">
        <v>10.0</v>
      </c>
      <c r="P216" s="20">
        <f t="shared" si="2"/>
        <v>8</v>
      </c>
      <c r="Q216" s="21">
        <v>7.0</v>
      </c>
      <c r="R216" s="22">
        <f t="shared" si="3"/>
        <v>145.0439535</v>
      </c>
      <c r="S216" s="23">
        <f t="shared" si="4"/>
        <v>5.11627907</v>
      </c>
      <c r="T216" s="24">
        <f t="shared" si="5"/>
        <v>2.857142857</v>
      </c>
      <c r="U216" s="26">
        <f t="shared" si="6"/>
        <v>0.5384615385</v>
      </c>
      <c r="V216" s="26">
        <f t="shared" si="7"/>
        <v>0.1709401709</v>
      </c>
      <c r="W216" s="19">
        <f t="shared" si="8"/>
        <v>0.4772727273</v>
      </c>
      <c r="X216" s="20">
        <f t="shared" si="9"/>
        <v>220</v>
      </c>
      <c r="Y216" s="27"/>
      <c r="Z216" s="17"/>
      <c r="AA216" s="28"/>
      <c r="AB216" s="17"/>
      <c r="AC216" s="28"/>
      <c r="AD216" s="27"/>
    </row>
    <row r="217" ht="15.75" customHeight="1">
      <c r="A217" s="27" t="s">
        <v>501</v>
      </c>
      <c r="B217" s="27" t="s">
        <v>808</v>
      </c>
      <c r="C217" s="16" t="s">
        <v>809</v>
      </c>
      <c r="D217" s="17" t="s">
        <v>130</v>
      </c>
      <c r="E217" s="18" t="s">
        <v>34</v>
      </c>
      <c r="F217" s="18">
        <v>1.0</v>
      </c>
      <c r="G217" s="19">
        <f t="shared" si="1"/>
        <v>1.587329583</v>
      </c>
      <c r="H217" s="17">
        <v>45.0</v>
      </c>
      <c r="I217" s="10">
        <v>230.0</v>
      </c>
      <c r="J217" s="17">
        <v>12.0</v>
      </c>
      <c r="K217" s="17">
        <v>100.0</v>
      </c>
      <c r="L217" s="17"/>
      <c r="M217" s="20">
        <v>28.0</v>
      </c>
      <c r="N217" s="20">
        <v>1.0</v>
      </c>
      <c r="O217" s="20">
        <v>21.0</v>
      </c>
      <c r="P217" s="20">
        <f t="shared" si="2"/>
        <v>6</v>
      </c>
      <c r="Q217" s="21">
        <v>3.0</v>
      </c>
      <c r="R217" s="22">
        <f t="shared" si="3"/>
        <v>144.8974444</v>
      </c>
      <c r="S217" s="23">
        <f t="shared" si="4"/>
        <v>5.111111111</v>
      </c>
      <c r="T217" s="24">
        <f t="shared" si="5"/>
        <v>9.333333333</v>
      </c>
      <c r="U217" s="26">
        <f t="shared" si="6"/>
        <v>0.4655172414</v>
      </c>
      <c r="V217" s="26">
        <f t="shared" si="7"/>
        <v>0.3620689655</v>
      </c>
      <c r="W217" s="19">
        <f t="shared" si="8"/>
        <v>0.4347826087</v>
      </c>
      <c r="X217" s="20">
        <f t="shared" si="9"/>
        <v>230</v>
      </c>
      <c r="Y217" s="27"/>
      <c r="Z217" s="17"/>
      <c r="AA217" s="28"/>
      <c r="AB217" s="17"/>
      <c r="AC217" s="28"/>
      <c r="AD217" s="16"/>
    </row>
    <row r="218" ht="15.75" customHeight="1">
      <c r="A218" s="27" t="s">
        <v>817</v>
      </c>
      <c r="B218" s="27" t="s">
        <v>819</v>
      </c>
      <c r="C218" s="16" t="s">
        <v>820</v>
      </c>
      <c r="D218" s="17" t="s">
        <v>212</v>
      </c>
      <c r="E218" s="18" t="s">
        <v>34</v>
      </c>
      <c r="F218" s="18">
        <v>1.0</v>
      </c>
      <c r="G218" s="19">
        <f t="shared" si="1"/>
        <v>1.587329583</v>
      </c>
      <c r="H218" s="17">
        <v>45.0</v>
      </c>
      <c r="I218" s="10">
        <v>230.0</v>
      </c>
      <c r="J218" s="17">
        <v>14.0</v>
      </c>
      <c r="K218" s="17">
        <v>75.0</v>
      </c>
      <c r="L218" s="17">
        <v>239.0</v>
      </c>
      <c r="M218" s="20">
        <v>16.0</v>
      </c>
      <c r="N218" s="20">
        <v>2.0</v>
      </c>
      <c r="O218" s="20">
        <v>8.0</v>
      </c>
      <c r="P218" s="20">
        <f t="shared" si="2"/>
        <v>6</v>
      </c>
      <c r="Q218" s="21">
        <v>10.0</v>
      </c>
      <c r="R218" s="22">
        <f t="shared" si="3"/>
        <v>144.8974444</v>
      </c>
      <c r="S218" s="23">
        <f t="shared" si="4"/>
        <v>5.111111111</v>
      </c>
      <c r="T218" s="24">
        <f t="shared" si="5"/>
        <v>1.6</v>
      </c>
      <c r="U218" s="26">
        <f t="shared" si="6"/>
        <v>0.547826087</v>
      </c>
      <c r="V218" s="26">
        <f t="shared" si="7"/>
        <v>0.1391304348</v>
      </c>
      <c r="W218" s="19">
        <f t="shared" si="8"/>
        <v>0.3260869565</v>
      </c>
      <c r="X218" s="20">
        <f t="shared" si="9"/>
        <v>230</v>
      </c>
      <c r="Y218" s="27"/>
      <c r="Z218" s="17"/>
      <c r="AA218" s="28"/>
      <c r="AB218" s="17"/>
      <c r="AC218" s="28"/>
      <c r="AD218" s="27"/>
    </row>
    <row r="219" ht="15.75" customHeight="1">
      <c r="A219" s="27" t="s">
        <v>817</v>
      </c>
      <c r="B219" s="27" t="s">
        <v>831</v>
      </c>
      <c r="C219" s="16" t="s">
        <v>832</v>
      </c>
      <c r="D219" s="17" t="s">
        <v>212</v>
      </c>
      <c r="E219" s="18" t="s">
        <v>34</v>
      </c>
      <c r="F219" s="18">
        <v>1.0</v>
      </c>
      <c r="G219" s="19">
        <f t="shared" si="1"/>
        <v>1.587329583</v>
      </c>
      <c r="H219" s="17">
        <v>45.0</v>
      </c>
      <c r="I219" s="10">
        <v>230.0</v>
      </c>
      <c r="J219" s="17">
        <v>15.0</v>
      </c>
      <c r="K219" s="17">
        <v>140.0</v>
      </c>
      <c r="L219" s="17">
        <v>246.0</v>
      </c>
      <c r="M219" s="20">
        <v>15.0</v>
      </c>
      <c r="N219" s="20">
        <v>3.0</v>
      </c>
      <c r="O219" s="20">
        <v>7.0</v>
      </c>
      <c r="P219" s="20">
        <f t="shared" si="2"/>
        <v>5</v>
      </c>
      <c r="Q219" s="21">
        <v>10.0</v>
      </c>
      <c r="R219" s="22">
        <f t="shared" si="3"/>
        <v>144.8974444</v>
      </c>
      <c r="S219" s="23">
        <f t="shared" si="4"/>
        <v>5.111111111</v>
      </c>
      <c r="T219" s="24">
        <f t="shared" si="5"/>
        <v>1.5</v>
      </c>
      <c r="U219" s="26">
        <f t="shared" si="6"/>
        <v>0.5744680851</v>
      </c>
      <c r="V219" s="26">
        <f t="shared" si="7"/>
        <v>0.1191489362</v>
      </c>
      <c r="W219" s="19">
        <f t="shared" si="8"/>
        <v>0.6086956522</v>
      </c>
      <c r="X219" s="20">
        <f t="shared" si="9"/>
        <v>230</v>
      </c>
      <c r="Y219" s="27"/>
      <c r="Z219" s="17"/>
      <c r="AA219" s="28"/>
      <c r="AB219" s="17"/>
      <c r="AC219" s="28"/>
      <c r="AD219" s="27"/>
    </row>
    <row r="220" ht="15.75" customHeight="1">
      <c r="A220" s="27" t="s">
        <v>844</v>
      </c>
      <c r="B220" s="27" t="s">
        <v>845</v>
      </c>
      <c r="C220" s="16" t="s">
        <v>846</v>
      </c>
      <c r="D220" s="17" t="s">
        <v>847</v>
      </c>
      <c r="E220" s="18" t="s">
        <v>34</v>
      </c>
      <c r="F220" s="18">
        <v>1.0</v>
      </c>
      <c r="G220" s="19">
        <f t="shared" si="1"/>
        <v>1.587329583</v>
      </c>
      <c r="H220" s="17">
        <v>45.0</v>
      </c>
      <c r="I220" s="10">
        <v>230.0</v>
      </c>
      <c r="J220" s="17">
        <v>16.0</v>
      </c>
      <c r="K220" s="17">
        <v>125.0</v>
      </c>
      <c r="L220" s="17">
        <v>230.0</v>
      </c>
      <c r="M220" s="20">
        <v>15.0</v>
      </c>
      <c r="N220" s="20">
        <v>3.0</v>
      </c>
      <c r="O220" s="20">
        <v>6.0</v>
      </c>
      <c r="P220" s="20">
        <f t="shared" si="2"/>
        <v>6</v>
      </c>
      <c r="Q220" s="21">
        <v>10.0</v>
      </c>
      <c r="R220" s="22">
        <f t="shared" si="3"/>
        <v>144.8974444</v>
      </c>
      <c r="S220" s="23">
        <f t="shared" si="4"/>
        <v>5.111111111</v>
      </c>
      <c r="T220" s="24">
        <f t="shared" si="5"/>
        <v>1.5</v>
      </c>
      <c r="U220" s="26">
        <f t="shared" si="6"/>
        <v>0.5901639344</v>
      </c>
      <c r="V220" s="26">
        <f t="shared" si="7"/>
        <v>0.09836065574</v>
      </c>
      <c r="W220" s="19">
        <f t="shared" si="8"/>
        <v>0.5434782609</v>
      </c>
      <c r="X220" s="20">
        <f t="shared" si="9"/>
        <v>230</v>
      </c>
      <c r="Y220" s="27"/>
      <c r="Z220" s="17"/>
      <c r="AA220" s="28"/>
      <c r="AB220" s="17"/>
      <c r="AC220" s="28"/>
      <c r="AD220" s="16"/>
    </row>
    <row r="221" ht="15.75" customHeight="1">
      <c r="A221" s="27" t="s">
        <v>844</v>
      </c>
      <c r="B221" s="27" t="s">
        <v>856</v>
      </c>
      <c r="C221" s="16" t="s">
        <v>858</v>
      </c>
      <c r="D221" s="17" t="s">
        <v>847</v>
      </c>
      <c r="E221" s="18" t="s">
        <v>34</v>
      </c>
      <c r="F221" s="18">
        <v>1.0</v>
      </c>
      <c r="G221" s="19">
        <f t="shared" si="1"/>
        <v>1.587329583</v>
      </c>
      <c r="H221" s="17">
        <v>45.0</v>
      </c>
      <c r="I221" s="10">
        <v>230.0</v>
      </c>
      <c r="J221" s="17">
        <v>16.0</v>
      </c>
      <c r="K221" s="17">
        <v>115.0</v>
      </c>
      <c r="L221" s="17">
        <v>230.0</v>
      </c>
      <c r="M221" s="20">
        <v>15.0</v>
      </c>
      <c r="N221" s="20">
        <v>3.0</v>
      </c>
      <c r="O221" s="20">
        <v>6.0</v>
      </c>
      <c r="P221" s="20">
        <f t="shared" si="2"/>
        <v>6</v>
      </c>
      <c r="Q221" s="21">
        <v>10.0</v>
      </c>
      <c r="R221" s="22">
        <f t="shared" si="3"/>
        <v>144.8974444</v>
      </c>
      <c r="S221" s="23">
        <f t="shared" si="4"/>
        <v>5.111111111</v>
      </c>
      <c r="T221" s="24">
        <f t="shared" si="5"/>
        <v>1.5</v>
      </c>
      <c r="U221" s="26">
        <f t="shared" si="6"/>
        <v>0.5901639344</v>
      </c>
      <c r="V221" s="26">
        <f t="shared" si="7"/>
        <v>0.09836065574</v>
      </c>
      <c r="W221" s="19">
        <f t="shared" si="8"/>
        <v>0.5</v>
      </c>
      <c r="X221" s="20">
        <f t="shared" si="9"/>
        <v>230</v>
      </c>
      <c r="Y221" s="27"/>
      <c r="Z221" s="17"/>
      <c r="AA221" s="28"/>
      <c r="AB221" s="17"/>
      <c r="AC221" s="28"/>
      <c r="AD221" s="16"/>
    </row>
    <row r="222" ht="15.75" customHeight="1">
      <c r="A222" s="27" t="s">
        <v>844</v>
      </c>
      <c r="B222" s="27" t="s">
        <v>872</v>
      </c>
      <c r="C222" s="16" t="s">
        <v>873</v>
      </c>
      <c r="D222" s="17" t="s">
        <v>847</v>
      </c>
      <c r="E222" s="18" t="s">
        <v>34</v>
      </c>
      <c r="F222" s="18">
        <v>1.0</v>
      </c>
      <c r="G222" s="19">
        <f t="shared" si="1"/>
        <v>1.587329583</v>
      </c>
      <c r="H222" s="17">
        <v>45.0</v>
      </c>
      <c r="I222" s="10">
        <v>230.0</v>
      </c>
      <c r="J222" s="17">
        <v>16.0</v>
      </c>
      <c r="K222" s="17">
        <v>120.0</v>
      </c>
      <c r="L222" s="17">
        <v>220.0</v>
      </c>
      <c r="M222" s="20">
        <v>15.0</v>
      </c>
      <c r="N222" s="20">
        <v>3.0</v>
      </c>
      <c r="O222" s="20">
        <v>6.0</v>
      </c>
      <c r="P222" s="20">
        <f t="shared" si="2"/>
        <v>6</v>
      </c>
      <c r="Q222" s="21">
        <v>10.0</v>
      </c>
      <c r="R222" s="22">
        <f t="shared" si="3"/>
        <v>144.8974444</v>
      </c>
      <c r="S222" s="23">
        <f t="shared" si="4"/>
        <v>5.111111111</v>
      </c>
      <c r="T222" s="24">
        <f t="shared" si="5"/>
        <v>1.5</v>
      </c>
      <c r="U222" s="26">
        <f t="shared" si="6"/>
        <v>0.5901639344</v>
      </c>
      <c r="V222" s="26">
        <f t="shared" si="7"/>
        <v>0.09836065574</v>
      </c>
      <c r="W222" s="19">
        <f t="shared" si="8"/>
        <v>0.5217391304</v>
      </c>
      <c r="X222" s="20">
        <f t="shared" si="9"/>
        <v>230</v>
      </c>
      <c r="Y222" s="27"/>
      <c r="Z222" s="17"/>
      <c r="AA222" s="28"/>
      <c r="AB222" s="17"/>
      <c r="AC222" s="28"/>
      <c r="AD222" s="27"/>
    </row>
    <row r="223" ht="15.75" customHeight="1">
      <c r="A223" s="27" t="s">
        <v>844</v>
      </c>
      <c r="B223" s="27" t="s">
        <v>887</v>
      </c>
      <c r="C223" s="16" t="s">
        <v>888</v>
      </c>
      <c r="D223" s="17" t="s">
        <v>847</v>
      </c>
      <c r="E223" s="18" t="s">
        <v>34</v>
      </c>
      <c r="F223" s="18">
        <v>1.0</v>
      </c>
      <c r="G223" s="19">
        <f t="shared" si="1"/>
        <v>1.587329583</v>
      </c>
      <c r="H223" s="17">
        <v>45.0</v>
      </c>
      <c r="I223" s="10">
        <v>230.0</v>
      </c>
      <c r="J223" s="17">
        <v>16.0</v>
      </c>
      <c r="K223" s="17">
        <v>140.0</v>
      </c>
      <c r="L223" s="17">
        <v>230.0</v>
      </c>
      <c r="M223" s="20">
        <v>15.0</v>
      </c>
      <c r="N223" s="20">
        <v>3.0</v>
      </c>
      <c r="O223" s="20">
        <v>6.0</v>
      </c>
      <c r="P223" s="20">
        <f t="shared" si="2"/>
        <v>6</v>
      </c>
      <c r="Q223" s="21">
        <v>10.0</v>
      </c>
      <c r="R223" s="22">
        <f t="shared" si="3"/>
        <v>144.8974444</v>
      </c>
      <c r="S223" s="23">
        <f t="shared" si="4"/>
        <v>5.111111111</v>
      </c>
      <c r="T223" s="24">
        <f t="shared" si="5"/>
        <v>1.5</v>
      </c>
      <c r="U223" s="26">
        <f t="shared" si="6"/>
        <v>0.5901639344</v>
      </c>
      <c r="V223" s="26">
        <f t="shared" si="7"/>
        <v>0.09836065574</v>
      </c>
      <c r="W223" s="19">
        <f t="shared" si="8"/>
        <v>0.6086956522</v>
      </c>
      <c r="X223" s="20">
        <f t="shared" si="9"/>
        <v>230</v>
      </c>
      <c r="Y223" s="27"/>
      <c r="Z223" s="17"/>
      <c r="AA223" s="28"/>
      <c r="AB223" s="17"/>
      <c r="AC223" s="28"/>
      <c r="AD223" s="16"/>
    </row>
    <row r="224" ht="15.75" customHeight="1">
      <c r="A224" s="27" t="s">
        <v>844</v>
      </c>
      <c r="B224" s="27" t="s">
        <v>897</v>
      </c>
      <c r="C224" s="16" t="s">
        <v>898</v>
      </c>
      <c r="D224" s="17" t="s">
        <v>847</v>
      </c>
      <c r="E224" s="18" t="s">
        <v>34</v>
      </c>
      <c r="F224" s="18">
        <v>1.0</v>
      </c>
      <c r="G224" s="19">
        <f t="shared" si="1"/>
        <v>1.587329583</v>
      </c>
      <c r="H224" s="17">
        <v>45.0</v>
      </c>
      <c r="I224" s="10">
        <v>230.0</v>
      </c>
      <c r="J224" s="17">
        <v>16.0</v>
      </c>
      <c r="K224" s="17">
        <v>125.0</v>
      </c>
      <c r="L224" s="17">
        <v>230.0</v>
      </c>
      <c r="M224" s="20">
        <v>15.0</v>
      </c>
      <c r="N224" s="20">
        <v>3.0</v>
      </c>
      <c r="O224" s="20">
        <v>6.0</v>
      </c>
      <c r="P224" s="20">
        <f t="shared" si="2"/>
        <v>6</v>
      </c>
      <c r="Q224" s="21">
        <v>10.0</v>
      </c>
      <c r="R224" s="22">
        <f t="shared" si="3"/>
        <v>144.8974444</v>
      </c>
      <c r="S224" s="23">
        <f t="shared" si="4"/>
        <v>5.111111111</v>
      </c>
      <c r="T224" s="24">
        <f t="shared" si="5"/>
        <v>1.5</v>
      </c>
      <c r="U224" s="26">
        <f t="shared" si="6"/>
        <v>0.5901639344</v>
      </c>
      <c r="V224" s="26">
        <f t="shared" si="7"/>
        <v>0.09836065574</v>
      </c>
      <c r="W224" s="19">
        <f t="shared" si="8"/>
        <v>0.5434782609</v>
      </c>
      <c r="X224" s="20">
        <f t="shared" si="9"/>
        <v>230</v>
      </c>
      <c r="Y224" s="27"/>
      <c r="Z224" s="17"/>
      <c r="AA224" s="28"/>
      <c r="AB224" s="17"/>
      <c r="AC224" s="28"/>
      <c r="AD224" s="27"/>
    </row>
    <row r="225" ht="15.75" customHeight="1">
      <c r="A225" s="27" t="s">
        <v>553</v>
      </c>
      <c r="B225" s="27" t="s">
        <v>906</v>
      </c>
      <c r="C225" s="16" t="s">
        <v>908</v>
      </c>
      <c r="D225" s="17" t="s">
        <v>130</v>
      </c>
      <c r="E225" s="18" t="s">
        <v>34</v>
      </c>
      <c r="F225" s="18">
        <v>1.0</v>
      </c>
      <c r="G225" s="19">
        <f t="shared" si="1"/>
        <v>1.657877564</v>
      </c>
      <c r="H225" s="17">
        <v>47.0</v>
      </c>
      <c r="I225" s="10">
        <v>240.0</v>
      </c>
      <c r="J225" s="17">
        <v>14.0</v>
      </c>
      <c r="K225" s="17">
        <v>65.0</v>
      </c>
      <c r="L225" s="17"/>
      <c r="M225" s="20">
        <v>26.0</v>
      </c>
      <c r="N225" s="20">
        <v>2.0</v>
      </c>
      <c r="O225" s="20">
        <v>21.0</v>
      </c>
      <c r="P225" s="20">
        <f t="shared" si="2"/>
        <v>3</v>
      </c>
      <c r="Q225" s="21">
        <v>5.0</v>
      </c>
      <c r="R225" s="22">
        <f t="shared" si="3"/>
        <v>144.7634043</v>
      </c>
      <c r="S225" s="23">
        <f t="shared" si="4"/>
        <v>5.106382979</v>
      </c>
      <c r="T225" s="24">
        <f t="shared" si="5"/>
        <v>5.2</v>
      </c>
      <c r="U225" s="26">
        <f t="shared" si="6"/>
        <v>0.504</v>
      </c>
      <c r="V225" s="26">
        <f t="shared" si="7"/>
        <v>0.336</v>
      </c>
      <c r="W225" s="19">
        <f t="shared" si="8"/>
        <v>0.2708333333</v>
      </c>
      <c r="X225" s="20">
        <f t="shared" si="9"/>
        <v>240</v>
      </c>
      <c r="Y225" s="27"/>
      <c r="Z225" s="17"/>
      <c r="AA225" s="28"/>
      <c r="AB225" s="17"/>
      <c r="AC225" s="28"/>
      <c r="AD225" s="27"/>
    </row>
    <row r="226" ht="15.75" customHeight="1">
      <c r="A226" s="27" t="s">
        <v>248</v>
      </c>
      <c r="B226" s="27" t="s">
        <v>917</v>
      </c>
      <c r="C226" s="16" t="s">
        <v>918</v>
      </c>
      <c r="D226" s="17" t="s">
        <v>212</v>
      </c>
      <c r="E226" s="18" t="s">
        <v>34</v>
      </c>
      <c r="F226" s="18">
        <v>1.0</v>
      </c>
      <c r="G226" s="19">
        <f t="shared" si="1"/>
        <v>1.94006949</v>
      </c>
      <c r="H226" s="17">
        <v>55.0</v>
      </c>
      <c r="I226" s="10">
        <v>280.0</v>
      </c>
      <c r="J226" s="17">
        <v>21.0</v>
      </c>
      <c r="K226" s="17">
        <v>140.0</v>
      </c>
      <c r="L226" s="17"/>
      <c r="M226" s="20">
        <v>15.0</v>
      </c>
      <c r="N226" s="20">
        <v>3.0</v>
      </c>
      <c r="O226" s="20">
        <v>7.0</v>
      </c>
      <c r="P226" s="20">
        <f t="shared" si="2"/>
        <v>5</v>
      </c>
      <c r="Q226" s="21">
        <v>12.0</v>
      </c>
      <c r="R226" s="22">
        <f t="shared" si="3"/>
        <v>144.3247273</v>
      </c>
      <c r="S226" s="23">
        <f t="shared" si="4"/>
        <v>5.090909091</v>
      </c>
      <c r="T226" s="24">
        <f t="shared" si="5"/>
        <v>1.25</v>
      </c>
      <c r="U226" s="26">
        <f t="shared" si="6"/>
        <v>0.6363636364</v>
      </c>
      <c r="V226" s="26">
        <f t="shared" si="7"/>
        <v>0.09427609428</v>
      </c>
      <c r="W226" s="19">
        <f t="shared" si="8"/>
        <v>0.5</v>
      </c>
      <c r="X226" s="20">
        <f t="shared" si="9"/>
        <v>280</v>
      </c>
      <c r="Y226" s="27"/>
      <c r="Z226" s="17"/>
      <c r="AA226" s="28"/>
      <c r="AB226" s="17"/>
      <c r="AC226" s="28"/>
      <c r="AD226" s="27"/>
    </row>
    <row r="227" ht="15.75" customHeight="1">
      <c r="A227" s="27" t="s">
        <v>501</v>
      </c>
      <c r="B227" s="27" t="s">
        <v>925</v>
      </c>
      <c r="C227" s="16" t="s">
        <v>926</v>
      </c>
      <c r="D227" s="17" t="s">
        <v>130</v>
      </c>
      <c r="E227" s="18" t="s">
        <v>34</v>
      </c>
      <c r="F227" s="18">
        <v>1.0</v>
      </c>
      <c r="G227" s="19">
        <f t="shared" si="1"/>
        <v>2.081165453</v>
      </c>
      <c r="H227" s="17">
        <v>59.0</v>
      </c>
      <c r="I227" s="10">
        <v>300.0</v>
      </c>
      <c r="J227" s="17">
        <v>19.0</v>
      </c>
      <c r="K227" s="17">
        <v>100.0</v>
      </c>
      <c r="L227" s="17"/>
      <c r="M227" s="20">
        <v>37.0</v>
      </c>
      <c r="N227" s="20">
        <v>3.0</v>
      </c>
      <c r="O227" s="20">
        <v>28.0</v>
      </c>
      <c r="P227" s="20">
        <f t="shared" si="2"/>
        <v>6</v>
      </c>
      <c r="Q227" s="21">
        <v>3.0</v>
      </c>
      <c r="R227" s="22">
        <f t="shared" si="3"/>
        <v>144.15</v>
      </c>
      <c r="S227" s="23">
        <f t="shared" si="4"/>
        <v>5.084745763</v>
      </c>
      <c r="T227" s="24">
        <f t="shared" si="5"/>
        <v>12.33333333</v>
      </c>
      <c r="U227" s="26">
        <f t="shared" si="6"/>
        <v>0.5166163142</v>
      </c>
      <c r="V227" s="26">
        <f t="shared" si="7"/>
        <v>0.3383685801</v>
      </c>
      <c r="W227" s="19">
        <f t="shared" si="8"/>
        <v>0.3333333333</v>
      </c>
      <c r="X227" s="20">
        <f t="shared" si="9"/>
        <v>300</v>
      </c>
      <c r="Y227" s="27"/>
      <c r="Z227" s="17"/>
      <c r="AA227" s="28"/>
      <c r="AB227" s="17"/>
      <c r="AC227" s="28"/>
      <c r="AD227" s="16"/>
    </row>
    <row r="228" ht="15.75" customHeight="1">
      <c r="A228" s="27" t="s">
        <v>607</v>
      </c>
      <c r="B228" s="27" t="s">
        <v>933</v>
      </c>
      <c r="C228" s="16" t="s">
        <v>935</v>
      </c>
      <c r="D228" s="17" t="s">
        <v>212</v>
      </c>
      <c r="E228" s="18" t="s">
        <v>34</v>
      </c>
      <c r="F228" s="18">
        <v>1.0</v>
      </c>
      <c r="G228" s="19">
        <f t="shared" si="1"/>
        <v>2.292809397</v>
      </c>
      <c r="H228" s="17">
        <v>65.0</v>
      </c>
      <c r="I228" s="10">
        <v>330.0</v>
      </c>
      <c r="J228" s="17">
        <v>20.0</v>
      </c>
      <c r="K228" s="17">
        <v>105.0</v>
      </c>
      <c r="L228" s="17"/>
      <c r="M228" s="20">
        <v>24.0</v>
      </c>
      <c r="N228" s="20">
        <v>4.0</v>
      </c>
      <c r="O228" s="20">
        <v>18.0</v>
      </c>
      <c r="P228" s="20">
        <f t="shared" si="2"/>
        <v>2</v>
      </c>
      <c r="Q228" s="21">
        <v>15.0</v>
      </c>
      <c r="R228" s="22">
        <f t="shared" si="3"/>
        <v>143.9282308</v>
      </c>
      <c r="S228" s="23">
        <f t="shared" si="4"/>
        <v>5.076923077</v>
      </c>
      <c r="T228" s="24">
        <f t="shared" si="5"/>
        <v>1.6</v>
      </c>
      <c r="U228" s="26">
        <f t="shared" si="6"/>
        <v>0.5357142857</v>
      </c>
      <c r="V228" s="26">
        <f t="shared" si="7"/>
        <v>0.2142857143</v>
      </c>
      <c r="W228" s="19">
        <f t="shared" si="8"/>
        <v>0.3181818182</v>
      </c>
      <c r="X228" s="20">
        <f t="shared" si="9"/>
        <v>330</v>
      </c>
      <c r="Y228" s="27"/>
      <c r="Z228" s="17"/>
      <c r="AA228" s="28"/>
      <c r="AB228" s="17"/>
      <c r="AC228" s="28"/>
      <c r="AD228" s="27"/>
    </row>
    <row r="229" ht="15.75" customHeight="1">
      <c r="A229" s="16" t="s">
        <v>139</v>
      </c>
      <c r="B229" s="16" t="s">
        <v>451</v>
      </c>
      <c r="C229" s="16" t="s">
        <v>941</v>
      </c>
      <c r="D229" s="17" t="s">
        <v>81</v>
      </c>
      <c r="E229" s="18" t="s">
        <v>34</v>
      </c>
      <c r="F229" s="18">
        <v>1.0</v>
      </c>
      <c r="G229" s="19">
        <f t="shared" si="1"/>
        <v>1.058219722</v>
      </c>
      <c r="H229" s="17">
        <v>30.0</v>
      </c>
      <c r="I229" s="10">
        <v>150.0</v>
      </c>
      <c r="J229" s="17">
        <v>8.0</v>
      </c>
      <c r="K229" s="17">
        <v>0.0</v>
      </c>
      <c r="L229" s="17"/>
      <c r="M229" s="20">
        <v>26.0</v>
      </c>
      <c r="N229" s="20">
        <v>1.0</v>
      </c>
      <c r="O229" s="20">
        <v>5.0</v>
      </c>
      <c r="P229" s="20">
        <f t="shared" si="2"/>
        <v>20</v>
      </c>
      <c r="Q229" s="21">
        <v>1.0</v>
      </c>
      <c r="R229" s="22">
        <f t="shared" si="3"/>
        <v>141.7475</v>
      </c>
      <c r="S229" s="23">
        <f t="shared" si="4"/>
        <v>5</v>
      </c>
      <c r="T229" s="24">
        <f t="shared" si="5"/>
        <v>26</v>
      </c>
      <c r="U229" s="26">
        <f t="shared" si="6"/>
        <v>0.4</v>
      </c>
      <c r="V229" s="26">
        <f t="shared" si="7"/>
        <v>0.1111111111</v>
      </c>
      <c r="W229" s="19">
        <f t="shared" si="8"/>
        <v>0</v>
      </c>
      <c r="X229" s="20">
        <f t="shared" si="9"/>
        <v>150</v>
      </c>
      <c r="Y229" s="27"/>
      <c r="Z229" s="17"/>
      <c r="AA229" s="28"/>
      <c r="AB229" s="17"/>
      <c r="AC229" s="28"/>
      <c r="AD229" s="16"/>
    </row>
    <row r="230" ht="15.75" customHeight="1">
      <c r="A230" s="27" t="s">
        <v>339</v>
      </c>
      <c r="B230" s="27" t="s">
        <v>948</v>
      </c>
      <c r="C230" s="16" t="s">
        <v>949</v>
      </c>
      <c r="D230" s="17" t="s">
        <v>318</v>
      </c>
      <c r="E230" s="18" t="s">
        <v>34</v>
      </c>
      <c r="F230" s="18">
        <v>1.0</v>
      </c>
      <c r="G230" s="19">
        <f t="shared" si="1"/>
        <v>1.199315685</v>
      </c>
      <c r="H230" s="17">
        <v>34.0</v>
      </c>
      <c r="I230" s="10">
        <v>170.0</v>
      </c>
      <c r="J230" s="17">
        <v>7.0</v>
      </c>
      <c r="K230" s="17">
        <v>120.0</v>
      </c>
      <c r="L230" s="17">
        <v>20.0</v>
      </c>
      <c r="M230" s="20">
        <v>25.0</v>
      </c>
      <c r="N230" s="20">
        <v>0.0</v>
      </c>
      <c r="O230" s="20">
        <v>12.0</v>
      </c>
      <c r="P230" s="20">
        <f t="shared" si="2"/>
        <v>13</v>
      </c>
      <c r="Q230" s="21">
        <v>1.0</v>
      </c>
      <c r="R230" s="22">
        <f t="shared" si="3"/>
        <v>141.7475</v>
      </c>
      <c r="S230" s="23">
        <f t="shared" si="4"/>
        <v>5</v>
      </c>
      <c r="T230" s="24">
        <f t="shared" si="5"/>
        <v>25</v>
      </c>
      <c r="U230" s="26">
        <f t="shared" si="6"/>
        <v>0.377245509</v>
      </c>
      <c r="V230" s="26">
        <f t="shared" si="7"/>
        <v>0.2874251497</v>
      </c>
      <c r="W230" s="19">
        <f t="shared" si="8"/>
        <v>0.7058823529</v>
      </c>
      <c r="X230" s="20">
        <f t="shared" si="9"/>
        <v>170</v>
      </c>
      <c r="Y230" s="27"/>
      <c r="Z230" s="17"/>
      <c r="AA230" s="28"/>
      <c r="AB230" s="17"/>
      <c r="AC230" s="28"/>
      <c r="AD230" s="27"/>
    </row>
    <row r="231" ht="15.75" customHeight="1">
      <c r="A231" s="27" t="s">
        <v>339</v>
      </c>
      <c r="B231" s="27" t="s">
        <v>954</v>
      </c>
      <c r="C231" s="16" t="s">
        <v>955</v>
      </c>
      <c r="D231" s="17" t="s">
        <v>318</v>
      </c>
      <c r="E231" s="18" t="s">
        <v>34</v>
      </c>
      <c r="F231" s="18">
        <v>1.0</v>
      </c>
      <c r="G231" s="19">
        <f t="shared" si="1"/>
        <v>1.269863666</v>
      </c>
      <c r="H231" s="17">
        <v>36.0</v>
      </c>
      <c r="I231" s="10">
        <v>180.0</v>
      </c>
      <c r="J231" s="17">
        <v>9.0</v>
      </c>
      <c r="K231" s="17">
        <v>90.0</v>
      </c>
      <c r="L231" s="17">
        <v>40.0</v>
      </c>
      <c r="M231" s="20">
        <v>25.0</v>
      </c>
      <c r="N231" s="20">
        <v>0.0</v>
      </c>
      <c r="O231" s="20">
        <v>17.0</v>
      </c>
      <c r="P231" s="20">
        <f t="shared" si="2"/>
        <v>8</v>
      </c>
      <c r="Q231" s="21">
        <v>1.0</v>
      </c>
      <c r="R231" s="22">
        <f t="shared" si="3"/>
        <v>141.7475</v>
      </c>
      <c r="S231" s="23">
        <f t="shared" si="4"/>
        <v>5</v>
      </c>
      <c r="T231" s="24">
        <f t="shared" si="5"/>
        <v>25</v>
      </c>
      <c r="U231" s="26">
        <f t="shared" si="6"/>
        <v>0.4378378378</v>
      </c>
      <c r="V231" s="26">
        <f t="shared" si="7"/>
        <v>0.3675675676</v>
      </c>
      <c r="W231" s="19">
        <f t="shared" si="8"/>
        <v>0.5</v>
      </c>
      <c r="X231" s="20">
        <f t="shared" si="9"/>
        <v>180</v>
      </c>
      <c r="Y231" s="27"/>
      <c r="Z231" s="17"/>
      <c r="AA231" s="28"/>
      <c r="AB231" s="17"/>
      <c r="AC231" s="28"/>
      <c r="AD231" s="27"/>
    </row>
    <row r="232" ht="15.75" customHeight="1">
      <c r="A232" s="16" t="s">
        <v>453</v>
      </c>
      <c r="B232" s="16" t="s">
        <v>960</v>
      </c>
      <c r="C232" s="16" t="s">
        <v>961</v>
      </c>
      <c r="D232" s="17" t="s">
        <v>456</v>
      </c>
      <c r="E232" s="18" t="s">
        <v>34</v>
      </c>
      <c r="F232" s="18">
        <v>1.0</v>
      </c>
      <c r="G232" s="19">
        <f t="shared" si="1"/>
        <v>1.058219722</v>
      </c>
      <c r="H232" s="17">
        <v>30.0</v>
      </c>
      <c r="I232" s="10">
        <v>150.0</v>
      </c>
      <c r="J232" s="17">
        <v>7.0</v>
      </c>
      <c r="K232" s="17">
        <v>60.0</v>
      </c>
      <c r="L232" s="17"/>
      <c r="M232" s="20">
        <v>21.0</v>
      </c>
      <c r="N232" s="20">
        <v>1.0</v>
      </c>
      <c r="O232" s="20">
        <v>11.0</v>
      </c>
      <c r="P232" s="20">
        <f t="shared" si="2"/>
        <v>9</v>
      </c>
      <c r="Q232" s="21">
        <v>1.0</v>
      </c>
      <c r="R232" s="22">
        <f t="shared" si="3"/>
        <v>141.7475</v>
      </c>
      <c r="S232" s="23">
        <f t="shared" si="4"/>
        <v>5</v>
      </c>
      <c r="T232" s="24">
        <f t="shared" si="5"/>
        <v>21</v>
      </c>
      <c r="U232" s="26">
        <f t="shared" si="6"/>
        <v>0.417218543</v>
      </c>
      <c r="V232" s="26">
        <f t="shared" si="7"/>
        <v>0.2913907285</v>
      </c>
      <c r="W232" s="19">
        <f t="shared" si="8"/>
        <v>0.4</v>
      </c>
      <c r="X232" s="20">
        <f t="shared" si="9"/>
        <v>150</v>
      </c>
      <c r="Y232" s="27"/>
      <c r="Z232" s="17"/>
      <c r="AA232" s="28"/>
      <c r="AB232" s="17"/>
      <c r="AC232" s="28"/>
      <c r="AD232" s="27"/>
    </row>
    <row r="233" ht="15.75" customHeight="1">
      <c r="A233" s="27" t="s">
        <v>453</v>
      </c>
      <c r="B233" s="27" t="s">
        <v>968</v>
      </c>
      <c r="C233" s="16" t="s">
        <v>969</v>
      </c>
      <c r="D233" s="17" t="s">
        <v>456</v>
      </c>
      <c r="E233" s="18" t="s">
        <v>34</v>
      </c>
      <c r="F233" s="18">
        <v>1.0</v>
      </c>
      <c r="G233" s="19">
        <f t="shared" si="1"/>
        <v>1.058219722</v>
      </c>
      <c r="H233" s="17">
        <v>30.0</v>
      </c>
      <c r="I233" s="10">
        <v>150.0</v>
      </c>
      <c r="J233" s="17">
        <v>7.0</v>
      </c>
      <c r="K233" s="17">
        <v>60.0</v>
      </c>
      <c r="L233" s="17"/>
      <c r="M233" s="20">
        <v>21.0</v>
      </c>
      <c r="N233" s="20">
        <v>1.0</v>
      </c>
      <c r="O233" s="20">
        <v>11.0</v>
      </c>
      <c r="P233" s="20">
        <f t="shared" si="2"/>
        <v>9</v>
      </c>
      <c r="Q233" s="21">
        <v>1.0</v>
      </c>
      <c r="R233" s="22">
        <f t="shared" si="3"/>
        <v>141.7475</v>
      </c>
      <c r="S233" s="23">
        <f t="shared" si="4"/>
        <v>5</v>
      </c>
      <c r="T233" s="24">
        <f t="shared" si="5"/>
        <v>21</v>
      </c>
      <c r="U233" s="26">
        <f t="shared" si="6"/>
        <v>0.417218543</v>
      </c>
      <c r="V233" s="26">
        <f t="shared" si="7"/>
        <v>0.2913907285</v>
      </c>
      <c r="W233" s="19">
        <f t="shared" si="8"/>
        <v>0.4</v>
      </c>
      <c r="X233" s="20">
        <f t="shared" si="9"/>
        <v>150</v>
      </c>
      <c r="Y233" s="27"/>
      <c r="Z233" s="17"/>
      <c r="AA233" s="28"/>
      <c r="AB233" s="17"/>
      <c r="AC233" s="28"/>
      <c r="AD233" s="16"/>
    </row>
    <row r="234" ht="15.75" customHeight="1">
      <c r="A234" s="27" t="s">
        <v>453</v>
      </c>
      <c r="B234" s="27" t="s">
        <v>974</v>
      </c>
      <c r="C234" s="16" t="s">
        <v>975</v>
      </c>
      <c r="D234" s="17" t="s">
        <v>456</v>
      </c>
      <c r="E234" s="18" t="s">
        <v>34</v>
      </c>
      <c r="F234" s="18">
        <v>1.0</v>
      </c>
      <c r="G234" s="19">
        <f t="shared" si="1"/>
        <v>1.058219722</v>
      </c>
      <c r="H234" s="17">
        <v>30.0</v>
      </c>
      <c r="I234" s="10">
        <v>150.0</v>
      </c>
      <c r="J234" s="17">
        <v>7.0</v>
      </c>
      <c r="K234" s="17">
        <v>60.0</v>
      </c>
      <c r="L234" s="17"/>
      <c r="M234" s="20">
        <v>21.0</v>
      </c>
      <c r="N234" s="20">
        <v>1.0</v>
      </c>
      <c r="O234" s="20">
        <v>11.0</v>
      </c>
      <c r="P234" s="20">
        <f t="shared" si="2"/>
        <v>9</v>
      </c>
      <c r="Q234" s="21">
        <v>1.0</v>
      </c>
      <c r="R234" s="22">
        <f t="shared" si="3"/>
        <v>141.7475</v>
      </c>
      <c r="S234" s="23">
        <f t="shared" si="4"/>
        <v>5</v>
      </c>
      <c r="T234" s="24">
        <f t="shared" si="5"/>
        <v>21</v>
      </c>
      <c r="U234" s="26">
        <f t="shared" si="6"/>
        <v>0.417218543</v>
      </c>
      <c r="V234" s="26">
        <f t="shared" si="7"/>
        <v>0.2913907285</v>
      </c>
      <c r="W234" s="19">
        <f t="shared" si="8"/>
        <v>0.4</v>
      </c>
      <c r="X234" s="20">
        <f t="shared" si="9"/>
        <v>150</v>
      </c>
      <c r="Y234" s="27"/>
      <c r="Z234" s="17"/>
      <c r="AA234" s="28"/>
      <c r="AB234" s="17"/>
      <c r="AC234" s="28"/>
      <c r="AD234" s="16"/>
    </row>
    <row r="235" ht="15.75" customHeight="1">
      <c r="A235" s="27" t="s">
        <v>453</v>
      </c>
      <c r="B235" s="27" t="s">
        <v>978</v>
      </c>
      <c r="C235" s="16" t="s">
        <v>45</v>
      </c>
      <c r="D235" s="17" t="s">
        <v>456</v>
      </c>
      <c r="E235" s="18" t="s">
        <v>34</v>
      </c>
      <c r="F235" s="18">
        <v>1.0</v>
      </c>
      <c r="G235" s="19">
        <f t="shared" si="1"/>
        <v>1.058219722</v>
      </c>
      <c r="H235" s="17">
        <v>30.0</v>
      </c>
      <c r="I235" s="10">
        <v>150.0</v>
      </c>
      <c r="J235" s="17">
        <v>7.0</v>
      </c>
      <c r="K235" s="17">
        <v>55.0</v>
      </c>
      <c r="L235" s="17"/>
      <c r="M235" s="20">
        <v>19.0</v>
      </c>
      <c r="N235" s="20">
        <v>1.0</v>
      </c>
      <c r="O235" s="20">
        <v>10.0</v>
      </c>
      <c r="P235" s="20">
        <f t="shared" si="2"/>
        <v>8</v>
      </c>
      <c r="Q235" s="21">
        <v>1.0</v>
      </c>
      <c r="R235" s="22">
        <f t="shared" si="3"/>
        <v>141.7475</v>
      </c>
      <c r="S235" s="23">
        <f t="shared" si="4"/>
        <v>5</v>
      </c>
      <c r="T235" s="24">
        <f t="shared" si="5"/>
        <v>19</v>
      </c>
      <c r="U235" s="26">
        <f t="shared" si="6"/>
        <v>0.4405594406</v>
      </c>
      <c r="V235" s="26">
        <f t="shared" si="7"/>
        <v>0.2797202797</v>
      </c>
      <c r="W235" s="19">
        <f t="shared" si="8"/>
        <v>0.3666666667</v>
      </c>
      <c r="X235" s="20">
        <f t="shared" si="9"/>
        <v>150</v>
      </c>
      <c r="Y235" s="27"/>
      <c r="Z235" s="17"/>
      <c r="AA235" s="28"/>
      <c r="AB235" s="17"/>
      <c r="AC235" s="28"/>
      <c r="AD235" s="16"/>
    </row>
    <row r="236" ht="15.75" customHeight="1">
      <c r="A236" s="27" t="s">
        <v>104</v>
      </c>
      <c r="B236" s="27" t="s">
        <v>985</v>
      </c>
      <c r="C236" s="16" t="s">
        <v>986</v>
      </c>
      <c r="D236" s="17" t="s">
        <v>81</v>
      </c>
      <c r="E236" s="18" t="s">
        <v>34</v>
      </c>
      <c r="F236" s="18">
        <v>1.0</v>
      </c>
      <c r="G236" s="19">
        <f t="shared" si="1"/>
        <v>0.9876717402</v>
      </c>
      <c r="H236" s="17">
        <v>28.0</v>
      </c>
      <c r="I236" s="10">
        <v>140.0</v>
      </c>
      <c r="J236" s="17">
        <v>7.0</v>
      </c>
      <c r="K236" s="17">
        <v>15.0</v>
      </c>
      <c r="L236" s="17"/>
      <c r="M236" s="20">
        <v>17.0</v>
      </c>
      <c r="N236" s="20">
        <v>1.0</v>
      </c>
      <c r="O236" s="20">
        <v>0.0</v>
      </c>
      <c r="P236" s="20">
        <f t="shared" si="2"/>
        <v>16</v>
      </c>
      <c r="Q236" s="21">
        <v>1.0</v>
      </c>
      <c r="R236" s="22">
        <f t="shared" si="3"/>
        <v>141.7475</v>
      </c>
      <c r="S236" s="23">
        <f t="shared" si="4"/>
        <v>5</v>
      </c>
      <c r="T236" s="24">
        <f t="shared" si="5"/>
        <v>17</v>
      </c>
      <c r="U236" s="26">
        <f t="shared" si="6"/>
        <v>0.4666666667</v>
      </c>
      <c r="V236" s="26" t="str">
        <f t="shared" si="7"/>
        <v>0%</v>
      </c>
      <c r="W236" s="19">
        <f t="shared" si="8"/>
        <v>0.1071428571</v>
      </c>
      <c r="X236" s="20">
        <f t="shared" si="9"/>
        <v>140</v>
      </c>
      <c r="Y236" s="27"/>
      <c r="Z236" s="17"/>
      <c r="AA236" s="28"/>
      <c r="AB236" s="17"/>
      <c r="AC236" s="28"/>
      <c r="AD236" s="27"/>
    </row>
    <row r="237" ht="15.75" customHeight="1">
      <c r="A237" s="27" t="s">
        <v>339</v>
      </c>
      <c r="B237" s="27" t="s">
        <v>992</v>
      </c>
      <c r="C237" s="16" t="s">
        <v>993</v>
      </c>
      <c r="D237" s="17" t="s">
        <v>318</v>
      </c>
      <c r="E237" s="18" t="s">
        <v>34</v>
      </c>
      <c r="F237" s="18">
        <v>1.0</v>
      </c>
      <c r="G237" s="19">
        <f t="shared" si="1"/>
        <v>0.8465757774</v>
      </c>
      <c r="H237" s="17">
        <v>24.0</v>
      </c>
      <c r="I237" s="10">
        <v>120.0</v>
      </c>
      <c r="J237" s="17">
        <v>6.0</v>
      </c>
      <c r="K237" s="17">
        <v>55.0</v>
      </c>
      <c r="L237" s="17">
        <v>50.0</v>
      </c>
      <c r="M237" s="20">
        <v>16.0</v>
      </c>
      <c r="N237" s="20">
        <v>1.0</v>
      </c>
      <c r="O237" s="20">
        <v>12.0</v>
      </c>
      <c r="P237" s="20">
        <f t="shared" si="2"/>
        <v>3</v>
      </c>
      <c r="Q237" s="21">
        <v>1.0</v>
      </c>
      <c r="R237" s="22">
        <f t="shared" si="3"/>
        <v>141.7475</v>
      </c>
      <c r="S237" s="23">
        <f t="shared" si="4"/>
        <v>5</v>
      </c>
      <c r="T237" s="24">
        <f t="shared" si="5"/>
        <v>16</v>
      </c>
      <c r="U237" s="26">
        <f t="shared" si="6"/>
        <v>0.4426229508</v>
      </c>
      <c r="V237" s="26">
        <f t="shared" si="7"/>
        <v>0.393442623</v>
      </c>
      <c r="W237" s="19">
        <f t="shared" si="8"/>
        <v>0.4583333333</v>
      </c>
      <c r="X237" s="20">
        <f t="shared" si="9"/>
        <v>120</v>
      </c>
      <c r="Y237" s="27"/>
      <c r="Z237" s="17"/>
      <c r="AA237" s="28"/>
      <c r="AB237" s="17"/>
      <c r="AC237" s="28"/>
      <c r="AD237" s="27"/>
    </row>
    <row r="238" ht="15.75" customHeight="1">
      <c r="A238" s="16" t="s">
        <v>435</v>
      </c>
      <c r="B238" s="16" t="s">
        <v>999</v>
      </c>
      <c r="C238" s="16" t="s">
        <v>1000</v>
      </c>
      <c r="D238" s="17" t="s">
        <v>130</v>
      </c>
      <c r="E238" s="18" t="s">
        <v>34</v>
      </c>
      <c r="F238" s="18">
        <v>1.0</v>
      </c>
      <c r="G238" s="19">
        <f t="shared" si="1"/>
        <v>1.48150761</v>
      </c>
      <c r="H238" s="17">
        <v>42.0</v>
      </c>
      <c r="I238" s="10">
        <v>210.0</v>
      </c>
      <c r="J238" s="17">
        <v>9.0</v>
      </c>
      <c r="K238" s="17">
        <v>15.0</v>
      </c>
      <c r="L238" s="17"/>
      <c r="M238" s="20">
        <v>30.0</v>
      </c>
      <c r="N238" s="20">
        <v>2.0</v>
      </c>
      <c r="O238" s="20">
        <v>26.0</v>
      </c>
      <c r="P238" s="20">
        <f t="shared" si="2"/>
        <v>2</v>
      </c>
      <c r="Q238" s="21">
        <v>2.0</v>
      </c>
      <c r="R238" s="22">
        <f t="shared" si="3"/>
        <v>141.7475</v>
      </c>
      <c r="S238" s="23">
        <f t="shared" si="4"/>
        <v>5</v>
      </c>
      <c r="T238" s="24">
        <f t="shared" si="5"/>
        <v>15</v>
      </c>
      <c r="U238" s="26">
        <f t="shared" si="6"/>
        <v>0.3875598086</v>
      </c>
      <c r="V238" s="26">
        <f t="shared" si="7"/>
        <v>0.4976076555</v>
      </c>
      <c r="W238" s="19">
        <f t="shared" si="8"/>
        <v>0.07142857143</v>
      </c>
      <c r="X238" s="20">
        <f t="shared" si="9"/>
        <v>210</v>
      </c>
      <c r="Y238" s="27"/>
      <c r="Z238" s="17"/>
      <c r="AA238" s="28"/>
      <c r="AB238" s="17"/>
      <c r="AC238" s="28"/>
      <c r="AD238" s="27"/>
    </row>
    <row r="239" ht="15.75" customHeight="1">
      <c r="A239" s="27" t="s">
        <v>483</v>
      </c>
      <c r="B239" s="27" t="s">
        <v>1004</v>
      </c>
      <c r="C239" s="16" t="s">
        <v>1006</v>
      </c>
      <c r="D239" s="17" t="s">
        <v>130</v>
      </c>
      <c r="E239" s="18" t="s">
        <v>34</v>
      </c>
      <c r="F239" s="18">
        <v>1.0</v>
      </c>
      <c r="G239" s="19">
        <f t="shared" si="1"/>
        <v>1.552055592</v>
      </c>
      <c r="H239" s="17">
        <v>44.0</v>
      </c>
      <c r="I239" s="10">
        <v>220.0</v>
      </c>
      <c r="J239" s="17">
        <v>11.0</v>
      </c>
      <c r="K239" s="17">
        <v>60.0</v>
      </c>
      <c r="L239" s="17"/>
      <c r="M239" s="20">
        <v>30.0</v>
      </c>
      <c r="N239" s="20">
        <v>1.0</v>
      </c>
      <c r="O239" s="20">
        <v>24.0</v>
      </c>
      <c r="P239" s="20">
        <f t="shared" si="2"/>
        <v>5</v>
      </c>
      <c r="Q239" s="21">
        <v>2.0</v>
      </c>
      <c r="R239" s="22">
        <f t="shared" si="3"/>
        <v>141.7475</v>
      </c>
      <c r="S239" s="23">
        <f t="shared" si="4"/>
        <v>5</v>
      </c>
      <c r="T239" s="24">
        <f t="shared" si="5"/>
        <v>15</v>
      </c>
      <c r="U239" s="26">
        <f t="shared" si="6"/>
        <v>0.436123348</v>
      </c>
      <c r="V239" s="26">
        <f t="shared" si="7"/>
        <v>0.422907489</v>
      </c>
      <c r="W239" s="19">
        <f t="shared" si="8"/>
        <v>0.2727272727</v>
      </c>
      <c r="X239" s="20">
        <f t="shared" si="9"/>
        <v>220</v>
      </c>
      <c r="Y239" s="27"/>
      <c r="Z239" s="17"/>
      <c r="AA239" s="28"/>
      <c r="AB239" s="17"/>
      <c r="AC239" s="28"/>
      <c r="AD239" s="27"/>
    </row>
    <row r="240" ht="15.75" customHeight="1">
      <c r="A240" s="16" t="s">
        <v>435</v>
      </c>
      <c r="B240" s="16" t="s">
        <v>1012</v>
      </c>
      <c r="C240" s="16" t="s">
        <v>1013</v>
      </c>
      <c r="D240" s="17" t="s">
        <v>130</v>
      </c>
      <c r="E240" s="18" t="s">
        <v>34</v>
      </c>
      <c r="F240" s="18">
        <v>1.0</v>
      </c>
      <c r="G240" s="19">
        <f t="shared" si="1"/>
        <v>1.48150761</v>
      </c>
      <c r="H240" s="17">
        <v>42.0</v>
      </c>
      <c r="I240" s="10">
        <v>210.0</v>
      </c>
      <c r="J240" s="17">
        <v>10.0</v>
      </c>
      <c r="K240" s="17">
        <v>10.0</v>
      </c>
      <c r="L240" s="17"/>
      <c r="M240" s="20">
        <v>29.0</v>
      </c>
      <c r="N240" s="20">
        <v>2.0</v>
      </c>
      <c r="O240" s="20">
        <v>24.0</v>
      </c>
      <c r="P240" s="20">
        <f t="shared" si="2"/>
        <v>3</v>
      </c>
      <c r="Q240" s="21">
        <v>2.0</v>
      </c>
      <c r="R240" s="22">
        <f t="shared" si="3"/>
        <v>141.7475</v>
      </c>
      <c r="S240" s="23">
        <f t="shared" si="4"/>
        <v>5</v>
      </c>
      <c r="T240" s="24">
        <f t="shared" si="5"/>
        <v>14.5</v>
      </c>
      <c r="U240" s="26">
        <f t="shared" si="6"/>
        <v>0.4205607477</v>
      </c>
      <c r="V240" s="26">
        <f t="shared" si="7"/>
        <v>0.4485981308</v>
      </c>
      <c r="W240" s="19">
        <f t="shared" si="8"/>
        <v>0.04761904762</v>
      </c>
      <c r="X240" s="20">
        <f t="shared" si="9"/>
        <v>210</v>
      </c>
      <c r="Y240" s="27"/>
      <c r="Z240" s="17"/>
      <c r="AA240" s="28"/>
      <c r="AB240" s="17"/>
      <c r="AC240" s="28"/>
      <c r="AD240" s="27"/>
    </row>
    <row r="241" ht="15.75" customHeight="1">
      <c r="A241" s="16" t="s">
        <v>389</v>
      </c>
      <c r="B241" s="16" t="s">
        <v>1020</v>
      </c>
      <c r="C241" s="16" t="s">
        <v>1021</v>
      </c>
      <c r="D241" s="17" t="s">
        <v>130</v>
      </c>
      <c r="E241" s="18" t="s">
        <v>34</v>
      </c>
      <c r="F241" s="18">
        <v>1.0</v>
      </c>
      <c r="G241" s="19">
        <f t="shared" si="1"/>
        <v>1.48150761</v>
      </c>
      <c r="H241" s="17">
        <v>42.0</v>
      </c>
      <c r="I241" s="10">
        <v>210.0</v>
      </c>
      <c r="J241" s="17">
        <v>9.0</v>
      </c>
      <c r="K241" s="17">
        <v>105.0</v>
      </c>
      <c r="L241" s="17">
        <v>85.0</v>
      </c>
      <c r="M241" s="20">
        <v>29.0</v>
      </c>
      <c r="N241" s="20">
        <v>1.0</v>
      </c>
      <c r="O241" s="20">
        <v>24.0</v>
      </c>
      <c r="P241" s="20">
        <f t="shared" si="2"/>
        <v>4</v>
      </c>
      <c r="Q241" s="21">
        <v>2.0</v>
      </c>
      <c r="R241" s="22">
        <f t="shared" si="3"/>
        <v>141.7475</v>
      </c>
      <c r="S241" s="23">
        <f t="shared" si="4"/>
        <v>5</v>
      </c>
      <c r="T241" s="24">
        <f t="shared" si="5"/>
        <v>14.5</v>
      </c>
      <c r="U241" s="26">
        <f t="shared" si="6"/>
        <v>0.3951219512</v>
      </c>
      <c r="V241" s="26">
        <f t="shared" si="7"/>
        <v>0.4682926829</v>
      </c>
      <c r="W241" s="19">
        <f t="shared" si="8"/>
        <v>0.5</v>
      </c>
      <c r="X241" s="20">
        <f t="shared" si="9"/>
        <v>210</v>
      </c>
      <c r="Y241" s="27"/>
      <c r="Z241" s="17"/>
      <c r="AA241" s="28"/>
      <c r="AB241" s="17"/>
      <c r="AC241" s="28"/>
      <c r="AD241" s="16"/>
    </row>
    <row r="242" ht="15.75" customHeight="1">
      <c r="A242" s="27" t="s">
        <v>324</v>
      </c>
      <c r="B242" s="27" t="s">
        <v>1028</v>
      </c>
      <c r="C242" s="16" t="s">
        <v>1029</v>
      </c>
      <c r="D242" s="17" t="s">
        <v>212</v>
      </c>
      <c r="E242" s="18" t="s">
        <v>34</v>
      </c>
      <c r="F242" s="18">
        <v>1.0</v>
      </c>
      <c r="G242" s="19">
        <f t="shared" si="1"/>
        <v>1.340411647</v>
      </c>
      <c r="H242" s="17">
        <v>38.0</v>
      </c>
      <c r="I242" s="10">
        <v>190.0</v>
      </c>
      <c r="J242" s="17">
        <v>10.0</v>
      </c>
      <c r="K242" s="17">
        <v>160.0</v>
      </c>
      <c r="L242" s="17"/>
      <c r="M242" s="20">
        <v>24.0</v>
      </c>
      <c r="N242" s="20">
        <v>3.0</v>
      </c>
      <c r="O242" s="20">
        <v>10.0</v>
      </c>
      <c r="P242" s="20">
        <f t="shared" si="2"/>
        <v>11</v>
      </c>
      <c r="Q242" s="21">
        <v>2.0</v>
      </c>
      <c r="R242" s="22">
        <f t="shared" si="3"/>
        <v>141.7475</v>
      </c>
      <c r="S242" s="23">
        <f t="shared" si="4"/>
        <v>5</v>
      </c>
      <c r="T242" s="24">
        <f t="shared" si="5"/>
        <v>12</v>
      </c>
      <c r="U242" s="26">
        <f t="shared" si="6"/>
        <v>0.4639175258</v>
      </c>
      <c r="V242" s="26">
        <f t="shared" si="7"/>
        <v>0.206185567</v>
      </c>
      <c r="W242" s="19">
        <f t="shared" si="8"/>
        <v>0.8421052632</v>
      </c>
      <c r="X242" s="20">
        <f t="shared" si="9"/>
        <v>190</v>
      </c>
      <c r="Y242" s="27"/>
      <c r="Z242" s="17"/>
      <c r="AA242" s="28"/>
      <c r="AB242" s="17"/>
      <c r="AC242" s="28"/>
      <c r="AD242" s="27"/>
    </row>
    <row r="243" ht="15.75" customHeight="1">
      <c r="A243" s="27" t="s">
        <v>144</v>
      </c>
      <c r="B243" s="27" t="s">
        <v>1036</v>
      </c>
      <c r="C243" s="16" t="s">
        <v>1037</v>
      </c>
      <c r="D243" s="17" t="s">
        <v>130</v>
      </c>
      <c r="E243" s="18" t="s">
        <v>34</v>
      </c>
      <c r="F243" s="18">
        <v>1.0</v>
      </c>
      <c r="G243" s="19">
        <f t="shared" si="1"/>
        <v>1.410959629</v>
      </c>
      <c r="H243" s="17">
        <v>40.0</v>
      </c>
      <c r="I243" s="10">
        <v>200.0</v>
      </c>
      <c r="J243" s="17">
        <v>12.0</v>
      </c>
      <c r="K243" s="17">
        <v>60.0</v>
      </c>
      <c r="L243" s="17"/>
      <c r="M243" s="20">
        <v>22.0</v>
      </c>
      <c r="N243" s="20">
        <v>1.0</v>
      </c>
      <c r="O243" s="20">
        <v>21.0</v>
      </c>
      <c r="P243" s="20">
        <f t="shared" si="2"/>
        <v>0</v>
      </c>
      <c r="Q243" s="21">
        <v>2.0</v>
      </c>
      <c r="R243" s="22">
        <f t="shared" si="3"/>
        <v>141.7475</v>
      </c>
      <c r="S243" s="23">
        <f t="shared" si="4"/>
        <v>5</v>
      </c>
      <c r="T243" s="24">
        <f t="shared" si="5"/>
        <v>11</v>
      </c>
      <c r="U243" s="26">
        <f t="shared" si="6"/>
        <v>0.5294117647</v>
      </c>
      <c r="V243" s="26">
        <f t="shared" si="7"/>
        <v>0.4117647059</v>
      </c>
      <c r="W243" s="19">
        <f t="shared" si="8"/>
        <v>0.3</v>
      </c>
      <c r="X243" s="20">
        <f t="shared" si="9"/>
        <v>200</v>
      </c>
      <c r="Y243" s="27"/>
      <c r="Z243" s="17"/>
      <c r="AA243" s="28"/>
      <c r="AB243" s="17"/>
      <c r="AC243" s="28"/>
      <c r="AD243" s="27"/>
    </row>
    <row r="244" ht="15.75" customHeight="1">
      <c r="A244" s="27" t="s">
        <v>513</v>
      </c>
      <c r="B244" s="27" t="s">
        <v>1046</v>
      </c>
      <c r="C244" s="16" t="s">
        <v>1047</v>
      </c>
      <c r="D244" s="17" t="s">
        <v>130</v>
      </c>
      <c r="E244" s="18" t="s">
        <v>34</v>
      </c>
      <c r="F244" s="18">
        <v>1.0</v>
      </c>
      <c r="G244" s="19">
        <f t="shared" si="1"/>
        <v>1.340411647</v>
      </c>
      <c r="H244" s="17">
        <v>38.0</v>
      </c>
      <c r="I244" s="10">
        <v>190.0</v>
      </c>
      <c r="J244" s="17">
        <v>14.0</v>
      </c>
      <c r="K244" s="17">
        <v>0.0</v>
      </c>
      <c r="L244" s="17"/>
      <c r="M244" s="20">
        <v>21.0</v>
      </c>
      <c r="N244" s="20">
        <v>3.0</v>
      </c>
      <c r="O244" s="20">
        <v>15.0</v>
      </c>
      <c r="P244" s="20">
        <f t="shared" si="2"/>
        <v>3</v>
      </c>
      <c r="Q244" s="21">
        <v>2.0</v>
      </c>
      <c r="R244" s="22">
        <f t="shared" si="3"/>
        <v>141.7475</v>
      </c>
      <c r="S244" s="23">
        <f t="shared" si="4"/>
        <v>5</v>
      </c>
      <c r="T244" s="24">
        <f t="shared" si="5"/>
        <v>10.5</v>
      </c>
      <c r="U244" s="26">
        <f t="shared" si="6"/>
        <v>0.5779816514</v>
      </c>
      <c r="V244" s="26">
        <f t="shared" si="7"/>
        <v>0.2752293578</v>
      </c>
      <c r="W244" s="19">
        <f t="shared" si="8"/>
        <v>0</v>
      </c>
      <c r="X244" s="20">
        <f t="shared" si="9"/>
        <v>190</v>
      </c>
      <c r="Y244" s="27"/>
      <c r="Z244" s="17"/>
      <c r="AA244" s="28"/>
      <c r="AB244" s="17"/>
      <c r="AC244" s="28"/>
      <c r="AD244" s="27"/>
    </row>
    <row r="245" ht="15.75" customHeight="1">
      <c r="A245" s="27" t="s">
        <v>1053</v>
      </c>
      <c r="B245" s="27" t="s">
        <v>1054</v>
      </c>
      <c r="C245" s="16" t="s">
        <v>1055</v>
      </c>
      <c r="D245" s="17" t="s">
        <v>563</v>
      </c>
      <c r="E245" s="18" t="s">
        <v>34</v>
      </c>
      <c r="F245" s="18">
        <v>1.0</v>
      </c>
      <c r="G245" s="19">
        <f t="shared" si="1"/>
        <v>1.058219722</v>
      </c>
      <c r="H245" s="17">
        <v>30.0</v>
      </c>
      <c r="I245" s="10">
        <v>150.0</v>
      </c>
      <c r="J245" s="17">
        <v>7.0</v>
      </c>
      <c r="K245" s="17">
        <v>55.0</v>
      </c>
      <c r="L245" s="17"/>
      <c r="M245" s="20">
        <v>20.0</v>
      </c>
      <c r="N245" s="20">
        <v>2.0</v>
      </c>
      <c r="O245" s="20">
        <v>6.0</v>
      </c>
      <c r="P245" s="20">
        <f t="shared" si="2"/>
        <v>12</v>
      </c>
      <c r="Q245" s="21">
        <v>2.0</v>
      </c>
      <c r="R245" s="22">
        <f t="shared" si="3"/>
        <v>141.7475</v>
      </c>
      <c r="S245" s="23">
        <f t="shared" si="4"/>
        <v>5</v>
      </c>
      <c r="T245" s="24">
        <f t="shared" si="5"/>
        <v>10</v>
      </c>
      <c r="U245" s="26">
        <f t="shared" si="6"/>
        <v>0.417218543</v>
      </c>
      <c r="V245" s="26">
        <f t="shared" si="7"/>
        <v>0.1589403974</v>
      </c>
      <c r="W245" s="19">
        <f t="shared" si="8"/>
        <v>0.3666666667</v>
      </c>
      <c r="X245" s="20">
        <f t="shared" si="9"/>
        <v>150</v>
      </c>
      <c r="Y245" s="27"/>
      <c r="Z245" s="17"/>
      <c r="AA245" s="28"/>
      <c r="AB245" s="17"/>
      <c r="AC245" s="28"/>
      <c r="AD245" s="27"/>
    </row>
    <row r="246" ht="15.75" customHeight="1">
      <c r="A246" s="27" t="s">
        <v>510</v>
      </c>
      <c r="B246" s="27" t="s">
        <v>1057</v>
      </c>
      <c r="C246" s="16" t="s">
        <v>1058</v>
      </c>
      <c r="D246" s="17" t="s">
        <v>282</v>
      </c>
      <c r="E246" s="18" t="s">
        <v>34</v>
      </c>
      <c r="F246" s="18">
        <v>1.0</v>
      </c>
      <c r="G246" s="19">
        <f t="shared" si="1"/>
        <v>0.5643838516</v>
      </c>
      <c r="H246" s="17">
        <v>16.0</v>
      </c>
      <c r="I246" s="10">
        <v>80.0</v>
      </c>
      <c r="J246" s="17">
        <v>4.5</v>
      </c>
      <c r="K246" s="17">
        <v>105.0</v>
      </c>
      <c r="L246" s="17">
        <v>15.0</v>
      </c>
      <c r="M246" s="20">
        <v>10.0</v>
      </c>
      <c r="N246" s="20">
        <v>0.0</v>
      </c>
      <c r="O246" s="20">
        <v>1.0</v>
      </c>
      <c r="P246" s="20">
        <f t="shared" si="2"/>
        <v>9</v>
      </c>
      <c r="Q246" s="21">
        <v>1.0</v>
      </c>
      <c r="R246" s="22">
        <f t="shared" si="3"/>
        <v>141.7475</v>
      </c>
      <c r="S246" s="23">
        <f t="shared" si="4"/>
        <v>5</v>
      </c>
      <c r="T246" s="24">
        <f t="shared" si="5"/>
        <v>10</v>
      </c>
      <c r="U246" s="26">
        <f t="shared" si="6"/>
        <v>0.4792899408</v>
      </c>
      <c r="V246" s="26">
        <f t="shared" si="7"/>
        <v>0.04733727811</v>
      </c>
      <c r="W246" s="19">
        <f t="shared" si="8"/>
        <v>1.3125</v>
      </c>
      <c r="X246" s="20">
        <f t="shared" si="9"/>
        <v>80</v>
      </c>
      <c r="Y246" s="16"/>
      <c r="Z246" s="17"/>
      <c r="AA246" s="28"/>
      <c r="AB246" s="17"/>
      <c r="AC246" s="28"/>
      <c r="AD246" s="16"/>
    </row>
    <row r="247" ht="15.75" customHeight="1">
      <c r="A247" s="16" t="s">
        <v>1059</v>
      </c>
      <c r="B247" s="16" t="s">
        <v>1060</v>
      </c>
      <c r="C247" s="16" t="s">
        <v>1061</v>
      </c>
      <c r="D247" s="17" t="s">
        <v>318</v>
      </c>
      <c r="E247" s="18" t="s">
        <v>34</v>
      </c>
      <c r="F247" s="18">
        <v>1.0</v>
      </c>
      <c r="G247" s="19">
        <f t="shared" si="1"/>
        <v>0.9876717402</v>
      </c>
      <c r="H247" s="17">
        <v>28.0</v>
      </c>
      <c r="I247" s="10">
        <v>140.0</v>
      </c>
      <c r="J247" s="17">
        <v>6.0</v>
      </c>
      <c r="K247" s="17">
        <v>120.0</v>
      </c>
      <c r="L247" s="17"/>
      <c r="M247" s="20">
        <v>19.0</v>
      </c>
      <c r="N247" s="20">
        <v>0.0</v>
      </c>
      <c r="O247" s="20">
        <v>12.0</v>
      </c>
      <c r="P247" s="20">
        <f t="shared" si="2"/>
        <v>7</v>
      </c>
      <c r="Q247" s="21">
        <v>2.0</v>
      </c>
      <c r="R247" s="22">
        <f t="shared" si="3"/>
        <v>141.7475</v>
      </c>
      <c r="S247" s="23">
        <f t="shared" si="4"/>
        <v>5</v>
      </c>
      <c r="T247" s="24">
        <f t="shared" si="5"/>
        <v>9.5</v>
      </c>
      <c r="U247" s="26">
        <f t="shared" si="6"/>
        <v>0.3913043478</v>
      </c>
      <c r="V247" s="26">
        <f t="shared" si="7"/>
        <v>0.347826087</v>
      </c>
      <c r="W247" s="19">
        <f t="shared" si="8"/>
        <v>0.8571428571</v>
      </c>
      <c r="X247" s="20">
        <f t="shared" si="9"/>
        <v>140</v>
      </c>
      <c r="Y247" s="27"/>
      <c r="Z247" s="17"/>
      <c r="AA247" s="28"/>
      <c r="AB247" s="17"/>
      <c r="AC247" s="28"/>
      <c r="AD247" s="27"/>
    </row>
    <row r="248" ht="15.75" customHeight="1">
      <c r="A248" s="16" t="s">
        <v>1062</v>
      </c>
      <c r="B248" s="16" t="s">
        <v>1063</v>
      </c>
      <c r="C248" s="16" t="s">
        <v>1064</v>
      </c>
      <c r="D248" s="17" t="s">
        <v>282</v>
      </c>
      <c r="E248" s="18" t="s">
        <v>34</v>
      </c>
      <c r="F248" s="18">
        <v>1.0</v>
      </c>
      <c r="G248" s="19">
        <f t="shared" si="1"/>
        <v>0.9876717402</v>
      </c>
      <c r="H248" s="17">
        <v>28.0</v>
      </c>
      <c r="I248" s="10">
        <v>140.0</v>
      </c>
      <c r="J248" s="17">
        <v>6.0</v>
      </c>
      <c r="K248" s="17">
        <v>280.0</v>
      </c>
      <c r="L248" s="17"/>
      <c r="M248" s="20">
        <v>19.0</v>
      </c>
      <c r="N248" s="20">
        <v>1.0</v>
      </c>
      <c r="O248" s="20">
        <v>1.0</v>
      </c>
      <c r="P248" s="20">
        <f t="shared" si="2"/>
        <v>17</v>
      </c>
      <c r="Q248" s="21">
        <v>2.0</v>
      </c>
      <c r="R248" s="22">
        <f t="shared" si="3"/>
        <v>141.7475</v>
      </c>
      <c r="S248" s="23">
        <f t="shared" si="4"/>
        <v>5</v>
      </c>
      <c r="T248" s="24">
        <f t="shared" si="5"/>
        <v>9.5</v>
      </c>
      <c r="U248" s="26">
        <f t="shared" si="6"/>
        <v>0.3913043478</v>
      </c>
      <c r="V248" s="26">
        <f t="shared" si="7"/>
        <v>0.02898550725</v>
      </c>
      <c r="W248" s="19">
        <f t="shared" si="8"/>
        <v>2</v>
      </c>
      <c r="X248" s="20">
        <f t="shared" si="9"/>
        <v>140</v>
      </c>
      <c r="Y248" s="27"/>
      <c r="Z248" s="17"/>
      <c r="AA248" s="28"/>
      <c r="AB248" s="17"/>
      <c r="AC248" s="28"/>
      <c r="AD248" s="16"/>
    </row>
    <row r="249" ht="15.75" customHeight="1">
      <c r="A249" s="27" t="s">
        <v>1065</v>
      </c>
      <c r="B249" s="27" t="s">
        <v>1066</v>
      </c>
      <c r="C249" s="16" t="s">
        <v>1067</v>
      </c>
      <c r="D249" s="17" t="s">
        <v>282</v>
      </c>
      <c r="E249" s="18" t="s">
        <v>34</v>
      </c>
      <c r="F249" s="18">
        <v>1.0</v>
      </c>
      <c r="G249" s="19">
        <f t="shared" si="1"/>
        <v>0.9876717402</v>
      </c>
      <c r="H249" s="17">
        <v>28.0</v>
      </c>
      <c r="I249" s="10">
        <v>140.0</v>
      </c>
      <c r="J249" s="17">
        <v>7.0</v>
      </c>
      <c r="K249" s="17">
        <v>115.0</v>
      </c>
      <c r="L249" s="17"/>
      <c r="M249" s="20">
        <v>19.0</v>
      </c>
      <c r="N249" s="20">
        <v>1.0</v>
      </c>
      <c r="O249" s="20">
        <v>0.0</v>
      </c>
      <c r="P249" s="20">
        <f t="shared" si="2"/>
        <v>18</v>
      </c>
      <c r="Q249" s="21">
        <v>2.0</v>
      </c>
      <c r="R249" s="22">
        <f t="shared" si="3"/>
        <v>141.7475</v>
      </c>
      <c r="S249" s="23">
        <f t="shared" si="4"/>
        <v>5</v>
      </c>
      <c r="T249" s="24">
        <f t="shared" si="5"/>
        <v>9.5</v>
      </c>
      <c r="U249" s="26">
        <f t="shared" si="6"/>
        <v>0.4285714286</v>
      </c>
      <c r="V249" s="26" t="str">
        <f t="shared" si="7"/>
        <v>0%</v>
      </c>
      <c r="W249" s="19">
        <f t="shared" si="8"/>
        <v>0.8214285714</v>
      </c>
      <c r="X249" s="20">
        <f t="shared" si="9"/>
        <v>140</v>
      </c>
      <c r="Y249" s="27"/>
      <c r="Z249" s="17"/>
      <c r="AA249" s="28"/>
      <c r="AB249" s="17"/>
      <c r="AC249" s="28"/>
      <c r="AD249" s="16"/>
    </row>
    <row r="250" ht="15.75" customHeight="1">
      <c r="A250" s="27" t="s">
        <v>501</v>
      </c>
      <c r="B250" s="27" t="s">
        <v>1068</v>
      </c>
      <c r="C250" s="16" t="s">
        <v>1069</v>
      </c>
      <c r="D250" s="17" t="s">
        <v>130</v>
      </c>
      <c r="E250" s="18" t="s">
        <v>34</v>
      </c>
      <c r="F250" s="18">
        <v>1.0</v>
      </c>
      <c r="G250" s="19">
        <f t="shared" si="1"/>
        <v>1.48150761</v>
      </c>
      <c r="H250" s="17">
        <v>42.0</v>
      </c>
      <c r="I250" s="10">
        <v>210.0</v>
      </c>
      <c r="J250" s="17">
        <v>11.0</v>
      </c>
      <c r="K250" s="17">
        <v>30.0</v>
      </c>
      <c r="L250" s="17"/>
      <c r="M250" s="20">
        <v>27.0</v>
      </c>
      <c r="N250" s="20">
        <v>1.0</v>
      </c>
      <c r="O250" s="20">
        <v>21.0</v>
      </c>
      <c r="P250" s="20">
        <f t="shared" si="2"/>
        <v>5</v>
      </c>
      <c r="Q250" s="21">
        <v>3.0</v>
      </c>
      <c r="R250" s="22">
        <f t="shared" si="3"/>
        <v>141.7475</v>
      </c>
      <c r="S250" s="23">
        <f t="shared" si="4"/>
        <v>5</v>
      </c>
      <c r="T250" s="24">
        <f t="shared" si="5"/>
        <v>9</v>
      </c>
      <c r="U250" s="26">
        <f t="shared" si="6"/>
        <v>0.4520547945</v>
      </c>
      <c r="V250" s="26">
        <f t="shared" si="7"/>
        <v>0.3835616438</v>
      </c>
      <c r="W250" s="19">
        <f t="shared" si="8"/>
        <v>0.1428571429</v>
      </c>
      <c r="X250" s="20">
        <f t="shared" si="9"/>
        <v>210</v>
      </c>
      <c r="Y250" s="27"/>
      <c r="Z250" s="17"/>
      <c r="AA250" s="28"/>
      <c r="AB250" s="17"/>
      <c r="AC250" s="28"/>
      <c r="AD250" s="27"/>
    </row>
    <row r="251" ht="15.75" customHeight="1">
      <c r="A251" s="27" t="s">
        <v>1070</v>
      </c>
      <c r="B251" s="27" t="s">
        <v>1071</v>
      </c>
      <c r="C251" s="16" t="s">
        <v>1072</v>
      </c>
      <c r="D251" s="17" t="s">
        <v>282</v>
      </c>
      <c r="E251" s="18" t="s">
        <v>34</v>
      </c>
      <c r="F251" s="18">
        <v>1.0</v>
      </c>
      <c r="G251" s="19">
        <f t="shared" si="1"/>
        <v>0.4938358701</v>
      </c>
      <c r="H251" s="17">
        <v>14.0</v>
      </c>
      <c r="I251" s="10">
        <v>70.0</v>
      </c>
      <c r="J251" s="17">
        <v>3.0</v>
      </c>
      <c r="K251" s="17">
        <v>125.0</v>
      </c>
      <c r="L251" s="17"/>
      <c r="M251" s="20">
        <v>9.0</v>
      </c>
      <c r="N251" s="20">
        <v>1.0</v>
      </c>
      <c r="O251" s="20">
        <v>1.0</v>
      </c>
      <c r="P251" s="20">
        <f t="shared" si="2"/>
        <v>7</v>
      </c>
      <c r="Q251" s="21">
        <v>1.0</v>
      </c>
      <c r="R251" s="22">
        <f t="shared" si="3"/>
        <v>141.7475</v>
      </c>
      <c r="S251" s="23">
        <f t="shared" si="4"/>
        <v>5</v>
      </c>
      <c r="T251" s="24">
        <f t="shared" si="5"/>
        <v>9</v>
      </c>
      <c r="U251" s="26">
        <f t="shared" si="6"/>
        <v>0.4029850746</v>
      </c>
      <c r="V251" s="26">
        <f t="shared" si="7"/>
        <v>0.05970149254</v>
      </c>
      <c r="W251" s="19">
        <f t="shared" si="8"/>
        <v>1.785714286</v>
      </c>
      <c r="X251" s="20">
        <f t="shared" si="9"/>
        <v>70</v>
      </c>
      <c r="Y251" s="27"/>
      <c r="Z251" s="17"/>
      <c r="AA251" s="28"/>
      <c r="AB251" s="17"/>
      <c r="AC251" s="28"/>
      <c r="AD251" s="27"/>
    </row>
    <row r="252" ht="15.75" customHeight="1">
      <c r="A252" s="16" t="s">
        <v>1073</v>
      </c>
      <c r="B252" s="16" t="s">
        <v>505</v>
      </c>
      <c r="C252" s="16" t="s">
        <v>1074</v>
      </c>
      <c r="D252" s="17" t="s">
        <v>507</v>
      </c>
      <c r="E252" s="18" t="s">
        <v>34</v>
      </c>
      <c r="F252" s="18">
        <v>1.0</v>
      </c>
      <c r="G252" s="19">
        <f t="shared" si="1"/>
        <v>1.410959629</v>
      </c>
      <c r="H252" s="17">
        <v>40.0</v>
      </c>
      <c r="I252" s="10">
        <v>200.0</v>
      </c>
      <c r="J252" s="17">
        <v>9.0</v>
      </c>
      <c r="K252" s="17">
        <v>0.75</v>
      </c>
      <c r="L252" s="17"/>
      <c r="M252" s="20">
        <v>26.0</v>
      </c>
      <c r="N252" s="20"/>
      <c r="O252" s="20">
        <v>5.0</v>
      </c>
      <c r="P252" s="20">
        <f t="shared" si="2"/>
        <v>21</v>
      </c>
      <c r="Q252" s="21">
        <v>3.0</v>
      </c>
      <c r="R252" s="22">
        <f t="shared" si="3"/>
        <v>141.7475</v>
      </c>
      <c r="S252" s="23">
        <f t="shared" si="4"/>
        <v>5</v>
      </c>
      <c r="T252" s="24">
        <f t="shared" si="5"/>
        <v>8.666666667</v>
      </c>
      <c r="U252" s="26">
        <f t="shared" si="6"/>
        <v>0.4111675127</v>
      </c>
      <c r="V252" s="26">
        <f t="shared" si="7"/>
        <v>0.1015228426</v>
      </c>
      <c r="W252" s="19">
        <f t="shared" si="8"/>
        <v>0.00375</v>
      </c>
      <c r="X252" s="20">
        <f t="shared" si="9"/>
        <v>200</v>
      </c>
      <c r="Y252" s="27"/>
      <c r="Z252" s="17"/>
      <c r="AA252" s="28"/>
      <c r="AB252" s="17"/>
      <c r="AC252" s="28"/>
      <c r="AD252" s="27"/>
    </row>
    <row r="253" ht="15.75" customHeight="1">
      <c r="A253" s="27" t="s">
        <v>276</v>
      </c>
      <c r="B253" s="27" t="s">
        <v>1075</v>
      </c>
      <c r="C253" s="16" t="s">
        <v>1076</v>
      </c>
      <c r="D253" s="17" t="s">
        <v>130</v>
      </c>
      <c r="E253" s="18" t="s">
        <v>34</v>
      </c>
      <c r="F253" s="18">
        <v>1.0</v>
      </c>
      <c r="G253" s="19">
        <f t="shared" si="1"/>
        <v>1.410959629</v>
      </c>
      <c r="H253" s="17">
        <v>40.0</v>
      </c>
      <c r="I253" s="10">
        <v>200.0</v>
      </c>
      <c r="J253" s="17">
        <v>10.0</v>
      </c>
      <c r="K253" s="17">
        <v>120.0</v>
      </c>
      <c r="L253" s="17"/>
      <c r="M253" s="20">
        <v>26.0</v>
      </c>
      <c r="N253" s="20">
        <v>1.0</v>
      </c>
      <c r="O253" s="20">
        <v>15.0</v>
      </c>
      <c r="P253" s="20">
        <f t="shared" si="2"/>
        <v>10</v>
      </c>
      <c r="Q253" s="21">
        <v>3.0</v>
      </c>
      <c r="R253" s="22">
        <f t="shared" si="3"/>
        <v>141.7475</v>
      </c>
      <c r="S253" s="23">
        <f t="shared" si="4"/>
        <v>5</v>
      </c>
      <c r="T253" s="24">
        <f t="shared" si="5"/>
        <v>8.666666667</v>
      </c>
      <c r="U253" s="26">
        <f t="shared" si="6"/>
        <v>0.4368932039</v>
      </c>
      <c r="V253" s="26">
        <f t="shared" si="7"/>
        <v>0.2912621359</v>
      </c>
      <c r="W253" s="19">
        <f t="shared" si="8"/>
        <v>0.6</v>
      </c>
      <c r="X253" s="20">
        <f t="shared" si="9"/>
        <v>200</v>
      </c>
      <c r="Y253" s="27"/>
      <c r="Z253" s="17"/>
      <c r="AA253" s="28"/>
      <c r="AB253" s="17"/>
      <c r="AC253" s="28"/>
      <c r="AD253" s="27"/>
    </row>
    <row r="254" ht="15.75" customHeight="1">
      <c r="A254" s="27" t="s">
        <v>324</v>
      </c>
      <c r="B254" s="27" t="s">
        <v>1077</v>
      </c>
      <c r="C254" s="16" t="s">
        <v>1078</v>
      </c>
      <c r="D254" s="17" t="s">
        <v>212</v>
      </c>
      <c r="E254" s="18" t="s">
        <v>34</v>
      </c>
      <c r="F254" s="18">
        <v>1.0</v>
      </c>
      <c r="G254" s="19">
        <f t="shared" si="1"/>
        <v>1.340411647</v>
      </c>
      <c r="H254" s="17">
        <v>38.0</v>
      </c>
      <c r="I254" s="10">
        <v>190.0</v>
      </c>
      <c r="J254" s="17">
        <v>9.0</v>
      </c>
      <c r="K254" s="17">
        <v>140.0</v>
      </c>
      <c r="L254" s="17"/>
      <c r="M254" s="20">
        <v>24.0</v>
      </c>
      <c r="N254" s="20">
        <v>3.0</v>
      </c>
      <c r="O254" s="20">
        <v>11.0</v>
      </c>
      <c r="P254" s="20">
        <f t="shared" si="2"/>
        <v>10</v>
      </c>
      <c r="Q254" s="21">
        <v>3.0</v>
      </c>
      <c r="R254" s="22">
        <f t="shared" si="3"/>
        <v>141.7475</v>
      </c>
      <c r="S254" s="23">
        <f t="shared" si="4"/>
        <v>5</v>
      </c>
      <c r="T254" s="24">
        <f t="shared" si="5"/>
        <v>8</v>
      </c>
      <c r="U254" s="26">
        <f t="shared" si="6"/>
        <v>0.4285714286</v>
      </c>
      <c r="V254" s="26">
        <f t="shared" si="7"/>
        <v>0.2328042328</v>
      </c>
      <c r="W254" s="19">
        <f t="shared" si="8"/>
        <v>0.7368421053</v>
      </c>
      <c r="X254" s="20">
        <f t="shared" si="9"/>
        <v>190</v>
      </c>
      <c r="Y254" s="27"/>
      <c r="Z254" s="17"/>
      <c r="AA254" s="28"/>
      <c r="AB254" s="17"/>
      <c r="AC254" s="28"/>
      <c r="AD254" s="27"/>
    </row>
    <row r="255" ht="15.75" customHeight="1">
      <c r="A255" s="16" t="s">
        <v>1079</v>
      </c>
      <c r="B255" s="16" t="s">
        <v>1080</v>
      </c>
      <c r="C255" s="16" t="s">
        <v>1081</v>
      </c>
      <c r="D255" s="17" t="s">
        <v>282</v>
      </c>
      <c r="E255" s="18" t="s">
        <v>34</v>
      </c>
      <c r="F255" s="18">
        <v>1.0</v>
      </c>
      <c r="G255" s="19">
        <f t="shared" si="1"/>
        <v>0.9876717402</v>
      </c>
      <c r="H255" s="17">
        <v>28.0</v>
      </c>
      <c r="I255" s="10">
        <v>140.0</v>
      </c>
      <c r="J255" s="17">
        <v>8.0</v>
      </c>
      <c r="K255" s="17">
        <v>210.0</v>
      </c>
      <c r="L255" s="17"/>
      <c r="M255" s="20">
        <v>16.0</v>
      </c>
      <c r="N255" s="20">
        <v>1.0</v>
      </c>
      <c r="O255" s="20">
        <v>0.0</v>
      </c>
      <c r="P255" s="20">
        <f t="shared" si="2"/>
        <v>15</v>
      </c>
      <c r="Q255" s="21">
        <v>2.0</v>
      </c>
      <c r="R255" s="22">
        <f t="shared" si="3"/>
        <v>141.7475</v>
      </c>
      <c r="S255" s="23">
        <f t="shared" si="4"/>
        <v>5</v>
      </c>
      <c r="T255" s="24">
        <f t="shared" si="5"/>
        <v>8</v>
      </c>
      <c r="U255" s="26">
        <f t="shared" si="6"/>
        <v>0.5</v>
      </c>
      <c r="V255" s="26" t="str">
        <f t="shared" si="7"/>
        <v>0%</v>
      </c>
      <c r="W255" s="19">
        <f t="shared" si="8"/>
        <v>1.5</v>
      </c>
      <c r="X255" s="20">
        <f t="shared" si="9"/>
        <v>140</v>
      </c>
      <c r="Y255" s="27"/>
      <c r="Z255" s="17"/>
      <c r="AA255" s="28"/>
      <c r="AB255" s="17"/>
      <c r="AC255" s="28"/>
      <c r="AD255" s="27"/>
    </row>
    <row r="256" ht="15.75" customHeight="1">
      <c r="A256" s="27" t="s">
        <v>1059</v>
      </c>
      <c r="B256" s="27" t="s">
        <v>1082</v>
      </c>
      <c r="C256" s="16" t="s">
        <v>1083</v>
      </c>
      <c r="D256" s="17" t="s">
        <v>318</v>
      </c>
      <c r="E256" s="18" t="s">
        <v>34</v>
      </c>
      <c r="F256" s="18">
        <v>1.0</v>
      </c>
      <c r="G256" s="19">
        <f t="shared" si="1"/>
        <v>0.9171237588</v>
      </c>
      <c r="H256" s="17">
        <v>26.0</v>
      </c>
      <c r="I256" s="10">
        <v>130.0</v>
      </c>
      <c r="J256" s="17">
        <v>8.0</v>
      </c>
      <c r="K256" s="17">
        <v>80.0</v>
      </c>
      <c r="L256" s="17"/>
      <c r="M256" s="20">
        <v>15.0</v>
      </c>
      <c r="N256" s="20">
        <v>1.0</v>
      </c>
      <c r="O256" s="20">
        <v>9.0</v>
      </c>
      <c r="P256" s="20">
        <f t="shared" si="2"/>
        <v>5</v>
      </c>
      <c r="Q256" s="21">
        <v>2.0</v>
      </c>
      <c r="R256" s="22">
        <f t="shared" si="3"/>
        <v>141.7475</v>
      </c>
      <c r="S256" s="23">
        <f t="shared" si="4"/>
        <v>5</v>
      </c>
      <c r="T256" s="24">
        <f t="shared" si="5"/>
        <v>7.5</v>
      </c>
      <c r="U256" s="26">
        <f t="shared" si="6"/>
        <v>0.5142857143</v>
      </c>
      <c r="V256" s="26">
        <f t="shared" si="7"/>
        <v>0.2571428571</v>
      </c>
      <c r="W256" s="19">
        <f t="shared" si="8"/>
        <v>0.6153846154</v>
      </c>
      <c r="X256" s="20">
        <f t="shared" si="9"/>
        <v>130</v>
      </c>
      <c r="Y256" s="27"/>
      <c r="Z256" s="17"/>
      <c r="AA256" s="28"/>
      <c r="AB256" s="17"/>
      <c r="AC256" s="28"/>
      <c r="AD256" s="27"/>
    </row>
    <row r="257" ht="15.75" customHeight="1">
      <c r="A257" s="27" t="s">
        <v>513</v>
      </c>
      <c r="B257" s="27" t="s">
        <v>1084</v>
      </c>
      <c r="C257" s="16" t="s">
        <v>1085</v>
      </c>
      <c r="D257" s="17" t="s">
        <v>130</v>
      </c>
      <c r="E257" s="18" t="s">
        <v>34</v>
      </c>
      <c r="F257" s="18">
        <v>1.0</v>
      </c>
      <c r="G257" s="19">
        <f t="shared" si="1"/>
        <v>1.340411647</v>
      </c>
      <c r="H257" s="17">
        <v>38.0</v>
      </c>
      <c r="I257" s="10">
        <v>190.0</v>
      </c>
      <c r="J257" s="17">
        <v>13.0</v>
      </c>
      <c r="K257" s="17">
        <v>50.0</v>
      </c>
      <c r="L257" s="17"/>
      <c r="M257" s="20">
        <v>21.0</v>
      </c>
      <c r="N257" s="20">
        <v>3.0</v>
      </c>
      <c r="O257" s="20">
        <v>15.0</v>
      </c>
      <c r="P257" s="20">
        <f t="shared" si="2"/>
        <v>3</v>
      </c>
      <c r="Q257" s="21">
        <v>3.0</v>
      </c>
      <c r="R257" s="22">
        <f t="shared" si="3"/>
        <v>141.7475</v>
      </c>
      <c r="S257" s="23">
        <f t="shared" si="4"/>
        <v>5</v>
      </c>
      <c r="T257" s="24">
        <f t="shared" si="5"/>
        <v>7</v>
      </c>
      <c r="U257" s="26">
        <f t="shared" si="6"/>
        <v>0.5492957746</v>
      </c>
      <c r="V257" s="26">
        <f t="shared" si="7"/>
        <v>0.2816901408</v>
      </c>
      <c r="W257" s="19">
        <f t="shared" si="8"/>
        <v>0.2631578947</v>
      </c>
      <c r="X257" s="20">
        <f t="shared" si="9"/>
        <v>190</v>
      </c>
      <c r="Y257" s="27"/>
      <c r="Z257" s="17"/>
      <c r="AA257" s="28"/>
      <c r="AB257" s="17"/>
      <c r="AC257" s="28"/>
      <c r="AD257" s="27"/>
    </row>
    <row r="258" ht="15.75" customHeight="1">
      <c r="A258" s="16" t="s">
        <v>1086</v>
      </c>
      <c r="B258" s="16" t="s">
        <v>1087</v>
      </c>
      <c r="C258" s="16" t="s">
        <v>1088</v>
      </c>
      <c r="D258" s="17" t="s">
        <v>130</v>
      </c>
      <c r="E258" s="18" t="s">
        <v>34</v>
      </c>
      <c r="F258" s="18">
        <v>1.0</v>
      </c>
      <c r="G258" s="19">
        <f t="shared" si="1"/>
        <v>1.622603573</v>
      </c>
      <c r="H258" s="17">
        <v>46.0</v>
      </c>
      <c r="I258" s="10">
        <v>230.0</v>
      </c>
      <c r="J258" s="17">
        <v>20.0</v>
      </c>
      <c r="K258" s="17">
        <v>0.0</v>
      </c>
      <c r="L258" s="17"/>
      <c r="M258" s="20">
        <v>21.0</v>
      </c>
      <c r="N258" s="20">
        <v>4.0</v>
      </c>
      <c r="O258" s="20">
        <v>11.0</v>
      </c>
      <c r="P258" s="20">
        <f t="shared" si="2"/>
        <v>6</v>
      </c>
      <c r="Q258" s="21">
        <v>3.0</v>
      </c>
      <c r="R258" s="22">
        <f t="shared" si="3"/>
        <v>141.7475</v>
      </c>
      <c r="S258" s="23">
        <f t="shared" si="4"/>
        <v>5</v>
      </c>
      <c r="T258" s="24">
        <f t="shared" si="5"/>
        <v>7</v>
      </c>
      <c r="U258" s="26">
        <f t="shared" si="6"/>
        <v>0.652173913</v>
      </c>
      <c r="V258" s="26">
        <f t="shared" si="7"/>
        <v>0.1594202899</v>
      </c>
      <c r="W258" s="19">
        <f t="shared" si="8"/>
        <v>0</v>
      </c>
      <c r="X258" s="20">
        <f t="shared" si="9"/>
        <v>230</v>
      </c>
      <c r="Y258" s="27"/>
      <c r="Z258" s="17"/>
      <c r="AA258" s="28"/>
      <c r="AB258" s="17"/>
      <c r="AC258" s="28"/>
      <c r="AD258" s="16"/>
    </row>
    <row r="259" ht="15.75" customHeight="1">
      <c r="A259" s="27" t="s">
        <v>553</v>
      </c>
      <c r="B259" s="27" t="s">
        <v>1089</v>
      </c>
      <c r="C259" s="16" t="s">
        <v>1090</v>
      </c>
      <c r="D259" s="17" t="s">
        <v>130</v>
      </c>
      <c r="E259" s="18" t="s">
        <v>34</v>
      </c>
      <c r="F259" s="18">
        <v>1.0</v>
      </c>
      <c r="G259" s="19">
        <f t="shared" si="1"/>
        <v>1.410959629</v>
      </c>
      <c r="H259" s="17">
        <v>40.0</v>
      </c>
      <c r="I259" s="10">
        <v>200.0</v>
      </c>
      <c r="J259" s="17">
        <v>9.0</v>
      </c>
      <c r="K259" s="17">
        <v>45.0</v>
      </c>
      <c r="L259" s="17"/>
      <c r="M259" s="20">
        <v>25.0</v>
      </c>
      <c r="N259" s="20">
        <v>1.0</v>
      </c>
      <c r="O259" s="20">
        <v>21.0</v>
      </c>
      <c r="P259" s="20">
        <f t="shared" si="2"/>
        <v>3</v>
      </c>
      <c r="Q259" s="21">
        <v>4.0</v>
      </c>
      <c r="R259" s="22">
        <f t="shared" si="3"/>
        <v>141.7475</v>
      </c>
      <c r="S259" s="23">
        <f t="shared" si="4"/>
        <v>5</v>
      </c>
      <c r="T259" s="24">
        <f t="shared" si="5"/>
        <v>6.25</v>
      </c>
      <c r="U259" s="26">
        <f t="shared" si="6"/>
        <v>0.4111675127</v>
      </c>
      <c r="V259" s="26">
        <f t="shared" si="7"/>
        <v>0.4263959391</v>
      </c>
      <c r="W259" s="19">
        <f t="shared" si="8"/>
        <v>0.225</v>
      </c>
      <c r="X259" s="20">
        <f t="shared" si="9"/>
        <v>200</v>
      </c>
      <c r="Y259" s="27"/>
      <c r="Z259" s="17"/>
      <c r="AA259" s="28"/>
      <c r="AB259" s="17"/>
      <c r="AC259" s="28"/>
      <c r="AD259" s="16"/>
    </row>
    <row r="260" ht="15.75" customHeight="1">
      <c r="A260" s="16" t="s">
        <v>1091</v>
      </c>
      <c r="B260" s="16" t="s">
        <v>1092</v>
      </c>
      <c r="C260" s="16" t="s">
        <v>1093</v>
      </c>
      <c r="D260" s="17" t="s">
        <v>130</v>
      </c>
      <c r="E260" s="18" t="s">
        <v>34</v>
      </c>
      <c r="F260" s="18">
        <v>1.0</v>
      </c>
      <c r="G260" s="19">
        <f t="shared" si="1"/>
        <v>1.763699536</v>
      </c>
      <c r="H260" s="17">
        <v>50.0</v>
      </c>
      <c r="I260" s="10">
        <v>250.0</v>
      </c>
      <c r="J260" s="17">
        <v>14.0</v>
      </c>
      <c r="K260" s="17">
        <v>150.0</v>
      </c>
      <c r="L260" s="17"/>
      <c r="M260" s="20">
        <v>29.0</v>
      </c>
      <c r="N260" s="20">
        <v>1.0</v>
      </c>
      <c r="O260" s="20">
        <v>23.0</v>
      </c>
      <c r="P260" s="20">
        <f t="shared" si="2"/>
        <v>5</v>
      </c>
      <c r="Q260" s="21">
        <v>5.0</v>
      </c>
      <c r="R260" s="22">
        <f t="shared" si="3"/>
        <v>141.7475</v>
      </c>
      <c r="S260" s="23">
        <f t="shared" si="4"/>
        <v>5</v>
      </c>
      <c r="T260" s="24">
        <f t="shared" si="5"/>
        <v>5.8</v>
      </c>
      <c r="U260" s="26">
        <f t="shared" si="6"/>
        <v>0.4809160305</v>
      </c>
      <c r="V260" s="26">
        <f t="shared" si="7"/>
        <v>0.3511450382</v>
      </c>
      <c r="W260" s="19">
        <f t="shared" si="8"/>
        <v>0.6</v>
      </c>
      <c r="X260" s="20">
        <f t="shared" si="9"/>
        <v>250</v>
      </c>
      <c r="Y260" s="16"/>
      <c r="Z260" s="17"/>
      <c r="AA260" s="28"/>
      <c r="AB260" s="17"/>
      <c r="AC260" s="28"/>
      <c r="AD260" s="16"/>
    </row>
    <row r="261" ht="15.75" customHeight="1">
      <c r="A261" s="27" t="s">
        <v>324</v>
      </c>
      <c r="B261" s="27" t="s">
        <v>1094</v>
      </c>
      <c r="C261" s="16" t="s">
        <v>1095</v>
      </c>
      <c r="D261" s="17" t="s">
        <v>212</v>
      </c>
      <c r="E261" s="18" t="s">
        <v>34</v>
      </c>
      <c r="F261" s="18">
        <v>1.0</v>
      </c>
      <c r="G261" s="19">
        <f t="shared" si="1"/>
        <v>1.340411647</v>
      </c>
      <c r="H261" s="17">
        <v>38.0</v>
      </c>
      <c r="I261" s="10">
        <v>190.0</v>
      </c>
      <c r="J261" s="17">
        <v>10.0</v>
      </c>
      <c r="K261" s="17">
        <v>150.0</v>
      </c>
      <c r="L261" s="17">
        <v>110.0</v>
      </c>
      <c r="M261" s="20">
        <v>23.0</v>
      </c>
      <c r="N261" s="20">
        <v>3.0</v>
      </c>
      <c r="O261" s="20">
        <v>9.0</v>
      </c>
      <c r="P261" s="20">
        <f t="shared" si="2"/>
        <v>11</v>
      </c>
      <c r="Q261" s="21">
        <v>4.0</v>
      </c>
      <c r="R261" s="22">
        <f t="shared" si="3"/>
        <v>141.7475</v>
      </c>
      <c r="S261" s="23">
        <f t="shared" si="4"/>
        <v>5</v>
      </c>
      <c r="T261" s="24">
        <f t="shared" si="5"/>
        <v>5.75</v>
      </c>
      <c r="U261" s="26">
        <f t="shared" si="6"/>
        <v>0.4545454545</v>
      </c>
      <c r="V261" s="26">
        <f t="shared" si="7"/>
        <v>0.1818181818</v>
      </c>
      <c r="W261" s="19">
        <f t="shared" si="8"/>
        <v>0.7894736842</v>
      </c>
      <c r="X261" s="20">
        <f t="shared" si="9"/>
        <v>190</v>
      </c>
      <c r="Y261" s="27"/>
      <c r="Z261" s="17"/>
      <c r="AA261" s="28"/>
      <c r="AB261" s="17"/>
      <c r="AC261" s="28"/>
      <c r="AD261" s="27"/>
    </row>
    <row r="262" ht="15.75" customHeight="1">
      <c r="A262" s="16" t="s">
        <v>1096</v>
      </c>
      <c r="B262" s="16" t="s">
        <v>1097</v>
      </c>
      <c r="C262" s="16" t="s">
        <v>1098</v>
      </c>
      <c r="D262" s="17" t="s">
        <v>282</v>
      </c>
      <c r="E262" s="18" t="s">
        <v>34</v>
      </c>
      <c r="F262" s="18">
        <v>1.0</v>
      </c>
      <c r="G262" s="19">
        <f t="shared" si="1"/>
        <v>1.058219722</v>
      </c>
      <c r="H262" s="17">
        <v>30.0</v>
      </c>
      <c r="I262" s="10">
        <v>150.0</v>
      </c>
      <c r="J262" s="17">
        <v>8.0</v>
      </c>
      <c r="K262" s="17">
        <v>230.0</v>
      </c>
      <c r="L262" s="17"/>
      <c r="M262" s="20">
        <v>17.0</v>
      </c>
      <c r="N262" s="20">
        <v>1.0</v>
      </c>
      <c r="O262" s="20">
        <v>0.0</v>
      </c>
      <c r="P262" s="20">
        <f t="shared" si="2"/>
        <v>16</v>
      </c>
      <c r="Q262" s="21">
        <v>3.0</v>
      </c>
      <c r="R262" s="22">
        <f t="shared" si="3"/>
        <v>141.7475</v>
      </c>
      <c r="S262" s="23">
        <f t="shared" si="4"/>
        <v>5</v>
      </c>
      <c r="T262" s="24">
        <f t="shared" si="5"/>
        <v>5.666666667</v>
      </c>
      <c r="U262" s="26">
        <f t="shared" si="6"/>
        <v>0.4736842105</v>
      </c>
      <c r="V262" s="26" t="str">
        <f t="shared" si="7"/>
        <v>0%</v>
      </c>
      <c r="W262" s="19">
        <f t="shared" si="8"/>
        <v>1.533333333</v>
      </c>
      <c r="X262" s="20">
        <f t="shared" si="9"/>
        <v>150</v>
      </c>
      <c r="Y262" s="27"/>
      <c r="Z262" s="17"/>
      <c r="AA262" s="28"/>
      <c r="AB262" s="17"/>
      <c r="AC262" s="28"/>
      <c r="AD262" s="27"/>
    </row>
    <row r="263" ht="15.75" customHeight="1">
      <c r="A263" s="27" t="s">
        <v>139</v>
      </c>
      <c r="B263" s="27" t="s">
        <v>1099</v>
      </c>
      <c r="C263" s="16" t="s">
        <v>1100</v>
      </c>
      <c r="D263" s="17" t="s">
        <v>203</v>
      </c>
      <c r="E263" s="18" t="s">
        <v>34</v>
      </c>
      <c r="F263" s="18">
        <v>1.0</v>
      </c>
      <c r="G263" s="19">
        <f t="shared" si="1"/>
        <v>1.058219722</v>
      </c>
      <c r="H263" s="17">
        <v>30.0</v>
      </c>
      <c r="I263" s="10">
        <v>150.0</v>
      </c>
      <c r="J263" s="17">
        <v>9.0</v>
      </c>
      <c r="K263" s="17">
        <v>15.0</v>
      </c>
      <c r="L263" s="17"/>
      <c r="M263" s="20">
        <v>16.0</v>
      </c>
      <c r="N263" s="20">
        <v>2.0</v>
      </c>
      <c r="O263" s="20">
        <v>12.0</v>
      </c>
      <c r="P263" s="20">
        <f t="shared" si="2"/>
        <v>2</v>
      </c>
      <c r="Q263" s="21">
        <v>3.0</v>
      </c>
      <c r="R263" s="22">
        <f t="shared" si="3"/>
        <v>141.7475</v>
      </c>
      <c r="S263" s="23">
        <f t="shared" si="4"/>
        <v>5</v>
      </c>
      <c r="T263" s="24">
        <f t="shared" si="5"/>
        <v>5.333333333</v>
      </c>
      <c r="U263" s="26">
        <f t="shared" si="6"/>
        <v>0.5159235669</v>
      </c>
      <c r="V263" s="26">
        <f t="shared" si="7"/>
        <v>0.3057324841</v>
      </c>
      <c r="W263" s="19">
        <f t="shared" si="8"/>
        <v>0.1</v>
      </c>
      <c r="X263" s="20">
        <f t="shared" si="9"/>
        <v>150</v>
      </c>
      <c r="Y263" s="27"/>
      <c r="Z263" s="17"/>
      <c r="AA263" s="17"/>
      <c r="AB263" s="17"/>
      <c r="AC263" s="17"/>
      <c r="AD263" s="27"/>
    </row>
    <row r="264" ht="15.75" customHeight="1">
      <c r="A264" s="27" t="s">
        <v>324</v>
      </c>
      <c r="B264" s="27" t="s">
        <v>1101</v>
      </c>
      <c r="C264" s="16" t="s">
        <v>1102</v>
      </c>
      <c r="D264" s="17" t="s">
        <v>212</v>
      </c>
      <c r="E264" s="18" t="s">
        <v>34</v>
      </c>
      <c r="F264" s="18">
        <v>1.0</v>
      </c>
      <c r="G264" s="19">
        <f t="shared" si="1"/>
        <v>1.340411647</v>
      </c>
      <c r="H264" s="17">
        <v>38.0</v>
      </c>
      <c r="I264" s="10">
        <v>190.0</v>
      </c>
      <c r="J264" s="17">
        <v>10.0</v>
      </c>
      <c r="K264" s="17">
        <v>170.0</v>
      </c>
      <c r="L264" s="17">
        <v>130.0</v>
      </c>
      <c r="M264" s="20">
        <v>20.0</v>
      </c>
      <c r="N264" s="20">
        <v>3.0</v>
      </c>
      <c r="O264" s="20">
        <v>9.0</v>
      </c>
      <c r="P264" s="20">
        <f t="shared" si="2"/>
        <v>8</v>
      </c>
      <c r="Q264" s="21">
        <v>4.0</v>
      </c>
      <c r="R264" s="22">
        <f t="shared" si="3"/>
        <v>141.7475</v>
      </c>
      <c r="S264" s="23">
        <f t="shared" si="4"/>
        <v>5</v>
      </c>
      <c r="T264" s="24">
        <f t="shared" si="5"/>
        <v>5</v>
      </c>
      <c r="U264" s="26">
        <f t="shared" si="6"/>
        <v>0.4838709677</v>
      </c>
      <c r="V264" s="26">
        <f t="shared" si="7"/>
        <v>0.1935483871</v>
      </c>
      <c r="W264" s="19">
        <f t="shared" si="8"/>
        <v>0.8947368421</v>
      </c>
      <c r="X264" s="20">
        <f t="shared" si="9"/>
        <v>190</v>
      </c>
      <c r="Y264" s="27"/>
      <c r="Z264" s="17"/>
      <c r="AA264" s="28"/>
      <c r="AB264" s="17"/>
      <c r="AC264" s="28"/>
      <c r="AD264" s="27"/>
    </row>
    <row r="265" ht="15.75" customHeight="1">
      <c r="A265" s="27" t="s">
        <v>213</v>
      </c>
      <c r="B265" s="27" t="s">
        <v>1103</v>
      </c>
      <c r="C265" s="16" t="s">
        <v>1104</v>
      </c>
      <c r="D265" s="17" t="s">
        <v>203</v>
      </c>
      <c r="E265" s="18" t="s">
        <v>34</v>
      </c>
      <c r="F265" s="18">
        <v>1.0</v>
      </c>
      <c r="G265" s="19">
        <f t="shared" si="1"/>
        <v>1.058219722</v>
      </c>
      <c r="H265" s="17">
        <v>30.0</v>
      </c>
      <c r="I265" s="10">
        <v>150.0</v>
      </c>
      <c r="J265" s="17">
        <v>9.0</v>
      </c>
      <c r="K265" s="17">
        <v>50.0</v>
      </c>
      <c r="L265" s="17"/>
      <c r="M265" s="20">
        <v>15.0</v>
      </c>
      <c r="N265" s="20">
        <v>2.0</v>
      </c>
      <c r="O265" s="20">
        <v>11.0</v>
      </c>
      <c r="P265" s="20">
        <f t="shared" si="2"/>
        <v>2</v>
      </c>
      <c r="Q265" s="21">
        <v>3.0</v>
      </c>
      <c r="R265" s="22">
        <f t="shared" si="3"/>
        <v>141.7475</v>
      </c>
      <c r="S265" s="23">
        <f t="shared" si="4"/>
        <v>5</v>
      </c>
      <c r="T265" s="24">
        <f t="shared" si="5"/>
        <v>5</v>
      </c>
      <c r="U265" s="26">
        <f t="shared" si="6"/>
        <v>0.5294117647</v>
      </c>
      <c r="V265" s="26">
        <f t="shared" si="7"/>
        <v>0.2875816993</v>
      </c>
      <c r="W265" s="19">
        <f t="shared" si="8"/>
        <v>0.3333333333</v>
      </c>
      <c r="X265" s="20">
        <f t="shared" si="9"/>
        <v>150</v>
      </c>
      <c r="Y265" s="27"/>
      <c r="Z265" s="17"/>
      <c r="AA265" s="17"/>
      <c r="AB265" s="17"/>
      <c r="AC265" s="17"/>
      <c r="AD265" s="27"/>
    </row>
    <row r="266" ht="15.75" customHeight="1">
      <c r="A266" s="27" t="s">
        <v>553</v>
      </c>
      <c r="B266" s="27" t="s">
        <v>1105</v>
      </c>
      <c r="C266" s="16" t="s">
        <v>1106</v>
      </c>
      <c r="D266" s="17" t="s">
        <v>130</v>
      </c>
      <c r="E266" s="18" t="s">
        <v>34</v>
      </c>
      <c r="F266" s="18">
        <v>1.0</v>
      </c>
      <c r="G266" s="19">
        <f t="shared" si="1"/>
        <v>1.48150761</v>
      </c>
      <c r="H266" s="17">
        <v>42.0</v>
      </c>
      <c r="I266" s="10">
        <v>210.0</v>
      </c>
      <c r="J266" s="17">
        <v>12.0</v>
      </c>
      <c r="K266" s="17">
        <v>150.0</v>
      </c>
      <c r="L266" s="17"/>
      <c r="M266" s="20">
        <v>24.0</v>
      </c>
      <c r="N266" s="20">
        <v>2.0</v>
      </c>
      <c r="O266" s="20">
        <v>22.0</v>
      </c>
      <c r="P266" s="20">
        <f t="shared" si="2"/>
        <v>0</v>
      </c>
      <c r="Q266" s="21">
        <v>5.0</v>
      </c>
      <c r="R266" s="22">
        <f t="shared" si="3"/>
        <v>141.7475</v>
      </c>
      <c r="S266" s="23">
        <f t="shared" si="4"/>
        <v>5</v>
      </c>
      <c r="T266" s="24">
        <f t="shared" si="5"/>
        <v>4.8</v>
      </c>
      <c r="U266" s="26">
        <f t="shared" si="6"/>
        <v>0.4821428571</v>
      </c>
      <c r="V266" s="26">
        <f t="shared" si="7"/>
        <v>0.3928571429</v>
      </c>
      <c r="W266" s="19">
        <f t="shared" si="8"/>
        <v>0.7142857143</v>
      </c>
      <c r="X266" s="20">
        <f t="shared" si="9"/>
        <v>210</v>
      </c>
      <c r="Y266" s="27"/>
      <c r="Z266" s="17"/>
      <c r="AA266" s="28"/>
      <c r="AB266" s="17"/>
      <c r="AC266" s="28"/>
      <c r="AD266" s="27"/>
    </row>
    <row r="267" ht="15.75" customHeight="1">
      <c r="A267" s="27" t="s">
        <v>104</v>
      </c>
      <c r="B267" s="27" t="s">
        <v>1107</v>
      </c>
      <c r="C267" s="16" t="s">
        <v>1108</v>
      </c>
      <c r="D267" s="17" t="s">
        <v>203</v>
      </c>
      <c r="E267" s="18" t="s">
        <v>34</v>
      </c>
      <c r="F267" s="18">
        <v>1.0</v>
      </c>
      <c r="G267" s="19">
        <f t="shared" si="1"/>
        <v>1.058219722</v>
      </c>
      <c r="H267" s="17">
        <v>30.0</v>
      </c>
      <c r="I267" s="10">
        <v>150.0</v>
      </c>
      <c r="J267" s="17">
        <v>10.0</v>
      </c>
      <c r="K267" s="17">
        <v>15.0</v>
      </c>
      <c r="L267" s="17">
        <v>125.0</v>
      </c>
      <c r="M267" s="20">
        <v>14.0</v>
      </c>
      <c r="N267" s="20">
        <v>2.0</v>
      </c>
      <c r="O267" s="20">
        <v>10.0</v>
      </c>
      <c r="P267" s="20">
        <f t="shared" si="2"/>
        <v>2</v>
      </c>
      <c r="Q267" s="21">
        <v>3.0</v>
      </c>
      <c r="R267" s="22">
        <f t="shared" si="3"/>
        <v>141.7475</v>
      </c>
      <c r="S267" s="23">
        <f t="shared" si="4"/>
        <v>5</v>
      </c>
      <c r="T267" s="24">
        <f t="shared" si="5"/>
        <v>4.666666667</v>
      </c>
      <c r="U267" s="26">
        <f t="shared" si="6"/>
        <v>0.5696202532</v>
      </c>
      <c r="V267" s="26">
        <f t="shared" si="7"/>
        <v>0.253164557</v>
      </c>
      <c r="W267" s="19">
        <f t="shared" si="8"/>
        <v>0.1</v>
      </c>
      <c r="X267" s="20">
        <f t="shared" si="9"/>
        <v>150</v>
      </c>
      <c r="Y267" s="27"/>
      <c r="Z267" s="17"/>
      <c r="AA267" s="17"/>
      <c r="AB267" s="17"/>
      <c r="AC267" s="17"/>
      <c r="AD267" s="27"/>
    </row>
    <row r="268" ht="15.75" customHeight="1">
      <c r="A268" s="16" t="s">
        <v>1053</v>
      </c>
      <c r="B268" s="16" t="s">
        <v>1109</v>
      </c>
      <c r="C268" s="16" t="s">
        <v>1110</v>
      </c>
      <c r="D268" s="17" t="s">
        <v>563</v>
      </c>
      <c r="E268" s="18" t="s">
        <v>34</v>
      </c>
      <c r="F268" s="18">
        <v>1.0</v>
      </c>
      <c r="G268" s="19">
        <f t="shared" si="1"/>
        <v>1.058219722</v>
      </c>
      <c r="H268" s="17">
        <v>30.0</v>
      </c>
      <c r="I268" s="10">
        <v>150.0</v>
      </c>
      <c r="J268" s="17">
        <v>5.0</v>
      </c>
      <c r="K268" s="17">
        <v>75.0</v>
      </c>
      <c r="L268" s="17"/>
      <c r="M268" s="20">
        <v>18.0</v>
      </c>
      <c r="N268" s="20">
        <v>2.0</v>
      </c>
      <c r="O268" s="20">
        <v>6.0</v>
      </c>
      <c r="P268" s="20">
        <f t="shared" si="2"/>
        <v>10</v>
      </c>
      <c r="Q268" s="21">
        <v>4.0</v>
      </c>
      <c r="R268" s="22">
        <f t="shared" si="3"/>
        <v>141.7475</v>
      </c>
      <c r="S268" s="23">
        <f t="shared" si="4"/>
        <v>5</v>
      </c>
      <c r="T268" s="24">
        <f t="shared" si="5"/>
        <v>4.5</v>
      </c>
      <c r="U268" s="26">
        <f t="shared" si="6"/>
        <v>0.3383458647</v>
      </c>
      <c r="V268" s="26">
        <f t="shared" si="7"/>
        <v>0.1804511278</v>
      </c>
      <c r="W268" s="19">
        <f t="shared" si="8"/>
        <v>0.5</v>
      </c>
      <c r="X268" s="20">
        <f t="shared" si="9"/>
        <v>150</v>
      </c>
      <c r="Y268" s="27"/>
      <c r="Z268" s="17"/>
      <c r="AA268" s="28"/>
      <c r="AB268" s="17"/>
      <c r="AC268" s="28"/>
      <c r="AD268" s="16"/>
    </row>
    <row r="269" ht="15.75" customHeight="1">
      <c r="A269" s="16" t="s">
        <v>1111</v>
      </c>
      <c r="B269" s="16" t="s">
        <v>170</v>
      </c>
      <c r="C269" s="16" t="s">
        <v>1112</v>
      </c>
      <c r="D269" s="17" t="s">
        <v>130</v>
      </c>
      <c r="E269" s="18" t="s">
        <v>34</v>
      </c>
      <c r="F269" s="18">
        <v>1.0</v>
      </c>
      <c r="G269" s="19">
        <f t="shared" si="1"/>
        <v>1.48150761</v>
      </c>
      <c r="H269" s="17">
        <v>42.0</v>
      </c>
      <c r="I269" s="10">
        <v>210.0</v>
      </c>
      <c r="J269" s="17">
        <v>19.0</v>
      </c>
      <c r="K269" s="17">
        <v>0.0</v>
      </c>
      <c r="L269" s="17"/>
      <c r="M269" s="20">
        <v>17.0</v>
      </c>
      <c r="N269" s="20">
        <v>5.0</v>
      </c>
      <c r="O269" s="20">
        <v>7.0</v>
      </c>
      <c r="P269" s="20">
        <f t="shared" si="2"/>
        <v>5</v>
      </c>
      <c r="Q269" s="21">
        <v>4.0</v>
      </c>
      <c r="R269" s="22">
        <f t="shared" si="3"/>
        <v>141.7475</v>
      </c>
      <c r="S269" s="23">
        <f t="shared" si="4"/>
        <v>5</v>
      </c>
      <c r="T269" s="24">
        <f t="shared" si="5"/>
        <v>4.25</v>
      </c>
      <c r="U269" s="26">
        <f t="shared" si="6"/>
        <v>0.6705882353</v>
      </c>
      <c r="V269" s="26">
        <f t="shared" si="7"/>
        <v>0.1098039216</v>
      </c>
      <c r="W269" s="19">
        <f t="shared" si="8"/>
        <v>0</v>
      </c>
      <c r="X269" s="20">
        <f t="shared" si="9"/>
        <v>210</v>
      </c>
      <c r="Y269" s="27"/>
      <c r="Z269" s="17"/>
      <c r="AA269" s="28"/>
      <c r="AB269" s="17"/>
      <c r="AC269" s="28"/>
      <c r="AD269" s="16"/>
    </row>
    <row r="270" ht="15.75" customHeight="1">
      <c r="A270" s="27" t="s">
        <v>324</v>
      </c>
      <c r="B270" s="27" t="s">
        <v>1113</v>
      </c>
      <c r="C270" s="16" t="s">
        <v>1114</v>
      </c>
      <c r="D270" s="17" t="s">
        <v>212</v>
      </c>
      <c r="E270" s="18" t="s">
        <v>34</v>
      </c>
      <c r="F270" s="18">
        <v>1.0</v>
      </c>
      <c r="G270" s="19">
        <f t="shared" si="1"/>
        <v>1.340411647</v>
      </c>
      <c r="H270" s="17">
        <v>38.0</v>
      </c>
      <c r="I270" s="10">
        <v>190.0</v>
      </c>
      <c r="J270" s="17">
        <v>10.0</v>
      </c>
      <c r="K270" s="17">
        <v>170.0</v>
      </c>
      <c r="L270" s="17">
        <v>120.0</v>
      </c>
      <c r="M270" s="20">
        <v>21.0</v>
      </c>
      <c r="N270" s="20">
        <v>3.0</v>
      </c>
      <c r="O270" s="20">
        <v>8.0</v>
      </c>
      <c r="P270" s="20">
        <f t="shared" si="2"/>
        <v>10</v>
      </c>
      <c r="Q270" s="21">
        <v>5.0</v>
      </c>
      <c r="R270" s="22">
        <f t="shared" si="3"/>
        <v>141.7475</v>
      </c>
      <c r="S270" s="23">
        <f t="shared" si="4"/>
        <v>5</v>
      </c>
      <c r="T270" s="24">
        <f t="shared" si="5"/>
        <v>4.2</v>
      </c>
      <c r="U270" s="26">
        <f t="shared" si="6"/>
        <v>0.4639175258</v>
      </c>
      <c r="V270" s="26">
        <f t="shared" si="7"/>
        <v>0.1649484536</v>
      </c>
      <c r="W270" s="19">
        <f t="shared" si="8"/>
        <v>0.8947368421</v>
      </c>
      <c r="X270" s="20">
        <f t="shared" si="9"/>
        <v>190</v>
      </c>
      <c r="Y270" s="27"/>
      <c r="Z270" s="17"/>
      <c r="AA270" s="28"/>
      <c r="AB270" s="17"/>
      <c r="AC270" s="28"/>
      <c r="AD270" s="27"/>
    </row>
    <row r="271" ht="15.75" customHeight="1">
      <c r="A271" s="16" t="s">
        <v>139</v>
      </c>
      <c r="B271" s="16" t="s">
        <v>1115</v>
      </c>
      <c r="C271" s="16" t="s">
        <v>1116</v>
      </c>
      <c r="D271" s="17" t="s">
        <v>203</v>
      </c>
      <c r="E271" s="18" t="s">
        <v>34</v>
      </c>
      <c r="F271" s="18">
        <v>1.0</v>
      </c>
      <c r="G271" s="19">
        <f t="shared" si="1"/>
        <v>1.058219722</v>
      </c>
      <c r="H271" s="17">
        <v>30.0</v>
      </c>
      <c r="I271" s="10">
        <v>150.0</v>
      </c>
      <c r="J271" s="17">
        <v>10.0</v>
      </c>
      <c r="K271" s="17">
        <v>50.0</v>
      </c>
      <c r="L271" s="17"/>
      <c r="M271" s="20">
        <v>14.0</v>
      </c>
      <c r="N271" s="20">
        <v>2.0</v>
      </c>
      <c r="O271" s="20">
        <v>9.0</v>
      </c>
      <c r="P271" s="20">
        <f t="shared" si="2"/>
        <v>3</v>
      </c>
      <c r="Q271" s="21">
        <v>4.0</v>
      </c>
      <c r="R271" s="22">
        <f t="shared" si="3"/>
        <v>141.7475</v>
      </c>
      <c r="S271" s="23">
        <f t="shared" si="4"/>
        <v>5</v>
      </c>
      <c r="T271" s="24">
        <f t="shared" si="5"/>
        <v>3.5</v>
      </c>
      <c r="U271" s="26">
        <f t="shared" si="6"/>
        <v>0.5555555556</v>
      </c>
      <c r="V271" s="26">
        <f t="shared" si="7"/>
        <v>0.2222222222</v>
      </c>
      <c r="W271" s="19">
        <f t="shared" si="8"/>
        <v>0.3333333333</v>
      </c>
      <c r="X271" s="20">
        <f t="shared" si="9"/>
        <v>150</v>
      </c>
      <c r="Y271" s="27"/>
      <c r="Z271" s="17"/>
      <c r="AA271" s="17"/>
      <c r="AB271" s="17"/>
      <c r="AC271" s="17"/>
      <c r="AD271" s="27"/>
    </row>
    <row r="272" ht="15.75" customHeight="1">
      <c r="A272" s="16" t="s">
        <v>1117</v>
      </c>
      <c r="B272" s="16" t="s">
        <v>1118</v>
      </c>
      <c r="C272" s="16" t="s">
        <v>1119</v>
      </c>
      <c r="D272" s="17" t="s">
        <v>212</v>
      </c>
      <c r="E272" s="18" t="s">
        <v>34</v>
      </c>
      <c r="F272" s="18">
        <v>1.0</v>
      </c>
      <c r="G272" s="19">
        <f t="shared" si="1"/>
        <v>1.410959629</v>
      </c>
      <c r="H272" s="17">
        <v>40.0</v>
      </c>
      <c r="I272" s="10">
        <v>200.0</v>
      </c>
      <c r="J272" s="17">
        <v>16.0</v>
      </c>
      <c r="K272" s="17">
        <v>20.0</v>
      </c>
      <c r="L272" s="17"/>
      <c r="M272" s="20">
        <v>16.0</v>
      </c>
      <c r="N272" s="20">
        <v>7.0</v>
      </c>
      <c r="O272" s="20">
        <v>5.0</v>
      </c>
      <c r="P272" s="20">
        <f t="shared" si="2"/>
        <v>4</v>
      </c>
      <c r="Q272" s="21">
        <v>5.0</v>
      </c>
      <c r="R272" s="22">
        <f t="shared" si="3"/>
        <v>141.7475</v>
      </c>
      <c r="S272" s="23">
        <f t="shared" si="4"/>
        <v>5</v>
      </c>
      <c r="T272" s="24">
        <f t="shared" si="5"/>
        <v>3.2</v>
      </c>
      <c r="U272" s="26">
        <f t="shared" si="6"/>
        <v>0.6315789474</v>
      </c>
      <c r="V272" s="26">
        <f t="shared" si="7"/>
        <v>0.08771929825</v>
      </c>
      <c r="W272" s="19">
        <f t="shared" si="8"/>
        <v>0.1</v>
      </c>
      <c r="X272" s="20">
        <f t="shared" si="9"/>
        <v>200</v>
      </c>
      <c r="Y272" s="27"/>
      <c r="Z272" s="17"/>
      <c r="AA272" s="28"/>
      <c r="AB272" s="17"/>
      <c r="AC272" s="28"/>
      <c r="AD272" s="27"/>
    </row>
    <row r="273" ht="15.75" customHeight="1">
      <c r="A273" s="27" t="s">
        <v>213</v>
      </c>
      <c r="B273" s="27" t="s">
        <v>1120</v>
      </c>
      <c r="C273" s="16" t="s">
        <v>1121</v>
      </c>
      <c r="D273" s="17" t="s">
        <v>203</v>
      </c>
      <c r="E273" s="18" t="s">
        <v>34</v>
      </c>
      <c r="F273" s="18">
        <v>1.0</v>
      </c>
      <c r="G273" s="19">
        <f t="shared" si="1"/>
        <v>0.9876717402</v>
      </c>
      <c r="H273" s="17">
        <v>28.0</v>
      </c>
      <c r="I273" s="10">
        <v>140.0</v>
      </c>
      <c r="J273" s="17">
        <v>9.0</v>
      </c>
      <c r="K273" s="17">
        <v>0.0</v>
      </c>
      <c r="L273" s="17"/>
      <c r="M273" s="20">
        <v>12.0</v>
      </c>
      <c r="N273" s="20">
        <v>2.0</v>
      </c>
      <c r="O273" s="20">
        <v>7.0</v>
      </c>
      <c r="P273" s="20">
        <f t="shared" si="2"/>
        <v>3</v>
      </c>
      <c r="Q273" s="21">
        <v>4.0</v>
      </c>
      <c r="R273" s="22">
        <f t="shared" si="3"/>
        <v>141.7475</v>
      </c>
      <c r="S273" s="23">
        <f t="shared" si="4"/>
        <v>5</v>
      </c>
      <c r="T273" s="24">
        <f t="shared" si="5"/>
        <v>3</v>
      </c>
      <c r="U273" s="26">
        <f t="shared" si="6"/>
        <v>0.5586206897</v>
      </c>
      <c r="V273" s="26">
        <f t="shared" si="7"/>
        <v>0.1931034483</v>
      </c>
      <c r="W273" s="19">
        <f t="shared" si="8"/>
        <v>0</v>
      </c>
      <c r="X273" s="20">
        <f t="shared" si="9"/>
        <v>140</v>
      </c>
      <c r="Y273" s="27"/>
      <c r="Z273" s="17"/>
      <c r="AA273" s="17"/>
      <c r="AB273" s="17"/>
      <c r="AC273" s="17"/>
      <c r="AD273" s="27"/>
    </row>
    <row r="274" ht="15.75" customHeight="1">
      <c r="A274" s="27" t="s">
        <v>1117</v>
      </c>
      <c r="B274" s="27" t="s">
        <v>1122</v>
      </c>
      <c r="C274" s="16" t="s">
        <v>1123</v>
      </c>
      <c r="D274" s="17" t="s">
        <v>212</v>
      </c>
      <c r="E274" s="18" t="s">
        <v>34</v>
      </c>
      <c r="F274" s="18">
        <v>1.0</v>
      </c>
      <c r="G274" s="19">
        <f t="shared" si="1"/>
        <v>1.410959629</v>
      </c>
      <c r="H274" s="17">
        <v>40.0</v>
      </c>
      <c r="I274" s="10">
        <v>200.0</v>
      </c>
      <c r="J274" s="17">
        <v>17.0</v>
      </c>
      <c r="K274" s="17">
        <v>140.0</v>
      </c>
      <c r="L274" s="17"/>
      <c r="M274" s="20">
        <v>14.0</v>
      </c>
      <c r="N274" s="20">
        <v>5.0</v>
      </c>
      <c r="O274" s="20">
        <v>5.0</v>
      </c>
      <c r="P274" s="20">
        <f t="shared" si="2"/>
        <v>4</v>
      </c>
      <c r="Q274" s="21">
        <v>5.0</v>
      </c>
      <c r="R274" s="22">
        <f t="shared" si="3"/>
        <v>141.7475</v>
      </c>
      <c r="S274" s="23">
        <f t="shared" si="4"/>
        <v>5</v>
      </c>
      <c r="T274" s="24">
        <f t="shared" si="5"/>
        <v>2.8</v>
      </c>
      <c r="U274" s="26">
        <f t="shared" si="6"/>
        <v>0.6681222707</v>
      </c>
      <c r="V274" s="26">
        <f t="shared" si="7"/>
        <v>0.08733624454</v>
      </c>
      <c r="W274" s="19">
        <f t="shared" si="8"/>
        <v>0.7</v>
      </c>
      <c r="X274" s="20">
        <f t="shared" si="9"/>
        <v>200</v>
      </c>
      <c r="Y274" s="27"/>
      <c r="Z274" s="17"/>
      <c r="AA274" s="28"/>
      <c r="AB274" s="17"/>
      <c r="AC274" s="28"/>
      <c r="AD274" s="27"/>
    </row>
    <row r="275" ht="15.75" customHeight="1">
      <c r="A275" s="27" t="s">
        <v>64</v>
      </c>
      <c r="B275" s="27" t="s">
        <v>1124</v>
      </c>
      <c r="C275" s="16" t="s">
        <v>1125</v>
      </c>
      <c r="D275" s="17" t="s">
        <v>282</v>
      </c>
      <c r="E275" s="18" t="s">
        <v>34</v>
      </c>
      <c r="F275" s="18">
        <v>1.0</v>
      </c>
      <c r="G275" s="19">
        <f t="shared" si="1"/>
        <v>0.9876717402</v>
      </c>
      <c r="H275" s="17">
        <v>28.0</v>
      </c>
      <c r="I275" s="10">
        <v>140.0</v>
      </c>
      <c r="J275" s="17">
        <v>8.0</v>
      </c>
      <c r="K275" s="17">
        <v>230.0</v>
      </c>
      <c r="L275" s="17"/>
      <c r="M275" s="20">
        <v>13.0</v>
      </c>
      <c r="N275" s="20">
        <v>2.0</v>
      </c>
      <c r="O275" s="20">
        <v>1.0</v>
      </c>
      <c r="P275" s="20">
        <f t="shared" si="2"/>
        <v>10</v>
      </c>
      <c r="Q275" s="21">
        <v>5.0</v>
      </c>
      <c r="R275" s="22">
        <f t="shared" si="3"/>
        <v>141.7475</v>
      </c>
      <c r="S275" s="23">
        <f t="shared" si="4"/>
        <v>5</v>
      </c>
      <c r="T275" s="24">
        <f t="shared" si="5"/>
        <v>2.6</v>
      </c>
      <c r="U275" s="26">
        <f t="shared" si="6"/>
        <v>0.5</v>
      </c>
      <c r="V275" s="26">
        <f t="shared" si="7"/>
        <v>0.02777777778</v>
      </c>
      <c r="W275" s="19">
        <f t="shared" si="8"/>
        <v>1.642857143</v>
      </c>
      <c r="X275" s="20">
        <f t="shared" si="9"/>
        <v>140</v>
      </c>
      <c r="Y275" s="27"/>
      <c r="Z275" s="17"/>
      <c r="AA275" s="28"/>
      <c r="AB275" s="17"/>
      <c r="AC275" s="28"/>
      <c r="AD275" s="16"/>
    </row>
    <row r="276" ht="15.75" customHeight="1">
      <c r="A276" s="16" t="s">
        <v>1117</v>
      </c>
      <c r="B276" s="16" t="s">
        <v>1126</v>
      </c>
      <c r="C276" s="16" t="s">
        <v>1127</v>
      </c>
      <c r="D276" s="17" t="s">
        <v>212</v>
      </c>
      <c r="E276" s="18" t="s">
        <v>34</v>
      </c>
      <c r="F276" s="18">
        <v>1.0</v>
      </c>
      <c r="G276" s="19">
        <f t="shared" si="1"/>
        <v>1.410959629</v>
      </c>
      <c r="H276" s="17">
        <v>40.0</v>
      </c>
      <c r="I276" s="10">
        <v>200.0</v>
      </c>
      <c r="J276" s="17">
        <v>14.0</v>
      </c>
      <c r="K276" s="17">
        <v>20.0</v>
      </c>
      <c r="L276" s="17"/>
      <c r="M276" s="20">
        <v>17.0</v>
      </c>
      <c r="N276" s="20">
        <v>3.0</v>
      </c>
      <c r="O276" s="20">
        <v>9.0</v>
      </c>
      <c r="P276" s="20">
        <f t="shared" si="2"/>
        <v>5</v>
      </c>
      <c r="Q276" s="21">
        <v>7.0</v>
      </c>
      <c r="R276" s="22">
        <f t="shared" si="3"/>
        <v>141.7475</v>
      </c>
      <c r="S276" s="23">
        <f t="shared" si="4"/>
        <v>5</v>
      </c>
      <c r="T276" s="24">
        <f t="shared" si="5"/>
        <v>2.428571429</v>
      </c>
      <c r="U276" s="26">
        <f t="shared" si="6"/>
        <v>0.5675675676</v>
      </c>
      <c r="V276" s="26">
        <f t="shared" si="7"/>
        <v>0.1621621622</v>
      </c>
      <c r="W276" s="19">
        <f t="shared" si="8"/>
        <v>0.1</v>
      </c>
      <c r="X276" s="20">
        <f t="shared" si="9"/>
        <v>200</v>
      </c>
      <c r="Y276" s="27"/>
      <c r="Z276" s="17"/>
      <c r="AA276" s="28"/>
      <c r="AB276" s="17"/>
      <c r="AC276" s="28"/>
      <c r="AD276" s="27"/>
    </row>
    <row r="277" ht="15.75" customHeight="1">
      <c r="A277" s="27" t="s">
        <v>104</v>
      </c>
      <c r="B277" s="27" t="s">
        <v>1128</v>
      </c>
      <c r="C277" s="16" t="s">
        <v>1129</v>
      </c>
      <c r="D277" s="17" t="s">
        <v>96</v>
      </c>
      <c r="E277" s="18" t="s">
        <v>34</v>
      </c>
      <c r="F277" s="18">
        <v>1.0</v>
      </c>
      <c r="G277" s="19">
        <f t="shared" si="1"/>
        <v>0.9876717402</v>
      </c>
      <c r="H277" s="17">
        <v>28.0</v>
      </c>
      <c r="I277" s="10">
        <v>140.0</v>
      </c>
      <c r="J277" s="17">
        <v>9.0</v>
      </c>
      <c r="K277" s="17">
        <v>5.0</v>
      </c>
      <c r="L277" s="17"/>
      <c r="M277" s="20">
        <v>12.0</v>
      </c>
      <c r="N277" s="20">
        <v>9.0</v>
      </c>
      <c r="O277" s="20">
        <v>0.0</v>
      </c>
      <c r="P277" s="20">
        <f t="shared" si="2"/>
        <v>3</v>
      </c>
      <c r="Q277" s="21">
        <v>5.0</v>
      </c>
      <c r="R277" s="22">
        <f t="shared" si="3"/>
        <v>141.7475</v>
      </c>
      <c r="S277" s="23">
        <f t="shared" si="4"/>
        <v>5</v>
      </c>
      <c r="T277" s="24">
        <f t="shared" si="5"/>
        <v>2.4</v>
      </c>
      <c r="U277" s="26">
        <f t="shared" si="6"/>
        <v>0.5436241611</v>
      </c>
      <c r="V277" s="26" t="str">
        <f t="shared" si="7"/>
        <v>0%</v>
      </c>
      <c r="W277" s="19">
        <f t="shared" si="8"/>
        <v>0.03571428571</v>
      </c>
      <c r="X277" s="20">
        <f t="shared" si="9"/>
        <v>140</v>
      </c>
      <c r="Y277" s="27"/>
      <c r="Z277" s="17"/>
      <c r="AA277" s="28"/>
      <c r="AB277" s="17"/>
      <c r="AC277" s="28"/>
      <c r="AD277" s="27"/>
    </row>
    <row r="278" ht="15.75" customHeight="1">
      <c r="A278" s="27" t="s">
        <v>213</v>
      </c>
      <c r="B278" s="27" t="s">
        <v>1130</v>
      </c>
      <c r="C278" s="16" t="s">
        <v>1131</v>
      </c>
      <c r="D278" s="17" t="s">
        <v>203</v>
      </c>
      <c r="E278" s="18" t="s">
        <v>34</v>
      </c>
      <c r="F278" s="18">
        <v>1.0</v>
      </c>
      <c r="G278" s="19">
        <f t="shared" si="1"/>
        <v>1.058219722</v>
      </c>
      <c r="H278" s="17">
        <v>30.0</v>
      </c>
      <c r="I278" s="10">
        <v>150.0</v>
      </c>
      <c r="J278" s="17">
        <v>10.0</v>
      </c>
      <c r="K278" s="17">
        <v>100.0</v>
      </c>
      <c r="L278" s="17"/>
      <c r="M278" s="20">
        <v>12.0</v>
      </c>
      <c r="N278" s="20">
        <v>2.0</v>
      </c>
      <c r="O278" s="20">
        <v>14.0</v>
      </c>
      <c r="P278" s="20">
        <f t="shared" si="2"/>
        <v>-4</v>
      </c>
      <c r="Q278" s="21">
        <v>5.0</v>
      </c>
      <c r="R278" s="22">
        <f t="shared" si="3"/>
        <v>141.7475</v>
      </c>
      <c r="S278" s="23">
        <f t="shared" si="4"/>
        <v>5</v>
      </c>
      <c r="T278" s="24">
        <f t="shared" si="5"/>
        <v>2.4</v>
      </c>
      <c r="U278" s="26">
        <f t="shared" si="6"/>
        <v>0.5696202532</v>
      </c>
      <c r="V278" s="26">
        <f t="shared" si="7"/>
        <v>0.3544303797</v>
      </c>
      <c r="W278" s="19">
        <f t="shared" si="8"/>
        <v>0.6666666667</v>
      </c>
      <c r="X278" s="20">
        <f t="shared" si="9"/>
        <v>150</v>
      </c>
      <c r="Y278" s="27"/>
      <c r="Z278" s="17"/>
      <c r="AA278" s="17"/>
      <c r="AB278" s="17"/>
      <c r="AC278" s="17"/>
      <c r="AD278" s="27"/>
    </row>
    <row r="279" ht="15.75" customHeight="1">
      <c r="A279" s="27" t="s">
        <v>1132</v>
      </c>
      <c r="B279" s="27" t="s">
        <v>1133</v>
      </c>
      <c r="C279" s="16" t="s">
        <v>1134</v>
      </c>
      <c r="D279" s="17" t="s">
        <v>563</v>
      </c>
      <c r="E279" s="18" t="s">
        <v>34</v>
      </c>
      <c r="F279" s="18">
        <v>1.0</v>
      </c>
      <c r="G279" s="19">
        <f t="shared" si="1"/>
        <v>1.058219722</v>
      </c>
      <c r="H279" s="17">
        <v>30.0</v>
      </c>
      <c r="I279" s="10">
        <v>150.0</v>
      </c>
      <c r="J279" s="17">
        <v>8.0</v>
      </c>
      <c r="K279" s="17">
        <v>20.0</v>
      </c>
      <c r="L279" s="17"/>
      <c r="M279" s="20">
        <v>14.0</v>
      </c>
      <c r="N279" s="20">
        <v>3.0</v>
      </c>
      <c r="O279" s="20">
        <v>5.0</v>
      </c>
      <c r="P279" s="20">
        <f t="shared" si="2"/>
        <v>6</v>
      </c>
      <c r="Q279" s="21">
        <v>6.0</v>
      </c>
      <c r="R279" s="22">
        <f t="shared" si="3"/>
        <v>141.7475</v>
      </c>
      <c r="S279" s="23">
        <f t="shared" si="4"/>
        <v>5</v>
      </c>
      <c r="T279" s="24">
        <f t="shared" si="5"/>
        <v>2.333333333</v>
      </c>
      <c r="U279" s="26">
        <f t="shared" si="6"/>
        <v>0.4736842105</v>
      </c>
      <c r="V279" s="26">
        <f t="shared" si="7"/>
        <v>0.1315789474</v>
      </c>
      <c r="W279" s="19">
        <f t="shared" si="8"/>
        <v>0.1333333333</v>
      </c>
      <c r="X279" s="20">
        <f t="shared" si="9"/>
        <v>150</v>
      </c>
      <c r="Y279" s="27"/>
      <c r="Z279" s="17"/>
      <c r="AA279" s="28"/>
      <c r="AB279" s="17"/>
      <c r="AC279" s="28"/>
      <c r="AD279" s="27"/>
    </row>
    <row r="280" ht="15.75" customHeight="1">
      <c r="A280" s="16" t="s">
        <v>104</v>
      </c>
      <c r="B280" s="16" t="s">
        <v>1135</v>
      </c>
      <c r="C280" s="16" t="s">
        <v>1136</v>
      </c>
      <c r="D280" s="17" t="s">
        <v>96</v>
      </c>
      <c r="E280" s="18" t="s">
        <v>34</v>
      </c>
      <c r="F280" s="18">
        <v>1.0</v>
      </c>
      <c r="G280" s="19">
        <f t="shared" si="1"/>
        <v>1.058219722</v>
      </c>
      <c r="H280" s="17">
        <v>30.0</v>
      </c>
      <c r="I280" s="10">
        <v>150.0</v>
      </c>
      <c r="J280" s="17">
        <v>15.0</v>
      </c>
      <c r="K280" s="17">
        <v>0.0</v>
      </c>
      <c r="L280" s="17"/>
      <c r="M280" s="20">
        <v>7.0</v>
      </c>
      <c r="N280" s="20">
        <v>3.0</v>
      </c>
      <c r="O280" s="20">
        <v>1.0</v>
      </c>
      <c r="P280" s="20">
        <f t="shared" si="2"/>
        <v>3</v>
      </c>
      <c r="Q280" s="21">
        <v>3.0</v>
      </c>
      <c r="R280" s="22">
        <f t="shared" si="3"/>
        <v>141.7475</v>
      </c>
      <c r="S280" s="23">
        <f t="shared" si="4"/>
        <v>5</v>
      </c>
      <c r="T280" s="24">
        <f t="shared" si="5"/>
        <v>2.333333333</v>
      </c>
      <c r="U280" s="26">
        <f t="shared" si="6"/>
        <v>0.7714285714</v>
      </c>
      <c r="V280" s="26">
        <f t="shared" si="7"/>
        <v>0.02285714286</v>
      </c>
      <c r="W280" s="19">
        <f t="shared" si="8"/>
        <v>0</v>
      </c>
      <c r="X280" s="20">
        <f t="shared" si="9"/>
        <v>150</v>
      </c>
      <c r="Y280" s="27"/>
      <c r="Z280" s="17"/>
      <c r="AA280" s="28"/>
      <c r="AB280" s="17"/>
      <c r="AC280" s="28"/>
      <c r="AD280" s="27"/>
    </row>
    <row r="281" ht="15.75" customHeight="1">
      <c r="A281" s="27" t="s">
        <v>607</v>
      </c>
      <c r="B281" s="27" t="s">
        <v>1137</v>
      </c>
      <c r="C281" s="16" t="s">
        <v>1138</v>
      </c>
      <c r="D281" s="17" t="s">
        <v>212</v>
      </c>
      <c r="E281" s="18" t="s">
        <v>34</v>
      </c>
      <c r="F281" s="18">
        <v>1.0</v>
      </c>
      <c r="G281" s="19">
        <f t="shared" si="1"/>
        <v>2.186987425</v>
      </c>
      <c r="H281" s="17">
        <v>62.0</v>
      </c>
      <c r="I281" s="10">
        <v>310.0</v>
      </c>
      <c r="J281" s="17">
        <v>19.0</v>
      </c>
      <c r="K281" s="17">
        <v>40.0</v>
      </c>
      <c r="L281" s="17"/>
      <c r="M281" s="20">
        <v>25.0</v>
      </c>
      <c r="N281" s="20">
        <v>5.0</v>
      </c>
      <c r="O281" s="20">
        <v>17.0</v>
      </c>
      <c r="P281" s="20">
        <f t="shared" si="2"/>
        <v>3</v>
      </c>
      <c r="Q281" s="21">
        <v>12.0</v>
      </c>
      <c r="R281" s="22">
        <f t="shared" si="3"/>
        <v>141.7475</v>
      </c>
      <c r="S281" s="23">
        <f t="shared" si="4"/>
        <v>5</v>
      </c>
      <c r="T281" s="24">
        <f t="shared" si="5"/>
        <v>2.083333333</v>
      </c>
      <c r="U281" s="26">
        <f t="shared" si="6"/>
        <v>0.5360501567</v>
      </c>
      <c r="V281" s="26">
        <f t="shared" si="7"/>
        <v>0.2131661442</v>
      </c>
      <c r="W281" s="19">
        <f t="shared" si="8"/>
        <v>0.1290322581</v>
      </c>
      <c r="X281" s="20">
        <f t="shared" si="9"/>
        <v>310</v>
      </c>
      <c r="Y281" s="27"/>
      <c r="Z281" s="17"/>
      <c r="AA281" s="28"/>
      <c r="AB281" s="17"/>
      <c r="AC281" s="28"/>
      <c r="AD281" s="27"/>
    </row>
    <row r="282" ht="15.75" customHeight="1">
      <c r="A282" s="27" t="s">
        <v>607</v>
      </c>
      <c r="B282" s="27" t="s">
        <v>425</v>
      </c>
      <c r="C282" s="16" t="s">
        <v>1139</v>
      </c>
      <c r="D282" s="17" t="s">
        <v>212</v>
      </c>
      <c r="E282" s="18" t="s">
        <v>34</v>
      </c>
      <c r="F282" s="18">
        <v>1.0</v>
      </c>
      <c r="G282" s="19">
        <f t="shared" si="1"/>
        <v>2.186987425</v>
      </c>
      <c r="H282" s="17">
        <v>62.0</v>
      </c>
      <c r="I282" s="10">
        <v>310.0</v>
      </c>
      <c r="J282" s="17">
        <v>19.0</v>
      </c>
      <c r="K282" s="17">
        <v>130.0</v>
      </c>
      <c r="L282" s="17"/>
      <c r="M282" s="20">
        <v>25.0</v>
      </c>
      <c r="N282" s="20">
        <v>2.0</v>
      </c>
      <c r="O282" s="20">
        <v>17.0</v>
      </c>
      <c r="P282" s="20">
        <f t="shared" si="2"/>
        <v>6</v>
      </c>
      <c r="Q282" s="21">
        <v>12.0</v>
      </c>
      <c r="R282" s="22">
        <f t="shared" si="3"/>
        <v>141.7475</v>
      </c>
      <c r="S282" s="23">
        <f t="shared" si="4"/>
        <v>5</v>
      </c>
      <c r="T282" s="24">
        <f t="shared" si="5"/>
        <v>2.083333333</v>
      </c>
      <c r="U282" s="26">
        <f t="shared" si="6"/>
        <v>0.5360501567</v>
      </c>
      <c r="V282" s="26">
        <f t="shared" si="7"/>
        <v>0.2131661442</v>
      </c>
      <c r="W282" s="19">
        <f t="shared" si="8"/>
        <v>0.4193548387</v>
      </c>
      <c r="X282" s="20">
        <f t="shared" si="9"/>
        <v>310</v>
      </c>
      <c r="Y282" s="27"/>
      <c r="Z282" s="17"/>
      <c r="AA282" s="28"/>
      <c r="AB282" s="17"/>
      <c r="AC282" s="28"/>
      <c r="AD282" s="27"/>
    </row>
    <row r="283" ht="15.75" customHeight="1">
      <c r="A283" s="27" t="s">
        <v>213</v>
      </c>
      <c r="B283" s="27" t="s">
        <v>1140</v>
      </c>
      <c r="C283" s="16" t="s">
        <v>1141</v>
      </c>
      <c r="D283" s="17" t="s">
        <v>203</v>
      </c>
      <c r="E283" s="18" t="s">
        <v>34</v>
      </c>
      <c r="F283" s="18">
        <v>1.0</v>
      </c>
      <c r="G283" s="19">
        <f t="shared" si="1"/>
        <v>1.058219722</v>
      </c>
      <c r="H283" s="17">
        <v>30.0</v>
      </c>
      <c r="I283" s="10">
        <v>150.0</v>
      </c>
      <c r="J283" s="17">
        <v>6.0</v>
      </c>
      <c r="K283" s="17">
        <v>160.0</v>
      </c>
      <c r="L283" s="17"/>
      <c r="M283" s="20">
        <v>12.0</v>
      </c>
      <c r="N283" s="20">
        <v>1.0</v>
      </c>
      <c r="O283" s="20">
        <v>2.0</v>
      </c>
      <c r="P283" s="20">
        <f t="shared" si="2"/>
        <v>9</v>
      </c>
      <c r="Q283" s="21">
        <v>6.0</v>
      </c>
      <c r="R283" s="22">
        <f t="shared" si="3"/>
        <v>141.7475</v>
      </c>
      <c r="S283" s="23">
        <f t="shared" si="4"/>
        <v>5</v>
      </c>
      <c r="T283" s="24">
        <f t="shared" si="5"/>
        <v>2</v>
      </c>
      <c r="U283" s="26">
        <f t="shared" si="6"/>
        <v>0.4285714286</v>
      </c>
      <c r="V283" s="26">
        <f t="shared" si="7"/>
        <v>0.06349206349</v>
      </c>
      <c r="W283" s="19">
        <f t="shared" si="8"/>
        <v>1.066666667</v>
      </c>
      <c r="X283" s="20">
        <f t="shared" si="9"/>
        <v>150</v>
      </c>
      <c r="Y283" s="27"/>
      <c r="Z283" s="17"/>
      <c r="AA283" s="17"/>
      <c r="AB283" s="17"/>
      <c r="AC283" s="17"/>
      <c r="AD283" s="27"/>
    </row>
    <row r="284" ht="15.75" customHeight="1">
      <c r="A284" s="27" t="s">
        <v>607</v>
      </c>
      <c r="B284" s="27" t="s">
        <v>369</v>
      </c>
      <c r="C284" s="16" t="s">
        <v>1142</v>
      </c>
      <c r="D284" s="17" t="s">
        <v>212</v>
      </c>
      <c r="E284" s="18" t="s">
        <v>34</v>
      </c>
      <c r="F284" s="18">
        <v>1.0</v>
      </c>
      <c r="G284" s="19">
        <f t="shared" si="1"/>
        <v>2.257535406</v>
      </c>
      <c r="H284" s="17">
        <v>64.0</v>
      </c>
      <c r="I284" s="10">
        <v>320.0</v>
      </c>
      <c r="J284" s="17">
        <v>20.0</v>
      </c>
      <c r="K284" s="17">
        <v>40.0</v>
      </c>
      <c r="L284" s="17"/>
      <c r="M284" s="20">
        <v>25.0</v>
      </c>
      <c r="N284" s="20">
        <v>4.0</v>
      </c>
      <c r="O284" s="20">
        <v>18.0</v>
      </c>
      <c r="P284" s="20">
        <f t="shared" si="2"/>
        <v>3</v>
      </c>
      <c r="Q284" s="21">
        <v>14.0</v>
      </c>
      <c r="R284" s="22">
        <f t="shared" si="3"/>
        <v>141.7475</v>
      </c>
      <c r="S284" s="23">
        <f t="shared" si="4"/>
        <v>5</v>
      </c>
      <c r="T284" s="24">
        <f t="shared" si="5"/>
        <v>1.785714286</v>
      </c>
      <c r="U284" s="26">
        <f t="shared" si="6"/>
        <v>0.5357142857</v>
      </c>
      <c r="V284" s="26">
        <f t="shared" si="7"/>
        <v>0.2142857143</v>
      </c>
      <c r="W284" s="19">
        <f t="shared" si="8"/>
        <v>0.125</v>
      </c>
      <c r="X284" s="20">
        <f t="shared" si="9"/>
        <v>320</v>
      </c>
      <c r="Y284" s="27"/>
      <c r="Z284" s="17"/>
      <c r="AA284" s="28"/>
      <c r="AB284" s="17"/>
      <c r="AC284" s="28"/>
      <c r="AD284" s="27"/>
    </row>
    <row r="285" ht="15.75" customHeight="1">
      <c r="A285" s="27" t="s">
        <v>607</v>
      </c>
      <c r="B285" s="27" t="s">
        <v>1143</v>
      </c>
      <c r="C285" s="16" t="s">
        <v>1144</v>
      </c>
      <c r="D285" s="17" t="s">
        <v>212</v>
      </c>
      <c r="E285" s="18" t="s">
        <v>34</v>
      </c>
      <c r="F285" s="18">
        <v>1.0</v>
      </c>
      <c r="G285" s="19">
        <f t="shared" si="1"/>
        <v>2.186987425</v>
      </c>
      <c r="H285" s="17">
        <v>62.0</v>
      </c>
      <c r="I285" s="10">
        <v>310.0</v>
      </c>
      <c r="J285" s="17">
        <v>20.0</v>
      </c>
      <c r="K285" s="17">
        <v>125.0</v>
      </c>
      <c r="L285" s="17"/>
      <c r="M285" s="20">
        <v>23.0</v>
      </c>
      <c r="N285" s="20">
        <v>4.0</v>
      </c>
      <c r="O285" s="20">
        <v>17.0</v>
      </c>
      <c r="P285" s="20">
        <f t="shared" si="2"/>
        <v>2</v>
      </c>
      <c r="Q285" s="21">
        <v>14.0</v>
      </c>
      <c r="R285" s="22">
        <f t="shared" si="3"/>
        <v>141.7475</v>
      </c>
      <c r="S285" s="23">
        <f t="shared" si="4"/>
        <v>5</v>
      </c>
      <c r="T285" s="24">
        <f t="shared" si="5"/>
        <v>1.642857143</v>
      </c>
      <c r="U285" s="26">
        <f t="shared" si="6"/>
        <v>0.5487804878</v>
      </c>
      <c r="V285" s="26">
        <f t="shared" si="7"/>
        <v>0.2073170732</v>
      </c>
      <c r="W285" s="19">
        <f t="shared" si="8"/>
        <v>0.4032258065</v>
      </c>
      <c r="X285" s="20">
        <f t="shared" si="9"/>
        <v>310</v>
      </c>
      <c r="Y285" s="27"/>
      <c r="Z285" s="17"/>
      <c r="AA285" s="28"/>
      <c r="AB285" s="17"/>
      <c r="AC285" s="28"/>
      <c r="AD285" s="27"/>
    </row>
    <row r="286" ht="15.75" customHeight="1">
      <c r="A286" s="27" t="s">
        <v>324</v>
      </c>
      <c r="B286" s="27" t="s">
        <v>1145</v>
      </c>
      <c r="C286" s="16" t="s">
        <v>1146</v>
      </c>
      <c r="D286" s="17" t="s">
        <v>212</v>
      </c>
      <c r="E286" s="18" t="s">
        <v>34</v>
      </c>
      <c r="F286" s="18">
        <v>1.0</v>
      </c>
      <c r="G286" s="19">
        <f t="shared" si="1"/>
        <v>2.116439443</v>
      </c>
      <c r="H286" s="17">
        <v>60.0</v>
      </c>
      <c r="I286" s="10">
        <v>300.0</v>
      </c>
      <c r="J286" s="17">
        <v>18.0</v>
      </c>
      <c r="K286" s="17">
        <v>240.0</v>
      </c>
      <c r="L286" s="17">
        <v>190.0</v>
      </c>
      <c r="M286" s="20">
        <v>23.0</v>
      </c>
      <c r="N286" s="20">
        <v>8.0</v>
      </c>
      <c r="O286" s="20">
        <v>11.0</v>
      </c>
      <c r="P286" s="20">
        <f t="shared" si="2"/>
        <v>4</v>
      </c>
      <c r="Q286" s="21">
        <v>15.0</v>
      </c>
      <c r="R286" s="22">
        <f t="shared" si="3"/>
        <v>141.7475</v>
      </c>
      <c r="S286" s="23">
        <f t="shared" si="4"/>
        <v>5</v>
      </c>
      <c r="T286" s="24">
        <f t="shared" si="5"/>
        <v>1.533333333</v>
      </c>
      <c r="U286" s="26">
        <f t="shared" si="6"/>
        <v>0.5159235669</v>
      </c>
      <c r="V286" s="26">
        <f t="shared" si="7"/>
        <v>0.1401273885</v>
      </c>
      <c r="W286" s="19">
        <f t="shared" si="8"/>
        <v>0.8</v>
      </c>
      <c r="X286" s="20">
        <f t="shared" si="9"/>
        <v>300</v>
      </c>
      <c r="Y286" s="27"/>
      <c r="Z286" s="17"/>
      <c r="AA286" s="28"/>
      <c r="AB286" s="17"/>
      <c r="AC286" s="28"/>
      <c r="AD286" s="27"/>
    </row>
    <row r="287" ht="15.75" customHeight="1">
      <c r="A287" s="27" t="s">
        <v>324</v>
      </c>
      <c r="B287" s="27" t="s">
        <v>1147</v>
      </c>
      <c r="C287" s="16" t="s">
        <v>1148</v>
      </c>
      <c r="D287" s="17" t="s">
        <v>212</v>
      </c>
      <c r="E287" s="18" t="s">
        <v>34</v>
      </c>
      <c r="F287" s="18">
        <v>1.0</v>
      </c>
      <c r="G287" s="19">
        <f t="shared" si="1"/>
        <v>1.410959629</v>
      </c>
      <c r="H287" s="17">
        <v>40.0</v>
      </c>
      <c r="I287" s="10">
        <v>200.0</v>
      </c>
      <c r="J287" s="17">
        <v>12.0</v>
      </c>
      <c r="K287" s="17">
        <v>170.0</v>
      </c>
      <c r="L287" s="17">
        <v>110.0</v>
      </c>
      <c r="M287" s="20">
        <v>15.0</v>
      </c>
      <c r="N287" s="20">
        <v>5.0</v>
      </c>
      <c r="O287" s="20">
        <v>7.0</v>
      </c>
      <c r="P287" s="20">
        <f t="shared" si="2"/>
        <v>3</v>
      </c>
      <c r="Q287" s="21">
        <v>10.0</v>
      </c>
      <c r="R287" s="22">
        <f t="shared" si="3"/>
        <v>141.7475</v>
      </c>
      <c r="S287" s="23">
        <f t="shared" si="4"/>
        <v>5</v>
      </c>
      <c r="T287" s="24">
        <f t="shared" si="5"/>
        <v>1.5</v>
      </c>
      <c r="U287" s="26">
        <f t="shared" si="6"/>
        <v>0.5192307692</v>
      </c>
      <c r="V287" s="26">
        <f t="shared" si="7"/>
        <v>0.1346153846</v>
      </c>
      <c r="W287" s="19">
        <f t="shared" si="8"/>
        <v>0.85</v>
      </c>
      <c r="X287" s="20">
        <f t="shared" si="9"/>
        <v>200</v>
      </c>
      <c r="Y287" s="27"/>
      <c r="Z287" s="17"/>
      <c r="AA287" s="28"/>
      <c r="AB287" s="17"/>
      <c r="AC287" s="28"/>
      <c r="AD287" s="16"/>
    </row>
    <row r="288" ht="15.75" customHeight="1">
      <c r="A288" s="27" t="s">
        <v>324</v>
      </c>
      <c r="B288" s="27" t="s">
        <v>1149</v>
      </c>
      <c r="C288" s="16" t="s">
        <v>1150</v>
      </c>
      <c r="D288" s="17" t="s">
        <v>212</v>
      </c>
      <c r="E288" s="18" t="s">
        <v>34</v>
      </c>
      <c r="F288" s="18">
        <v>1.0</v>
      </c>
      <c r="G288" s="19">
        <f t="shared" si="1"/>
        <v>1.410959629</v>
      </c>
      <c r="H288" s="17">
        <v>40.0</v>
      </c>
      <c r="I288" s="10">
        <v>200.0</v>
      </c>
      <c r="J288" s="17">
        <v>12.0</v>
      </c>
      <c r="K288" s="17">
        <v>150.0</v>
      </c>
      <c r="L288" s="17">
        <v>130.0</v>
      </c>
      <c r="M288" s="20">
        <v>15.0</v>
      </c>
      <c r="N288" s="20">
        <v>5.0</v>
      </c>
      <c r="O288" s="20">
        <v>6.0</v>
      </c>
      <c r="P288" s="20">
        <f t="shared" si="2"/>
        <v>4</v>
      </c>
      <c r="Q288" s="21">
        <v>10.0</v>
      </c>
      <c r="R288" s="22">
        <f t="shared" si="3"/>
        <v>141.7475</v>
      </c>
      <c r="S288" s="23">
        <f t="shared" si="4"/>
        <v>5</v>
      </c>
      <c r="T288" s="24">
        <f t="shared" si="5"/>
        <v>1.5</v>
      </c>
      <c r="U288" s="26">
        <f t="shared" si="6"/>
        <v>0.5192307692</v>
      </c>
      <c r="V288" s="26">
        <f t="shared" si="7"/>
        <v>0.1153846154</v>
      </c>
      <c r="W288" s="19">
        <f t="shared" si="8"/>
        <v>0.75</v>
      </c>
      <c r="X288" s="20">
        <f t="shared" si="9"/>
        <v>200</v>
      </c>
      <c r="Y288" s="27"/>
      <c r="Z288" s="17"/>
      <c r="AA288" s="28"/>
      <c r="AB288" s="17"/>
      <c r="AC288" s="28"/>
      <c r="AD288" s="27"/>
    </row>
    <row r="289" ht="15.75" customHeight="1">
      <c r="A289" s="27" t="s">
        <v>1151</v>
      </c>
      <c r="B289" s="27" t="s">
        <v>1152</v>
      </c>
      <c r="C289" s="16" t="s">
        <v>1153</v>
      </c>
      <c r="D289" s="17" t="s">
        <v>212</v>
      </c>
      <c r="E289" s="18" t="s">
        <v>34</v>
      </c>
      <c r="F289" s="18">
        <v>1.0</v>
      </c>
      <c r="G289" s="19">
        <f t="shared" si="1"/>
        <v>1.763699536</v>
      </c>
      <c r="H289" s="17">
        <v>50.0</v>
      </c>
      <c r="I289" s="10">
        <v>250.0</v>
      </c>
      <c r="J289" s="17">
        <v>18.0</v>
      </c>
      <c r="K289" s="17">
        <v>135.0</v>
      </c>
      <c r="L289" s="17"/>
      <c r="M289" s="20">
        <v>17.0</v>
      </c>
      <c r="N289" s="20">
        <v>6.0</v>
      </c>
      <c r="O289" s="20">
        <v>8.0</v>
      </c>
      <c r="P289" s="20">
        <f t="shared" si="2"/>
        <v>3</v>
      </c>
      <c r="Q289" s="21">
        <v>12.0</v>
      </c>
      <c r="R289" s="22">
        <f t="shared" si="3"/>
        <v>141.7475</v>
      </c>
      <c r="S289" s="23">
        <f t="shared" si="4"/>
        <v>5</v>
      </c>
      <c r="T289" s="24">
        <f t="shared" si="5"/>
        <v>1.416666667</v>
      </c>
      <c r="U289" s="26">
        <f t="shared" si="6"/>
        <v>0.5827338129</v>
      </c>
      <c r="V289" s="26">
        <f t="shared" si="7"/>
        <v>0.1151079137</v>
      </c>
      <c r="W289" s="19">
        <f t="shared" si="8"/>
        <v>0.54</v>
      </c>
      <c r="X289" s="20">
        <f t="shared" si="9"/>
        <v>250</v>
      </c>
      <c r="Y289" s="27"/>
      <c r="Z289" s="17"/>
      <c r="AA289" s="28"/>
      <c r="AB289" s="17"/>
      <c r="AC289" s="28"/>
      <c r="AD289" s="27"/>
    </row>
    <row r="290" ht="15.75" customHeight="1">
      <c r="A290" s="27" t="s">
        <v>324</v>
      </c>
      <c r="B290" s="27" t="s">
        <v>1154</v>
      </c>
      <c r="C290" s="16" t="s">
        <v>1155</v>
      </c>
      <c r="D290" s="17" t="s">
        <v>212</v>
      </c>
      <c r="E290" s="18" t="s">
        <v>34</v>
      </c>
      <c r="F290" s="18">
        <v>1.0</v>
      </c>
      <c r="G290" s="19">
        <f t="shared" si="1"/>
        <v>1.410959629</v>
      </c>
      <c r="H290" s="17">
        <v>40.0</v>
      </c>
      <c r="I290" s="10">
        <v>200.0</v>
      </c>
      <c r="J290" s="17">
        <v>12.0</v>
      </c>
      <c r="K290" s="17">
        <v>180.0</v>
      </c>
      <c r="L290" s="17">
        <v>110.0</v>
      </c>
      <c r="M290" s="20">
        <v>14.0</v>
      </c>
      <c r="N290" s="20">
        <v>5.0</v>
      </c>
      <c r="O290" s="20">
        <v>6.0</v>
      </c>
      <c r="P290" s="20">
        <f t="shared" si="2"/>
        <v>3</v>
      </c>
      <c r="Q290" s="21">
        <v>10.0</v>
      </c>
      <c r="R290" s="22">
        <f t="shared" si="3"/>
        <v>141.7475</v>
      </c>
      <c r="S290" s="23">
        <f t="shared" si="4"/>
        <v>5</v>
      </c>
      <c r="T290" s="24">
        <f t="shared" si="5"/>
        <v>1.4</v>
      </c>
      <c r="U290" s="26">
        <f t="shared" si="6"/>
        <v>0.5294117647</v>
      </c>
      <c r="V290" s="26">
        <f t="shared" si="7"/>
        <v>0.1176470588</v>
      </c>
      <c r="W290" s="19">
        <f t="shared" si="8"/>
        <v>0.9</v>
      </c>
      <c r="X290" s="20">
        <f t="shared" si="9"/>
        <v>200</v>
      </c>
      <c r="Y290" s="27"/>
      <c r="Z290" s="17"/>
      <c r="AA290" s="28"/>
      <c r="AB290" s="17"/>
      <c r="AC290" s="28"/>
      <c r="AD290" s="27"/>
    </row>
    <row r="291" ht="15.75" customHeight="1">
      <c r="A291" s="27" t="s">
        <v>324</v>
      </c>
      <c r="B291" s="27" t="s">
        <v>1156</v>
      </c>
      <c r="C291" s="16" t="s">
        <v>1157</v>
      </c>
      <c r="D291" s="17" t="s">
        <v>212</v>
      </c>
      <c r="E291" s="18" t="s">
        <v>34</v>
      </c>
      <c r="F291" s="18">
        <v>1.0</v>
      </c>
      <c r="G291" s="19">
        <f t="shared" si="1"/>
        <v>2.116439443</v>
      </c>
      <c r="H291" s="17">
        <v>60.0</v>
      </c>
      <c r="I291" s="10">
        <v>300.0</v>
      </c>
      <c r="J291" s="17">
        <v>19.0</v>
      </c>
      <c r="K291" s="17">
        <v>250.0</v>
      </c>
      <c r="L291" s="17">
        <v>200.0</v>
      </c>
      <c r="M291" s="20">
        <v>21.0</v>
      </c>
      <c r="N291" s="20">
        <v>7.0</v>
      </c>
      <c r="O291" s="20">
        <v>10.0</v>
      </c>
      <c r="P291" s="20">
        <f t="shared" si="2"/>
        <v>4</v>
      </c>
      <c r="Q291" s="21">
        <v>15.0</v>
      </c>
      <c r="R291" s="22">
        <f t="shared" si="3"/>
        <v>141.7475</v>
      </c>
      <c r="S291" s="23">
        <f t="shared" si="4"/>
        <v>5</v>
      </c>
      <c r="T291" s="24">
        <f t="shared" si="5"/>
        <v>1.4</v>
      </c>
      <c r="U291" s="26">
        <f t="shared" si="6"/>
        <v>0.5428571429</v>
      </c>
      <c r="V291" s="26">
        <f t="shared" si="7"/>
        <v>0.126984127</v>
      </c>
      <c r="W291" s="19">
        <f t="shared" si="8"/>
        <v>0.8333333333</v>
      </c>
      <c r="X291" s="20">
        <f t="shared" si="9"/>
        <v>300</v>
      </c>
      <c r="Y291" s="27"/>
      <c r="Z291" s="17"/>
      <c r="AA291" s="28"/>
      <c r="AB291" s="17"/>
      <c r="AC291" s="28"/>
      <c r="AD291" s="27"/>
    </row>
    <row r="292" ht="15.75" customHeight="1">
      <c r="A292" s="27" t="s">
        <v>1158</v>
      </c>
      <c r="B292" s="27" t="s">
        <v>1159</v>
      </c>
      <c r="C292" s="16" t="s">
        <v>1160</v>
      </c>
      <c r="D292" s="17" t="s">
        <v>203</v>
      </c>
      <c r="E292" s="18" t="s">
        <v>34</v>
      </c>
      <c r="F292" s="18">
        <v>1.0</v>
      </c>
      <c r="G292" s="19">
        <f t="shared" si="1"/>
        <v>0.9876717402</v>
      </c>
      <c r="H292" s="17">
        <v>28.0</v>
      </c>
      <c r="I292" s="10">
        <v>140.0</v>
      </c>
      <c r="J292" s="17">
        <v>8.0</v>
      </c>
      <c r="K292" s="17">
        <v>190.0</v>
      </c>
      <c r="L292" s="17"/>
      <c r="M292" s="20">
        <v>8.0</v>
      </c>
      <c r="N292" s="20">
        <v>5.0</v>
      </c>
      <c r="O292" s="20">
        <v>3.0</v>
      </c>
      <c r="P292" s="20">
        <f t="shared" si="2"/>
        <v>0</v>
      </c>
      <c r="Q292" s="21">
        <v>9.0</v>
      </c>
      <c r="R292" s="22">
        <f t="shared" si="3"/>
        <v>141.7475</v>
      </c>
      <c r="S292" s="23">
        <f t="shared" si="4"/>
        <v>5</v>
      </c>
      <c r="T292" s="24">
        <f t="shared" si="5"/>
        <v>0.8888888889</v>
      </c>
      <c r="U292" s="26">
        <f t="shared" si="6"/>
        <v>0.5142857143</v>
      </c>
      <c r="V292" s="26">
        <f t="shared" si="7"/>
        <v>0.08571428571</v>
      </c>
      <c r="W292" s="19">
        <f t="shared" si="8"/>
        <v>1.357142857</v>
      </c>
      <c r="X292" s="20">
        <f t="shared" si="9"/>
        <v>140</v>
      </c>
      <c r="Y292" s="27"/>
      <c r="Z292" s="17"/>
      <c r="AA292" s="17"/>
      <c r="AB292" s="17"/>
      <c r="AC292" s="17"/>
      <c r="AD292" s="27"/>
    </row>
    <row r="293" ht="15.75" customHeight="1">
      <c r="A293" s="16" t="s">
        <v>71</v>
      </c>
      <c r="B293" s="16" t="s">
        <v>1161</v>
      </c>
      <c r="C293" s="16" t="s">
        <v>1162</v>
      </c>
      <c r="D293" s="17" t="s">
        <v>99</v>
      </c>
      <c r="E293" s="18" t="s">
        <v>34</v>
      </c>
      <c r="F293" s="18">
        <v>1.0</v>
      </c>
      <c r="G293" s="19">
        <f t="shared" si="1"/>
        <v>0.4585618794</v>
      </c>
      <c r="H293" s="17">
        <v>13.0</v>
      </c>
      <c r="I293" s="10">
        <v>65.0</v>
      </c>
      <c r="J293" s="17">
        <v>13.0</v>
      </c>
      <c r="K293" s="17">
        <v>48.0</v>
      </c>
      <c r="L293" s="17">
        <v>169.0</v>
      </c>
      <c r="M293" s="20">
        <v>0.0</v>
      </c>
      <c r="N293" s="20">
        <v>0.0</v>
      </c>
      <c r="O293" s="20">
        <v>0.0</v>
      </c>
      <c r="P293" s="20">
        <f t="shared" si="2"/>
        <v>0</v>
      </c>
      <c r="Q293" s="21">
        <v>3.3</v>
      </c>
      <c r="R293" s="22">
        <f t="shared" si="3"/>
        <v>141.7475</v>
      </c>
      <c r="S293" s="23">
        <f t="shared" si="4"/>
        <v>5</v>
      </c>
      <c r="T293" s="24">
        <f t="shared" si="5"/>
        <v>0</v>
      </c>
      <c r="U293" s="26">
        <f t="shared" si="6"/>
        <v>0.8986175115</v>
      </c>
      <c r="V293" s="26" t="str">
        <f t="shared" si="7"/>
        <v>0%</v>
      </c>
      <c r="W293" s="19">
        <f t="shared" si="8"/>
        <v>0.7384615385</v>
      </c>
      <c r="X293" s="20">
        <f t="shared" si="9"/>
        <v>65</v>
      </c>
      <c r="Y293" s="27"/>
      <c r="Z293" s="17"/>
      <c r="AA293" s="28"/>
      <c r="AB293" s="17"/>
      <c r="AC293" s="28"/>
      <c r="AD293" s="27"/>
    </row>
    <row r="294" ht="15.75" customHeight="1">
      <c r="A294" s="16" t="s">
        <v>1163</v>
      </c>
      <c r="B294" s="16" t="s">
        <v>1164</v>
      </c>
      <c r="C294" s="16" t="s">
        <v>1165</v>
      </c>
      <c r="D294" s="17" t="s">
        <v>247</v>
      </c>
      <c r="E294" s="18" t="s">
        <v>34</v>
      </c>
      <c r="F294" s="18">
        <v>1.0</v>
      </c>
      <c r="G294" s="19">
        <f t="shared" si="1"/>
        <v>0.9876717402</v>
      </c>
      <c r="H294" s="17">
        <v>28.0</v>
      </c>
      <c r="I294" s="10">
        <v>140.0</v>
      </c>
      <c r="J294" s="17">
        <v>13.0</v>
      </c>
      <c r="K294" s="17">
        <v>490.0</v>
      </c>
      <c r="L294" s="17"/>
      <c r="M294" s="20">
        <v>0.0</v>
      </c>
      <c r="N294" s="20">
        <v>0.0</v>
      </c>
      <c r="O294" s="20">
        <v>0.0</v>
      </c>
      <c r="P294" s="20">
        <f t="shared" si="2"/>
        <v>0</v>
      </c>
      <c r="Q294" s="21">
        <v>5.0</v>
      </c>
      <c r="R294" s="22">
        <f t="shared" si="3"/>
        <v>141.7475</v>
      </c>
      <c r="S294" s="23">
        <f t="shared" si="4"/>
        <v>5</v>
      </c>
      <c r="T294" s="24">
        <f t="shared" si="5"/>
        <v>0</v>
      </c>
      <c r="U294" s="26">
        <f t="shared" si="6"/>
        <v>0.8540145985</v>
      </c>
      <c r="V294" s="26" t="str">
        <f t="shared" si="7"/>
        <v>0%</v>
      </c>
      <c r="W294" s="19">
        <f t="shared" si="8"/>
        <v>3.5</v>
      </c>
      <c r="X294" s="20">
        <f t="shared" si="9"/>
        <v>140</v>
      </c>
      <c r="Y294" s="27"/>
      <c r="Z294" s="17"/>
      <c r="AA294" s="28"/>
      <c r="AB294" s="17"/>
      <c r="AC294" s="28"/>
      <c r="AD294" s="16"/>
    </row>
    <row r="295" ht="15.75" customHeight="1">
      <c r="A295" s="27" t="s">
        <v>1166</v>
      </c>
      <c r="B295" s="27" t="s">
        <v>1167</v>
      </c>
      <c r="C295" s="16" t="s">
        <v>1168</v>
      </c>
      <c r="D295" s="17" t="s">
        <v>247</v>
      </c>
      <c r="E295" s="18" t="s">
        <v>34</v>
      </c>
      <c r="F295" s="18">
        <v>1.0</v>
      </c>
      <c r="G295" s="19">
        <f t="shared" si="1"/>
        <v>0.4232878887</v>
      </c>
      <c r="H295" s="17">
        <v>12.0</v>
      </c>
      <c r="I295" s="10">
        <v>60.0</v>
      </c>
      <c r="J295" s="17">
        <v>5.0</v>
      </c>
      <c r="K295" s="17">
        <v>220.0</v>
      </c>
      <c r="L295" s="17"/>
      <c r="M295" s="20">
        <v>0.0</v>
      </c>
      <c r="N295" s="20">
        <v>0.0</v>
      </c>
      <c r="O295" s="20">
        <v>0.0</v>
      </c>
      <c r="P295" s="20">
        <f t="shared" si="2"/>
        <v>0</v>
      </c>
      <c r="Q295" s="21">
        <v>3.0</v>
      </c>
      <c r="R295" s="22">
        <f t="shared" si="3"/>
        <v>141.7475</v>
      </c>
      <c r="S295" s="23">
        <f t="shared" si="4"/>
        <v>5</v>
      </c>
      <c r="T295" s="24">
        <f t="shared" si="5"/>
        <v>0</v>
      </c>
      <c r="U295" s="26">
        <f t="shared" si="6"/>
        <v>0.7894736842</v>
      </c>
      <c r="V295" s="26" t="str">
        <f t="shared" si="7"/>
        <v>0%</v>
      </c>
      <c r="W295" s="19">
        <f t="shared" si="8"/>
        <v>3.666666667</v>
      </c>
      <c r="X295" s="20">
        <f t="shared" si="9"/>
        <v>60</v>
      </c>
      <c r="Y295" s="27"/>
      <c r="Z295" s="17"/>
      <c r="AA295" s="28"/>
      <c r="AB295" s="17"/>
      <c r="AC295" s="28"/>
      <c r="AD295" s="27"/>
    </row>
    <row r="296" ht="15.75" customHeight="1">
      <c r="A296" s="27" t="s">
        <v>1169</v>
      </c>
      <c r="B296" s="27" t="s">
        <v>1097</v>
      </c>
      <c r="C296" s="16" t="s">
        <v>1170</v>
      </c>
      <c r="D296" s="17" t="s">
        <v>282</v>
      </c>
      <c r="E296" s="18" t="s">
        <v>34</v>
      </c>
      <c r="F296" s="18">
        <v>1.0</v>
      </c>
      <c r="G296" s="19">
        <f t="shared" si="1"/>
        <v>0.9982539375</v>
      </c>
      <c r="H296" s="17">
        <v>28.3</v>
      </c>
      <c r="I296" s="10">
        <v>140.0</v>
      </c>
      <c r="J296" s="17">
        <v>6.0</v>
      </c>
      <c r="K296" s="17">
        <v>110.0</v>
      </c>
      <c r="L296" s="17"/>
      <c r="M296" s="20">
        <v>19.0</v>
      </c>
      <c r="N296" s="20">
        <v>2.0</v>
      </c>
      <c r="O296" s="20">
        <v>2.0</v>
      </c>
      <c r="P296" s="20">
        <f t="shared" si="2"/>
        <v>15</v>
      </c>
      <c r="Q296" s="21">
        <v>2.0</v>
      </c>
      <c r="R296" s="22">
        <f t="shared" si="3"/>
        <v>140.2448763</v>
      </c>
      <c r="S296" s="23">
        <f t="shared" si="4"/>
        <v>4.946996466</v>
      </c>
      <c r="T296" s="24">
        <f t="shared" si="5"/>
        <v>9.5</v>
      </c>
      <c r="U296" s="26">
        <f t="shared" si="6"/>
        <v>0.3913043478</v>
      </c>
      <c r="V296" s="26">
        <f t="shared" si="7"/>
        <v>0.05797101449</v>
      </c>
      <c r="W296" s="19">
        <f t="shared" si="8"/>
        <v>0.7857142857</v>
      </c>
      <c r="X296" s="20">
        <f t="shared" si="9"/>
        <v>140</v>
      </c>
      <c r="Y296" s="27"/>
      <c r="Z296" s="17"/>
      <c r="AA296" s="28"/>
      <c r="AB296" s="17"/>
      <c r="AC296" s="28"/>
      <c r="AD296" s="16"/>
    </row>
    <row r="297" ht="15.75" customHeight="1">
      <c r="A297" s="27" t="s">
        <v>778</v>
      </c>
      <c r="B297" s="27" t="s">
        <v>1171</v>
      </c>
      <c r="C297" s="16" t="s">
        <v>1172</v>
      </c>
      <c r="D297" s="17" t="s">
        <v>282</v>
      </c>
      <c r="E297" s="18" t="s">
        <v>34</v>
      </c>
      <c r="F297" s="18">
        <v>1.0</v>
      </c>
      <c r="G297" s="19">
        <f t="shared" si="1"/>
        <v>1.287500661</v>
      </c>
      <c r="H297" s="17">
        <v>36.5</v>
      </c>
      <c r="I297" s="10">
        <v>180.0</v>
      </c>
      <c r="J297" s="17">
        <v>9.0</v>
      </c>
      <c r="K297" s="17">
        <v>240.0</v>
      </c>
      <c r="L297" s="17"/>
      <c r="M297" s="20">
        <v>21.0</v>
      </c>
      <c r="N297" s="20">
        <v>1.0</v>
      </c>
      <c r="O297" s="20">
        <v>4.0</v>
      </c>
      <c r="P297" s="20">
        <f t="shared" si="2"/>
        <v>16</v>
      </c>
      <c r="Q297" s="21">
        <v>4.0</v>
      </c>
      <c r="R297" s="22">
        <f t="shared" si="3"/>
        <v>139.8057534</v>
      </c>
      <c r="S297" s="23">
        <f t="shared" si="4"/>
        <v>4.931506849</v>
      </c>
      <c r="T297" s="24">
        <f t="shared" si="5"/>
        <v>5.25</v>
      </c>
      <c r="U297" s="26">
        <f t="shared" si="6"/>
        <v>0.4475138122</v>
      </c>
      <c r="V297" s="26">
        <f t="shared" si="7"/>
        <v>0.08839779006</v>
      </c>
      <c r="W297" s="19">
        <f t="shared" si="8"/>
        <v>1.333333333</v>
      </c>
      <c r="X297" s="20">
        <f t="shared" si="9"/>
        <v>180</v>
      </c>
      <c r="Y297" s="27"/>
      <c r="Z297" s="17"/>
      <c r="AA297" s="28"/>
      <c r="AB297" s="17"/>
      <c r="AC297" s="28"/>
      <c r="AD297" s="16"/>
    </row>
    <row r="298" ht="15.75" customHeight="1">
      <c r="A298" s="27" t="s">
        <v>529</v>
      </c>
      <c r="B298" s="27" t="s">
        <v>1173</v>
      </c>
      <c r="C298" s="16" t="s">
        <v>1174</v>
      </c>
      <c r="D298" s="17" t="s">
        <v>130</v>
      </c>
      <c r="E298" s="18" t="s">
        <v>34</v>
      </c>
      <c r="F298" s="18">
        <v>1.0</v>
      </c>
      <c r="G298" s="19">
        <f t="shared" si="1"/>
        <v>1.78839133</v>
      </c>
      <c r="H298" s="17">
        <v>50.7</v>
      </c>
      <c r="I298" s="10">
        <v>250.0</v>
      </c>
      <c r="J298" s="17">
        <v>12.0</v>
      </c>
      <c r="K298" s="17">
        <v>100.0</v>
      </c>
      <c r="L298" s="17"/>
      <c r="M298" s="20">
        <v>34.0</v>
      </c>
      <c r="N298" s="20">
        <v>1.0</v>
      </c>
      <c r="O298" s="20">
        <v>24.0</v>
      </c>
      <c r="P298" s="20">
        <f t="shared" si="2"/>
        <v>9</v>
      </c>
      <c r="Q298" s="21">
        <v>2.0</v>
      </c>
      <c r="R298" s="22">
        <f t="shared" si="3"/>
        <v>139.7904339</v>
      </c>
      <c r="S298" s="23">
        <f t="shared" si="4"/>
        <v>4.930966469</v>
      </c>
      <c r="T298" s="24">
        <f t="shared" si="5"/>
        <v>17</v>
      </c>
      <c r="U298" s="26">
        <f t="shared" si="6"/>
        <v>0.4285714286</v>
      </c>
      <c r="V298" s="26">
        <f t="shared" si="7"/>
        <v>0.380952381</v>
      </c>
      <c r="W298" s="19">
        <f t="shared" si="8"/>
        <v>0.4</v>
      </c>
      <c r="X298" s="20">
        <f t="shared" si="9"/>
        <v>250</v>
      </c>
      <c r="Y298" s="27"/>
      <c r="Z298" s="17"/>
      <c r="AA298" s="28"/>
      <c r="AB298" s="17"/>
      <c r="AC298" s="28"/>
      <c r="AD298" s="27"/>
    </row>
    <row r="299" ht="15.75" customHeight="1">
      <c r="A299" s="27" t="s">
        <v>607</v>
      </c>
      <c r="B299" s="27" t="s">
        <v>1175</v>
      </c>
      <c r="C299" s="16" t="s">
        <v>1176</v>
      </c>
      <c r="D299" s="17" t="s">
        <v>212</v>
      </c>
      <c r="E299" s="18" t="s">
        <v>34</v>
      </c>
      <c r="F299" s="18">
        <v>1.0</v>
      </c>
      <c r="G299" s="19">
        <f t="shared" si="1"/>
        <v>2.504453341</v>
      </c>
      <c r="H299" s="17">
        <v>71.0</v>
      </c>
      <c r="I299" s="10">
        <v>350.0</v>
      </c>
      <c r="J299" s="17">
        <v>22.0</v>
      </c>
      <c r="K299" s="17">
        <v>45.0</v>
      </c>
      <c r="L299" s="17"/>
      <c r="M299" s="20">
        <v>26.0</v>
      </c>
      <c r="N299" s="20">
        <v>4.0</v>
      </c>
      <c r="O299" s="20">
        <v>19.0</v>
      </c>
      <c r="P299" s="20">
        <f t="shared" si="2"/>
        <v>3</v>
      </c>
      <c r="Q299" s="21">
        <v>16.0</v>
      </c>
      <c r="R299" s="22">
        <f t="shared" si="3"/>
        <v>139.7510563</v>
      </c>
      <c r="S299" s="23">
        <f t="shared" si="4"/>
        <v>4.929577465</v>
      </c>
      <c r="T299" s="24">
        <f t="shared" si="5"/>
        <v>1.625</v>
      </c>
      <c r="U299" s="26">
        <f t="shared" si="6"/>
        <v>0.5409836066</v>
      </c>
      <c r="V299" s="26">
        <f t="shared" si="7"/>
        <v>0.2076502732</v>
      </c>
      <c r="W299" s="19">
        <f t="shared" si="8"/>
        <v>0.1285714286</v>
      </c>
      <c r="X299" s="20">
        <f t="shared" si="9"/>
        <v>350</v>
      </c>
      <c r="Y299" s="27"/>
      <c r="Z299" s="17"/>
      <c r="AA299" s="28"/>
      <c r="AB299" s="17"/>
      <c r="AC299" s="28"/>
      <c r="AD299" s="27"/>
    </row>
    <row r="300" ht="15.75" customHeight="1">
      <c r="A300" s="27" t="s">
        <v>607</v>
      </c>
      <c r="B300" s="27" t="s">
        <v>1177</v>
      </c>
      <c r="C300" s="16" t="s">
        <v>1178</v>
      </c>
      <c r="D300" s="17" t="s">
        <v>212</v>
      </c>
      <c r="E300" s="18" t="s">
        <v>34</v>
      </c>
      <c r="F300" s="18">
        <v>1.0</v>
      </c>
      <c r="G300" s="19">
        <f t="shared" si="1"/>
        <v>2.292809397</v>
      </c>
      <c r="H300" s="17">
        <v>65.0</v>
      </c>
      <c r="I300" s="10">
        <v>320.0</v>
      </c>
      <c r="J300" s="17">
        <v>19.0</v>
      </c>
      <c r="K300" s="17">
        <v>45.0</v>
      </c>
      <c r="L300" s="17"/>
      <c r="M300" s="20">
        <v>25.0</v>
      </c>
      <c r="N300" s="20">
        <v>4.0</v>
      </c>
      <c r="O300" s="20">
        <v>18.0</v>
      </c>
      <c r="P300" s="20">
        <f t="shared" si="2"/>
        <v>3</v>
      </c>
      <c r="Q300" s="21">
        <v>13.0</v>
      </c>
      <c r="R300" s="22">
        <f t="shared" si="3"/>
        <v>139.5667692</v>
      </c>
      <c r="S300" s="23">
        <f t="shared" si="4"/>
        <v>4.923076923</v>
      </c>
      <c r="T300" s="24">
        <f t="shared" si="5"/>
        <v>1.923076923</v>
      </c>
      <c r="U300" s="26">
        <f t="shared" si="6"/>
        <v>0.5294117647</v>
      </c>
      <c r="V300" s="26">
        <f t="shared" si="7"/>
        <v>0.2229102167</v>
      </c>
      <c r="W300" s="19">
        <f t="shared" si="8"/>
        <v>0.140625</v>
      </c>
      <c r="X300" s="20">
        <f t="shared" si="9"/>
        <v>320</v>
      </c>
      <c r="Y300" s="27"/>
      <c r="Z300" s="17"/>
      <c r="AA300" s="28"/>
      <c r="AB300" s="17"/>
      <c r="AC300" s="28"/>
      <c r="AD300" s="27"/>
    </row>
    <row r="301" ht="15.75" customHeight="1">
      <c r="A301" s="16" t="s">
        <v>1053</v>
      </c>
      <c r="B301" s="16" t="s">
        <v>1179</v>
      </c>
      <c r="C301" s="16" t="s">
        <v>1180</v>
      </c>
      <c r="D301" s="17" t="s">
        <v>563</v>
      </c>
      <c r="E301" s="18" t="s">
        <v>34</v>
      </c>
      <c r="F301" s="18">
        <v>1.0</v>
      </c>
      <c r="G301" s="19">
        <f t="shared" si="1"/>
        <v>1.94006949</v>
      </c>
      <c r="H301" s="17">
        <v>55.0</v>
      </c>
      <c r="I301" s="10">
        <v>270.0</v>
      </c>
      <c r="J301" s="17">
        <v>12.0</v>
      </c>
      <c r="K301" s="17">
        <v>95.0</v>
      </c>
      <c r="L301" s="17">
        <v>170.0</v>
      </c>
      <c r="M301" s="20">
        <v>36.0</v>
      </c>
      <c r="N301" s="20">
        <v>4.0</v>
      </c>
      <c r="O301" s="20">
        <v>13.0</v>
      </c>
      <c r="P301" s="20">
        <f t="shared" si="2"/>
        <v>19</v>
      </c>
      <c r="Q301" s="21">
        <v>4.0</v>
      </c>
      <c r="R301" s="22">
        <f t="shared" si="3"/>
        <v>139.1702727</v>
      </c>
      <c r="S301" s="23">
        <f t="shared" si="4"/>
        <v>4.909090909</v>
      </c>
      <c r="T301" s="24">
        <f t="shared" si="5"/>
        <v>9</v>
      </c>
      <c r="U301" s="26">
        <f t="shared" si="6"/>
        <v>0.4029850746</v>
      </c>
      <c r="V301" s="26">
        <f t="shared" si="7"/>
        <v>0.1940298507</v>
      </c>
      <c r="W301" s="19">
        <f t="shared" si="8"/>
        <v>0.3518518519</v>
      </c>
      <c r="X301" s="20">
        <f t="shared" si="9"/>
        <v>270</v>
      </c>
      <c r="Y301" s="27"/>
      <c r="Z301" s="17"/>
      <c r="AA301" s="28"/>
      <c r="AB301" s="17"/>
      <c r="AC301" s="28"/>
      <c r="AD301" s="27"/>
    </row>
    <row r="302" ht="15.75" customHeight="1">
      <c r="A302" s="16" t="s">
        <v>1181</v>
      </c>
      <c r="B302" s="16" t="s">
        <v>1182</v>
      </c>
      <c r="C302" s="16" t="s">
        <v>1183</v>
      </c>
      <c r="D302" s="17" t="s">
        <v>212</v>
      </c>
      <c r="E302" s="18" t="s">
        <v>34</v>
      </c>
      <c r="F302" s="18">
        <v>1.0</v>
      </c>
      <c r="G302" s="19">
        <f t="shared" si="1"/>
        <v>1.587329583</v>
      </c>
      <c r="H302" s="17">
        <v>45.0</v>
      </c>
      <c r="I302" s="10">
        <v>220.0</v>
      </c>
      <c r="J302" s="17">
        <v>14.0</v>
      </c>
      <c r="K302" s="17">
        <v>0.0</v>
      </c>
      <c r="L302" s="17">
        <v>240.0</v>
      </c>
      <c r="M302" s="20">
        <v>22.0</v>
      </c>
      <c r="N302" s="20">
        <v>4.0</v>
      </c>
      <c r="O302" s="20">
        <v>16.0</v>
      </c>
      <c r="P302" s="20">
        <f t="shared" si="2"/>
        <v>2</v>
      </c>
      <c r="Q302" s="21">
        <v>3.0</v>
      </c>
      <c r="R302" s="22">
        <f t="shared" si="3"/>
        <v>138.5975556</v>
      </c>
      <c r="S302" s="23">
        <f t="shared" si="4"/>
        <v>4.888888889</v>
      </c>
      <c r="T302" s="24">
        <f t="shared" si="5"/>
        <v>7.333333333</v>
      </c>
      <c r="U302" s="26">
        <f t="shared" si="6"/>
        <v>0.5575221239</v>
      </c>
      <c r="V302" s="26">
        <f t="shared" si="7"/>
        <v>0.2831858407</v>
      </c>
      <c r="W302" s="19">
        <f t="shared" si="8"/>
        <v>0</v>
      </c>
      <c r="X302" s="20">
        <f t="shared" si="9"/>
        <v>220</v>
      </c>
      <c r="Y302" s="27"/>
      <c r="Z302" s="17"/>
      <c r="AA302" s="28"/>
      <c r="AB302" s="17"/>
      <c r="AC302" s="28"/>
      <c r="AD302" s="16"/>
    </row>
    <row r="303" ht="15.75" customHeight="1">
      <c r="A303" s="27" t="s">
        <v>817</v>
      </c>
      <c r="B303" s="27" t="s">
        <v>1184</v>
      </c>
      <c r="C303" s="16" t="s">
        <v>1185</v>
      </c>
      <c r="D303" s="17" t="s">
        <v>212</v>
      </c>
      <c r="E303" s="18" t="s">
        <v>34</v>
      </c>
      <c r="F303" s="18">
        <v>1.0</v>
      </c>
      <c r="G303" s="19">
        <f t="shared" si="1"/>
        <v>1.587329583</v>
      </c>
      <c r="H303" s="17">
        <v>45.0</v>
      </c>
      <c r="I303" s="10">
        <v>220.0</v>
      </c>
      <c r="J303" s="17">
        <v>14.0</v>
      </c>
      <c r="K303" s="17">
        <v>95.0</v>
      </c>
      <c r="L303" s="17">
        <v>243.0</v>
      </c>
      <c r="M303" s="20">
        <v>16.0</v>
      </c>
      <c r="N303" s="20">
        <v>2.0</v>
      </c>
      <c r="O303" s="20">
        <v>8.0</v>
      </c>
      <c r="P303" s="20">
        <f t="shared" si="2"/>
        <v>6</v>
      </c>
      <c r="Q303" s="21">
        <v>10.0</v>
      </c>
      <c r="R303" s="22">
        <f t="shared" si="3"/>
        <v>138.5975556</v>
      </c>
      <c r="S303" s="23">
        <f t="shared" si="4"/>
        <v>4.888888889</v>
      </c>
      <c r="T303" s="24">
        <f t="shared" si="5"/>
        <v>1.6</v>
      </c>
      <c r="U303" s="26">
        <f t="shared" si="6"/>
        <v>0.547826087</v>
      </c>
      <c r="V303" s="26">
        <f t="shared" si="7"/>
        <v>0.1391304348</v>
      </c>
      <c r="W303" s="19">
        <f t="shared" si="8"/>
        <v>0.4318181818</v>
      </c>
      <c r="X303" s="20">
        <f t="shared" si="9"/>
        <v>220</v>
      </c>
      <c r="Y303" s="27"/>
      <c r="Z303" s="17"/>
      <c r="AA303" s="28"/>
      <c r="AB303" s="17"/>
      <c r="AC303" s="28"/>
      <c r="AD303" s="27"/>
    </row>
    <row r="304" ht="15.75" customHeight="1">
      <c r="A304" s="27" t="s">
        <v>501</v>
      </c>
      <c r="B304" s="27" t="s">
        <v>1186</v>
      </c>
      <c r="C304" s="16" t="s">
        <v>1187</v>
      </c>
      <c r="D304" s="17" t="s">
        <v>130</v>
      </c>
      <c r="E304" s="18" t="s">
        <v>34</v>
      </c>
      <c r="F304" s="18">
        <v>1.0</v>
      </c>
      <c r="G304" s="19">
        <f t="shared" si="1"/>
        <v>1.516781601</v>
      </c>
      <c r="H304" s="17">
        <v>43.0</v>
      </c>
      <c r="I304" s="10">
        <v>210.0</v>
      </c>
      <c r="J304" s="17">
        <v>13.0</v>
      </c>
      <c r="K304" s="17">
        <v>35.0</v>
      </c>
      <c r="L304" s="17"/>
      <c r="M304" s="20">
        <v>26.0</v>
      </c>
      <c r="N304" s="20">
        <v>1.0</v>
      </c>
      <c r="O304" s="20">
        <v>24.0</v>
      </c>
      <c r="P304" s="20">
        <f t="shared" si="2"/>
        <v>1</v>
      </c>
      <c r="Q304" s="21">
        <v>3.0</v>
      </c>
      <c r="R304" s="22">
        <f t="shared" si="3"/>
        <v>138.4510465</v>
      </c>
      <c r="S304" s="23">
        <f t="shared" si="4"/>
        <v>4.88372093</v>
      </c>
      <c r="T304" s="24">
        <f t="shared" si="5"/>
        <v>8.666666667</v>
      </c>
      <c r="U304" s="26">
        <f t="shared" si="6"/>
        <v>0.5021459227</v>
      </c>
      <c r="V304" s="26">
        <f t="shared" si="7"/>
        <v>0.4120171674</v>
      </c>
      <c r="W304" s="19">
        <f t="shared" si="8"/>
        <v>0.1666666667</v>
      </c>
      <c r="X304" s="20">
        <f t="shared" si="9"/>
        <v>210</v>
      </c>
      <c r="Y304" s="27"/>
      <c r="Z304" s="17"/>
      <c r="AA304" s="28"/>
      <c r="AB304" s="17"/>
      <c r="AC304" s="28"/>
      <c r="AD304" s="27"/>
    </row>
    <row r="305" ht="15.75" customHeight="1">
      <c r="A305" s="27" t="s">
        <v>760</v>
      </c>
      <c r="B305" s="27" t="s">
        <v>1188</v>
      </c>
      <c r="C305" s="16" t="s">
        <v>1189</v>
      </c>
      <c r="D305" s="17" t="s">
        <v>212</v>
      </c>
      <c r="E305" s="18" t="s">
        <v>34</v>
      </c>
      <c r="F305" s="18">
        <v>1.0</v>
      </c>
      <c r="G305" s="19">
        <f t="shared" si="1"/>
        <v>1.516781601</v>
      </c>
      <c r="H305" s="17">
        <v>43.0</v>
      </c>
      <c r="I305" s="10">
        <v>210.0</v>
      </c>
      <c r="J305" s="17">
        <v>14.0</v>
      </c>
      <c r="K305" s="17">
        <v>100.0</v>
      </c>
      <c r="L305" s="17"/>
      <c r="M305" s="20">
        <v>18.0</v>
      </c>
      <c r="N305" s="20">
        <v>2.0</v>
      </c>
      <c r="O305" s="20">
        <v>8.0</v>
      </c>
      <c r="P305" s="20">
        <f t="shared" si="2"/>
        <v>8</v>
      </c>
      <c r="Q305" s="21">
        <v>7.0</v>
      </c>
      <c r="R305" s="22">
        <f t="shared" si="3"/>
        <v>138.4510465</v>
      </c>
      <c r="S305" s="23">
        <f t="shared" si="4"/>
        <v>4.88372093</v>
      </c>
      <c r="T305" s="24">
        <f t="shared" si="5"/>
        <v>2.571428571</v>
      </c>
      <c r="U305" s="26">
        <f t="shared" si="6"/>
        <v>0.5575221239</v>
      </c>
      <c r="V305" s="26">
        <f t="shared" si="7"/>
        <v>0.1415929204</v>
      </c>
      <c r="W305" s="19">
        <f t="shared" si="8"/>
        <v>0.4761904762</v>
      </c>
      <c r="X305" s="20">
        <f t="shared" si="9"/>
        <v>210</v>
      </c>
      <c r="Y305" s="27"/>
      <c r="Z305" s="17"/>
      <c r="AA305" s="28"/>
      <c r="AB305" s="17"/>
      <c r="AC305" s="28"/>
      <c r="AD305" s="27"/>
    </row>
    <row r="306" ht="15.75" customHeight="1">
      <c r="A306" s="27" t="s">
        <v>1190</v>
      </c>
      <c r="B306" s="27" t="s">
        <v>505</v>
      </c>
      <c r="C306" s="16" t="s">
        <v>1191</v>
      </c>
      <c r="D306" s="17" t="s">
        <v>507</v>
      </c>
      <c r="E306" s="18" t="s">
        <v>34</v>
      </c>
      <c r="F306" s="18">
        <v>1.0</v>
      </c>
      <c r="G306" s="19">
        <f t="shared" si="1"/>
        <v>2.963015221</v>
      </c>
      <c r="H306" s="17">
        <v>84.0</v>
      </c>
      <c r="I306" s="10">
        <v>410.0</v>
      </c>
      <c r="J306" s="17">
        <v>18.0</v>
      </c>
      <c r="K306" s="17">
        <v>15.0</v>
      </c>
      <c r="L306" s="17"/>
      <c r="M306" s="20">
        <v>53.0</v>
      </c>
      <c r="N306" s="20">
        <v>1.0</v>
      </c>
      <c r="O306" s="20">
        <v>31.0</v>
      </c>
      <c r="P306" s="20">
        <f t="shared" si="2"/>
        <v>21</v>
      </c>
      <c r="Q306" s="21">
        <v>8.0</v>
      </c>
      <c r="R306" s="22">
        <f t="shared" si="3"/>
        <v>138.3725595</v>
      </c>
      <c r="S306" s="23">
        <f t="shared" si="4"/>
        <v>4.880952381</v>
      </c>
      <c r="T306" s="24">
        <f t="shared" si="5"/>
        <v>6.625</v>
      </c>
      <c r="U306" s="26">
        <f t="shared" si="6"/>
        <v>0.3990147783</v>
      </c>
      <c r="V306" s="26">
        <f t="shared" si="7"/>
        <v>0.3054187192</v>
      </c>
      <c r="W306" s="19">
        <f t="shared" si="8"/>
        <v>0.03658536585</v>
      </c>
      <c r="X306" s="20">
        <f t="shared" si="9"/>
        <v>410</v>
      </c>
      <c r="Y306" s="27"/>
      <c r="Z306" s="17"/>
      <c r="AA306" s="28"/>
      <c r="AB306" s="17"/>
      <c r="AC306" s="28"/>
      <c r="AD306" s="27"/>
    </row>
    <row r="307" ht="15.75" customHeight="1">
      <c r="A307" s="27" t="s">
        <v>213</v>
      </c>
      <c r="B307" s="27" t="s">
        <v>1192</v>
      </c>
      <c r="C307" s="16" t="s">
        <v>1193</v>
      </c>
      <c r="D307" s="17" t="s">
        <v>203</v>
      </c>
      <c r="E307" s="18" t="s">
        <v>34</v>
      </c>
      <c r="F307" s="18">
        <v>1.0</v>
      </c>
      <c r="G307" s="19">
        <f t="shared" si="1"/>
        <v>1.375685638</v>
      </c>
      <c r="H307" s="17">
        <v>39.0</v>
      </c>
      <c r="I307" s="10">
        <v>190.0</v>
      </c>
      <c r="J307" s="17">
        <v>9.0</v>
      </c>
      <c r="K307" s="17">
        <v>35.0</v>
      </c>
      <c r="L307" s="17"/>
      <c r="M307" s="20">
        <v>25.0</v>
      </c>
      <c r="N307" s="20">
        <v>1.0</v>
      </c>
      <c r="O307" s="20">
        <v>21.0</v>
      </c>
      <c r="P307" s="20">
        <f t="shared" si="2"/>
        <v>3</v>
      </c>
      <c r="Q307" s="21">
        <v>1.0</v>
      </c>
      <c r="R307" s="22">
        <f t="shared" si="3"/>
        <v>138.1129487</v>
      </c>
      <c r="S307" s="23">
        <f t="shared" si="4"/>
        <v>4.871794872</v>
      </c>
      <c r="T307" s="24">
        <f t="shared" si="5"/>
        <v>25</v>
      </c>
      <c r="U307" s="26">
        <f t="shared" si="6"/>
        <v>0.4378378378</v>
      </c>
      <c r="V307" s="26">
        <f t="shared" si="7"/>
        <v>0.4540540541</v>
      </c>
      <c r="W307" s="19">
        <f t="shared" si="8"/>
        <v>0.1842105263</v>
      </c>
      <c r="X307" s="20">
        <f t="shared" si="9"/>
        <v>190</v>
      </c>
      <c r="Y307" s="27"/>
      <c r="Z307" s="17"/>
      <c r="AA307" s="28"/>
      <c r="AB307" s="17"/>
      <c r="AC307" s="28"/>
      <c r="AD307" s="27"/>
    </row>
    <row r="308" ht="15.75" customHeight="1">
      <c r="A308" s="16" t="s">
        <v>778</v>
      </c>
      <c r="B308" s="16" t="s">
        <v>1194</v>
      </c>
      <c r="C308" s="16" t="s">
        <v>1195</v>
      </c>
      <c r="D308" s="17" t="s">
        <v>282</v>
      </c>
      <c r="E308" s="18" t="s">
        <v>34</v>
      </c>
      <c r="F308" s="18">
        <v>1.0</v>
      </c>
      <c r="G308" s="19">
        <f t="shared" si="1"/>
        <v>1.375685638</v>
      </c>
      <c r="H308" s="17">
        <v>39.0</v>
      </c>
      <c r="I308" s="10">
        <v>190.0</v>
      </c>
      <c r="J308" s="17">
        <v>11.0</v>
      </c>
      <c r="K308" s="17">
        <v>270.0</v>
      </c>
      <c r="L308" s="17"/>
      <c r="M308" s="20">
        <v>22.0</v>
      </c>
      <c r="N308" s="20">
        <v>1.0</v>
      </c>
      <c r="O308" s="20">
        <v>5.0</v>
      </c>
      <c r="P308" s="20">
        <f t="shared" si="2"/>
        <v>16</v>
      </c>
      <c r="Q308" s="21">
        <v>2.0</v>
      </c>
      <c r="R308" s="22">
        <f t="shared" si="3"/>
        <v>138.1129487</v>
      </c>
      <c r="S308" s="23">
        <f t="shared" si="4"/>
        <v>4.871794872</v>
      </c>
      <c r="T308" s="24">
        <f t="shared" si="5"/>
        <v>11</v>
      </c>
      <c r="U308" s="26">
        <f t="shared" si="6"/>
        <v>0.5076923077</v>
      </c>
      <c r="V308" s="26">
        <f t="shared" si="7"/>
        <v>0.1025641026</v>
      </c>
      <c r="W308" s="19">
        <f t="shared" si="8"/>
        <v>1.421052632</v>
      </c>
      <c r="X308" s="20">
        <f t="shared" si="9"/>
        <v>190</v>
      </c>
      <c r="Y308" s="27"/>
      <c r="Z308" s="17"/>
      <c r="AA308" s="17"/>
      <c r="AB308" s="17"/>
      <c r="AC308" s="17"/>
      <c r="AD308" s="27"/>
    </row>
    <row r="309" ht="15.75" customHeight="1">
      <c r="A309" s="27" t="s">
        <v>324</v>
      </c>
      <c r="B309" s="27" t="s">
        <v>1196</v>
      </c>
      <c r="C309" s="16" t="s">
        <v>1197</v>
      </c>
      <c r="D309" s="17" t="s">
        <v>212</v>
      </c>
      <c r="E309" s="18" t="s">
        <v>34</v>
      </c>
      <c r="F309" s="18">
        <v>1.0</v>
      </c>
      <c r="G309" s="19">
        <f t="shared" si="1"/>
        <v>1.375685638</v>
      </c>
      <c r="H309" s="17">
        <v>39.0</v>
      </c>
      <c r="I309" s="10">
        <v>190.0</v>
      </c>
      <c r="J309" s="17">
        <v>11.0</v>
      </c>
      <c r="K309" s="17">
        <v>150.0</v>
      </c>
      <c r="L309" s="17"/>
      <c r="M309" s="20">
        <v>21.0</v>
      </c>
      <c r="N309" s="20">
        <v>2.0</v>
      </c>
      <c r="O309" s="20">
        <v>8.0</v>
      </c>
      <c r="P309" s="20">
        <f t="shared" si="2"/>
        <v>11</v>
      </c>
      <c r="Q309" s="21">
        <v>4.0</v>
      </c>
      <c r="R309" s="22">
        <f t="shared" si="3"/>
        <v>138.1129487</v>
      </c>
      <c r="S309" s="23">
        <f t="shared" si="4"/>
        <v>4.871794872</v>
      </c>
      <c r="T309" s="24">
        <f t="shared" si="5"/>
        <v>5.25</v>
      </c>
      <c r="U309" s="26">
        <f t="shared" si="6"/>
        <v>0.4974874372</v>
      </c>
      <c r="V309" s="26">
        <f t="shared" si="7"/>
        <v>0.1608040201</v>
      </c>
      <c r="W309" s="19">
        <f t="shared" si="8"/>
        <v>0.7894736842</v>
      </c>
      <c r="X309" s="20">
        <f t="shared" si="9"/>
        <v>190</v>
      </c>
      <c r="Y309" s="27"/>
      <c r="Z309" s="17"/>
      <c r="AA309" s="28"/>
      <c r="AB309" s="17"/>
      <c r="AC309" s="28"/>
      <c r="AD309" s="27"/>
    </row>
    <row r="310" ht="15.75" customHeight="1">
      <c r="A310" s="27" t="s">
        <v>339</v>
      </c>
      <c r="B310" s="27" t="s">
        <v>1198</v>
      </c>
      <c r="C310" s="16" t="s">
        <v>1199</v>
      </c>
      <c r="D310" s="17" t="s">
        <v>318</v>
      </c>
      <c r="E310" s="18" t="s">
        <v>34</v>
      </c>
      <c r="F310" s="18">
        <v>1.0</v>
      </c>
      <c r="G310" s="19">
        <f t="shared" si="1"/>
        <v>1.305137657</v>
      </c>
      <c r="H310" s="17">
        <v>37.0</v>
      </c>
      <c r="I310" s="10">
        <v>180.0</v>
      </c>
      <c r="J310" s="17">
        <v>9.0</v>
      </c>
      <c r="K310" s="17">
        <v>105.0</v>
      </c>
      <c r="L310" s="17">
        <v>90.0</v>
      </c>
      <c r="M310" s="20">
        <v>25.0</v>
      </c>
      <c r="N310" s="20">
        <v>1.0</v>
      </c>
      <c r="O310" s="20">
        <v>17.0</v>
      </c>
      <c r="P310" s="20">
        <f t="shared" si="2"/>
        <v>7</v>
      </c>
      <c r="Q310" s="21">
        <v>1.0</v>
      </c>
      <c r="R310" s="22">
        <f t="shared" si="3"/>
        <v>137.9164865</v>
      </c>
      <c r="S310" s="23">
        <f t="shared" si="4"/>
        <v>4.864864865</v>
      </c>
      <c r="T310" s="24">
        <f t="shared" si="5"/>
        <v>25</v>
      </c>
      <c r="U310" s="26">
        <f t="shared" si="6"/>
        <v>0.4378378378</v>
      </c>
      <c r="V310" s="26">
        <f t="shared" si="7"/>
        <v>0.3675675676</v>
      </c>
      <c r="W310" s="19">
        <f t="shared" si="8"/>
        <v>0.5833333333</v>
      </c>
      <c r="X310" s="20">
        <f t="shared" si="9"/>
        <v>180</v>
      </c>
      <c r="Y310" s="27"/>
      <c r="Z310" s="17"/>
      <c r="AA310" s="28"/>
      <c r="AB310" s="17"/>
      <c r="AC310" s="28"/>
      <c r="AD310" s="27"/>
    </row>
    <row r="311" ht="15.75" customHeight="1">
      <c r="A311" s="27" t="s">
        <v>104</v>
      </c>
      <c r="B311" s="27" t="s">
        <v>1200</v>
      </c>
      <c r="C311" s="16" t="s">
        <v>1201</v>
      </c>
      <c r="D311" s="17" t="s">
        <v>203</v>
      </c>
      <c r="E311" s="18" t="s">
        <v>34</v>
      </c>
      <c r="F311" s="18">
        <v>1.0</v>
      </c>
      <c r="G311" s="19">
        <f t="shared" si="1"/>
        <v>1.305137657</v>
      </c>
      <c r="H311" s="17">
        <v>37.0</v>
      </c>
      <c r="I311" s="10">
        <v>180.0</v>
      </c>
      <c r="J311" s="17">
        <v>9.0</v>
      </c>
      <c r="K311" s="17">
        <v>70.0</v>
      </c>
      <c r="L311" s="17">
        <v>180.0</v>
      </c>
      <c r="M311" s="20">
        <v>23.0</v>
      </c>
      <c r="N311" s="20">
        <v>2.0</v>
      </c>
      <c r="O311" s="20">
        <v>16.0</v>
      </c>
      <c r="P311" s="20">
        <f t="shared" si="2"/>
        <v>5</v>
      </c>
      <c r="Q311" s="21">
        <v>3.0</v>
      </c>
      <c r="R311" s="22">
        <f t="shared" si="3"/>
        <v>137.9164865</v>
      </c>
      <c r="S311" s="23">
        <f t="shared" si="4"/>
        <v>4.864864865</v>
      </c>
      <c r="T311" s="24">
        <f t="shared" si="5"/>
        <v>7.666666667</v>
      </c>
      <c r="U311" s="26">
        <f t="shared" si="6"/>
        <v>0.4378378378</v>
      </c>
      <c r="V311" s="26">
        <f t="shared" si="7"/>
        <v>0.3459459459</v>
      </c>
      <c r="W311" s="19">
        <f t="shared" si="8"/>
        <v>0.3888888889</v>
      </c>
      <c r="X311" s="20">
        <f t="shared" si="9"/>
        <v>180</v>
      </c>
      <c r="Y311" s="27"/>
      <c r="Z311" s="17"/>
      <c r="AA311" s="28"/>
      <c r="AB311" s="17"/>
      <c r="AC311" s="28"/>
      <c r="AD311" s="16"/>
    </row>
    <row r="312" ht="15.75" customHeight="1">
      <c r="A312" s="16" t="s">
        <v>139</v>
      </c>
      <c r="B312" s="16" t="s">
        <v>985</v>
      </c>
      <c r="C312" s="16" t="s">
        <v>1202</v>
      </c>
      <c r="D312" s="17" t="s">
        <v>81</v>
      </c>
      <c r="E312" s="18" t="s">
        <v>34</v>
      </c>
      <c r="F312" s="18">
        <v>1.0</v>
      </c>
      <c r="G312" s="19">
        <f t="shared" si="1"/>
        <v>3.527399072</v>
      </c>
      <c r="H312" s="17">
        <v>100.0</v>
      </c>
      <c r="I312" s="10">
        <v>486.0</v>
      </c>
      <c r="J312" s="17">
        <v>26.0</v>
      </c>
      <c r="K312" s="17">
        <v>118.0</v>
      </c>
      <c r="L312" s="17"/>
      <c r="M312" s="20">
        <v>60.0</v>
      </c>
      <c r="N312" s="20">
        <v>1.0</v>
      </c>
      <c r="O312" s="20">
        <v>0.0</v>
      </c>
      <c r="P312" s="20">
        <f t="shared" si="2"/>
        <v>59</v>
      </c>
      <c r="Q312" s="21">
        <v>3.0</v>
      </c>
      <c r="R312" s="22">
        <f t="shared" si="3"/>
        <v>137.77857</v>
      </c>
      <c r="S312" s="23">
        <f t="shared" si="4"/>
        <v>4.86</v>
      </c>
      <c r="T312" s="24">
        <f t="shared" si="5"/>
        <v>20</v>
      </c>
      <c r="U312" s="26">
        <f t="shared" si="6"/>
        <v>0.4814814815</v>
      </c>
      <c r="V312" s="26" t="str">
        <f t="shared" si="7"/>
        <v>0%</v>
      </c>
      <c r="W312" s="19">
        <f t="shared" si="8"/>
        <v>0.2427983539</v>
      </c>
      <c r="X312" s="20">
        <f t="shared" si="9"/>
        <v>486</v>
      </c>
      <c r="Y312" s="27"/>
      <c r="Z312" s="17"/>
      <c r="AA312" s="17"/>
      <c r="AB312" s="17"/>
      <c r="AC312" s="17"/>
      <c r="AD312" s="27"/>
    </row>
    <row r="313" ht="15.75" customHeight="1">
      <c r="A313" s="16" t="s">
        <v>324</v>
      </c>
      <c r="B313" s="16" t="s">
        <v>1203</v>
      </c>
      <c r="C313" s="16" t="s">
        <v>1204</v>
      </c>
      <c r="D313" s="17" t="s">
        <v>212</v>
      </c>
      <c r="E313" s="18" t="s">
        <v>34</v>
      </c>
      <c r="F313" s="18">
        <v>1.0</v>
      </c>
      <c r="G313" s="19">
        <f t="shared" si="1"/>
        <v>1.234589675</v>
      </c>
      <c r="H313" s="17">
        <v>35.0</v>
      </c>
      <c r="I313" s="10">
        <v>170.0</v>
      </c>
      <c r="J313" s="17">
        <v>8.0</v>
      </c>
      <c r="K313" s="17">
        <v>140.0</v>
      </c>
      <c r="L313" s="17"/>
      <c r="M313" s="20">
        <v>20.0</v>
      </c>
      <c r="N313" s="20">
        <v>1.0</v>
      </c>
      <c r="O313" s="20">
        <v>7.0</v>
      </c>
      <c r="P313" s="20">
        <f t="shared" si="2"/>
        <v>12</v>
      </c>
      <c r="Q313" s="21">
        <v>4.0</v>
      </c>
      <c r="R313" s="22">
        <f t="shared" si="3"/>
        <v>137.6975714</v>
      </c>
      <c r="S313" s="23">
        <f t="shared" si="4"/>
        <v>4.857142857</v>
      </c>
      <c r="T313" s="24">
        <f t="shared" si="5"/>
        <v>5</v>
      </c>
      <c r="U313" s="26">
        <f t="shared" si="6"/>
        <v>0.4285714286</v>
      </c>
      <c r="V313" s="26">
        <f t="shared" si="7"/>
        <v>0.1666666667</v>
      </c>
      <c r="W313" s="19">
        <f t="shared" si="8"/>
        <v>0.8235294118</v>
      </c>
      <c r="X313" s="20">
        <f t="shared" si="9"/>
        <v>170</v>
      </c>
      <c r="Y313" s="27"/>
      <c r="Z313" s="17"/>
      <c r="AA313" s="28"/>
      <c r="AB313" s="17"/>
      <c r="AC313" s="28"/>
      <c r="AD313" s="27"/>
    </row>
    <row r="314" ht="15.75" customHeight="1">
      <c r="A314" s="27" t="s">
        <v>104</v>
      </c>
      <c r="B314" s="27" t="s">
        <v>1205</v>
      </c>
      <c r="C314" s="16" t="s">
        <v>1206</v>
      </c>
      <c r="D314" s="17" t="s">
        <v>203</v>
      </c>
      <c r="E314" s="18" t="s">
        <v>34</v>
      </c>
      <c r="F314" s="18">
        <v>1.0</v>
      </c>
      <c r="G314" s="19">
        <f t="shared" si="1"/>
        <v>1.164041694</v>
      </c>
      <c r="H314" s="17">
        <v>33.0</v>
      </c>
      <c r="I314" s="10">
        <v>160.0</v>
      </c>
      <c r="J314" s="17">
        <v>10.0</v>
      </c>
      <c r="K314" s="17">
        <v>25.0</v>
      </c>
      <c r="L314" s="17">
        <v>260.0</v>
      </c>
      <c r="M314" s="20">
        <v>14.0</v>
      </c>
      <c r="N314" s="20">
        <v>3.0</v>
      </c>
      <c r="O314" s="20">
        <v>8.0</v>
      </c>
      <c r="P314" s="20">
        <f t="shared" si="2"/>
        <v>3</v>
      </c>
      <c r="Q314" s="21">
        <v>5.0</v>
      </c>
      <c r="R314" s="22">
        <f t="shared" si="3"/>
        <v>137.4521212</v>
      </c>
      <c r="S314" s="23">
        <f t="shared" si="4"/>
        <v>4.848484848</v>
      </c>
      <c r="T314" s="24">
        <f t="shared" si="5"/>
        <v>2.8</v>
      </c>
      <c r="U314" s="26">
        <f t="shared" si="6"/>
        <v>0.5421686747</v>
      </c>
      <c r="V314" s="26">
        <f t="shared" si="7"/>
        <v>0.1927710843</v>
      </c>
      <c r="W314" s="19">
        <f t="shared" si="8"/>
        <v>0.15625</v>
      </c>
      <c r="X314" s="20">
        <f t="shared" si="9"/>
        <v>160</v>
      </c>
      <c r="Y314" s="27"/>
      <c r="Z314" s="17"/>
      <c r="AA314" s="28"/>
      <c r="AB314" s="17"/>
      <c r="AC314" s="28"/>
      <c r="AD314" s="27"/>
    </row>
    <row r="315" ht="15.75" customHeight="1">
      <c r="A315" s="27" t="s">
        <v>104</v>
      </c>
      <c r="B315" s="27" t="s">
        <v>1207</v>
      </c>
      <c r="C315" s="16" t="s">
        <v>1208</v>
      </c>
      <c r="D315" s="17" t="s">
        <v>203</v>
      </c>
      <c r="E315" s="18" t="s">
        <v>34</v>
      </c>
      <c r="F315" s="18">
        <v>1.0</v>
      </c>
      <c r="G315" s="19">
        <f t="shared" si="1"/>
        <v>1.093493712</v>
      </c>
      <c r="H315" s="17">
        <v>31.0</v>
      </c>
      <c r="I315" s="10">
        <v>150.0</v>
      </c>
      <c r="J315" s="17">
        <v>9.0</v>
      </c>
      <c r="K315" s="17">
        <v>35.0</v>
      </c>
      <c r="L315" s="17">
        <v>190.0</v>
      </c>
      <c r="M315" s="20">
        <v>15.0</v>
      </c>
      <c r="N315" s="20">
        <v>2.0</v>
      </c>
      <c r="O315" s="20">
        <v>10.0</v>
      </c>
      <c r="P315" s="20">
        <f t="shared" si="2"/>
        <v>3</v>
      </c>
      <c r="Q315" s="21">
        <v>4.0</v>
      </c>
      <c r="R315" s="22">
        <f t="shared" si="3"/>
        <v>137.175</v>
      </c>
      <c r="S315" s="23">
        <f t="shared" si="4"/>
        <v>4.838709677</v>
      </c>
      <c r="T315" s="24">
        <f t="shared" si="5"/>
        <v>3.75</v>
      </c>
      <c r="U315" s="26">
        <f t="shared" si="6"/>
        <v>0.5159235669</v>
      </c>
      <c r="V315" s="26">
        <f t="shared" si="7"/>
        <v>0.2547770701</v>
      </c>
      <c r="W315" s="19">
        <f t="shared" si="8"/>
        <v>0.2333333333</v>
      </c>
      <c r="X315" s="20">
        <f t="shared" si="9"/>
        <v>150</v>
      </c>
      <c r="Y315" s="27"/>
      <c r="Z315" s="17"/>
      <c r="AA315" s="17"/>
      <c r="AB315" s="17"/>
      <c r="AC315" s="17"/>
      <c r="AD315" s="27"/>
    </row>
    <row r="316" ht="15.75" customHeight="1">
      <c r="A316" s="27" t="s">
        <v>324</v>
      </c>
      <c r="B316" s="27" t="s">
        <v>1209</v>
      </c>
      <c r="C316" s="16" t="s">
        <v>1210</v>
      </c>
      <c r="D316" s="17" t="s">
        <v>212</v>
      </c>
      <c r="E316" s="18" t="s">
        <v>34</v>
      </c>
      <c r="F316" s="18">
        <v>1.0</v>
      </c>
      <c r="G316" s="19">
        <f t="shared" si="1"/>
        <v>2.116439443</v>
      </c>
      <c r="H316" s="17">
        <v>60.0</v>
      </c>
      <c r="I316" s="10">
        <v>290.0</v>
      </c>
      <c r="J316" s="17">
        <v>17.0</v>
      </c>
      <c r="K316" s="17">
        <v>270.0</v>
      </c>
      <c r="L316" s="17">
        <v>170.0</v>
      </c>
      <c r="M316" s="20">
        <v>23.0</v>
      </c>
      <c r="N316" s="20">
        <v>7.0</v>
      </c>
      <c r="O316" s="20">
        <v>11.0</v>
      </c>
      <c r="P316" s="20">
        <f t="shared" si="2"/>
        <v>5</v>
      </c>
      <c r="Q316" s="21">
        <v>15.0</v>
      </c>
      <c r="R316" s="22">
        <f t="shared" si="3"/>
        <v>137.0225833</v>
      </c>
      <c r="S316" s="23">
        <f t="shared" si="4"/>
        <v>4.833333333</v>
      </c>
      <c r="T316" s="24">
        <f t="shared" si="5"/>
        <v>1.533333333</v>
      </c>
      <c r="U316" s="26">
        <f t="shared" si="6"/>
        <v>0.5016393443</v>
      </c>
      <c r="V316" s="26">
        <f t="shared" si="7"/>
        <v>0.1442622951</v>
      </c>
      <c r="W316" s="19">
        <f t="shared" si="8"/>
        <v>0.9310344828</v>
      </c>
      <c r="X316" s="20">
        <f t="shared" si="9"/>
        <v>290</v>
      </c>
      <c r="Y316" s="27"/>
      <c r="Z316" s="17"/>
      <c r="AA316" s="17"/>
      <c r="AB316" s="17"/>
      <c r="AC316" s="17"/>
      <c r="AD316" s="27"/>
    </row>
    <row r="317" ht="15.75" customHeight="1">
      <c r="A317" s="27" t="s">
        <v>339</v>
      </c>
      <c r="B317" s="27" t="s">
        <v>1211</v>
      </c>
      <c r="C317" s="16" t="s">
        <v>1212</v>
      </c>
      <c r="D317" s="17" t="s">
        <v>318</v>
      </c>
      <c r="E317" s="18" t="s">
        <v>34</v>
      </c>
      <c r="F317" s="18">
        <v>1.0</v>
      </c>
      <c r="G317" s="19">
        <f t="shared" si="1"/>
        <v>1.022945731</v>
      </c>
      <c r="H317" s="17">
        <v>29.0</v>
      </c>
      <c r="I317" s="10">
        <v>140.0</v>
      </c>
      <c r="J317" s="17">
        <v>7.0</v>
      </c>
      <c r="K317" s="17">
        <v>90.0</v>
      </c>
      <c r="L317" s="17">
        <v>40.0</v>
      </c>
      <c r="M317" s="20">
        <v>21.0</v>
      </c>
      <c r="N317" s="20">
        <v>0.0</v>
      </c>
      <c r="O317" s="20">
        <v>13.0</v>
      </c>
      <c r="P317" s="20">
        <f t="shared" si="2"/>
        <v>8</v>
      </c>
      <c r="Q317" s="21">
        <v>1.0</v>
      </c>
      <c r="R317" s="22">
        <f t="shared" si="3"/>
        <v>136.8596552</v>
      </c>
      <c r="S317" s="23">
        <f t="shared" si="4"/>
        <v>4.827586207</v>
      </c>
      <c r="T317" s="24">
        <f t="shared" si="5"/>
        <v>21</v>
      </c>
      <c r="U317" s="26">
        <f t="shared" si="6"/>
        <v>0.417218543</v>
      </c>
      <c r="V317" s="26">
        <f t="shared" si="7"/>
        <v>0.3443708609</v>
      </c>
      <c r="W317" s="19">
        <f t="shared" si="8"/>
        <v>0.6428571429</v>
      </c>
      <c r="X317" s="20">
        <f t="shared" si="9"/>
        <v>140</v>
      </c>
      <c r="Y317" s="27"/>
      <c r="Z317" s="17"/>
      <c r="AA317" s="28"/>
      <c r="AB317" s="17"/>
      <c r="AC317" s="28"/>
      <c r="AD317" s="27"/>
    </row>
    <row r="318" ht="15.75" customHeight="1">
      <c r="A318" s="16" t="s">
        <v>1132</v>
      </c>
      <c r="B318" s="16" t="s">
        <v>1213</v>
      </c>
      <c r="C318" s="16" t="s">
        <v>1214</v>
      </c>
      <c r="D318" s="17" t="s">
        <v>563</v>
      </c>
      <c r="E318" s="18" t="s">
        <v>34</v>
      </c>
      <c r="F318" s="18">
        <v>1.0</v>
      </c>
      <c r="G318" s="19">
        <f t="shared" si="1"/>
        <v>1.022945731</v>
      </c>
      <c r="H318" s="17">
        <v>29.0</v>
      </c>
      <c r="I318" s="10">
        <v>140.0</v>
      </c>
      <c r="J318" s="17">
        <v>6.0</v>
      </c>
      <c r="K318" s="17">
        <v>30.0</v>
      </c>
      <c r="L318" s="17"/>
      <c r="M318" s="20">
        <v>15.0</v>
      </c>
      <c r="N318" s="20">
        <v>3.0</v>
      </c>
      <c r="O318" s="20">
        <v>6.0</v>
      </c>
      <c r="P318" s="20">
        <f t="shared" si="2"/>
        <v>6</v>
      </c>
      <c r="Q318" s="21">
        <v>6.0</v>
      </c>
      <c r="R318" s="22">
        <f t="shared" si="3"/>
        <v>136.8596552</v>
      </c>
      <c r="S318" s="23">
        <f t="shared" si="4"/>
        <v>4.827586207</v>
      </c>
      <c r="T318" s="24">
        <f t="shared" si="5"/>
        <v>2.5</v>
      </c>
      <c r="U318" s="26">
        <f t="shared" si="6"/>
        <v>0.3913043478</v>
      </c>
      <c r="V318" s="26">
        <f t="shared" si="7"/>
        <v>0.1739130435</v>
      </c>
      <c r="W318" s="19">
        <f t="shared" si="8"/>
        <v>0.2142857143</v>
      </c>
      <c r="X318" s="20">
        <f t="shared" si="9"/>
        <v>140</v>
      </c>
      <c r="Y318" s="27"/>
      <c r="Z318" s="17"/>
      <c r="AA318" s="28"/>
      <c r="AB318" s="17"/>
      <c r="AC318" s="28"/>
      <c r="AD318" s="27"/>
    </row>
    <row r="319" ht="15.75" customHeight="1">
      <c r="A319" s="16" t="s">
        <v>1215</v>
      </c>
      <c r="B319" s="16" t="s">
        <v>505</v>
      </c>
      <c r="C319" s="16" t="s">
        <v>1216</v>
      </c>
      <c r="D319" s="17" t="s">
        <v>507</v>
      </c>
      <c r="E319" s="18" t="s">
        <v>34</v>
      </c>
      <c r="F319" s="18">
        <v>1.0</v>
      </c>
      <c r="G319" s="19">
        <f t="shared" si="1"/>
        <v>2.998289211</v>
      </c>
      <c r="H319" s="17">
        <v>85.0</v>
      </c>
      <c r="I319" s="10">
        <v>410.0</v>
      </c>
      <c r="J319" s="17">
        <v>19.0</v>
      </c>
      <c r="K319" s="17">
        <v>5.0</v>
      </c>
      <c r="L319" s="17"/>
      <c r="M319" s="20">
        <v>52.0</v>
      </c>
      <c r="N319" s="20">
        <v>2.0</v>
      </c>
      <c r="O319" s="20">
        <v>16.0</v>
      </c>
      <c r="P319" s="20">
        <f t="shared" si="2"/>
        <v>34</v>
      </c>
      <c r="Q319" s="21">
        <v>7.0</v>
      </c>
      <c r="R319" s="22">
        <f t="shared" si="3"/>
        <v>136.7446471</v>
      </c>
      <c r="S319" s="23">
        <f t="shared" si="4"/>
        <v>4.823529412</v>
      </c>
      <c r="T319" s="24">
        <f t="shared" si="5"/>
        <v>7.428571429</v>
      </c>
      <c r="U319" s="26">
        <f t="shared" si="6"/>
        <v>0.4201474201</v>
      </c>
      <c r="V319" s="26">
        <f t="shared" si="7"/>
        <v>0.1572481572</v>
      </c>
      <c r="W319" s="19">
        <f t="shared" si="8"/>
        <v>0.01219512195</v>
      </c>
      <c r="X319" s="20">
        <f t="shared" si="9"/>
        <v>410</v>
      </c>
      <c r="Y319" s="27"/>
      <c r="Z319" s="17"/>
      <c r="AA319" s="28"/>
      <c r="AB319" s="17"/>
      <c r="AC319" s="28"/>
      <c r="AD319" s="27"/>
    </row>
    <row r="320" ht="15.75" customHeight="1">
      <c r="A320" s="16" t="s">
        <v>1217</v>
      </c>
      <c r="B320" s="16" t="s">
        <v>1218</v>
      </c>
      <c r="C320" s="16" t="s">
        <v>1219</v>
      </c>
      <c r="D320" s="17" t="s">
        <v>212</v>
      </c>
      <c r="E320" s="18" t="s">
        <v>34</v>
      </c>
      <c r="F320" s="18">
        <v>1.0</v>
      </c>
      <c r="G320" s="19">
        <f t="shared" si="1"/>
        <v>2.998289211</v>
      </c>
      <c r="H320" s="17">
        <v>85.0</v>
      </c>
      <c r="I320" s="10">
        <v>410.0</v>
      </c>
      <c r="J320" s="17">
        <v>22.0</v>
      </c>
      <c r="K320" s="17">
        <v>115.0</v>
      </c>
      <c r="L320" s="17">
        <v>360.0</v>
      </c>
      <c r="M320" s="20">
        <v>45.0</v>
      </c>
      <c r="N320" s="20">
        <v>6.0</v>
      </c>
      <c r="O320" s="20">
        <v>19.0</v>
      </c>
      <c r="P320" s="20">
        <f t="shared" si="2"/>
        <v>20</v>
      </c>
      <c r="Q320" s="21">
        <v>9.0</v>
      </c>
      <c r="R320" s="22">
        <f t="shared" si="3"/>
        <v>136.7446471</v>
      </c>
      <c r="S320" s="23">
        <f t="shared" si="4"/>
        <v>4.823529412</v>
      </c>
      <c r="T320" s="24">
        <f t="shared" si="5"/>
        <v>5</v>
      </c>
      <c r="U320" s="26">
        <f t="shared" si="6"/>
        <v>0.4782608696</v>
      </c>
      <c r="V320" s="26">
        <f t="shared" si="7"/>
        <v>0.1835748792</v>
      </c>
      <c r="W320" s="19">
        <f t="shared" si="8"/>
        <v>0.2804878049</v>
      </c>
      <c r="X320" s="20">
        <f t="shared" si="9"/>
        <v>410</v>
      </c>
      <c r="Y320" s="27"/>
      <c r="Z320" s="17"/>
      <c r="AA320" s="28"/>
      <c r="AB320" s="17"/>
      <c r="AC320" s="28"/>
      <c r="AD320" s="16"/>
    </row>
    <row r="321" ht="15.75" customHeight="1">
      <c r="A321" s="27" t="s">
        <v>1091</v>
      </c>
      <c r="B321" s="27" t="s">
        <v>1220</v>
      </c>
      <c r="C321" s="16" t="s">
        <v>1221</v>
      </c>
      <c r="D321" s="17" t="s">
        <v>130</v>
      </c>
      <c r="E321" s="18" t="s">
        <v>34</v>
      </c>
      <c r="F321" s="18">
        <v>1.0</v>
      </c>
      <c r="G321" s="19">
        <f t="shared" si="1"/>
        <v>1.763699536</v>
      </c>
      <c r="H321" s="17">
        <v>50.0</v>
      </c>
      <c r="I321" s="10">
        <v>240.0</v>
      </c>
      <c r="J321" s="17">
        <v>11.0</v>
      </c>
      <c r="K321" s="17">
        <v>115.0</v>
      </c>
      <c r="L321" s="17"/>
      <c r="M321" s="20">
        <v>31.0</v>
      </c>
      <c r="N321" s="20">
        <v>1.0</v>
      </c>
      <c r="O321" s="20">
        <v>26.0</v>
      </c>
      <c r="P321" s="20">
        <f t="shared" si="2"/>
        <v>4</v>
      </c>
      <c r="Q321" s="21">
        <v>4.0</v>
      </c>
      <c r="R321" s="22">
        <f t="shared" si="3"/>
        <v>136.0776</v>
      </c>
      <c r="S321" s="23">
        <f t="shared" si="4"/>
        <v>4.8</v>
      </c>
      <c r="T321" s="24">
        <f t="shared" si="5"/>
        <v>7.75</v>
      </c>
      <c r="U321" s="26">
        <f t="shared" si="6"/>
        <v>0.4142259414</v>
      </c>
      <c r="V321" s="26">
        <f t="shared" si="7"/>
        <v>0.4351464435</v>
      </c>
      <c r="W321" s="19">
        <f t="shared" si="8"/>
        <v>0.4791666667</v>
      </c>
      <c r="X321" s="20">
        <f t="shared" si="9"/>
        <v>240</v>
      </c>
      <c r="Y321" s="27"/>
      <c r="Z321" s="17"/>
      <c r="AA321" s="28"/>
      <c r="AB321" s="17"/>
      <c r="AC321" s="28"/>
      <c r="AD321" s="16"/>
    </row>
    <row r="322" ht="15.75" customHeight="1">
      <c r="A322" s="16" t="s">
        <v>139</v>
      </c>
      <c r="B322" s="16" t="s">
        <v>1222</v>
      </c>
      <c r="C322" s="16" t="s">
        <v>1223</v>
      </c>
      <c r="D322" s="17" t="s">
        <v>96</v>
      </c>
      <c r="E322" s="18" t="s">
        <v>34</v>
      </c>
      <c r="F322" s="18">
        <v>1.0</v>
      </c>
      <c r="G322" s="19">
        <f t="shared" si="1"/>
        <v>3.527399072</v>
      </c>
      <c r="H322" s="17">
        <v>100.0</v>
      </c>
      <c r="I322" s="10">
        <v>480.0</v>
      </c>
      <c r="J322" s="17">
        <v>23.0</v>
      </c>
      <c r="K322" s="17">
        <v>190.0</v>
      </c>
      <c r="L322" s="17"/>
      <c r="M322" s="20">
        <v>64.0</v>
      </c>
      <c r="N322" s="20">
        <v>4.0</v>
      </c>
      <c r="O322" s="20">
        <v>57.0</v>
      </c>
      <c r="P322" s="20">
        <f t="shared" si="2"/>
        <v>3</v>
      </c>
      <c r="Q322" s="21">
        <v>12.0</v>
      </c>
      <c r="R322" s="22">
        <f t="shared" si="3"/>
        <v>136.0776</v>
      </c>
      <c r="S322" s="23">
        <f t="shared" si="4"/>
        <v>4.8</v>
      </c>
      <c r="T322" s="24">
        <f t="shared" si="5"/>
        <v>5.333333333</v>
      </c>
      <c r="U322" s="26">
        <f t="shared" si="6"/>
        <v>0.4050880626</v>
      </c>
      <c r="V322" s="26">
        <f t="shared" si="7"/>
        <v>0.446183953</v>
      </c>
      <c r="W322" s="19">
        <f t="shared" si="8"/>
        <v>0.3958333333</v>
      </c>
      <c r="X322" s="20">
        <f t="shared" si="9"/>
        <v>480</v>
      </c>
      <c r="Y322" s="16"/>
      <c r="Z322" s="17"/>
      <c r="AA322" s="28"/>
      <c r="AB322" s="17"/>
      <c r="AC322" s="28"/>
      <c r="AD322" s="16"/>
    </row>
    <row r="323" ht="15.75" customHeight="1">
      <c r="A323" s="27" t="s">
        <v>1151</v>
      </c>
      <c r="B323" s="27" t="s">
        <v>1224</v>
      </c>
      <c r="C323" s="16" t="s">
        <v>1225</v>
      </c>
      <c r="D323" s="17" t="s">
        <v>212</v>
      </c>
      <c r="E323" s="18" t="s">
        <v>34</v>
      </c>
      <c r="F323" s="18">
        <v>1.0</v>
      </c>
      <c r="G323" s="19">
        <f t="shared" si="1"/>
        <v>1.763699536</v>
      </c>
      <c r="H323" s="17">
        <v>50.0</v>
      </c>
      <c r="I323" s="10">
        <v>240.0</v>
      </c>
      <c r="J323" s="17">
        <v>17.0</v>
      </c>
      <c r="K323" s="17">
        <v>75.0</v>
      </c>
      <c r="L323" s="17"/>
      <c r="M323" s="20">
        <v>18.0</v>
      </c>
      <c r="N323" s="20">
        <v>5.0</v>
      </c>
      <c r="O323" s="20">
        <v>8.0</v>
      </c>
      <c r="P323" s="20">
        <f t="shared" si="2"/>
        <v>5</v>
      </c>
      <c r="Q323" s="21">
        <v>12.0</v>
      </c>
      <c r="R323" s="22">
        <f t="shared" si="3"/>
        <v>136.0776</v>
      </c>
      <c r="S323" s="23">
        <f t="shared" si="4"/>
        <v>4.8</v>
      </c>
      <c r="T323" s="24">
        <f t="shared" si="5"/>
        <v>1.5</v>
      </c>
      <c r="U323" s="26">
        <f t="shared" si="6"/>
        <v>0.5604395604</v>
      </c>
      <c r="V323" s="26">
        <f t="shared" si="7"/>
        <v>0.1172161172</v>
      </c>
      <c r="W323" s="19">
        <f t="shared" si="8"/>
        <v>0.3125</v>
      </c>
      <c r="X323" s="20">
        <f t="shared" si="9"/>
        <v>240</v>
      </c>
      <c r="Y323" s="16"/>
      <c r="Z323" s="17"/>
      <c r="AA323" s="28"/>
      <c r="AB323" s="17"/>
      <c r="AC323" s="28"/>
      <c r="AD323" s="16"/>
    </row>
    <row r="324" ht="15.75" customHeight="1">
      <c r="A324" s="27" t="s">
        <v>1151</v>
      </c>
      <c r="B324" s="27" t="s">
        <v>1226</v>
      </c>
      <c r="C324" s="16" t="s">
        <v>1227</v>
      </c>
      <c r="D324" s="17" t="s">
        <v>212</v>
      </c>
      <c r="E324" s="18" t="s">
        <v>34</v>
      </c>
      <c r="F324" s="18">
        <v>1.0</v>
      </c>
      <c r="G324" s="19">
        <f t="shared" si="1"/>
        <v>1.763699536</v>
      </c>
      <c r="H324" s="17">
        <v>50.0</v>
      </c>
      <c r="I324" s="10">
        <v>240.0</v>
      </c>
      <c r="J324" s="17">
        <v>17.0</v>
      </c>
      <c r="K324" s="17">
        <v>125.0</v>
      </c>
      <c r="L324" s="17"/>
      <c r="M324" s="20">
        <v>18.0</v>
      </c>
      <c r="N324" s="20">
        <v>5.0</v>
      </c>
      <c r="O324" s="20">
        <v>8.0</v>
      </c>
      <c r="P324" s="20">
        <f t="shared" si="2"/>
        <v>5</v>
      </c>
      <c r="Q324" s="21">
        <v>12.0</v>
      </c>
      <c r="R324" s="22">
        <f t="shared" si="3"/>
        <v>136.0776</v>
      </c>
      <c r="S324" s="23">
        <f t="shared" si="4"/>
        <v>4.8</v>
      </c>
      <c r="T324" s="24">
        <f t="shared" si="5"/>
        <v>1.5</v>
      </c>
      <c r="U324" s="26">
        <f t="shared" si="6"/>
        <v>0.5604395604</v>
      </c>
      <c r="V324" s="26">
        <f t="shared" si="7"/>
        <v>0.1172161172</v>
      </c>
      <c r="W324" s="19">
        <f t="shared" si="8"/>
        <v>0.5208333333</v>
      </c>
      <c r="X324" s="20">
        <f t="shared" si="9"/>
        <v>240</v>
      </c>
      <c r="Y324" s="27"/>
      <c r="Z324" s="17"/>
      <c r="AA324" s="28"/>
      <c r="AB324" s="17"/>
      <c r="AC324" s="28"/>
      <c r="AD324" s="27"/>
    </row>
    <row r="325" ht="15.75" customHeight="1">
      <c r="A325" s="27" t="s">
        <v>607</v>
      </c>
      <c r="B325" s="27" t="s">
        <v>436</v>
      </c>
      <c r="C325" s="16" t="s">
        <v>1228</v>
      </c>
      <c r="D325" s="17" t="s">
        <v>212</v>
      </c>
      <c r="E325" s="18" t="s">
        <v>34</v>
      </c>
      <c r="F325" s="18">
        <v>1.0</v>
      </c>
      <c r="G325" s="19">
        <f t="shared" si="1"/>
        <v>2.504453341</v>
      </c>
      <c r="H325" s="17">
        <v>71.0</v>
      </c>
      <c r="I325" s="10">
        <v>340.0</v>
      </c>
      <c r="J325" s="17">
        <v>19.0</v>
      </c>
      <c r="K325" s="17">
        <v>50.0</v>
      </c>
      <c r="L325" s="17"/>
      <c r="M325" s="20">
        <v>27.0</v>
      </c>
      <c r="N325" s="20">
        <v>3.0</v>
      </c>
      <c r="O325" s="20">
        <v>19.0</v>
      </c>
      <c r="P325" s="20">
        <f t="shared" si="2"/>
        <v>5</v>
      </c>
      <c r="Q325" s="21">
        <v>17.0</v>
      </c>
      <c r="R325" s="22">
        <f t="shared" si="3"/>
        <v>135.758169</v>
      </c>
      <c r="S325" s="23">
        <f t="shared" si="4"/>
        <v>4.788732394</v>
      </c>
      <c r="T325" s="24">
        <f t="shared" si="5"/>
        <v>1.588235294</v>
      </c>
      <c r="U325" s="26">
        <f t="shared" si="6"/>
        <v>0.492795389</v>
      </c>
      <c r="V325" s="26">
        <f t="shared" si="7"/>
        <v>0.2190201729</v>
      </c>
      <c r="W325" s="19">
        <f t="shared" si="8"/>
        <v>0.1470588235</v>
      </c>
      <c r="X325" s="20">
        <f t="shared" si="9"/>
        <v>340</v>
      </c>
      <c r="Y325" s="27"/>
      <c r="Z325" s="17"/>
      <c r="AA325" s="28"/>
      <c r="AB325" s="17"/>
      <c r="AC325" s="28"/>
      <c r="AD325" s="27"/>
    </row>
    <row r="326" ht="15.75" customHeight="1">
      <c r="A326" s="27" t="s">
        <v>607</v>
      </c>
      <c r="B326" s="27" t="s">
        <v>1229</v>
      </c>
      <c r="C326" s="16" t="s">
        <v>1230</v>
      </c>
      <c r="D326" s="17" t="s">
        <v>212</v>
      </c>
      <c r="E326" s="18" t="s">
        <v>34</v>
      </c>
      <c r="F326" s="18">
        <v>1.0</v>
      </c>
      <c r="G326" s="19">
        <f t="shared" si="1"/>
        <v>2.292809397</v>
      </c>
      <c r="H326" s="17">
        <v>65.0</v>
      </c>
      <c r="I326" s="10">
        <v>310.0</v>
      </c>
      <c r="J326" s="17">
        <v>18.0</v>
      </c>
      <c r="K326" s="17">
        <v>60.0</v>
      </c>
      <c r="L326" s="17"/>
      <c r="M326" s="20">
        <v>29.0</v>
      </c>
      <c r="N326" s="20">
        <v>2.0</v>
      </c>
      <c r="O326" s="20">
        <v>19.0</v>
      </c>
      <c r="P326" s="20">
        <f t="shared" si="2"/>
        <v>8</v>
      </c>
      <c r="Q326" s="21">
        <v>12.0</v>
      </c>
      <c r="R326" s="22">
        <f t="shared" si="3"/>
        <v>135.2053077</v>
      </c>
      <c r="S326" s="23">
        <f t="shared" si="4"/>
        <v>4.769230769</v>
      </c>
      <c r="T326" s="24">
        <f t="shared" si="5"/>
        <v>2.416666667</v>
      </c>
      <c r="U326" s="26">
        <f t="shared" si="6"/>
        <v>0.4969325153</v>
      </c>
      <c r="V326" s="26">
        <f t="shared" si="7"/>
        <v>0.2331288344</v>
      </c>
      <c r="W326" s="19">
        <f t="shared" si="8"/>
        <v>0.1935483871</v>
      </c>
      <c r="X326" s="20">
        <f t="shared" si="9"/>
        <v>310</v>
      </c>
      <c r="Y326" s="27"/>
      <c r="Z326" s="17"/>
      <c r="AA326" s="28"/>
      <c r="AB326" s="17"/>
      <c r="AC326" s="28"/>
      <c r="AD326" s="27"/>
    </row>
    <row r="327" ht="15.75" customHeight="1">
      <c r="A327" s="27" t="s">
        <v>435</v>
      </c>
      <c r="B327" s="27" t="s">
        <v>1231</v>
      </c>
      <c r="C327" s="16" t="s">
        <v>1232</v>
      </c>
      <c r="D327" s="17" t="s">
        <v>130</v>
      </c>
      <c r="E327" s="18" t="s">
        <v>34</v>
      </c>
      <c r="F327" s="18">
        <v>1.0</v>
      </c>
      <c r="G327" s="19">
        <f t="shared" si="1"/>
        <v>1.48150761</v>
      </c>
      <c r="H327" s="17">
        <v>42.0</v>
      </c>
      <c r="I327" s="10">
        <v>200.0</v>
      </c>
      <c r="J327" s="17">
        <v>7.0</v>
      </c>
      <c r="K327" s="17">
        <v>65.0</v>
      </c>
      <c r="L327" s="17"/>
      <c r="M327" s="20">
        <v>32.0</v>
      </c>
      <c r="N327" s="20">
        <v>1.0</v>
      </c>
      <c r="O327" s="20">
        <v>25.0</v>
      </c>
      <c r="P327" s="20">
        <f t="shared" si="2"/>
        <v>6</v>
      </c>
      <c r="Q327" s="21">
        <v>2.0</v>
      </c>
      <c r="R327" s="22">
        <f t="shared" si="3"/>
        <v>134.997619</v>
      </c>
      <c r="S327" s="23">
        <f t="shared" si="4"/>
        <v>4.761904762</v>
      </c>
      <c r="T327" s="24">
        <f t="shared" si="5"/>
        <v>16</v>
      </c>
      <c r="U327" s="26">
        <f t="shared" si="6"/>
        <v>0.3165829146</v>
      </c>
      <c r="V327" s="26">
        <f t="shared" si="7"/>
        <v>0.5025125628</v>
      </c>
      <c r="W327" s="19">
        <f t="shared" si="8"/>
        <v>0.325</v>
      </c>
      <c r="X327" s="20">
        <f t="shared" si="9"/>
        <v>200</v>
      </c>
      <c r="Y327" s="27"/>
      <c r="Z327" s="17"/>
      <c r="AA327" s="28"/>
      <c r="AB327" s="17"/>
      <c r="AC327" s="28"/>
      <c r="AD327" s="27"/>
    </row>
    <row r="328" ht="15.75" customHeight="1">
      <c r="A328" s="27" t="s">
        <v>1091</v>
      </c>
      <c r="B328" s="27" t="s">
        <v>1233</v>
      </c>
      <c r="C328" s="16" t="s">
        <v>1234</v>
      </c>
      <c r="D328" s="17" t="s">
        <v>130</v>
      </c>
      <c r="E328" s="18" t="s">
        <v>34</v>
      </c>
      <c r="F328" s="18">
        <v>1.0</v>
      </c>
      <c r="G328" s="19">
        <f t="shared" si="1"/>
        <v>0.7407538052</v>
      </c>
      <c r="H328" s="17">
        <v>21.0</v>
      </c>
      <c r="I328" s="10">
        <v>100.0</v>
      </c>
      <c r="J328" s="17">
        <v>4.5</v>
      </c>
      <c r="K328" s="17">
        <v>45.0</v>
      </c>
      <c r="L328" s="17"/>
      <c r="M328" s="20">
        <v>13.0</v>
      </c>
      <c r="N328" s="20">
        <v>0.0</v>
      </c>
      <c r="O328" s="20">
        <v>10.0</v>
      </c>
      <c r="P328" s="20">
        <f t="shared" si="2"/>
        <v>3</v>
      </c>
      <c r="Q328" s="21">
        <v>1.0</v>
      </c>
      <c r="R328" s="22">
        <f t="shared" si="3"/>
        <v>134.997619</v>
      </c>
      <c r="S328" s="23">
        <f t="shared" si="4"/>
        <v>4.761904762</v>
      </c>
      <c r="T328" s="24">
        <f t="shared" si="5"/>
        <v>13</v>
      </c>
      <c r="U328" s="26">
        <f t="shared" si="6"/>
        <v>0.4196891192</v>
      </c>
      <c r="V328" s="26">
        <f t="shared" si="7"/>
        <v>0.414507772</v>
      </c>
      <c r="W328" s="19">
        <f t="shared" si="8"/>
        <v>0.45</v>
      </c>
      <c r="X328" s="20">
        <f t="shared" si="9"/>
        <v>100</v>
      </c>
      <c r="Y328" s="27"/>
      <c r="Z328" s="17"/>
      <c r="AA328" s="28"/>
      <c r="AB328" s="17"/>
      <c r="AC328" s="28"/>
      <c r="AD328" s="27"/>
    </row>
    <row r="329" ht="15.75" customHeight="1">
      <c r="A329" s="16" t="s">
        <v>1235</v>
      </c>
      <c r="B329" s="16" t="s">
        <v>1236</v>
      </c>
      <c r="C329" s="16" t="s">
        <v>1237</v>
      </c>
      <c r="D329" s="17" t="s">
        <v>507</v>
      </c>
      <c r="E329" s="18" t="s">
        <v>34</v>
      </c>
      <c r="F329" s="18">
        <v>1.0</v>
      </c>
      <c r="G329" s="19">
        <f t="shared" si="1"/>
        <v>2.963015221</v>
      </c>
      <c r="H329" s="17">
        <v>84.0</v>
      </c>
      <c r="I329" s="10">
        <v>400.0</v>
      </c>
      <c r="J329" s="17">
        <v>18.0</v>
      </c>
      <c r="K329" s="17">
        <v>15.0</v>
      </c>
      <c r="L329" s="17"/>
      <c r="M329" s="20">
        <v>53.0</v>
      </c>
      <c r="N329" s="20">
        <v>1.0</v>
      </c>
      <c r="O329" s="20">
        <v>32.0</v>
      </c>
      <c r="P329" s="20">
        <f t="shared" si="2"/>
        <v>20</v>
      </c>
      <c r="Q329" s="21">
        <v>8.0</v>
      </c>
      <c r="R329" s="22">
        <f t="shared" si="3"/>
        <v>134.997619</v>
      </c>
      <c r="S329" s="23">
        <f t="shared" si="4"/>
        <v>4.761904762</v>
      </c>
      <c r="T329" s="24">
        <f t="shared" si="5"/>
        <v>6.625</v>
      </c>
      <c r="U329" s="26">
        <f t="shared" si="6"/>
        <v>0.3990147783</v>
      </c>
      <c r="V329" s="26">
        <f t="shared" si="7"/>
        <v>0.315270936</v>
      </c>
      <c r="W329" s="19">
        <f t="shared" si="8"/>
        <v>0.0375</v>
      </c>
      <c r="X329" s="20">
        <f t="shared" si="9"/>
        <v>400</v>
      </c>
      <c r="Y329" s="27"/>
      <c r="Z329" s="17"/>
      <c r="AA329" s="28"/>
      <c r="AB329" s="17"/>
      <c r="AC329" s="28"/>
      <c r="AD329" s="27"/>
    </row>
    <row r="330" ht="15.75" customHeight="1">
      <c r="A330" s="27" t="s">
        <v>276</v>
      </c>
      <c r="B330" s="27" t="s">
        <v>1238</v>
      </c>
      <c r="C330" s="16" t="s">
        <v>1239</v>
      </c>
      <c r="D330" s="17" t="s">
        <v>130</v>
      </c>
      <c r="E330" s="18" t="s">
        <v>34</v>
      </c>
      <c r="F330" s="18">
        <v>1.0</v>
      </c>
      <c r="G330" s="19">
        <f t="shared" si="1"/>
        <v>1.410959629</v>
      </c>
      <c r="H330" s="17">
        <v>40.0</v>
      </c>
      <c r="I330" s="10">
        <v>190.0</v>
      </c>
      <c r="J330" s="17">
        <v>8.0</v>
      </c>
      <c r="K330" s="17">
        <v>5.0</v>
      </c>
      <c r="L330" s="17"/>
      <c r="M330" s="20">
        <v>29.0</v>
      </c>
      <c r="N330" s="20">
        <v>1.0</v>
      </c>
      <c r="O330" s="20">
        <v>15.0</v>
      </c>
      <c r="P330" s="20">
        <f t="shared" si="2"/>
        <v>13</v>
      </c>
      <c r="Q330" s="21">
        <v>2.0</v>
      </c>
      <c r="R330" s="22">
        <f t="shared" si="3"/>
        <v>134.660125</v>
      </c>
      <c r="S330" s="23">
        <f t="shared" si="4"/>
        <v>4.75</v>
      </c>
      <c r="T330" s="24">
        <f t="shared" si="5"/>
        <v>14.5</v>
      </c>
      <c r="U330" s="26">
        <f t="shared" si="6"/>
        <v>0.3673469388</v>
      </c>
      <c r="V330" s="26">
        <f t="shared" si="7"/>
        <v>0.306122449</v>
      </c>
      <c r="W330" s="19">
        <f t="shared" si="8"/>
        <v>0.02631578947</v>
      </c>
      <c r="X330" s="20">
        <f t="shared" si="9"/>
        <v>190</v>
      </c>
      <c r="Y330" s="27"/>
      <c r="Z330" s="17"/>
      <c r="AA330" s="28"/>
      <c r="AB330" s="17"/>
      <c r="AC330" s="28"/>
      <c r="AD330" s="16"/>
    </row>
    <row r="331" ht="15.75" customHeight="1">
      <c r="A331" s="27" t="s">
        <v>276</v>
      </c>
      <c r="B331" s="27" t="s">
        <v>1240</v>
      </c>
      <c r="C331" s="16" t="s">
        <v>1241</v>
      </c>
      <c r="D331" s="17" t="s">
        <v>130</v>
      </c>
      <c r="E331" s="18" t="s">
        <v>34</v>
      </c>
      <c r="F331" s="18">
        <v>1.0</v>
      </c>
      <c r="G331" s="19">
        <f t="shared" si="1"/>
        <v>1.410959629</v>
      </c>
      <c r="H331" s="17">
        <v>40.0</v>
      </c>
      <c r="I331" s="10">
        <v>190.0</v>
      </c>
      <c r="J331" s="17">
        <v>8.0</v>
      </c>
      <c r="K331" s="17">
        <v>30.0</v>
      </c>
      <c r="L331" s="17"/>
      <c r="M331" s="20">
        <v>27.0</v>
      </c>
      <c r="N331" s="20">
        <v>1.0</v>
      </c>
      <c r="O331" s="20">
        <v>20.0</v>
      </c>
      <c r="P331" s="20">
        <f t="shared" si="2"/>
        <v>6</v>
      </c>
      <c r="Q331" s="21">
        <v>2.0</v>
      </c>
      <c r="R331" s="22">
        <f t="shared" si="3"/>
        <v>134.660125</v>
      </c>
      <c r="S331" s="23">
        <f t="shared" si="4"/>
        <v>4.75</v>
      </c>
      <c r="T331" s="24">
        <f t="shared" si="5"/>
        <v>13.5</v>
      </c>
      <c r="U331" s="26">
        <f t="shared" si="6"/>
        <v>0.3829787234</v>
      </c>
      <c r="V331" s="26">
        <f t="shared" si="7"/>
        <v>0.4255319149</v>
      </c>
      <c r="W331" s="19">
        <f t="shared" si="8"/>
        <v>0.1578947368</v>
      </c>
      <c r="X331" s="20">
        <f t="shared" si="9"/>
        <v>190</v>
      </c>
      <c r="Y331" s="27"/>
      <c r="Z331" s="17"/>
      <c r="AA331" s="28"/>
      <c r="AB331" s="17"/>
      <c r="AC331" s="28"/>
      <c r="AD331" s="27"/>
    </row>
    <row r="332" ht="15.75" customHeight="1">
      <c r="A332" s="27" t="s">
        <v>324</v>
      </c>
      <c r="B332" s="27" t="s">
        <v>1242</v>
      </c>
      <c r="C332" s="16" t="s">
        <v>1243</v>
      </c>
      <c r="D332" s="17" t="s">
        <v>212</v>
      </c>
      <c r="E332" s="18" t="s">
        <v>34</v>
      </c>
      <c r="F332" s="18">
        <v>1.0</v>
      </c>
      <c r="G332" s="19">
        <f t="shared" si="1"/>
        <v>1.410959629</v>
      </c>
      <c r="H332" s="17">
        <v>40.0</v>
      </c>
      <c r="I332" s="10">
        <v>190.0</v>
      </c>
      <c r="J332" s="17">
        <v>10.0</v>
      </c>
      <c r="K332" s="17">
        <v>180.0</v>
      </c>
      <c r="L332" s="17"/>
      <c r="M332" s="20">
        <v>22.0</v>
      </c>
      <c r="N332" s="20">
        <v>4.0</v>
      </c>
      <c r="O332" s="20">
        <v>9.0</v>
      </c>
      <c r="P332" s="20">
        <f t="shared" si="2"/>
        <v>9</v>
      </c>
      <c r="Q332" s="21">
        <v>4.0</v>
      </c>
      <c r="R332" s="22">
        <f t="shared" si="3"/>
        <v>134.660125</v>
      </c>
      <c r="S332" s="23">
        <f t="shared" si="4"/>
        <v>4.75</v>
      </c>
      <c r="T332" s="24">
        <f t="shared" si="5"/>
        <v>5.5</v>
      </c>
      <c r="U332" s="26">
        <f t="shared" si="6"/>
        <v>0.4639175258</v>
      </c>
      <c r="V332" s="26">
        <f t="shared" si="7"/>
        <v>0.1855670103</v>
      </c>
      <c r="W332" s="19">
        <f t="shared" si="8"/>
        <v>0.9473684211</v>
      </c>
      <c r="X332" s="20">
        <f t="shared" si="9"/>
        <v>190</v>
      </c>
      <c r="Y332" s="27"/>
      <c r="Z332" s="17"/>
      <c r="AA332" s="28"/>
      <c r="AB332" s="17"/>
      <c r="AC332" s="28"/>
      <c r="AD332" s="27"/>
    </row>
    <row r="333" ht="15.75" customHeight="1">
      <c r="A333" s="27" t="s">
        <v>1117</v>
      </c>
      <c r="B333" s="27" t="s">
        <v>1244</v>
      </c>
      <c r="C333" s="16" t="s">
        <v>1245</v>
      </c>
      <c r="D333" s="17" t="s">
        <v>212</v>
      </c>
      <c r="E333" s="18" t="s">
        <v>34</v>
      </c>
      <c r="F333" s="18">
        <v>1.0</v>
      </c>
      <c r="G333" s="19">
        <f t="shared" si="1"/>
        <v>1.410959629</v>
      </c>
      <c r="H333" s="17">
        <v>40.0</v>
      </c>
      <c r="I333" s="10">
        <v>190.0</v>
      </c>
      <c r="J333" s="17">
        <v>12.0</v>
      </c>
      <c r="K333" s="17">
        <v>20.0</v>
      </c>
      <c r="L333" s="17"/>
      <c r="M333" s="20">
        <v>20.0</v>
      </c>
      <c r="N333" s="20">
        <v>3.0</v>
      </c>
      <c r="O333" s="20">
        <v>10.0</v>
      </c>
      <c r="P333" s="20">
        <f t="shared" si="2"/>
        <v>7</v>
      </c>
      <c r="Q333" s="21">
        <v>4.0</v>
      </c>
      <c r="R333" s="22">
        <f t="shared" si="3"/>
        <v>134.660125</v>
      </c>
      <c r="S333" s="23">
        <f t="shared" si="4"/>
        <v>4.75</v>
      </c>
      <c r="T333" s="24">
        <f t="shared" si="5"/>
        <v>5</v>
      </c>
      <c r="U333" s="26">
        <f t="shared" si="6"/>
        <v>0.5294117647</v>
      </c>
      <c r="V333" s="26">
        <f t="shared" si="7"/>
        <v>0.1960784314</v>
      </c>
      <c r="W333" s="19">
        <f t="shared" si="8"/>
        <v>0.1052631579</v>
      </c>
      <c r="X333" s="20">
        <f t="shared" si="9"/>
        <v>190</v>
      </c>
      <c r="Y333" s="27"/>
      <c r="Z333" s="17"/>
      <c r="AA333" s="28"/>
      <c r="AB333" s="17"/>
      <c r="AC333" s="28"/>
      <c r="AD333" s="27"/>
    </row>
    <row r="334" ht="15.75" customHeight="1">
      <c r="A334" s="27" t="s">
        <v>139</v>
      </c>
      <c r="B334" s="27" t="s">
        <v>1246</v>
      </c>
      <c r="C334" s="16" t="s">
        <v>56</v>
      </c>
      <c r="D334" s="17" t="s">
        <v>203</v>
      </c>
      <c r="E334" s="18" t="s">
        <v>34</v>
      </c>
      <c r="F334" s="18">
        <v>1.0</v>
      </c>
      <c r="G334" s="19">
        <f t="shared" si="1"/>
        <v>1.410959629</v>
      </c>
      <c r="H334" s="17">
        <v>40.0</v>
      </c>
      <c r="I334" s="10">
        <v>190.0</v>
      </c>
      <c r="J334" s="17">
        <v>11.0</v>
      </c>
      <c r="K334" s="17">
        <v>62.0</v>
      </c>
      <c r="L334" s="17"/>
      <c r="M334" s="20">
        <v>21.0</v>
      </c>
      <c r="N334" s="20">
        <v>3.0</v>
      </c>
      <c r="O334" s="20">
        <v>16.0</v>
      </c>
      <c r="P334" s="20">
        <f t="shared" si="2"/>
        <v>2</v>
      </c>
      <c r="Q334" s="21">
        <v>5.0</v>
      </c>
      <c r="R334" s="22">
        <f t="shared" si="3"/>
        <v>134.660125</v>
      </c>
      <c r="S334" s="23">
        <f t="shared" si="4"/>
        <v>4.75</v>
      </c>
      <c r="T334" s="24">
        <f t="shared" si="5"/>
        <v>4.2</v>
      </c>
      <c r="U334" s="26">
        <f t="shared" si="6"/>
        <v>0.4876847291</v>
      </c>
      <c r="V334" s="26">
        <f t="shared" si="7"/>
        <v>0.315270936</v>
      </c>
      <c r="W334" s="19">
        <f t="shared" si="8"/>
        <v>0.3263157895</v>
      </c>
      <c r="X334" s="20">
        <f t="shared" si="9"/>
        <v>190</v>
      </c>
      <c r="Y334" s="27"/>
      <c r="Z334" s="17"/>
      <c r="AA334" s="28"/>
      <c r="AB334" s="17"/>
      <c r="AC334" s="28"/>
      <c r="AD334" s="27"/>
    </row>
    <row r="335" ht="15.75" customHeight="1">
      <c r="A335" s="16" t="s">
        <v>1117</v>
      </c>
      <c r="B335" s="16" t="s">
        <v>1247</v>
      </c>
      <c r="C335" s="16" t="s">
        <v>50</v>
      </c>
      <c r="D335" s="17" t="s">
        <v>212</v>
      </c>
      <c r="E335" s="18" t="s">
        <v>34</v>
      </c>
      <c r="F335" s="18">
        <v>1.0</v>
      </c>
      <c r="G335" s="19">
        <f t="shared" si="1"/>
        <v>1.410959629</v>
      </c>
      <c r="H335" s="17">
        <v>40.0</v>
      </c>
      <c r="I335" s="10">
        <v>190.0</v>
      </c>
      <c r="J335" s="17">
        <v>15.0</v>
      </c>
      <c r="K335" s="17">
        <v>105.0</v>
      </c>
      <c r="L335" s="17">
        <v>200.0</v>
      </c>
      <c r="M335" s="20">
        <v>16.0</v>
      </c>
      <c r="N335" s="20">
        <v>7.0</v>
      </c>
      <c r="O335" s="20">
        <v>5.0</v>
      </c>
      <c r="P335" s="20">
        <f t="shared" si="2"/>
        <v>4</v>
      </c>
      <c r="Q335" s="21">
        <v>5.0</v>
      </c>
      <c r="R335" s="22">
        <f t="shared" si="3"/>
        <v>134.660125</v>
      </c>
      <c r="S335" s="23">
        <f t="shared" si="4"/>
        <v>4.75</v>
      </c>
      <c r="T335" s="24">
        <f t="shared" si="5"/>
        <v>3.2</v>
      </c>
      <c r="U335" s="26">
        <f t="shared" si="6"/>
        <v>0.6164383562</v>
      </c>
      <c r="V335" s="26">
        <f t="shared" si="7"/>
        <v>0.09132420091</v>
      </c>
      <c r="W335" s="19">
        <f t="shared" si="8"/>
        <v>0.5526315789</v>
      </c>
      <c r="X335" s="20">
        <f t="shared" si="9"/>
        <v>190</v>
      </c>
      <c r="Y335" s="27"/>
      <c r="Z335" s="17"/>
      <c r="AA335" s="17"/>
      <c r="AB335" s="17"/>
      <c r="AC335" s="17"/>
      <c r="AD335" s="27"/>
    </row>
    <row r="336" ht="15.75" customHeight="1">
      <c r="A336" s="27" t="s">
        <v>324</v>
      </c>
      <c r="B336" s="27" t="s">
        <v>1248</v>
      </c>
      <c r="C336" s="16" t="s">
        <v>1249</v>
      </c>
      <c r="D336" s="17" t="s">
        <v>212</v>
      </c>
      <c r="E336" s="18" t="s">
        <v>34</v>
      </c>
      <c r="F336" s="18">
        <v>1.0</v>
      </c>
      <c r="G336" s="19">
        <f t="shared" si="1"/>
        <v>1.410959629</v>
      </c>
      <c r="H336" s="17">
        <v>40.0</v>
      </c>
      <c r="I336" s="10">
        <v>190.0</v>
      </c>
      <c r="J336" s="17">
        <v>11.0</v>
      </c>
      <c r="K336" s="17">
        <v>170.0</v>
      </c>
      <c r="L336" s="17">
        <v>100.0</v>
      </c>
      <c r="M336" s="20">
        <v>16.0</v>
      </c>
      <c r="N336" s="20">
        <v>5.0</v>
      </c>
      <c r="O336" s="20">
        <v>8.0</v>
      </c>
      <c r="P336" s="20">
        <f t="shared" si="2"/>
        <v>3</v>
      </c>
      <c r="Q336" s="21">
        <v>10.0</v>
      </c>
      <c r="R336" s="22">
        <f t="shared" si="3"/>
        <v>134.660125</v>
      </c>
      <c r="S336" s="23">
        <f t="shared" si="4"/>
        <v>4.75</v>
      </c>
      <c r="T336" s="24">
        <f t="shared" si="5"/>
        <v>1.6</v>
      </c>
      <c r="U336" s="26">
        <f t="shared" si="6"/>
        <v>0.4876847291</v>
      </c>
      <c r="V336" s="26">
        <f t="shared" si="7"/>
        <v>0.157635468</v>
      </c>
      <c r="W336" s="19">
        <f t="shared" si="8"/>
        <v>0.8947368421</v>
      </c>
      <c r="X336" s="20">
        <f t="shared" si="9"/>
        <v>190</v>
      </c>
      <c r="Y336" s="27"/>
      <c r="Z336" s="17"/>
      <c r="AA336" s="28"/>
      <c r="AB336" s="17"/>
      <c r="AC336" s="28"/>
      <c r="AD336" s="27"/>
    </row>
    <row r="337" ht="15.75" customHeight="1">
      <c r="A337" s="27" t="s">
        <v>324</v>
      </c>
      <c r="B337" s="27" t="s">
        <v>1250</v>
      </c>
      <c r="C337" s="16" t="s">
        <v>1251</v>
      </c>
      <c r="D337" s="17" t="s">
        <v>212</v>
      </c>
      <c r="E337" s="18" t="s">
        <v>34</v>
      </c>
      <c r="F337" s="18">
        <v>1.0</v>
      </c>
      <c r="G337" s="19">
        <f t="shared" si="1"/>
        <v>1.410959629</v>
      </c>
      <c r="H337" s="17">
        <v>40.0</v>
      </c>
      <c r="I337" s="10">
        <v>190.0</v>
      </c>
      <c r="J337" s="17">
        <v>12.0</v>
      </c>
      <c r="K337" s="17">
        <v>160.0</v>
      </c>
      <c r="L337" s="17">
        <v>130.0</v>
      </c>
      <c r="M337" s="20">
        <v>15.0</v>
      </c>
      <c r="N337" s="20">
        <v>6.0</v>
      </c>
      <c r="O337" s="20">
        <v>7.0</v>
      </c>
      <c r="P337" s="20">
        <f t="shared" si="2"/>
        <v>2</v>
      </c>
      <c r="Q337" s="21">
        <v>10.0</v>
      </c>
      <c r="R337" s="22">
        <f t="shared" si="3"/>
        <v>134.660125</v>
      </c>
      <c r="S337" s="23">
        <f t="shared" si="4"/>
        <v>4.75</v>
      </c>
      <c r="T337" s="24">
        <f t="shared" si="5"/>
        <v>1.5</v>
      </c>
      <c r="U337" s="26">
        <f t="shared" si="6"/>
        <v>0.5192307692</v>
      </c>
      <c r="V337" s="26">
        <f t="shared" si="7"/>
        <v>0.1346153846</v>
      </c>
      <c r="W337" s="19">
        <f t="shared" si="8"/>
        <v>0.8421052632</v>
      </c>
      <c r="X337" s="20">
        <f t="shared" si="9"/>
        <v>190</v>
      </c>
      <c r="Y337" s="27"/>
      <c r="Z337" s="17"/>
      <c r="AA337" s="28"/>
      <c r="AB337" s="17"/>
      <c r="AC337" s="28"/>
      <c r="AD337" s="27"/>
    </row>
    <row r="338" ht="15.75" customHeight="1">
      <c r="A338" s="27" t="s">
        <v>324</v>
      </c>
      <c r="B338" s="27" t="s">
        <v>1252</v>
      </c>
      <c r="C338" s="16" t="s">
        <v>1253</v>
      </c>
      <c r="D338" s="17" t="s">
        <v>212</v>
      </c>
      <c r="E338" s="18" t="s">
        <v>34</v>
      </c>
      <c r="F338" s="18">
        <v>1.0</v>
      </c>
      <c r="G338" s="19">
        <f t="shared" si="1"/>
        <v>1.410959629</v>
      </c>
      <c r="H338" s="17">
        <v>40.0</v>
      </c>
      <c r="I338" s="10">
        <v>190.0</v>
      </c>
      <c r="J338" s="17">
        <v>11.0</v>
      </c>
      <c r="K338" s="17">
        <v>150.0</v>
      </c>
      <c r="L338" s="17">
        <v>130.0</v>
      </c>
      <c r="M338" s="20">
        <v>14.0</v>
      </c>
      <c r="N338" s="20">
        <v>5.0</v>
      </c>
      <c r="O338" s="20">
        <v>7.0</v>
      </c>
      <c r="P338" s="20">
        <f t="shared" si="2"/>
        <v>2</v>
      </c>
      <c r="Q338" s="21">
        <v>10.0</v>
      </c>
      <c r="R338" s="22">
        <f t="shared" si="3"/>
        <v>134.660125</v>
      </c>
      <c r="S338" s="23">
        <f t="shared" si="4"/>
        <v>4.75</v>
      </c>
      <c r="T338" s="24">
        <f t="shared" si="5"/>
        <v>1.4</v>
      </c>
      <c r="U338" s="26">
        <f t="shared" si="6"/>
        <v>0.5076923077</v>
      </c>
      <c r="V338" s="26">
        <f t="shared" si="7"/>
        <v>0.1435897436</v>
      </c>
      <c r="W338" s="19">
        <f t="shared" si="8"/>
        <v>0.7894736842</v>
      </c>
      <c r="X338" s="20">
        <f t="shared" si="9"/>
        <v>190</v>
      </c>
      <c r="Y338" s="27"/>
      <c r="Z338" s="17"/>
      <c r="AA338" s="28"/>
      <c r="AB338" s="17"/>
      <c r="AC338" s="28"/>
      <c r="AD338" s="27"/>
    </row>
    <row r="339" ht="15.75" customHeight="1">
      <c r="A339" s="27" t="s">
        <v>1091</v>
      </c>
      <c r="B339" s="27" t="s">
        <v>1097</v>
      </c>
      <c r="C339" s="16" t="s">
        <v>1254</v>
      </c>
      <c r="D339" s="17" t="s">
        <v>130</v>
      </c>
      <c r="E339" s="18" t="s">
        <v>34</v>
      </c>
      <c r="F339" s="18">
        <v>1.0</v>
      </c>
      <c r="G339" s="19">
        <f t="shared" si="1"/>
        <v>1.858939311</v>
      </c>
      <c r="H339" s="17">
        <v>52.7</v>
      </c>
      <c r="I339" s="10">
        <v>250.0</v>
      </c>
      <c r="J339" s="17">
        <v>12.0</v>
      </c>
      <c r="K339" s="17">
        <v>120.0</v>
      </c>
      <c r="L339" s="17"/>
      <c r="M339" s="20">
        <v>33.0</v>
      </c>
      <c r="N339" s="20">
        <v>1.0</v>
      </c>
      <c r="O339" s="20">
        <v>27.0</v>
      </c>
      <c r="P339" s="20">
        <f t="shared" si="2"/>
        <v>5</v>
      </c>
      <c r="Q339" s="21">
        <v>4.0</v>
      </c>
      <c r="R339" s="22">
        <f t="shared" si="3"/>
        <v>134.4852941</v>
      </c>
      <c r="S339" s="23">
        <f t="shared" si="4"/>
        <v>4.743833017</v>
      </c>
      <c r="T339" s="24">
        <f t="shared" si="5"/>
        <v>8.25</v>
      </c>
      <c r="U339" s="26">
        <f t="shared" si="6"/>
        <v>0.421875</v>
      </c>
      <c r="V339" s="26">
        <f t="shared" si="7"/>
        <v>0.421875</v>
      </c>
      <c r="W339" s="19">
        <f t="shared" si="8"/>
        <v>0.48</v>
      </c>
      <c r="X339" s="20">
        <f t="shared" si="9"/>
        <v>250</v>
      </c>
      <c r="Y339" s="27"/>
      <c r="Z339" s="17"/>
      <c r="AA339" s="28"/>
      <c r="AB339" s="17"/>
      <c r="AC339" s="28"/>
      <c r="AD339" s="27"/>
    </row>
    <row r="340" ht="15.75" customHeight="1">
      <c r="A340" s="16" t="s">
        <v>1255</v>
      </c>
      <c r="B340" s="16" t="s">
        <v>1097</v>
      </c>
      <c r="C340" s="16" t="s">
        <v>1256</v>
      </c>
      <c r="D340" s="17" t="s">
        <v>318</v>
      </c>
      <c r="E340" s="18" t="s">
        <v>34</v>
      </c>
      <c r="F340" s="18">
        <v>1.0</v>
      </c>
      <c r="G340" s="19">
        <f t="shared" si="1"/>
        <v>2.010617471</v>
      </c>
      <c r="H340" s="17">
        <v>57.0</v>
      </c>
      <c r="I340" s="10">
        <v>270.0</v>
      </c>
      <c r="J340" s="17">
        <v>11.0</v>
      </c>
      <c r="K340" s="17">
        <v>220.0</v>
      </c>
      <c r="L340" s="17">
        <v>95.0</v>
      </c>
      <c r="M340" s="20">
        <v>41.0</v>
      </c>
      <c r="N340" s="20">
        <v>1.0</v>
      </c>
      <c r="O340" s="20">
        <v>23.0</v>
      </c>
      <c r="P340" s="20">
        <f t="shared" si="2"/>
        <v>17</v>
      </c>
      <c r="Q340" s="21">
        <v>2.0</v>
      </c>
      <c r="R340" s="22">
        <f t="shared" si="3"/>
        <v>134.2871053</v>
      </c>
      <c r="S340" s="23">
        <f t="shared" si="4"/>
        <v>4.736842105</v>
      </c>
      <c r="T340" s="24">
        <f t="shared" si="5"/>
        <v>20.5</v>
      </c>
      <c r="U340" s="26">
        <f t="shared" si="6"/>
        <v>0.3653136531</v>
      </c>
      <c r="V340" s="26">
        <f t="shared" si="7"/>
        <v>0.3394833948</v>
      </c>
      <c r="W340" s="19">
        <f t="shared" si="8"/>
        <v>0.8148148148</v>
      </c>
      <c r="X340" s="20">
        <f t="shared" si="9"/>
        <v>270</v>
      </c>
      <c r="Y340" s="27"/>
      <c r="Z340" s="17"/>
      <c r="AA340" s="28"/>
      <c r="AB340" s="17"/>
      <c r="AC340" s="28"/>
      <c r="AD340" s="27"/>
    </row>
    <row r="341" ht="15.75" customHeight="1">
      <c r="A341" s="27" t="s">
        <v>513</v>
      </c>
      <c r="B341" s="27" t="s">
        <v>1257</v>
      </c>
      <c r="C341" s="16" t="s">
        <v>1258</v>
      </c>
      <c r="D341" s="17" t="s">
        <v>130</v>
      </c>
      <c r="E341" s="18" t="s">
        <v>34</v>
      </c>
      <c r="F341" s="18">
        <v>1.0</v>
      </c>
      <c r="G341" s="19">
        <f t="shared" si="1"/>
        <v>1.340411647</v>
      </c>
      <c r="H341" s="17">
        <v>38.0</v>
      </c>
      <c r="I341" s="10">
        <v>180.0</v>
      </c>
      <c r="J341" s="17">
        <v>12.0</v>
      </c>
      <c r="K341" s="17">
        <v>0.0</v>
      </c>
      <c r="L341" s="17"/>
      <c r="M341" s="20">
        <v>23.0</v>
      </c>
      <c r="N341" s="20">
        <v>3.0</v>
      </c>
      <c r="O341" s="20">
        <v>18.0</v>
      </c>
      <c r="P341" s="20">
        <f t="shared" si="2"/>
        <v>2</v>
      </c>
      <c r="Q341" s="21">
        <v>2.0</v>
      </c>
      <c r="R341" s="22">
        <f t="shared" si="3"/>
        <v>134.2871053</v>
      </c>
      <c r="S341" s="23">
        <f t="shared" si="4"/>
        <v>4.736842105</v>
      </c>
      <c r="T341" s="24">
        <f t="shared" si="5"/>
        <v>11.5</v>
      </c>
      <c r="U341" s="26">
        <f t="shared" si="6"/>
        <v>0.5192307692</v>
      </c>
      <c r="V341" s="26">
        <f t="shared" si="7"/>
        <v>0.3461538462</v>
      </c>
      <c r="W341" s="19">
        <f t="shared" si="8"/>
        <v>0</v>
      </c>
      <c r="X341" s="20">
        <f t="shared" si="9"/>
        <v>180</v>
      </c>
      <c r="Y341" s="27"/>
      <c r="Z341" s="17"/>
      <c r="AA341" s="28"/>
      <c r="AB341" s="17"/>
      <c r="AC341" s="28"/>
      <c r="AD341" s="27"/>
    </row>
    <row r="342" ht="15.75" customHeight="1">
      <c r="A342" s="16" t="s">
        <v>1259</v>
      </c>
      <c r="B342" s="16" t="s">
        <v>1260</v>
      </c>
      <c r="C342" s="16" t="s">
        <v>1261</v>
      </c>
      <c r="D342" s="17" t="s">
        <v>563</v>
      </c>
      <c r="E342" s="18" t="s">
        <v>34</v>
      </c>
      <c r="F342" s="18">
        <v>1.0</v>
      </c>
      <c r="G342" s="19">
        <f t="shared" si="1"/>
        <v>1.94006949</v>
      </c>
      <c r="H342" s="17">
        <v>55.0</v>
      </c>
      <c r="I342" s="10">
        <v>260.0</v>
      </c>
      <c r="J342" s="17">
        <v>10.0</v>
      </c>
      <c r="K342" s="17">
        <v>45.0</v>
      </c>
      <c r="L342" s="17"/>
      <c r="M342" s="20">
        <v>37.0</v>
      </c>
      <c r="N342" s="20">
        <v>5.0</v>
      </c>
      <c r="O342" s="20">
        <v>10.0</v>
      </c>
      <c r="P342" s="20">
        <f t="shared" si="2"/>
        <v>22</v>
      </c>
      <c r="Q342" s="21">
        <v>6.0</v>
      </c>
      <c r="R342" s="22">
        <f t="shared" si="3"/>
        <v>134.0158182</v>
      </c>
      <c r="S342" s="23">
        <f t="shared" si="4"/>
        <v>4.727272727</v>
      </c>
      <c r="T342" s="24">
        <f t="shared" si="5"/>
        <v>6.166666667</v>
      </c>
      <c r="U342" s="26">
        <f t="shared" si="6"/>
        <v>0.3435114504</v>
      </c>
      <c r="V342" s="26">
        <f t="shared" si="7"/>
        <v>0.1526717557</v>
      </c>
      <c r="W342" s="19">
        <f t="shared" si="8"/>
        <v>0.1730769231</v>
      </c>
      <c r="X342" s="20">
        <f t="shared" si="9"/>
        <v>260</v>
      </c>
      <c r="Y342" s="27"/>
      <c r="Z342" s="17"/>
      <c r="AA342" s="28"/>
      <c r="AB342" s="17"/>
      <c r="AC342" s="28"/>
      <c r="AD342" s="16"/>
    </row>
    <row r="343" ht="15.75" customHeight="1">
      <c r="A343" s="27" t="s">
        <v>248</v>
      </c>
      <c r="B343" s="27" t="s">
        <v>1262</v>
      </c>
      <c r="C343" s="16" t="s">
        <v>1263</v>
      </c>
      <c r="D343" s="17" t="s">
        <v>212</v>
      </c>
      <c r="E343" s="18" t="s">
        <v>34</v>
      </c>
      <c r="F343" s="18">
        <v>1.0</v>
      </c>
      <c r="G343" s="19">
        <f t="shared" si="1"/>
        <v>1.94006949</v>
      </c>
      <c r="H343" s="17">
        <v>55.0</v>
      </c>
      <c r="I343" s="10">
        <v>260.0</v>
      </c>
      <c r="J343" s="17">
        <v>19.0</v>
      </c>
      <c r="K343" s="17">
        <v>140.0</v>
      </c>
      <c r="L343" s="17"/>
      <c r="M343" s="20">
        <v>15.0</v>
      </c>
      <c r="N343" s="20">
        <v>3.0</v>
      </c>
      <c r="O343" s="20">
        <v>7.0</v>
      </c>
      <c r="P343" s="20">
        <f t="shared" si="2"/>
        <v>5</v>
      </c>
      <c r="Q343" s="21">
        <v>12.0</v>
      </c>
      <c r="R343" s="22">
        <f t="shared" si="3"/>
        <v>134.0158182</v>
      </c>
      <c r="S343" s="23">
        <f t="shared" si="4"/>
        <v>4.727272727</v>
      </c>
      <c r="T343" s="24">
        <f t="shared" si="5"/>
        <v>1.25</v>
      </c>
      <c r="U343" s="26">
        <f t="shared" si="6"/>
        <v>0.6129032258</v>
      </c>
      <c r="V343" s="26">
        <f t="shared" si="7"/>
        <v>0.1003584229</v>
      </c>
      <c r="W343" s="19">
        <f t="shared" si="8"/>
        <v>0.5384615385</v>
      </c>
      <c r="X343" s="20">
        <f t="shared" si="9"/>
        <v>260</v>
      </c>
      <c r="Y343" s="27"/>
      <c r="Z343" s="17"/>
      <c r="AA343" s="28"/>
      <c r="AB343" s="17"/>
      <c r="AC343" s="28"/>
      <c r="AD343" s="27"/>
    </row>
    <row r="344" ht="15.75" customHeight="1">
      <c r="A344" s="16" t="s">
        <v>1264</v>
      </c>
      <c r="B344" s="16" t="s">
        <v>1265</v>
      </c>
      <c r="C344" s="16" t="s">
        <v>1266</v>
      </c>
      <c r="D344" s="17" t="s">
        <v>247</v>
      </c>
      <c r="E344" s="18" t="s">
        <v>34</v>
      </c>
      <c r="F344" s="18">
        <v>1.0</v>
      </c>
      <c r="G344" s="19">
        <f t="shared" si="1"/>
        <v>1.94006949</v>
      </c>
      <c r="H344" s="17">
        <v>55.0</v>
      </c>
      <c r="I344" s="10">
        <v>260.0</v>
      </c>
      <c r="J344" s="17">
        <v>19.0</v>
      </c>
      <c r="K344" s="17">
        <v>900.0</v>
      </c>
      <c r="L344" s="17"/>
      <c r="M344" s="20">
        <v>10.0</v>
      </c>
      <c r="N344" s="20">
        <v>2.0</v>
      </c>
      <c r="O344" s="20">
        <v>2.0</v>
      </c>
      <c r="P344" s="20">
        <f t="shared" si="2"/>
        <v>6</v>
      </c>
      <c r="Q344" s="21">
        <v>11.0</v>
      </c>
      <c r="R344" s="22">
        <f t="shared" si="3"/>
        <v>134.0158182</v>
      </c>
      <c r="S344" s="23">
        <f t="shared" si="4"/>
        <v>4.727272727</v>
      </c>
      <c r="T344" s="24">
        <f t="shared" si="5"/>
        <v>0.9090909091</v>
      </c>
      <c r="U344" s="26">
        <f t="shared" si="6"/>
        <v>0.6705882353</v>
      </c>
      <c r="V344" s="26">
        <f t="shared" si="7"/>
        <v>0.03137254902</v>
      </c>
      <c r="W344" s="19">
        <f t="shared" si="8"/>
        <v>3.461538462</v>
      </c>
      <c r="X344" s="20">
        <f t="shared" si="9"/>
        <v>260</v>
      </c>
      <c r="Y344" s="27"/>
      <c r="Z344" s="17"/>
      <c r="AA344" s="28"/>
      <c r="AB344" s="17"/>
      <c r="AC344" s="28"/>
      <c r="AD344" s="27"/>
    </row>
    <row r="345" ht="15.75" customHeight="1">
      <c r="A345" s="27" t="s">
        <v>1264</v>
      </c>
      <c r="B345" s="27" t="s">
        <v>1267</v>
      </c>
      <c r="C345" s="16" t="s">
        <v>1268</v>
      </c>
      <c r="D345" s="17" t="s">
        <v>247</v>
      </c>
      <c r="E345" s="18" t="s">
        <v>34</v>
      </c>
      <c r="F345" s="18">
        <v>1.0</v>
      </c>
      <c r="G345" s="19">
        <f t="shared" si="1"/>
        <v>0.9700347449</v>
      </c>
      <c r="H345" s="17">
        <v>27.5</v>
      </c>
      <c r="I345" s="10">
        <v>130.0</v>
      </c>
      <c r="J345" s="17">
        <v>10.0</v>
      </c>
      <c r="K345" s="17">
        <v>460.0</v>
      </c>
      <c r="L345" s="17"/>
      <c r="M345" s="20">
        <v>5.0</v>
      </c>
      <c r="N345" s="20">
        <v>1.0</v>
      </c>
      <c r="O345" s="20">
        <v>1.0</v>
      </c>
      <c r="P345" s="20">
        <f t="shared" si="2"/>
        <v>3</v>
      </c>
      <c r="Q345" s="21">
        <v>6.0</v>
      </c>
      <c r="R345" s="22">
        <f t="shared" si="3"/>
        <v>134.0158182</v>
      </c>
      <c r="S345" s="23">
        <f t="shared" si="4"/>
        <v>4.727272727</v>
      </c>
      <c r="T345" s="24">
        <f t="shared" si="5"/>
        <v>0.8333333333</v>
      </c>
      <c r="U345" s="26">
        <f t="shared" si="6"/>
        <v>0.671641791</v>
      </c>
      <c r="V345" s="26">
        <f t="shared" si="7"/>
        <v>0.02985074627</v>
      </c>
      <c r="W345" s="19">
        <f t="shared" si="8"/>
        <v>3.538461538</v>
      </c>
      <c r="X345" s="20">
        <f t="shared" si="9"/>
        <v>130</v>
      </c>
      <c r="Y345" s="27"/>
      <c r="Z345" s="17"/>
      <c r="AA345" s="28"/>
      <c r="AB345" s="17"/>
      <c r="AC345" s="28"/>
      <c r="AD345" s="27"/>
    </row>
    <row r="346" ht="15.75" customHeight="1">
      <c r="A346" s="16" t="s">
        <v>501</v>
      </c>
      <c r="B346" s="16" t="s">
        <v>1269</v>
      </c>
      <c r="C346" s="16" t="s">
        <v>1270</v>
      </c>
      <c r="D346" s="17" t="s">
        <v>130</v>
      </c>
      <c r="E346" s="18" t="s">
        <v>34</v>
      </c>
      <c r="F346" s="18">
        <v>1.0</v>
      </c>
      <c r="G346" s="19">
        <f t="shared" si="1"/>
        <v>1.269863666</v>
      </c>
      <c r="H346" s="17">
        <v>36.0</v>
      </c>
      <c r="I346" s="10">
        <v>170.0</v>
      </c>
      <c r="J346" s="17">
        <v>11.0</v>
      </c>
      <c r="K346" s="17">
        <v>15.0</v>
      </c>
      <c r="L346" s="17"/>
      <c r="M346" s="20">
        <v>22.0</v>
      </c>
      <c r="N346" s="20">
        <v>2.0</v>
      </c>
      <c r="O346" s="20">
        <v>18.0</v>
      </c>
      <c r="P346" s="20">
        <f t="shared" si="2"/>
        <v>2</v>
      </c>
      <c r="Q346" s="21">
        <v>2.0</v>
      </c>
      <c r="R346" s="22">
        <f t="shared" si="3"/>
        <v>133.8726389</v>
      </c>
      <c r="S346" s="23">
        <f t="shared" si="4"/>
        <v>4.722222222</v>
      </c>
      <c r="T346" s="24">
        <f t="shared" si="5"/>
        <v>11</v>
      </c>
      <c r="U346" s="26">
        <f t="shared" si="6"/>
        <v>0.5076923077</v>
      </c>
      <c r="V346" s="26">
        <f t="shared" si="7"/>
        <v>0.3692307692</v>
      </c>
      <c r="W346" s="19">
        <f t="shared" si="8"/>
        <v>0.08823529412</v>
      </c>
      <c r="X346" s="20">
        <f t="shared" si="9"/>
        <v>170</v>
      </c>
      <c r="Y346" s="27"/>
      <c r="Z346" s="17"/>
      <c r="AA346" s="28"/>
      <c r="AB346" s="17"/>
      <c r="AC346" s="28"/>
      <c r="AD346" s="27"/>
    </row>
    <row r="347" ht="15.75" customHeight="1">
      <c r="A347" s="16" t="s">
        <v>1271</v>
      </c>
      <c r="B347" s="16" t="s">
        <v>1272</v>
      </c>
      <c r="C347" s="16" t="s">
        <v>1273</v>
      </c>
      <c r="D347" s="17" t="s">
        <v>456</v>
      </c>
      <c r="E347" s="18" t="s">
        <v>34</v>
      </c>
      <c r="F347" s="18">
        <v>1.0</v>
      </c>
      <c r="G347" s="19">
        <f t="shared" si="1"/>
        <v>2.998289211</v>
      </c>
      <c r="H347" s="17">
        <v>85.0</v>
      </c>
      <c r="I347" s="10">
        <v>400.0</v>
      </c>
      <c r="J347" s="17">
        <v>26.0</v>
      </c>
      <c r="K347" s="17">
        <v>200.0</v>
      </c>
      <c r="L347" s="17"/>
      <c r="M347" s="20">
        <v>42.0</v>
      </c>
      <c r="N347" s="20">
        <v>1.0</v>
      </c>
      <c r="O347" s="20">
        <v>26.0</v>
      </c>
      <c r="P347" s="20">
        <f t="shared" si="2"/>
        <v>15</v>
      </c>
      <c r="Q347" s="21">
        <v>3.0</v>
      </c>
      <c r="R347" s="22">
        <f t="shared" si="3"/>
        <v>133.4094118</v>
      </c>
      <c r="S347" s="23">
        <f t="shared" si="4"/>
        <v>4.705882353</v>
      </c>
      <c r="T347" s="24">
        <f t="shared" si="5"/>
        <v>14</v>
      </c>
      <c r="U347" s="26">
        <f t="shared" si="6"/>
        <v>0.5652173913</v>
      </c>
      <c r="V347" s="26">
        <f t="shared" si="7"/>
        <v>0.2512077295</v>
      </c>
      <c r="W347" s="19">
        <f t="shared" si="8"/>
        <v>0.5</v>
      </c>
      <c r="X347" s="20">
        <f t="shared" si="9"/>
        <v>400</v>
      </c>
      <c r="Y347" s="27"/>
      <c r="Z347" s="17"/>
      <c r="AA347" s="28"/>
      <c r="AB347" s="17"/>
      <c r="AC347" s="28"/>
      <c r="AD347" s="16"/>
    </row>
    <row r="348" ht="15.75" customHeight="1">
      <c r="A348" s="27" t="s">
        <v>1274</v>
      </c>
      <c r="B348" s="27" t="s">
        <v>1275</v>
      </c>
      <c r="C348" s="16" t="s">
        <v>1276</v>
      </c>
      <c r="D348" s="17" t="s">
        <v>130</v>
      </c>
      <c r="E348" s="18" t="s">
        <v>34</v>
      </c>
      <c r="F348" s="18">
        <v>1.0</v>
      </c>
      <c r="G348" s="19">
        <f t="shared" si="1"/>
        <v>1.199315685</v>
      </c>
      <c r="H348" s="17">
        <v>34.0</v>
      </c>
      <c r="I348" s="10">
        <v>160.0</v>
      </c>
      <c r="J348" s="17">
        <v>9.0</v>
      </c>
      <c r="K348" s="17">
        <v>40.0</v>
      </c>
      <c r="L348" s="17"/>
      <c r="M348" s="20">
        <v>20.0</v>
      </c>
      <c r="N348" s="20">
        <v>1.0</v>
      </c>
      <c r="O348" s="20">
        <v>16.0</v>
      </c>
      <c r="P348" s="20">
        <f t="shared" si="2"/>
        <v>3</v>
      </c>
      <c r="Q348" s="21">
        <v>2.0</v>
      </c>
      <c r="R348" s="22">
        <f t="shared" si="3"/>
        <v>133.4094118</v>
      </c>
      <c r="S348" s="23">
        <f t="shared" si="4"/>
        <v>4.705882353</v>
      </c>
      <c r="T348" s="24">
        <f t="shared" si="5"/>
        <v>10</v>
      </c>
      <c r="U348" s="26">
        <f t="shared" si="6"/>
        <v>0.4792899408</v>
      </c>
      <c r="V348" s="26">
        <f t="shared" si="7"/>
        <v>0.3786982249</v>
      </c>
      <c r="W348" s="19">
        <f t="shared" si="8"/>
        <v>0.25</v>
      </c>
      <c r="X348" s="20">
        <f t="shared" si="9"/>
        <v>160</v>
      </c>
      <c r="Y348" s="27"/>
      <c r="Z348" s="17"/>
      <c r="AA348" s="28"/>
      <c r="AB348" s="17"/>
      <c r="AC348" s="28"/>
      <c r="AD348" s="27"/>
    </row>
    <row r="349" ht="15.75" customHeight="1">
      <c r="A349" s="16" t="s">
        <v>1277</v>
      </c>
      <c r="B349" s="16" t="s">
        <v>1278</v>
      </c>
      <c r="C349" s="16" t="s">
        <v>1279</v>
      </c>
      <c r="D349" s="17" t="s">
        <v>507</v>
      </c>
      <c r="E349" s="18" t="s">
        <v>34</v>
      </c>
      <c r="F349" s="18">
        <v>1.0</v>
      </c>
      <c r="G349" s="19">
        <f t="shared" si="1"/>
        <v>2.998289211</v>
      </c>
      <c r="H349" s="17">
        <v>85.0</v>
      </c>
      <c r="I349" s="10">
        <v>400.0</v>
      </c>
      <c r="J349" s="17">
        <v>18.0</v>
      </c>
      <c r="K349" s="17">
        <v>5.0</v>
      </c>
      <c r="L349" s="17"/>
      <c r="M349" s="20">
        <v>54.0</v>
      </c>
      <c r="N349" s="20">
        <v>2.0</v>
      </c>
      <c r="O349" s="20">
        <v>15.0</v>
      </c>
      <c r="P349" s="20">
        <f t="shared" si="2"/>
        <v>37</v>
      </c>
      <c r="Q349" s="21">
        <v>7.0</v>
      </c>
      <c r="R349" s="22">
        <f t="shared" si="3"/>
        <v>133.4094118</v>
      </c>
      <c r="S349" s="23">
        <f t="shared" si="4"/>
        <v>4.705882353</v>
      </c>
      <c r="T349" s="24">
        <f t="shared" si="5"/>
        <v>7.714285714</v>
      </c>
      <c r="U349" s="26">
        <f t="shared" si="6"/>
        <v>0.3990147783</v>
      </c>
      <c r="V349" s="26">
        <f t="shared" si="7"/>
        <v>0.1477832512</v>
      </c>
      <c r="W349" s="19">
        <f t="shared" si="8"/>
        <v>0.0125</v>
      </c>
      <c r="X349" s="20">
        <f t="shared" si="9"/>
        <v>400</v>
      </c>
      <c r="Y349" s="27"/>
      <c r="Z349" s="17"/>
      <c r="AA349" s="28"/>
      <c r="AB349" s="17"/>
      <c r="AC349" s="28"/>
      <c r="AD349" s="16"/>
    </row>
    <row r="350" ht="15.75" customHeight="1">
      <c r="A350" s="16" t="s">
        <v>1280</v>
      </c>
      <c r="B350" s="16" t="s">
        <v>1278</v>
      </c>
      <c r="C350" s="16" t="s">
        <v>1281</v>
      </c>
      <c r="D350" s="17" t="s">
        <v>507</v>
      </c>
      <c r="E350" s="18" t="s">
        <v>34</v>
      </c>
      <c r="F350" s="18">
        <v>1.0</v>
      </c>
      <c r="G350" s="19">
        <f t="shared" si="1"/>
        <v>2.998289211</v>
      </c>
      <c r="H350" s="17">
        <v>85.0</v>
      </c>
      <c r="I350" s="10">
        <v>400.0</v>
      </c>
      <c r="J350" s="17">
        <v>19.0</v>
      </c>
      <c r="K350" s="17">
        <v>10.0</v>
      </c>
      <c r="L350" s="17"/>
      <c r="M350" s="20">
        <v>51.0</v>
      </c>
      <c r="N350" s="20">
        <v>3.0</v>
      </c>
      <c r="O350" s="20">
        <v>15.0</v>
      </c>
      <c r="P350" s="20">
        <f t="shared" si="2"/>
        <v>33</v>
      </c>
      <c r="Q350" s="21">
        <v>7.0</v>
      </c>
      <c r="R350" s="22">
        <f t="shared" si="3"/>
        <v>133.4094118</v>
      </c>
      <c r="S350" s="23">
        <f t="shared" si="4"/>
        <v>4.705882353</v>
      </c>
      <c r="T350" s="24">
        <f t="shared" si="5"/>
        <v>7.285714286</v>
      </c>
      <c r="U350" s="26">
        <f t="shared" si="6"/>
        <v>0.4243176179</v>
      </c>
      <c r="V350" s="26">
        <f t="shared" si="7"/>
        <v>0.1488833747</v>
      </c>
      <c r="W350" s="19">
        <f t="shared" si="8"/>
        <v>0.025</v>
      </c>
      <c r="X350" s="20">
        <f t="shared" si="9"/>
        <v>400</v>
      </c>
      <c r="Y350" s="16"/>
      <c r="Z350" s="17"/>
      <c r="AA350" s="28"/>
      <c r="AB350" s="17"/>
      <c r="AC350" s="28"/>
      <c r="AD350" s="16"/>
    </row>
    <row r="351" ht="15.75" customHeight="1">
      <c r="A351" s="27" t="s">
        <v>1217</v>
      </c>
      <c r="B351" s="27" t="s">
        <v>1282</v>
      </c>
      <c r="C351" s="16" t="s">
        <v>1283</v>
      </c>
      <c r="D351" s="17" t="s">
        <v>212</v>
      </c>
      <c r="E351" s="18" t="s">
        <v>34</v>
      </c>
      <c r="F351" s="18">
        <v>1.0</v>
      </c>
      <c r="G351" s="19">
        <f t="shared" si="1"/>
        <v>2.998289211</v>
      </c>
      <c r="H351" s="17">
        <v>85.0</v>
      </c>
      <c r="I351" s="10">
        <v>400.0</v>
      </c>
      <c r="J351" s="17">
        <v>20.0</v>
      </c>
      <c r="K351" s="17">
        <v>115.0</v>
      </c>
      <c r="L351" s="17">
        <v>320.0</v>
      </c>
      <c r="M351" s="20">
        <v>46.0</v>
      </c>
      <c r="N351" s="20">
        <v>6.0</v>
      </c>
      <c r="O351" s="20">
        <v>18.0</v>
      </c>
      <c r="P351" s="20">
        <f t="shared" si="2"/>
        <v>22</v>
      </c>
      <c r="Q351" s="21">
        <v>9.0</v>
      </c>
      <c r="R351" s="22">
        <f t="shared" si="3"/>
        <v>133.4094118</v>
      </c>
      <c r="S351" s="23">
        <f t="shared" si="4"/>
        <v>4.705882353</v>
      </c>
      <c r="T351" s="24">
        <f t="shared" si="5"/>
        <v>5.111111111</v>
      </c>
      <c r="U351" s="26">
        <f t="shared" si="6"/>
        <v>0.45</v>
      </c>
      <c r="V351" s="26">
        <f t="shared" si="7"/>
        <v>0.18</v>
      </c>
      <c r="W351" s="19">
        <f t="shared" si="8"/>
        <v>0.2875</v>
      </c>
      <c r="X351" s="20">
        <f t="shared" si="9"/>
        <v>400</v>
      </c>
      <c r="Y351" s="27"/>
      <c r="Z351" s="17"/>
      <c r="AA351" s="28"/>
      <c r="AB351" s="17"/>
      <c r="AC351" s="28"/>
      <c r="AD351" s="16"/>
    </row>
    <row r="352" ht="15.75" customHeight="1">
      <c r="A352" s="27" t="s">
        <v>1217</v>
      </c>
      <c r="B352" s="27" t="s">
        <v>1284</v>
      </c>
      <c r="C352" s="16" t="s">
        <v>1285</v>
      </c>
      <c r="D352" s="17" t="s">
        <v>212</v>
      </c>
      <c r="E352" s="18" t="s">
        <v>34</v>
      </c>
      <c r="F352" s="18">
        <v>1.0</v>
      </c>
      <c r="G352" s="19">
        <f t="shared" si="1"/>
        <v>2.998289211</v>
      </c>
      <c r="H352" s="17">
        <v>85.0</v>
      </c>
      <c r="I352" s="10">
        <v>400.0</v>
      </c>
      <c r="J352" s="17">
        <v>21.0</v>
      </c>
      <c r="K352" s="17">
        <v>140.0</v>
      </c>
      <c r="L352" s="17">
        <v>340.0</v>
      </c>
      <c r="M352" s="20">
        <v>44.0</v>
      </c>
      <c r="N352" s="20">
        <v>6.0</v>
      </c>
      <c r="O352" s="20">
        <v>18.0</v>
      </c>
      <c r="P352" s="20">
        <f t="shared" si="2"/>
        <v>20</v>
      </c>
      <c r="Q352" s="21">
        <v>10.0</v>
      </c>
      <c r="R352" s="22">
        <f t="shared" si="3"/>
        <v>133.4094118</v>
      </c>
      <c r="S352" s="23">
        <f t="shared" si="4"/>
        <v>4.705882353</v>
      </c>
      <c r="T352" s="24">
        <f t="shared" si="5"/>
        <v>4.4</v>
      </c>
      <c r="U352" s="26">
        <f t="shared" si="6"/>
        <v>0.4666666667</v>
      </c>
      <c r="V352" s="26">
        <f t="shared" si="7"/>
        <v>0.1777777778</v>
      </c>
      <c r="W352" s="19">
        <f t="shared" si="8"/>
        <v>0.35</v>
      </c>
      <c r="X352" s="20">
        <f t="shared" si="9"/>
        <v>400</v>
      </c>
      <c r="Y352" s="27"/>
      <c r="Z352" s="17"/>
      <c r="AA352" s="28"/>
      <c r="AB352" s="17"/>
      <c r="AC352" s="28"/>
      <c r="AD352" s="27"/>
    </row>
    <row r="353" ht="15.75" customHeight="1">
      <c r="A353" s="27" t="s">
        <v>1217</v>
      </c>
      <c r="B353" s="27" t="s">
        <v>1286</v>
      </c>
      <c r="C353" s="16" t="s">
        <v>1287</v>
      </c>
      <c r="D353" s="17" t="s">
        <v>212</v>
      </c>
      <c r="E353" s="18" t="s">
        <v>34</v>
      </c>
      <c r="F353" s="18">
        <v>1.0</v>
      </c>
      <c r="G353" s="19">
        <f t="shared" si="1"/>
        <v>2.998289211</v>
      </c>
      <c r="H353" s="17">
        <v>85.0</v>
      </c>
      <c r="I353" s="10">
        <v>400.0</v>
      </c>
      <c r="J353" s="17">
        <v>21.0</v>
      </c>
      <c r="K353" s="17">
        <v>140.0</v>
      </c>
      <c r="L353" s="17">
        <v>340.0</v>
      </c>
      <c r="M353" s="20">
        <v>44.0</v>
      </c>
      <c r="N353" s="20">
        <v>6.0</v>
      </c>
      <c r="O353" s="20">
        <v>18.0</v>
      </c>
      <c r="P353" s="20">
        <f t="shared" si="2"/>
        <v>20</v>
      </c>
      <c r="Q353" s="21">
        <v>10.0</v>
      </c>
      <c r="R353" s="22">
        <f t="shared" si="3"/>
        <v>133.4094118</v>
      </c>
      <c r="S353" s="23">
        <f t="shared" si="4"/>
        <v>4.705882353</v>
      </c>
      <c r="T353" s="24">
        <f t="shared" si="5"/>
        <v>4.4</v>
      </c>
      <c r="U353" s="26">
        <f t="shared" si="6"/>
        <v>0.4666666667</v>
      </c>
      <c r="V353" s="26">
        <f t="shared" si="7"/>
        <v>0.1777777778</v>
      </c>
      <c r="W353" s="19">
        <f t="shared" si="8"/>
        <v>0.35</v>
      </c>
      <c r="X353" s="20">
        <f t="shared" si="9"/>
        <v>400</v>
      </c>
      <c r="Y353" s="27"/>
      <c r="Z353" s="17"/>
      <c r="AA353" s="28"/>
      <c r="AB353" s="17"/>
      <c r="AC353" s="28"/>
      <c r="AD353" s="27"/>
    </row>
    <row r="354" ht="15.75" customHeight="1">
      <c r="A354" s="27" t="s">
        <v>1217</v>
      </c>
      <c r="B354" s="27" t="s">
        <v>1288</v>
      </c>
      <c r="C354" s="16" t="s">
        <v>1289</v>
      </c>
      <c r="D354" s="17" t="s">
        <v>212</v>
      </c>
      <c r="E354" s="18" t="s">
        <v>34</v>
      </c>
      <c r="F354" s="18">
        <v>1.0</v>
      </c>
      <c r="G354" s="19">
        <f t="shared" si="1"/>
        <v>2.998289211</v>
      </c>
      <c r="H354" s="17">
        <v>85.0</v>
      </c>
      <c r="I354" s="10">
        <v>400.0</v>
      </c>
      <c r="J354" s="17">
        <v>22.0</v>
      </c>
      <c r="K354" s="17">
        <v>150.0</v>
      </c>
      <c r="L354" s="17">
        <v>350.0</v>
      </c>
      <c r="M354" s="20">
        <v>43.0</v>
      </c>
      <c r="N354" s="20">
        <v>6.0</v>
      </c>
      <c r="O354" s="20">
        <v>19.0</v>
      </c>
      <c r="P354" s="20">
        <f t="shared" si="2"/>
        <v>18</v>
      </c>
      <c r="Q354" s="21">
        <v>11.0</v>
      </c>
      <c r="R354" s="22">
        <f t="shared" si="3"/>
        <v>133.4094118</v>
      </c>
      <c r="S354" s="23">
        <f t="shared" si="4"/>
        <v>4.705882353</v>
      </c>
      <c r="T354" s="24">
        <f t="shared" si="5"/>
        <v>3.909090909</v>
      </c>
      <c r="U354" s="26">
        <f t="shared" si="6"/>
        <v>0.4782608696</v>
      </c>
      <c r="V354" s="26">
        <f t="shared" si="7"/>
        <v>0.1835748792</v>
      </c>
      <c r="W354" s="19">
        <f t="shared" si="8"/>
        <v>0.375</v>
      </c>
      <c r="X354" s="20">
        <f t="shared" si="9"/>
        <v>400</v>
      </c>
      <c r="Y354" s="27"/>
      <c r="Z354" s="17"/>
      <c r="AA354" s="28"/>
      <c r="AB354" s="17"/>
      <c r="AC354" s="28"/>
      <c r="AD354" s="27"/>
    </row>
    <row r="355" ht="15.75" customHeight="1">
      <c r="A355" s="27" t="s">
        <v>1290</v>
      </c>
      <c r="B355" s="27" t="s">
        <v>1291</v>
      </c>
      <c r="C355" s="16" t="s">
        <v>1292</v>
      </c>
      <c r="D355" s="17" t="s">
        <v>212</v>
      </c>
      <c r="E355" s="18" t="s">
        <v>34</v>
      </c>
      <c r="F355" s="18">
        <v>1.0</v>
      </c>
      <c r="G355" s="19">
        <f t="shared" si="1"/>
        <v>1.798973527</v>
      </c>
      <c r="H355" s="17">
        <v>51.0</v>
      </c>
      <c r="I355" s="10">
        <v>240.0</v>
      </c>
      <c r="J355" s="17">
        <v>15.0</v>
      </c>
      <c r="K355" s="17">
        <v>5.0</v>
      </c>
      <c r="L355" s="17"/>
      <c r="M355" s="20">
        <v>23.0</v>
      </c>
      <c r="N355" s="20">
        <v>4.0</v>
      </c>
      <c r="O355" s="20">
        <v>15.0</v>
      </c>
      <c r="P355" s="20">
        <f t="shared" si="2"/>
        <v>4</v>
      </c>
      <c r="Q355" s="21">
        <v>6.0</v>
      </c>
      <c r="R355" s="22">
        <f t="shared" si="3"/>
        <v>133.4094118</v>
      </c>
      <c r="S355" s="23">
        <f t="shared" si="4"/>
        <v>4.705882353</v>
      </c>
      <c r="T355" s="24">
        <f t="shared" si="5"/>
        <v>3.833333333</v>
      </c>
      <c r="U355" s="26">
        <f t="shared" si="6"/>
        <v>0.5378486056</v>
      </c>
      <c r="V355" s="26">
        <f t="shared" si="7"/>
        <v>0.2390438247</v>
      </c>
      <c r="W355" s="19">
        <f t="shared" si="8"/>
        <v>0.02083333333</v>
      </c>
      <c r="X355" s="20">
        <f t="shared" si="9"/>
        <v>240</v>
      </c>
      <c r="Y355" s="27"/>
      <c r="Z355" s="17"/>
      <c r="AA355" s="28"/>
      <c r="AB355" s="17"/>
      <c r="AC355" s="28"/>
      <c r="AD355" s="27"/>
    </row>
    <row r="356" ht="15.75" customHeight="1">
      <c r="A356" s="16" t="s">
        <v>1293</v>
      </c>
      <c r="B356" s="16" t="s">
        <v>1294</v>
      </c>
      <c r="C356" s="16" t="s">
        <v>1295</v>
      </c>
      <c r="D356" s="17" t="s">
        <v>247</v>
      </c>
      <c r="E356" s="18" t="s">
        <v>34</v>
      </c>
      <c r="F356" s="18">
        <v>1.0</v>
      </c>
      <c r="G356" s="19">
        <f t="shared" si="1"/>
        <v>1.199315685</v>
      </c>
      <c r="H356" s="17">
        <v>34.0</v>
      </c>
      <c r="I356" s="10">
        <v>160.0</v>
      </c>
      <c r="J356" s="17">
        <v>13.0</v>
      </c>
      <c r="K356" s="17">
        <v>380.0</v>
      </c>
      <c r="L356" s="17"/>
      <c r="M356" s="20">
        <v>1.0</v>
      </c>
      <c r="N356" s="20">
        <v>0.0</v>
      </c>
      <c r="O356" s="20">
        <v>1.0</v>
      </c>
      <c r="P356" s="20">
        <f t="shared" si="2"/>
        <v>0</v>
      </c>
      <c r="Q356" s="21">
        <v>9.0</v>
      </c>
      <c r="R356" s="22">
        <f t="shared" si="3"/>
        <v>133.4094118</v>
      </c>
      <c r="S356" s="23">
        <f t="shared" si="4"/>
        <v>4.705882353</v>
      </c>
      <c r="T356" s="24">
        <f t="shared" si="5"/>
        <v>0.1111111111</v>
      </c>
      <c r="U356" s="26">
        <f t="shared" si="6"/>
        <v>0.7452229299</v>
      </c>
      <c r="V356" s="26">
        <f t="shared" si="7"/>
        <v>0.02547770701</v>
      </c>
      <c r="W356" s="19">
        <f t="shared" si="8"/>
        <v>2.375</v>
      </c>
      <c r="X356" s="20">
        <f t="shared" si="9"/>
        <v>160</v>
      </c>
      <c r="Y356" s="27"/>
      <c r="Z356" s="17"/>
      <c r="AA356" s="28"/>
      <c r="AB356" s="17"/>
      <c r="AC356" s="28"/>
      <c r="AD356" s="27"/>
    </row>
    <row r="357" ht="15.75" customHeight="1">
      <c r="A357" s="27" t="s">
        <v>1297</v>
      </c>
      <c r="B357" s="27" t="s">
        <v>1298</v>
      </c>
      <c r="C357" s="16" t="s">
        <v>1299</v>
      </c>
      <c r="D357" s="17" t="s">
        <v>119</v>
      </c>
      <c r="E357" s="18" t="s">
        <v>34</v>
      </c>
      <c r="F357" s="18">
        <v>1.0</v>
      </c>
      <c r="G357" s="19">
        <f t="shared" si="1"/>
        <v>2.257535406</v>
      </c>
      <c r="H357" s="17">
        <v>64.0</v>
      </c>
      <c r="I357" s="10">
        <v>300.0</v>
      </c>
      <c r="J357" s="17">
        <v>15.0</v>
      </c>
      <c r="K357" s="17">
        <v>790.0</v>
      </c>
      <c r="L357" s="17"/>
      <c r="M357" s="20">
        <v>36.0</v>
      </c>
      <c r="N357" s="20">
        <v>2.0</v>
      </c>
      <c r="O357" s="20">
        <v>1.0</v>
      </c>
      <c r="P357" s="20">
        <f t="shared" si="2"/>
        <v>33</v>
      </c>
      <c r="Q357" s="21">
        <v>6.0</v>
      </c>
      <c r="R357" s="22">
        <f t="shared" si="3"/>
        <v>132.8882813</v>
      </c>
      <c r="S357" s="23">
        <f t="shared" si="4"/>
        <v>4.6875</v>
      </c>
      <c r="T357" s="24">
        <f t="shared" si="5"/>
        <v>6</v>
      </c>
      <c r="U357" s="26">
        <f t="shared" si="6"/>
        <v>0.4455445545</v>
      </c>
      <c r="V357" s="26">
        <f t="shared" si="7"/>
        <v>0.01320132013</v>
      </c>
      <c r="W357" s="19">
        <f t="shared" si="8"/>
        <v>2.633333333</v>
      </c>
      <c r="X357" s="20">
        <f t="shared" si="9"/>
        <v>300</v>
      </c>
      <c r="Y357" s="27"/>
      <c r="Z357" s="17"/>
      <c r="AA357" s="28"/>
      <c r="AB357" s="17"/>
      <c r="AC357" s="28"/>
      <c r="AD357" s="16"/>
    </row>
    <row r="358" ht="15.75" customHeight="1">
      <c r="A358" s="27" t="s">
        <v>453</v>
      </c>
      <c r="B358" s="27" t="s">
        <v>1305</v>
      </c>
      <c r="C358" s="16" t="s">
        <v>1306</v>
      </c>
      <c r="D358" s="17" t="s">
        <v>456</v>
      </c>
      <c r="E358" s="18" t="s">
        <v>34</v>
      </c>
      <c r="F358" s="18">
        <v>1.0</v>
      </c>
      <c r="G358" s="19">
        <f t="shared" si="1"/>
        <v>1.058219722</v>
      </c>
      <c r="H358" s="17">
        <v>30.0</v>
      </c>
      <c r="I358" s="10">
        <v>140.0</v>
      </c>
      <c r="J358" s="17">
        <v>6.0</v>
      </c>
      <c r="K358" s="17">
        <v>90.0</v>
      </c>
      <c r="L358" s="17"/>
      <c r="M358" s="20">
        <v>21.0</v>
      </c>
      <c r="N358" s="20">
        <v>1.0</v>
      </c>
      <c r="O358" s="20">
        <v>10.0</v>
      </c>
      <c r="P358" s="20">
        <f t="shared" si="2"/>
        <v>10</v>
      </c>
      <c r="Q358" s="21">
        <v>1.0</v>
      </c>
      <c r="R358" s="22">
        <f t="shared" si="3"/>
        <v>132.2976667</v>
      </c>
      <c r="S358" s="23">
        <f t="shared" si="4"/>
        <v>4.666666667</v>
      </c>
      <c r="T358" s="24">
        <f t="shared" si="5"/>
        <v>21</v>
      </c>
      <c r="U358" s="26">
        <f t="shared" si="6"/>
        <v>0.3802816901</v>
      </c>
      <c r="V358" s="26">
        <f t="shared" si="7"/>
        <v>0.2816901408</v>
      </c>
      <c r="W358" s="19">
        <f t="shared" si="8"/>
        <v>0.6428571429</v>
      </c>
      <c r="X358" s="20">
        <f t="shared" si="9"/>
        <v>140</v>
      </c>
      <c r="Y358" s="27"/>
      <c r="Z358" s="17"/>
      <c r="AA358" s="28"/>
      <c r="AB358" s="17"/>
      <c r="AC358" s="28"/>
      <c r="AD358" s="27"/>
    </row>
    <row r="359" ht="15.75" customHeight="1">
      <c r="A359" s="27" t="s">
        <v>453</v>
      </c>
      <c r="B359" s="27" t="s">
        <v>1308</v>
      </c>
      <c r="C359" s="16" t="s">
        <v>1309</v>
      </c>
      <c r="D359" s="17" t="s">
        <v>456</v>
      </c>
      <c r="E359" s="18" t="s">
        <v>34</v>
      </c>
      <c r="F359" s="18">
        <v>1.0</v>
      </c>
      <c r="G359" s="19">
        <f t="shared" si="1"/>
        <v>1.058219722</v>
      </c>
      <c r="H359" s="17">
        <v>30.0</v>
      </c>
      <c r="I359" s="10">
        <v>140.0</v>
      </c>
      <c r="J359" s="17">
        <v>6.0</v>
      </c>
      <c r="K359" s="17">
        <v>150.0</v>
      </c>
      <c r="L359" s="17"/>
      <c r="M359" s="20">
        <v>21.0</v>
      </c>
      <c r="N359" s="20">
        <v>1.0</v>
      </c>
      <c r="O359" s="20">
        <v>10.0</v>
      </c>
      <c r="P359" s="20">
        <f t="shared" si="2"/>
        <v>10</v>
      </c>
      <c r="Q359" s="21">
        <v>1.0</v>
      </c>
      <c r="R359" s="22">
        <f t="shared" si="3"/>
        <v>132.2976667</v>
      </c>
      <c r="S359" s="23">
        <f t="shared" si="4"/>
        <v>4.666666667</v>
      </c>
      <c r="T359" s="24">
        <f t="shared" si="5"/>
        <v>21</v>
      </c>
      <c r="U359" s="26">
        <f t="shared" si="6"/>
        <v>0.3802816901</v>
      </c>
      <c r="V359" s="26">
        <f t="shared" si="7"/>
        <v>0.2816901408</v>
      </c>
      <c r="W359" s="19">
        <f t="shared" si="8"/>
        <v>1.071428571</v>
      </c>
      <c r="X359" s="20">
        <f t="shared" si="9"/>
        <v>140</v>
      </c>
      <c r="Y359" s="27"/>
      <c r="Z359" s="17"/>
      <c r="AA359" s="28"/>
      <c r="AB359" s="17"/>
      <c r="AC359" s="28"/>
      <c r="AD359" s="16"/>
    </row>
    <row r="360" ht="15.75" customHeight="1">
      <c r="A360" s="27" t="s">
        <v>435</v>
      </c>
      <c r="B360" s="27" t="s">
        <v>1097</v>
      </c>
      <c r="C360" s="16" t="s">
        <v>1312</v>
      </c>
      <c r="D360" s="17" t="s">
        <v>130</v>
      </c>
      <c r="E360" s="18" t="s">
        <v>34</v>
      </c>
      <c r="F360" s="18">
        <v>1.0</v>
      </c>
      <c r="G360" s="19">
        <f t="shared" si="1"/>
        <v>1.587329583</v>
      </c>
      <c r="H360" s="17">
        <v>45.0</v>
      </c>
      <c r="I360" s="10">
        <v>210.0</v>
      </c>
      <c r="J360" s="17">
        <v>8.0</v>
      </c>
      <c r="K360" s="17">
        <v>30.0</v>
      </c>
      <c r="L360" s="17"/>
      <c r="M360" s="20">
        <v>32.0</v>
      </c>
      <c r="N360" s="20">
        <v>1.0</v>
      </c>
      <c r="O360" s="20">
        <v>29.0</v>
      </c>
      <c r="P360" s="20">
        <f t="shared" si="2"/>
        <v>2</v>
      </c>
      <c r="Q360" s="21">
        <v>2.0</v>
      </c>
      <c r="R360" s="22">
        <f t="shared" si="3"/>
        <v>132.2976667</v>
      </c>
      <c r="S360" s="23">
        <f t="shared" si="4"/>
        <v>4.666666667</v>
      </c>
      <c r="T360" s="24">
        <f t="shared" si="5"/>
        <v>16</v>
      </c>
      <c r="U360" s="26">
        <f t="shared" si="6"/>
        <v>0.3461538462</v>
      </c>
      <c r="V360" s="26">
        <f t="shared" si="7"/>
        <v>0.5576923077</v>
      </c>
      <c r="W360" s="19">
        <f t="shared" si="8"/>
        <v>0.1428571429</v>
      </c>
      <c r="X360" s="20">
        <f t="shared" si="9"/>
        <v>210</v>
      </c>
      <c r="Y360" s="27"/>
      <c r="Z360" s="17"/>
      <c r="AA360" s="28"/>
      <c r="AB360" s="17"/>
      <c r="AC360" s="28"/>
      <c r="AD360" s="16"/>
    </row>
    <row r="361" ht="15.75" customHeight="1">
      <c r="A361" s="27" t="s">
        <v>139</v>
      </c>
      <c r="B361" s="27" t="s">
        <v>1314</v>
      </c>
      <c r="C361" s="16" t="s">
        <v>1316</v>
      </c>
      <c r="D361" s="17" t="s">
        <v>203</v>
      </c>
      <c r="E361" s="18" t="s">
        <v>34</v>
      </c>
      <c r="F361" s="18">
        <v>1.0</v>
      </c>
      <c r="G361" s="19">
        <f t="shared" si="1"/>
        <v>1.058219722</v>
      </c>
      <c r="H361" s="17">
        <v>30.0</v>
      </c>
      <c r="I361" s="10">
        <v>140.0</v>
      </c>
      <c r="J361" s="17">
        <v>6.0</v>
      </c>
      <c r="K361" s="17">
        <v>50.0</v>
      </c>
      <c r="L361" s="17"/>
      <c r="M361" s="20">
        <v>18.0</v>
      </c>
      <c r="N361" s="20">
        <v>2.0</v>
      </c>
      <c r="O361" s="20">
        <v>13.0</v>
      </c>
      <c r="P361" s="20">
        <f t="shared" si="2"/>
        <v>3</v>
      </c>
      <c r="Q361" s="21">
        <v>2.0</v>
      </c>
      <c r="R361" s="22">
        <f t="shared" si="3"/>
        <v>132.2976667</v>
      </c>
      <c r="S361" s="23">
        <f t="shared" si="4"/>
        <v>4.666666667</v>
      </c>
      <c r="T361" s="24">
        <f t="shared" si="5"/>
        <v>9</v>
      </c>
      <c r="U361" s="26">
        <f t="shared" si="6"/>
        <v>0.4029850746</v>
      </c>
      <c r="V361" s="26">
        <f t="shared" si="7"/>
        <v>0.3880597015</v>
      </c>
      <c r="W361" s="19">
        <f t="shared" si="8"/>
        <v>0.3571428571</v>
      </c>
      <c r="X361" s="20">
        <f t="shared" si="9"/>
        <v>140</v>
      </c>
      <c r="Y361" s="27"/>
      <c r="Z361" s="17"/>
      <c r="AA361" s="28"/>
      <c r="AB361" s="17"/>
      <c r="AC361" s="28"/>
      <c r="AD361" s="27"/>
    </row>
    <row r="362" ht="15.75" customHeight="1">
      <c r="A362" s="27" t="s">
        <v>1181</v>
      </c>
      <c r="B362" s="27" t="s">
        <v>1318</v>
      </c>
      <c r="C362" s="16" t="s">
        <v>1319</v>
      </c>
      <c r="D362" s="17" t="s">
        <v>212</v>
      </c>
      <c r="E362" s="18" t="s">
        <v>34</v>
      </c>
      <c r="F362" s="18">
        <v>1.0</v>
      </c>
      <c r="G362" s="19">
        <f t="shared" si="1"/>
        <v>1.587329583</v>
      </c>
      <c r="H362" s="17">
        <v>45.0</v>
      </c>
      <c r="I362" s="10">
        <v>210.0</v>
      </c>
      <c r="J362" s="17">
        <v>11.0</v>
      </c>
      <c r="K362" s="17">
        <v>55.0</v>
      </c>
      <c r="L362" s="17">
        <v>260.0</v>
      </c>
      <c r="M362" s="20">
        <v>25.0</v>
      </c>
      <c r="N362" s="20">
        <v>2.0</v>
      </c>
      <c r="O362" s="20">
        <v>15.0</v>
      </c>
      <c r="P362" s="20">
        <f t="shared" si="2"/>
        <v>8</v>
      </c>
      <c r="Q362" s="21">
        <v>3.0</v>
      </c>
      <c r="R362" s="22">
        <f t="shared" si="3"/>
        <v>132.2976667</v>
      </c>
      <c r="S362" s="23">
        <f t="shared" si="4"/>
        <v>4.666666667</v>
      </c>
      <c r="T362" s="24">
        <f t="shared" si="5"/>
        <v>8.333333333</v>
      </c>
      <c r="U362" s="26">
        <f t="shared" si="6"/>
        <v>0.4691943128</v>
      </c>
      <c r="V362" s="26">
        <f t="shared" si="7"/>
        <v>0.2843601896</v>
      </c>
      <c r="W362" s="19">
        <f t="shared" si="8"/>
        <v>0.2619047619</v>
      </c>
      <c r="X362" s="20">
        <f t="shared" si="9"/>
        <v>210</v>
      </c>
      <c r="Y362" s="27"/>
      <c r="Z362" s="17"/>
      <c r="AA362" s="17"/>
      <c r="AB362" s="17"/>
      <c r="AC362" s="17"/>
      <c r="AD362" s="27"/>
    </row>
    <row r="363" ht="15.75" customHeight="1">
      <c r="A363" s="16" t="s">
        <v>1322</v>
      </c>
      <c r="B363" s="16" t="s">
        <v>505</v>
      </c>
      <c r="C363" s="16" t="s">
        <v>1323</v>
      </c>
      <c r="D363" s="17" t="s">
        <v>507</v>
      </c>
      <c r="E363" s="18" t="s">
        <v>34</v>
      </c>
      <c r="F363" s="18">
        <v>1.0</v>
      </c>
      <c r="G363" s="19">
        <f t="shared" si="1"/>
        <v>6.34931833</v>
      </c>
      <c r="H363" s="17">
        <v>180.0</v>
      </c>
      <c r="I363" s="10">
        <v>840.0</v>
      </c>
      <c r="J363" s="17">
        <v>29.0</v>
      </c>
      <c r="K363" s="17">
        <v>180.0</v>
      </c>
      <c r="L363" s="17"/>
      <c r="M363" s="20">
        <v>130.0</v>
      </c>
      <c r="N363" s="20">
        <v>3.0</v>
      </c>
      <c r="O363" s="20">
        <v>81.0</v>
      </c>
      <c r="P363" s="20">
        <f t="shared" si="2"/>
        <v>46</v>
      </c>
      <c r="Q363" s="21">
        <v>18.0</v>
      </c>
      <c r="R363" s="22">
        <f t="shared" si="3"/>
        <v>132.2976667</v>
      </c>
      <c r="S363" s="23">
        <f t="shared" si="4"/>
        <v>4.666666667</v>
      </c>
      <c r="T363" s="24">
        <f t="shared" si="5"/>
        <v>7.222222222</v>
      </c>
      <c r="U363" s="26">
        <f t="shared" si="6"/>
        <v>0.305978898</v>
      </c>
      <c r="V363" s="26">
        <f t="shared" si="7"/>
        <v>0.3798358734</v>
      </c>
      <c r="W363" s="19">
        <f t="shared" si="8"/>
        <v>0.2142857143</v>
      </c>
      <c r="X363" s="20">
        <f t="shared" si="9"/>
        <v>840</v>
      </c>
      <c r="Y363" s="27"/>
      <c r="Z363" s="17"/>
      <c r="AA363" s="28"/>
      <c r="AB363" s="17"/>
      <c r="AC363" s="28"/>
      <c r="AD363" s="27"/>
    </row>
    <row r="364" ht="15.75" customHeight="1">
      <c r="A364" s="27" t="s">
        <v>1259</v>
      </c>
      <c r="B364" s="27" t="s">
        <v>1327</v>
      </c>
      <c r="C364" s="16" t="s">
        <v>1328</v>
      </c>
      <c r="D364" s="17" t="s">
        <v>563</v>
      </c>
      <c r="E364" s="18" t="s">
        <v>34</v>
      </c>
      <c r="F364" s="18">
        <v>1.0</v>
      </c>
      <c r="G364" s="19">
        <f t="shared" si="1"/>
        <v>1.058219722</v>
      </c>
      <c r="H364" s="17">
        <v>30.0</v>
      </c>
      <c r="I364" s="10">
        <v>140.0</v>
      </c>
      <c r="J364" s="17">
        <v>4.5</v>
      </c>
      <c r="K364" s="17">
        <v>65.0</v>
      </c>
      <c r="L364" s="17"/>
      <c r="M364" s="20">
        <v>21.0</v>
      </c>
      <c r="N364" s="20">
        <v>2.0</v>
      </c>
      <c r="O364" s="20">
        <v>7.0</v>
      </c>
      <c r="P364" s="20">
        <f t="shared" si="2"/>
        <v>12</v>
      </c>
      <c r="Q364" s="21">
        <v>3.0</v>
      </c>
      <c r="R364" s="22">
        <f t="shared" si="3"/>
        <v>132.2976667</v>
      </c>
      <c r="S364" s="23">
        <f t="shared" si="4"/>
        <v>4.666666667</v>
      </c>
      <c r="T364" s="24">
        <f t="shared" si="5"/>
        <v>7</v>
      </c>
      <c r="U364" s="26">
        <f t="shared" si="6"/>
        <v>0.2967032967</v>
      </c>
      <c r="V364" s="26">
        <f t="shared" si="7"/>
        <v>0.2051282051</v>
      </c>
      <c r="W364" s="19">
        <f t="shared" si="8"/>
        <v>0.4642857143</v>
      </c>
      <c r="X364" s="20">
        <f t="shared" si="9"/>
        <v>140</v>
      </c>
      <c r="Y364" s="27"/>
      <c r="Z364" s="17"/>
      <c r="AA364" s="28"/>
      <c r="AB364" s="17"/>
      <c r="AC364" s="28"/>
      <c r="AD364" s="27"/>
    </row>
    <row r="365" ht="15.75" customHeight="1">
      <c r="A365" s="27" t="s">
        <v>1059</v>
      </c>
      <c r="B365" s="27" t="s">
        <v>1331</v>
      </c>
      <c r="C365" s="16" t="s">
        <v>1332</v>
      </c>
      <c r="D365" s="17" t="s">
        <v>282</v>
      </c>
      <c r="E365" s="18" t="s">
        <v>34</v>
      </c>
      <c r="F365" s="18">
        <v>1.0</v>
      </c>
      <c r="G365" s="19">
        <f t="shared" si="1"/>
        <v>1.058219722</v>
      </c>
      <c r="H365" s="17">
        <v>30.0</v>
      </c>
      <c r="I365" s="10">
        <v>140.0</v>
      </c>
      <c r="J365" s="17">
        <v>5.0</v>
      </c>
      <c r="K365" s="17">
        <v>250.0</v>
      </c>
      <c r="L365" s="17"/>
      <c r="M365" s="20">
        <v>20.0</v>
      </c>
      <c r="N365" s="20">
        <v>1.0</v>
      </c>
      <c r="O365" s="20">
        <v>0.0</v>
      </c>
      <c r="P365" s="20">
        <f t="shared" si="2"/>
        <v>19</v>
      </c>
      <c r="Q365" s="21">
        <v>3.0</v>
      </c>
      <c r="R365" s="22">
        <f t="shared" si="3"/>
        <v>132.2976667</v>
      </c>
      <c r="S365" s="23">
        <f t="shared" si="4"/>
        <v>4.666666667</v>
      </c>
      <c r="T365" s="24">
        <f t="shared" si="5"/>
        <v>6.666666667</v>
      </c>
      <c r="U365" s="26">
        <f t="shared" si="6"/>
        <v>0.3284671533</v>
      </c>
      <c r="V365" s="26" t="str">
        <f t="shared" si="7"/>
        <v>0%</v>
      </c>
      <c r="W365" s="19">
        <f t="shared" si="8"/>
        <v>1.785714286</v>
      </c>
      <c r="X365" s="20">
        <f t="shared" si="9"/>
        <v>140</v>
      </c>
      <c r="Y365" s="27"/>
      <c r="Z365" s="17"/>
      <c r="AA365" s="28"/>
      <c r="AB365" s="17"/>
      <c r="AC365" s="28"/>
      <c r="AD365" s="27"/>
    </row>
    <row r="366" ht="15.75" customHeight="1">
      <c r="A366" s="16" t="s">
        <v>139</v>
      </c>
      <c r="B366" s="16" t="s">
        <v>1335</v>
      </c>
      <c r="C366" s="16" t="s">
        <v>1336</v>
      </c>
      <c r="D366" s="17" t="s">
        <v>203</v>
      </c>
      <c r="E366" s="18" t="s">
        <v>34</v>
      </c>
      <c r="F366" s="18">
        <v>1.0</v>
      </c>
      <c r="G366" s="19">
        <f t="shared" si="1"/>
        <v>1.058219722</v>
      </c>
      <c r="H366" s="17">
        <v>30.0</v>
      </c>
      <c r="I366" s="10">
        <v>140.0</v>
      </c>
      <c r="J366" s="17">
        <v>7.0</v>
      </c>
      <c r="K366" s="17">
        <v>40.0</v>
      </c>
      <c r="L366" s="17"/>
      <c r="M366" s="20">
        <v>18.0</v>
      </c>
      <c r="N366" s="20">
        <v>2.0</v>
      </c>
      <c r="O366" s="20">
        <v>14.0</v>
      </c>
      <c r="P366" s="20">
        <f t="shared" si="2"/>
        <v>2</v>
      </c>
      <c r="Q366" s="21">
        <v>3.0</v>
      </c>
      <c r="R366" s="22">
        <f t="shared" si="3"/>
        <v>132.2976667</v>
      </c>
      <c r="S366" s="23">
        <f t="shared" si="4"/>
        <v>4.666666667</v>
      </c>
      <c r="T366" s="24">
        <f t="shared" si="5"/>
        <v>6</v>
      </c>
      <c r="U366" s="26">
        <f t="shared" si="6"/>
        <v>0.4285714286</v>
      </c>
      <c r="V366" s="26">
        <f t="shared" si="7"/>
        <v>0.380952381</v>
      </c>
      <c r="W366" s="19">
        <f t="shared" si="8"/>
        <v>0.2857142857</v>
      </c>
      <c r="X366" s="20">
        <f t="shared" si="9"/>
        <v>140</v>
      </c>
      <c r="Y366" s="16"/>
      <c r="Z366" s="17"/>
      <c r="AA366" s="28"/>
      <c r="AB366" s="17"/>
      <c r="AC366" s="28"/>
      <c r="AD366" s="16"/>
    </row>
    <row r="367" ht="15.75" customHeight="1">
      <c r="A367" s="27" t="s">
        <v>1181</v>
      </c>
      <c r="B367" s="27" t="s">
        <v>1337</v>
      </c>
      <c r="C367" s="16" t="s">
        <v>1338</v>
      </c>
      <c r="D367" s="17" t="s">
        <v>212</v>
      </c>
      <c r="E367" s="18" t="s">
        <v>34</v>
      </c>
      <c r="F367" s="18">
        <v>1.0</v>
      </c>
      <c r="G367" s="19">
        <f t="shared" si="1"/>
        <v>1.587329583</v>
      </c>
      <c r="H367" s="17">
        <v>45.0</v>
      </c>
      <c r="I367" s="10">
        <v>210.0</v>
      </c>
      <c r="J367" s="17">
        <v>11.0</v>
      </c>
      <c r="K367" s="17">
        <v>0.0</v>
      </c>
      <c r="L367" s="17">
        <v>300.0</v>
      </c>
      <c r="M367" s="20">
        <v>23.0</v>
      </c>
      <c r="N367" s="20">
        <v>4.0</v>
      </c>
      <c r="O367" s="20">
        <v>16.0</v>
      </c>
      <c r="P367" s="20">
        <f t="shared" si="2"/>
        <v>3</v>
      </c>
      <c r="Q367" s="21">
        <v>4.0</v>
      </c>
      <c r="R367" s="22">
        <f t="shared" si="3"/>
        <v>132.2976667</v>
      </c>
      <c r="S367" s="23">
        <f t="shared" si="4"/>
        <v>4.666666667</v>
      </c>
      <c r="T367" s="24">
        <f t="shared" si="5"/>
        <v>5.75</v>
      </c>
      <c r="U367" s="26">
        <f t="shared" si="6"/>
        <v>0.4782608696</v>
      </c>
      <c r="V367" s="26">
        <f t="shared" si="7"/>
        <v>0.309178744</v>
      </c>
      <c r="W367" s="19">
        <f t="shared" si="8"/>
        <v>0</v>
      </c>
      <c r="X367" s="20">
        <f t="shared" si="9"/>
        <v>210</v>
      </c>
      <c r="Y367" s="27"/>
      <c r="Z367" s="17"/>
      <c r="AA367" s="17"/>
      <c r="AB367" s="17"/>
      <c r="AC367" s="17"/>
      <c r="AD367" s="27"/>
    </row>
    <row r="368" ht="15.75" customHeight="1">
      <c r="A368" s="27" t="s">
        <v>139</v>
      </c>
      <c r="B368" s="27" t="s">
        <v>1339</v>
      </c>
      <c r="C368" s="16" t="s">
        <v>1340</v>
      </c>
      <c r="D368" s="17" t="s">
        <v>203</v>
      </c>
      <c r="E368" s="18" t="s">
        <v>34</v>
      </c>
      <c r="F368" s="18">
        <v>1.0</v>
      </c>
      <c r="G368" s="19">
        <f t="shared" si="1"/>
        <v>1.058219722</v>
      </c>
      <c r="H368" s="17">
        <v>30.0</v>
      </c>
      <c r="I368" s="10">
        <v>140.0</v>
      </c>
      <c r="J368" s="17">
        <v>8.0</v>
      </c>
      <c r="K368" s="17">
        <v>10.0</v>
      </c>
      <c r="L368" s="17"/>
      <c r="M368" s="20">
        <v>15.0</v>
      </c>
      <c r="N368" s="20">
        <v>2.0</v>
      </c>
      <c r="O368" s="20">
        <v>9.0</v>
      </c>
      <c r="P368" s="20">
        <f t="shared" si="2"/>
        <v>4</v>
      </c>
      <c r="Q368" s="21">
        <v>3.0</v>
      </c>
      <c r="R368" s="22">
        <f t="shared" si="3"/>
        <v>132.2976667</v>
      </c>
      <c r="S368" s="23">
        <f t="shared" si="4"/>
        <v>4.666666667</v>
      </c>
      <c r="T368" s="24">
        <f t="shared" si="5"/>
        <v>5</v>
      </c>
      <c r="U368" s="26">
        <f t="shared" si="6"/>
        <v>0.5</v>
      </c>
      <c r="V368" s="26">
        <f t="shared" si="7"/>
        <v>0.25</v>
      </c>
      <c r="W368" s="19">
        <f t="shared" si="8"/>
        <v>0.07142857143</v>
      </c>
      <c r="X368" s="20">
        <f t="shared" si="9"/>
        <v>140</v>
      </c>
      <c r="Y368" s="27"/>
      <c r="Z368" s="17"/>
      <c r="AA368" s="28"/>
      <c r="AB368" s="17"/>
      <c r="AC368" s="28"/>
      <c r="AD368" s="27"/>
    </row>
    <row r="369" ht="15.75" customHeight="1">
      <c r="A369" s="27" t="s">
        <v>1181</v>
      </c>
      <c r="B369" s="27" t="s">
        <v>1288</v>
      </c>
      <c r="C369" s="16" t="s">
        <v>1341</v>
      </c>
      <c r="D369" s="17" t="s">
        <v>212</v>
      </c>
      <c r="E369" s="18" t="s">
        <v>34</v>
      </c>
      <c r="F369" s="18">
        <v>1.0</v>
      </c>
      <c r="G369" s="19">
        <f t="shared" si="1"/>
        <v>1.587329583</v>
      </c>
      <c r="H369" s="17">
        <v>45.0</v>
      </c>
      <c r="I369" s="10">
        <v>210.0</v>
      </c>
      <c r="J369" s="17">
        <v>12.0</v>
      </c>
      <c r="K369" s="17">
        <v>65.0</v>
      </c>
      <c r="L369" s="17">
        <v>280.0</v>
      </c>
      <c r="M369" s="20">
        <v>23.0</v>
      </c>
      <c r="N369" s="20">
        <v>3.0</v>
      </c>
      <c r="O369" s="20">
        <v>17.0</v>
      </c>
      <c r="P369" s="20">
        <f t="shared" si="2"/>
        <v>3</v>
      </c>
      <c r="Q369" s="21">
        <v>5.0</v>
      </c>
      <c r="R369" s="22">
        <f t="shared" si="3"/>
        <v>132.2976667</v>
      </c>
      <c r="S369" s="23">
        <f t="shared" si="4"/>
        <v>4.666666667</v>
      </c>
      <c r="T369" s="24">
        <f t="shared" si="5"/>
        <v>4.6</v>
      </c>
      <c r="U369" s="26">
        <f t="shared" si="6"/>
        <v>0.4909090909</v>
      </c>
      <c r="V369" s="26">
        <f t="shared" si="7"/>
        <v>0.3090909091</v>
      </c>
      <c r="W369" s="19">
        <f t="shared" si="8"/>
        <v>0.3095238095</v>
      </c>
      <c r="X369" s="20">
        <f t="shared" si="9"/>
        <v>210</v>
      </c>
      <c r="Y369" s="27"/>
      <c r="Z369" s="17"/>
      <c r="AA369" s="17"/>
      <c r="AB369" s="17"/>
      <c r="AC369" s="17"/>
      <c r="AD369" s="27"/>
    </row>
    <row r="370" ht="15.75" customHeight="1">
      <c r="A370" s="27" t="s">
        <v>139</v>
      </c>
      <c r="B370" s="27" t="s">
        <v>1342</v>
      </c>
      <c r="C370" s="16" t="s">
        <v>1343</v>
      </c>
      <c r="D370" s="17" t="s">
        <v>203</v>
      </c>
      <c r="E370" s="18" t="s">
        <v>34</v>
      </c>
      <c r="F370" s="18">
        <v>1.0</v>
      </c>
      <c r="G370" s="19">
        <f t="shared" si="1"/>
        <v>1.058219722</v>
      </c>
      <c r="H370" s="17">
        <v>30.0</v>
      </c>
      <c r="I370" s="10">
        <v>140.0</v>
      </c>
      <c r="J370" s="17">
        <v>7.0</v>
      </c>
      <c r="K370" s="17">
        <v>150.0</v>
      </c>
      <c r="L370" s="17"/>
      <c r="M370" s="20">
        <v>16.0</v>
      </c>
      <c r="N370" s="20">
        <v>2.0</v>
      </c>
      <c r="O370" s="20">
        <v>9.0</v>
      </c>
      <c r="P370" s="20">
        <f t="shared" si="2"/>
        <v>5</v>
      </c>
      <c r="Q370" s="21">
        <v>4.0</v>
      </c>
      <c r="R370" s="22">
        <f t="shared" si="3"/>
        <v>132.2976667</v>
      </c>
      <c r="S370" s="23">
        <f t="shared" si="4"/>
        <v>4.666666667</v>
      </c>
      <c r="T370" s="24">
        <f t="shared" si="5"/>
        <v>4</v>
      </c>
      <c r="U370" s="26">
        <f t="shared" si="6"/>
        <v>0.4405594406</v>
      </c>
      <c r="V370" s="26">
        <f t="shared" si="7"/>
        <v>0.2517482517</v>
      </c>
      <c r="W370" s="19">
        <f t="shared" si="8"/>
        <v>1.071428571</v>
      </c>
      <c r="X370" s="20">
        <f t="shared" si="9"/>
        <v>140</v>
      </c>
      <c r="Y370" s="27"/>
      <c r="Z370" s="17"/>
      <c r="AA370" s="28"/>
      <c r="AB370" s="17"/>
      <c r="AC370" s="28"/>
      <c r="AD370" s="27"/>
    </row>
    <row r="371" ht="15.75" customHeight="1">
      <c r="A371" s="27" t="s">
        <v>139</v>
      </c>
      <c r="B371" s="27" t="s">
        <v>1344</v>
      </c>
      <c r="C371" s="16" t="s">
        <v>1345</v>
      </c>
      <c r="D371" s="17" t="s">
        <v>203</v>
      </c>
      <c r="E371" s="18" t="s">
        <v>34</v>
      </c>
      <c r="F371" s="18">
        <v>1.0</v>
      </c>
      <c r="G371" s="19">
        <f t="shared" si="1"/>
        <v>1.058219722</v>
      </c>
      <c r="H371" s="17">
        <v>30.0</v>
      </c>
      <c r="I371" s="10">
        <v>140.0</v>
      </c>
      <c r="J371" s="17">
        <v>9.0</v>
      </c>
      <c r="K371" s="17">
        <v>15.0</v>
      </c>
      <c r="L371" s="17"/>
      <c r="M371" s="20">
        <v>13.0</v>
      </c>
      <c r="N371" s="20">
        <v>2.0</v>
      </c>
      <c r="O371" s="20">
        <v>8.0</v>
      </c>
      <c r="P371" s="20">
        <f t="shared" si="2"/>
        <v>3</v>
      </c>
      <c r="Q371" s="21">
        <v>4.0</v>
      </c>
      <c r="R371" s="22">
        <f t="shared" si="3"/>
        <v>132.2976667</v>
      </c>
      <c r="S371" s="23">
        <f t="shared" si="4"/>
        <v>4.666666667</v>
      </c>
      <c r="T371" s="24">
        <f t="shared" si="5"/>
        <v>3.25</v>
      </c>
      <c r="U371" s="26">
        <f t="shared" si="6"/>
        <v>0.5436241611</v>
      </c>
      <c r="V371" s="26">
        <f t="shared" si="7"/>
        <v>0.2147651007</v>
      </c>
      <c r="W371" s="19">
        <f t="shared" si="8"/>
        <v>0.1071428571</v>
      </c>
      <c r="X371" s="20">
        <f t="shared" si="9"/>
        <v>140</v>
      </c>
      <c r="Y371" s="27"/>
      <c r="Z371" s="17"/>
      <c r="AA371" s="17"/>
      <c r="AB371" s="17"/>
      <c r="AC371" s="17"/>
      <c r="AD371" s="27"/>
    </row>
    <row r="372" ht="15.75" customHeight="1">
      <c r="A372" s="16" t="s">
        <v>1346</v>
      </c>
      <c r="B372" s="16" t="s">
        <v>1167</v>
      </c>
      <c r="C372" s="16" t="s">
        <v>1347</v>
      </c>
      <c r="D372" s="17" t="s">
        <v>247</v>
      </c>
      <c r="E372" s="18" t="s">
        <v>34</v>
      </c>
      <c r="F372" s="18">
        <v>1.0</v>
      </c>
      <c r="G372" s="19">
        <f t="shared" si="1"/>
        <v>0.5291098608</v>
      </c>
      <c r="H372" s="17">
        <v>15.0</v>
      </c>
      <c r="I372" s="10">
        <v>70.0</v>
      </c>
      <c r="J372" s="17">
        <v>6.0</v>
      </c>
      <c r="K372" s="17">
        <v>290.0</v>
      </c>
      <c r="L372" s="17"/>
      <c r="M372" s="20">
        <v>0.0</v>
      </c>
      <c r="N372" s="20">
        <v>0.0</v>
      </c>
      <c r="O372" s="20">
        <v>0.0</v>
      </c>
      <c r="P372" s="20">
        <f t="shared" si="2"/>
        <v>0</v>
      </c>
      <c r="Q372" s="21">
        <v>5.0</v>
      </c>
      <c r="R372" s="22">
        <f t="shared" si="3"/>
        <v>132.2976667</v>
      </c>
      <c r="S372" s="23">
        <f t="shared" si="4"/>
        <v>4.666666667</v>
      </c>
      <c r="T372" s="24">
        <f t="shared" si="5"/>
        <v>0</v>
      </c>
      <c r="U372" s="26">
        <f t="shared" si="6"/>
        <v>0.7297297297</v>
      </c>
      <c r="V372" s="26" t="str">
        <f t="shared" si="7"/>
        <v>0%</v>
      </c>
      <c r="W372" s="19">
        <f t="shared" si="8"/>
        <v>4.142857143</v>
      </c>
      <c r="X372" s="20">
        <f t="shared" si="9"/>
        <v>70</v>
      </c>
      <c r="Y372" s="27"/>
      <c r="Z372" s="17"/>
      <c r="AA372" s="17"/>
      <c r="AB372" s="17"/>
      <c r="AC372" s="17"/>
      <c r="AD372" s="27"/>
    </row>
    <row r="373" ht="15.75" customHeight="1">
      <c r="A373" s="27" t="s">
        <v>760</v>
      </c>
      <c r="B373" s="27" t="s">
        <v>1348</v>
      </c>
      <c r="C373" s="16" t="s">
        <v>1349</v>
      </c>
      <c r="D373" s="17" t="s">
        <v>212</v>
      </c>
      <c r="E373" s="18" t="s">
        <v>34</v>
      </c>
      <c r="F373" s="18">
        <v>1.0</v>
      </c>
      <c r="G373" s="19">
        <f t="shared" si="1"/>
        <v>1.516781601</v>
      </c>
      <c r="H373" s="17">
        <v>43.0</v>
      </c>
      <c r="I373" s="10">
        <v>200.0</v>
      </c>
      <c r="J373" s="17">
        <v>13.0</v>
      </c>
      <c r="K373" s="17">
        <v>25.0</v>
      </c>
      <c r="L373" s="17"/>
      <c r="M373" s="20">
        <v>18.0</v>
      </c>
      <c r="N373" s="20">
        <v>4.0</v>
      </c>
      <c r="O373" s="20">
        <v>8.0</v>
      </c>
      <c r="P373" s="20">
        <f t="shared" si="2"/>
        <v>6</v>
      </c>
      <c r="Q373" s="21">
        <v>6.0</v>
      </c>
      <c r="R373" s="22">
        <f t="shared" si="3"/>
        <v>131.8581395</v>
      </c>
      <c r="S373" s="23">
        <f t="shared" si="4"/>
        <v>4.651162791</v>
      </c>
      <c r="T373" s="24">
        <f t="shared" si="5"/>
        <v>3</v>
      </c>
      <c r="U373" s="26">
        <f t="shared" si="6"/>
        <v>0.5492957746</v>
      </c>
      <c r="V373" s="26">
        <f t="shared" si="7"/>
        <v>0.1502347418</v>
      </c>
      <c r="W373" s="19">
        <f t="shared" si="8"/>
        <v>0.125</v>
      </c>
      <c r="X373" s="20">
        <f t="shared" si="9"/>
        <v>200</v>
      </c>
      <c r="Y373" s="27"/>
      <c r="Z373" s="17"/>
      <c r="AA373" s="28"/>
      <c r="AB373" s="17"/>
      <c r="AC373" s="28"/>
      <c r="AD373" s="27"/>
    </row>
    <row r="374" ht="15.75" customHeight="1">
      <c r="A374" s="27" t="s">
        <v>1350</v>
      </c>
      <c r="B374" s="27" t="s">
        <v>1097</v>
      </c>
      <c r="C374" s="16" t="s">
        <v>1351</v>
      </c>
      <c r="D374" s="17" t="s">
        <v>282</v>
      </c>
      <c r="E374" s="18" t="s">
        <v>34</v>
      </c>
      <c r="F374" s="18">
        <v>1.0</v>
      </c>
      <c r="G374" s="19">
        <f t="shared" si="1"/>
        <v>0.9876717402</v>
      </c>
      <c r="H374" s="17">
        <v>28.0</v>
      </c>
      <c r="I374" s="10">
        <v>130.0</v>
      </c>
      <c r="J374" s="17">
        <v>4.5</v>
      </c>
      <c r="K374" s="17">
        <v>160.0</v>
      </c>
      <c r="L374" s="17">
        <v>75.0</v>
      </c>
      <c r="M374" s="20">
        <v>20.0</v>
      </c>
      <c r="N374" s="20">
        <v>1.0</v>
      </c>
      <c r="O374" s="20">
        <v>0.0</v>
      </c>
      <c r="P374" s="20">
        <f t="shared" si="2"/>
        <v>19</v>
      </c>
      <c r="Q374" s="21">
        <v>2.0</v>
      </c>
      <c r="R374" s="22">
        <f t="shared" si="3"/>
        <v>131.6226786</v>
      </c>
      <c r="S374" s="23">
        <f t="shared" si="4"/>
        <v>4.642857143</v>
      </c>
      <c r="T374" s="24">
        <f t="shared" si="5"/>
        <v>10</v>
      </c>
      <c r="U374" s="26">
        <f t="shared" si="6"/>
        <v>0.3151750973</v>
      </c>
      <c r="V374" s="26" t="str">
        <f t="shared" si="7"/>
        <v>0%</v>
      </c>
      <c r="W374" s="19">
        <f t="shared" si="8"/>
        <v>1.230769231</v>
      </c>
      <c r="X374" s="20">
        <f t="shared" si="9"/>
        <v>130</v>
      </c>
      <c r="Y374" s="27"/>
      <c r="Z374" s="17"/>
      <c r="AA374" s="28"/>
      <c r="AB374" s="17"/>
      <c r="AC374" s="28"/>
      <c r="AD374" s="27"/>
    </row>
    <row r="375" ht="15.75" customHeight="1">
      <c r="A375" s="27" t="s">
        <v>501</v>
      </c>
      <c r="B375" s="27" t="s">
        <v>1352</v>
      </c>
      <c r="C375" s="16" t="s">
        <v>1353</v>
      </c>
      <c r="D375" s="17" t="s">
        <v>130</v>
      </c>
      <c r="E375" s="18" t="s">
        <v>34</v>
      </c>
      <c r="F375" s="18">
        <v>1.0</v>
      </c>
      <c r="G375" s="19">
        <f t="shared" si="1"/>
        <v>1.97534348</v>
      </c>
      <c r="H375" s="17">
        <v>56.0</v>
      </c>
      <c r="I375" s="10">
        <v>260.0</v>
      </c>
      <c r="J375" s="17">
        <v>12.0</v>
      </c>
      <c r="K375" s="17">
        <v>115.0</v>
      </c>
      <c r="L375" s="17"/>
      <c r="M375" s="20">
        <v>38.0</v>
      </c>
      <c r="N375" s="20">
        <v>2.0</v>
      </c>
      <c r="O375" s="20">
        <v>29.0</v>
      </c>
      <c r="P375" s="20">
        <f t="shared" si="2"/>
        <v>7</v>
      </c>
      <c r="Q375" s="21">
        <v>4.0</v>
      </c>
      <c r="R375" s="22">
        <f t="shared" si="3"/>
        <v>131.6226786</v>
      </c>
      <c r="S375" s="23">
        <f t="shared" si="4"/>
        <v>4.642857143</v>
      </c>
      <c r="T375" s="24">
        <f t="shared" si="5"/>
        <v>9.5</v>
      </c>
      <c r="U375" s="26">
        <f t="shared" si="6"/>
        <v>0.3913043478</v>
      </c>
      <c r="V375" s="26">
        <f t="shared" si="7"/>
        <v>0.4202898551</v>
      </c>
      <c r="W375" s="19">
        <f t="shared" si="8"/>
        <v>0.4423076923</v>
      </c>
      <c r="X375" s="20">
        <f t="shared" si="9"/>
        <v>260</v>
      </c>
      <c r="Y375" s="27"/>
      <c r="Z375" s="17"/>
      <c r="AA375" s="28"/>
      <c r="AB375" s="17"/>
      <c r="AC375" s="28"/>
      <c r="AD375" s="27"/>
    </row>
    <row r="376" ht="15.75" customHeight="1">
      <c r="A376" s="27" t="s">
        <v>1354</v>
      </c>
      <c r="B376" s="27" t="s">
        <v>1355</v>
      </c>
      <c r="C376" s="16" t="s">
        <v>1356</v>
      </c>
      <c r="D376" s="17" t="s">
        <v>318</v>
      </c>
      <c r="E376" s="18" t="s">
        <v>34</v>
      </c>
      <c r="F376" s="18">
        <v>1.0</v>
      </c>
      <c r="G376" s="19">
        <f t="shared" si="1"/>
        <v>0.9876717402</v>
      </c>
      <c r="H376" s="17">
        <v>28.0</v>
      </c>
      <c r="I376" s="10">
        <v>130.0</v>
      </c>
      <c r="J376" s="17">
        <v>6.0</v>
      </c>
      <c r="K376" s="17">
        <v>105.0</v>
      </c>
      <c r="L376" s="17">
        <v>45.0</v>
      </c>
      <c r="M376" s="20">
        <v>19.0</v>
      </c>
      <c r="N376" s="20">
        <v>1.0</v>
      </c>
      <c r="O376" s="20">
        <v>8.0</v>
      </c>
      <c r="P376" s="20">
        <f t="shared" si="2"/>
        <v>10</v>
      </c>
      <c r="Q376" s="21">
        <v>2.0</v>
      </c>
      <c r="R376" s="22">
        <f t="shared" si="3"/>
        <v>131.6226786</v>
      </c>
      <c r="S376" s="23">
        <f t="shared" si="4"/>
        <v>4.642857143</v>
      </c>
      <c r="T376" s="24">
        <f t="shared" si="5"/>
        <v>9.5</v>
      </c>
      <c r="U376" s="26">
        <f t="shared" si="6"/>
        <v>0.3913043478</v>
      </c>
      <c r="V376" s="26">
        <f t="shared" si="7"/>
        <v>0.231884058</v>
      </c>
      <c r="W376" s="19">
        <f t="shared" si="8"/>
        <v>0.8076923077</v>
      </c>
      <c r="X376" s="20">
        <f t="shared" si="9"/>
        <v>130</v>
      </c>
      <c r="Y376" s="27"/>
      <c r="Z376" s="17"/>
      <c r="AA376" s="28"/>
      <c r="AB376" s="17"/>
      <c r="AC376" s="28"/>
      <c r="AD376" s="27"/>
    </row>
    <row r="377" ht="15.75" customHeight="1">
      <c r="A377" s="27" t="s">
        <v>438</v>
      </c>
      <c r="B377" s="27" t="s">
        <v>1357</v>
      </c>
      <c r="C377" s="16" t="s">
        <v>1358</v>
      </c>
      <c r="D377" s="17" t="s">
        <v>96</v>
      </c>
      <c r="E377" s="18" t="s">
        <v>34</v>
      </c>
      <c r="F377" s="18">
        <v>1.0</v>
      </c>
      <c r="G377" s="19">
        <f t="shared" si="1"/>
        <v>0.9876717402</v>
      </c>
      <c r="H377" s="17">
        <v>28.0</v>
      </c>
      <c r="I377" s="10">
        <v>130.0</v>
      </c>
      <c r="J377" s="17">
        <v>7.0</v>
      </c>
      <c r="K377" s="17">
        <v>180.0</v>
      </c>
      <c r="L377" s="17"/>
      <c r="M377" s="20">
        <v>15.0</v>
      </c>
      <c r="N377" s="20">
        <v>1.0</v>
      </c>
      <c r="O377" s="20">
        <v>8.0</v>
      </c>
      <c r="P377" s="20">
        <f t="shared" si="2"/>
        <v>6</v>
      </c>
      <c r="Q377" s="21">
        <v>3.0</v>
      </c>
      <c r="R377" s="22">
        <f t="shared" si="3"/>
        <v>131.6226786</v>
      </c>
      <c r="S377" s="23">
        <f t="shared" si="4"/>
        <v>4.642857143</v>
      </c>
      <c r="T377" s="24">
        <f t="shared" si="5"/>
        <v>5</v>
      </c>
      <c r="U377" s="26">
        <f t="shared" si="6"/>
        <v>0.4666666667</v>
      </c>
      <c r="V377" s="26">
        <f t="shared" si="7"/>
        <v>0.237037037</v>
      </c>
      <c r="W377" s="19">
        <f t="shared" si="8"/>
        <v>1.384615385</v>
      </c>
      <c r="X377" s="20">
        <f t="shared" si="9"/>
        <v>130</v>
      </c>
      <c r="Y377" s="27"/>
      <c r="Z377" s="17"/>
      <c r="AA377" s="28"/>
      <c r="AB377" s="17"/>
      <c r="AC377" s="28"/>
      <c r="AD377" s="27"/>
    </row>
    <row r="378" ht="15.75" customHeight="1">
      <c r="A378" s="27" t="s">
        <v>244</v>
      </c>
      <c r="B378" s="27" t="s">
        <v>1359</v>
      </c>
      <c r="C378" s="16" t="s">
        <v>1360</v>
      </c>
      <c r="D378" s="17" t="s">
        <v>203</v>
      </c>
      <c r="E378" s="18" t="s">
        <v>34</v>
      </c>
      <c r="F378" s="18">
        <v>1.0</v>
      </c>
      <c r="G378" s="19">
        <f t="shared" si="1"/>
        <v>0.9876717402</v>
      </c>
      <c r="H378" s="17">
        <v>28.0</v>
      </c>
      <c r="I378" s="10">
        <v>130.0</v>
      </c>
      <c r="J378" s="17">
        <v>8.0</v>
      </c>
      <c r="K378" s="17">
        <v>75.0</v>
      </c>
      <c r="L378" s="17"/>
      <c r="M378" s="20">
        <v>10.0</v>
      </c>
      <c r="N378" s="20">
        <v>2.0</v>
      </c>
      <c r="O378" s="20">
        <v>5.0</v>
      </c>
      <c r="P378" s="20">
        <f t="shared" si="2"/>
        <v>3</v>
      </c>
      <c r="Q378" s="21">
        <v>6.0</v>
      </c>
      <c r="R378" s="22">
        <f t="shared" si="3"/>
        <v>131.6226786</v>
      </c>
      <c r="S378" s="23">
        <f t="shared" si="4"/>
        <v>4.642857143</v>
      </c>
      <c r="T378" s="24">
        <f t="shared" si="5"/>
        <v>1.666666667</v>
      </c>
      <c r="U378" s="26">
        <f t="shared" si="6"/>
        <v>0.5294117647</v>
      </c>
      <c r="V378" s="26">
        <f t="shared" si="7"/>
        <v>0.1470588235</v>
      </c>
      <c r="W378" s="19">
        <f t="shared" si="8"/>
        <v>0.5769230769</v>
      </c>
      <c r="X378" s="20">
        <f t="shared" si="9"/>
        <v>130</v>
      </c>
      <c r="Y378" s="27"/>
      <c r="Z378" s="17"/>
      <c r="AA378" s="28"/>
      <c r="AB378" s="17"/>
      <c r="AC378" s="28"/>
      <c r="AD378" s="27"/>
    </row>
    <row r="379" ht="15.75" customHeight="1">
      <c r="A379" s="16" t="s">
        <v>244</v>
      </c>
      <c r="B379" s="16" t="s">
        <v>1361</v>
      </c>
      <c r="C379" s="16" t="s">
        <v>1362</v>
      </c>
      <c r="D379" s="17" t="s">
        <v>203</v>
      </c>
      <c r="E379" s="18" t="s">
        <v>34</v>
      </c>
      <c r="F379" s="18">
        <v>1.0</v>
      </c>
      <c r="G379" s="19">
        <f t="shared" si="1"/>
        <v>0.9876717402</v>
      </c>
      <c r="H379" s="17">
        <v>28.0</v>
      </c>
      <c r="I379" s="10">
        <v>130.0</v>
      </c>
      <c r="J379" s="17">
        <v>9.0</v>
      </c>
      <c r="K379" s="17">
        <v>55.0</v>
      </c>
      <c r="L379" s="17"/>
      <c r="M379" s="20">
        <v>9.0</v>
      </c>
      <c r="N379" s="20">
        <v>2.0</v>
      </c>
      <c r="O379" s="20">
        <v>7.0</v>
      </c>
      <c r="P379" s="20">
        <f t="shared" si="2"/>
        <v>0</v>
      </c>
      <c r="Q379" s="21">
        <v>6.0</v>
      </c>
      <c r="R379" s="22">
        <f t="shared" si="3"/>
        <v>131.6226786</v>
      </c>
      <c r="S379" s="23">
        <f t="shared" si="4"/>
        <v>4.642857143</v>
      </c>
      <c r="T379" s="24">
        <f t="shared" si="5"/>
        <v>1.5</v>
      </c>
      <c r="U379" s="26">
        <f t="shared" si="6"/>
        <v>0.5744680851</v>
      </c>
      <c r="V379" s="26">
        <f t="shared" si="7"/>
        <v>0.1985815603</v>
      </c>
      <c r="W379" s="19">
        <f t="shared" si="8"/>
        <v>0.4230769231</v>
      </c>
      <c r="X379" s="20">
        <f t="shared" si="9"/>
        <v>130</v>
      </c>
      <c r="Y379" s="27"/>
      <c r="Z379" s="17"/>
      <c r="AA379" s="17"/>
      <c r="AB379" s="17"/>
      <c r="AC379" s="17"/>
      <c r="AD379" s="27"/>
    </row>
    <row r="380" ht="15.75" customHeight="1">
      <c r="A380" s="27" t="s">
        <v>1158</v>
      </c>
      <c r="B380" s="27" t="s">
        <v>1363</v>
      </c>
      <c r="C380" s="16" t="s">
        <v>1364</v>
      </c>
      <c r="D380" s="17" t="s">
        <v>203</v>
      </c>
      <c r="E380" s="18" t="s">
        <v>34</v>
      </c>
      <c r="F380" s="18">
        <v>1.0</v>
      </c>
      <c r="G380" s="19">
        <f t="shared" si="1"/>
        <v>0.9876717402</v>
      </c>
      <c r="H380" s="17">
        <v>28.0</v>
      </c>
      <c r="I380" s="10">
        <v>130.0</v>
      </c>
      <c r="J380" s="17">
        <v>7.0</v>
      </c>
      <c r="K380" s="17">
        <v>230.0</v>
      </c>
      <c r="L380" s="17"/>
      <c r="M380" s="20">
        <v>9.0</v>
      </c>
      <c r="N380" s="20">
        <v>0.0</v>
      </c>
      <c r="O380" s="20">
        <v>4.0</v>
      </c>
      <c r="P380" s="20">
        <f t="shared" si="2"/>
        <v>5</v>
      </c>
      <c r="Q380" s="21">
        <v>7.0</v>
      </c>
      <c r="R380" s="22">
        <f t="shared" si="3"/>
        <v>131.6226786</v>
      </c>
      <c r="S380" s="23">
        <f t="shared" si="4"/>
        <v>4.642857143</v>
      </c>
      <c r="T380" s="24">
        <f t="shared" si="5"/>
        <v>1.285714286</v>
      </c>
      <c r="U380" s="26">
        <f t="shared" si="6"/>
        <v>0.4960629921</v>
      </c>
      <c r="V380" s="26">
        <f t="shared" si="7"/>
        <v>0.125984252</v>
      </c>
      <c r="W380" s="19">
        <f t="shared" si="8"/>
        <v>1.769230769</v>
      </c>
      <c r="X380" s="20">
        <f t="shared" si="9"/>
        <v>130</v>
      </c>
      <c r="Y380" s="27"/>
      <c r="Z380" s="17"/>
      <c r="AA380" s="17"/>
      <c r="AB380" s="17"/>
      <c r="AC380" s="17"/>
      <c r="AD380" s="27"/>
    </row>
    <row r="381" ht="15.75" customHeight="1">
      <c r="A381" s="27" t="s">
        <v>104</v>
      </c>
      <c r="B381" s="27" t="s">
        <v>1365</v>
      </c>
      <c r="C381" s="16" t="s">
        <v>1366</v>
      </c>
      <c r="D381" s="17" t="s">
        <v>96</v>
      </c>
      <c r="E381" s="18" t="s">
        <v>34</v>
      </c>
      <c r="F381" s="18">
        <v>1.0</v>
      </c>
      <c r="G381" s="19">
        <f t="shared" si="1"/>
        <v>0.9876717402</v>
      </c>
      <c r="H381" s="17">
        <v>28.0</v>
      </c>
      <c r="I381" s="10">
        <v>130.0</v>
      </c>
      <c r="J381" s="17">
        <v>7.0</v>
      </c>
      <c r="K381" s="17">
        <v>50.0</v>
      </c>
      <c r="L381" s="17"/>
      <c r="M381" s="20">
        <v>9.0</v>
      </c>
      <c r="N381" s="20">
        <v>2.0</v>
      </c>
      <c r="O381" s="20">
        <v>0.0</v>
      </c>
      <c r="P381" s="20">
        <f t="shared" si="2"/>
        <v>7</v>
      </c>
      <c r="Q381" s="21">
        <v>10.0</v>
      </c>
      <c r="R381" s="22">
        <f t="shared" si="3"/>
        <v>131.6226786</v>
      </c>
      <c r="S381" s="23">
        <f t="shared" si="4"/>
        <v>4.642857143</v>
      </c>
      <c r="T381" s="24">
        <f t="shared" si="5"/>
        <v>0.9</v>
      </c>
      <c r="U381" s="26">
        <f t="shared" si="6"/>
        <v>0.4532374101</v>
      </c>
      <c r="V381" s="26" t="str">
        <f t="shared" si="7"/>
        <v>0%</v>
      </c>
      <c r="W381" s="19">
        <f t="shared" si="8"/>
        <v>0.3846153846</v>
      </c>
      <c r="X381" s="20">
        <f t="shared" si="9"/>
        <v>130</v>
      </c>
      <c r="Y381" s="27"/>
      <c r="Z381" s="17"/>
      <c r="AA381" s="17"/>
      <c r="AB381" s="17"/>
      <c r="AC381" s="17"/>
      <c r="AD381" s="27"/>
    </row>
    <row r="382" ht="15.75" customHeight="1">
      <c r="A382" s="27" t="s">
        <v>1158</v>
      </c>
      <c r="B382" s="27" t="s">
        <v>1367</v>
      </c>
      <c r="C382" s="16" t="s">
        <v>1368</v>
      </c>
      <c r="D382" s="17" t="s">
        <v>203</v>
      </c>
      <c r="E382" s="18" t="s">
        <v>34</v>
      </c>
      <c r="F382" s="18">
        <v>1.0</v>
      </c>
      <c r="G382" s="19">
        <f t="shared" si="1"/>
        <v>0.9876717402</v>
      </c>
      <c r="H382" s="17">
        <v>28.0</v>
      </c>
      <c r="I382" s="10">
        <v>130.0</v>
      </c>
      <c r="J382" s="17">
        <v>6.0</v>
      </c>
      <c r="K382" s="17">
        <v>280.0</v>
      </c>
      <c r="L382" s="17"/>
      <c r="M382" s="20">
        <v>8.0</v>
      </c>
      <c r="N382" s="20">
        <v>0.0</v>
      </c>
      <c r="O382" s="20">
        <v>6.0</v>
      </c>
      <c r="P382" s="20">
        <f t="shared" si="2"/>
        <v>2</v>
      </c>
      <c r="Q382" s="21">
        <v>9.0</v>
      </c>
      <c r="R382" s="22">
        <f t="shared" si="3"/>
        <v>131.6226786</v>
      </c>
      <c r="S382" s="23">
        <f t="shared" si="4"/>
        <v>4.642857143</v>
      </c>
      <c r="T382" s="24">
        <f t="shared" si="5"/>
        <v>0.8888888889</v>
      </c>
      <c r="U382" s="26">
        <f t="shared" si="6"/>
        <v>0.4426229508</v>
      </c>
      <c r="V382" s="26">
        <f t="shared" si="7"/>
        <v>0.1967213115</v>
      </c>
      <c r="W382" s="19">
        <f t="shared" si="8"/>
        <v>2.153846154</v>
      </c>
      <c r="X382" s="20">
        <f t="shared" si="9"/>
        <v>130</v>
      </c>
      <c r="Y382" s="27"/>
      <c r="Z382" s="17"/>
      <c r="AA382" s="28"/>
      <c r="AB382" s="17"/>
      <c r="AC382" s="28"/>
      <c r="AD382" s="16"/>
    </row>
    <row r="383" ht="15.75" customHeight="1">
      <c r="A383" s="27" t="s">
        <v>1158</v>
      </c>
      <c r="B383" s="27" t="s">
        <v>1369</v>
      </c>
      <c r="C383" s="16" t="s">
        <v>1370</v>
      </c>
      <c r="D383" s="17" t="s">
        <v>203</v>
      </c>
      <c r="E383" s="18" t="s">
        <v>34</v>
      </c>
      <c r="F383" s="18">
        <v>1.0</v>
      </c>
      <c r="G383" s="19">
        <f t="shared" si="1"/>
        <v>0.9876717402</v>
      </c>
      <c r="H383" s="17">
        <v>28.0</v>
      </c>
      <c r="I383" s="10">
        <v>130.0</v>
      </c>
      <c r="J383" s="17">
        <v>8.0</v>
      </c>
      <c r="K383" s="17">
        <v>280.0</v>
      </c>
      <c r="L383" s="17"/>
      <c r="M383" s="20">
        <v>4.0</v>
      </c>
      <c r="N383" s="20">
        <v>0.0</v>
      </c>
      <c r="O383" s="20">
        <v>3.0</v>
      </c>
      <c r="P383" s="20">
        <f t="shared" si="2"/>
        <v>1</v>
      </c>
      <c r="Q383" s="21">
        <v>9.0</v>
      </c>
      <c r="R383" s="22">
        <f t="shared" si="3"/>
        <v>131.6226786</v>
      </c>
      <c r="S383" s="23">
        <f t="shared" si="4"/>
        <v>4.642857143</v>
      </c>
      <c r="T383" s="24">
        <f t="shared" si="5"/>
        <v>0.4444444444</v>
      </c>
      <c r="U383" s="26">
        <f t="shared" si="6"/>
        <v>0.5806451613</v>
      </c>
      <c r="V383" s="26">
        <f t="shared" si="7"/>
        <v>0.09677419355</v>
      </c>
      <c r="W383" s="19">
        <f t="shared" si="8"/>
        <v>2.153846154</v>
      </c>
      <c r="X383" s="20">
        <f t="shared" si="9"/>
        <v>130</v>
      </c>
      <c r="Y383" s="27"/>
      <c r="Z383" s="17"/>
      <c r="AA383" s="17"/>
      <c r="AB383" s="17"/>
      <c r="AC383" s="17"/>
      <c r="AD383" s="27"/>
    </row>
    <row r="384" ht="15.75" customHeight="1">
      <c r="A384" s="27" t="s">
        <v>1371</v>
      </c>
      <c r="B384" s="27" t="s">
        <v>1372</v>
      </c>
      <c r="C384" s="16" t="s">
        <v>1373</v>
      </c>
      <c r="D384" s="17" t="s">
        <v>247</v>
      </c>
      <c r="E384" s="18" t="s">
        <v>34</v>
      </c>
      <c r="F384" s="18">
        <v>1.0</v>
      </c>
      <c r="G384" s="19">
        <f t="shared" si="1"/>
        <v>0.9876717402</v>
      </c>
      <c r="H384" s="17">
        <v>28.0</v>
      </c>
      <c r="I384" s="10">
        <v>130.0</v>
      </c>
      <c r="J384" s="17">
        <v>11.0</v>
      </c>
      <c r="K384" s="17">
        <v>450.0</v>
      </c>
      <c r="L384" s="17"/>
      <c r="M384" s="20">
        <v>1.0</v>
      </c>
      <c r="N384" s="20">
        <v>0.0</v>
      </c>
      <c r="O384" s="20">
        <v>0.0</v>
      </c>
      <c r="P384" s="20">
        <f t="shared" si="2"/>
        <v>1</v>
      </c>
      <c r="Q384" s="21">
        <v>7.0</v>
      </c>
      <c r="R384" s="22">
        <f t="shared" si="3"/>
        <v>131.6226786</v>
      </c>
      <c r="S384" s="23">
        <f t="shared" si="4"/>
        <v>4.642857143</v>
      </c>
      <c r="T384" s="24">
        <f t="shared" si="5"/>
        <v>0.1428571429</v>
      </c>
      <c r="U384" s="26">
        <f t="shared" si="6"/>
        <v>0.7557251908</v>
      </c>
      <c r="V384" s="26" t="str">
        <f t="shared" si="7"/>
        <v>0%</v>
      </c>
      <c r="W384" s="19">
        <f t="shared" si="8"/>
        <v>3.461538462</v>
      </c>
      <c r="X384" s="20">
        <f t="shared" si="9"/>
        <v>130</v>
      </c>
      <c r="Y384" s="27"/>
      <c r="Z384" s="17"/>
      <c r="AA384" s="17"/>
      <c r="AB384" s="17"/>
      <c r="AC384" s="17"/>
      <c r="AD384" s="27"/>
    </row>
    <row r="385" ht="15.75" customHeight="1">
      <c r="A385" s="27" t="s">
        <v>1374</v>
      </c>
      <c r="B385" s="27" t="s">
        <v>1375</v>
      </c>
      <c r="C385" s="16" t="s">
        <v>1376</v>
      </c>
      <c r="D385" s="17" t="s">
        <v>130</v>
      </c>
      <c r="E385" s="18" t="s">
        <v>34</v>
      </c>
      <c r="F385" s="18">
        <v>1.0</v>
      </c>
      <c r="G385" s="19">
        <f t="shared" si="1"/>
        <v>1.904795499</v>
      </c>
      <c r="H385" s="17">
        <v>54.0</v>
      </c>
      <c r="I385" s="10">
        <v>250.0</v>
      </c>
      <c r="J385" s="17">
        <v>11.0</v>
      </c>
      <c r="K385" s="17">
        <v>65.0</v>
      </c>
      <c r="L385" s="17"/>
      <c r="M385" s="20">
        <v>37.0</v>
      </c>
      <c r="N385" s="20">
        <v>0.0</v>
      </c>
      <c r="O385" s="20">
        <v>31.0</v>
      </c>
      <c r="P385" s="20">
        <f t="shared" si="2"/>
        <v>6</v>
      </c>
      <c r="Q385" s="21">
        <v>2.0</v>
      </c>
      <c r="R385" s="22">
        <f t="shared" si="3"/>
        <v>131.2476852</v>
      </c>
      <c r="S385" s="23">
        <f t="shared" si="4"/>
        <v>4.62962963</v>
      </c>
      <c r="T385" s="24">
        <f t="shared" si="5"/>
        <v>18.5</v>
      </c>
      <c r="U385" s="26">
        <f t="shared" si="6"/>
        <v>0.3882352941</v>
      </c>
      <c r="V385" s="26">
        <f t="shared" si="7"/>
        <v>0.4862745098</v>
      </c>
      <c r="W385" s="19">
        <f t="shared" si="8"/>
        <v>0.26</v>
      </c>
      <c r="X385" s="20">
        <f t="shared" si="9"/>
        <v>250</v>
      </c>
      <c r="Y385" s="27"/>
      <c r="Z385" s="17"/>
      <c r="AA385" s="28"/>
      <c r="AB385" s="17"/>
      <c r="AC385" s="28"/>
      <c r="AD385" s="27"/>
    </row>
    <row r="386" ht="15.75" customHeight="1">
      <c r="A386" s="27" t="s">
        <v>1377</v>
      </c>
      <c r="B386" s="27" t="s">
        <v>1097</v>
      </c>
      <c r="C386" s="16" t="s">
        <v>1378</v>
      </c>
      <c r="D386" s="17" t="s">
        <v>130</v>
      </c>
      <c r="E386" s="18" t="s">
        <v>34</v>
      </c>
      <c r="F386" s="18">
        <v>1.0</v>
      </c>
      <c r="G386" s="19">
        <f t="shared" si="1"/>
        <v>1.834247518</v>
      </c>
      <c r="H386" s="17">
        <v>52.0</v>
      </c>
      <c r="I386" s="10">
        <v>240.0</v>
      </c>
      <c r="J386" s="17">
        <v>13.0</v>
      </c>
      <c r="K386" s="17">
        <v>120.0</v>
      </c>
      <c r="L386" s="17"/>
      <c r="M386" s="20">
        <v>27.0</v>
      </c>
      <c r="N386" s="20">
        <v>2.0</v>
      </c>
      <c r="O386" s="20">
        <v>21.0</v>
      </c>
      <c r="P386" s="20">
        <f t="shared" si="2"/>
        <v>4</v>
      </c>
      <c r="Q386" s="21">
        <v>7.0</v>
      </c>
      <c r="R386" s="22">
        <f t="shared" si="3"/>
        <v>130.8438462</v>
      </c>
      <c r="S386" s="23">
        <f t="shared" si="4"/>
        <v>4.615384615</v>
      </c>
      <c r="T386" s="24">
        <f t="shared" si="5"/>
        <v>3.857142857</v>
      </c>
      <c r="U386" s="26">
        <f t="shared" si="6"/>
        <v>0.4624505929</v>
      </c>
      <c r="V386" s="26">
        <f t="shared" si="7"/>
        <v>0.3320158103</v>
      </c>
      <c r="W386" s="19">
        <f t="shared" si="8"/>
        <v>0.5</v>
      </c>
      <c r="X386" s="20">
        <f t="shared" si="9"/>
        <v>240</v>
      </c>
      <c r="Y386" s="27"/>
      <c r="Z386" s="17"/>
      <c r="AA386" s="28"/>
      <c r="AB386" s="17"/>
      <c r="AC386" s="28"/>
      <c r="AD386" s="27"/>
    </row>
    <row r="387" ht="15.75" customHeight="1">
      <c r="A387" s="27" t="s">
        <v>1374</v>
      </c>
      <c r="B387" s="27" t="s">
        <v>1379</v>
      </c>
      <c r="C387" s="16" t="s">
        <v>1380</v>
      </c>
      <c r="D387" s="17" t="s">
        <v>130</v>
      </c>
      <c r="E387" s="18" t="s">
        <v>34</v>
      </c>
      <c r="F387" s="18">
        <v>1.0</v>
      </c>
      <c r="G387" s="19">
        <f t="shared" si="1"/>
        <v>1.763699536</v>
      </c>
      <c r="H387" s="17">
        <v>50.0</v>
      </c>
      <c r="I387" s="10">
        <v>230.0</v>
      </c>
      <c r="J387" s="17">
        <v>8.0</v>
      </c>
      <c r="K387" s="17">
        <v>65.0</v>
      </c>
      <c r="L387" s="17"/>
      <c r="M387" s="20">
        <v>36.0</v>
      </c>
      <c r="N387" s="20">
        <v>1.0</v>
      </c>
      <c r="O387" s="20">
        <v>30.0</v>
      </c>
      <c r="P387" s="20">
        <f t="shared" si="2"/>
        <v>5</v>
      </c>
      <c r="Q387" s="21">
        <v>1.0</v>
      </c>
      <c r="R387" s="22">
        <f t="shared" si="3"/>
        <v>130.4077</v>
      </c>
      <c r="S387" s="23">
        <f t="shared" si="4"/>
        <v>4.6</v>
      </c>
      <c r="T387" s="24">
        <f t="shared" si="5"/>
        <v>36</v>
      </c>
      <c r="U387" s="26">
        <f t="shared" si="6"/>
        <v>0.3272727273</v>
      </c>
      <c r="V387" s="26">
        <f t="shared" si="7"/>
        <v>0.5454545455</v>
      </c>
      <c r="W387" s="19">
        <f t="shared" si="8"/>
        <v>0.2826086957</v>
      </c>
      <c r="X387" s="20">
        <f t="shared" si="9"/>
        <v>230</v>
      </c>
      <c r="Y387" s="27"/>
      <c r="Z387" s="17"/>
      <c r="AA387" s="28"/>
      <c r="AB387" s="17"/>
      <c r="AC387" s="28"/>
      <c r="AD387" s="27"/>
    </row>
    <row r="388" ht="15.75" customHeight="1">
      <c r="A388" s="27" t="s">
        <v>1091</v>
      </c>
      <c r="B388" s="27" t="s">
        <v>542</v>
      </c>
      <c r="C388" s="16" t="s">
        <v>1381</v>
      </c>
      <c r="D388" s="17" t="s">
        <v>130</v>
      </c>
      <c r="E388" s="18" t="s">
        <v>34</v>
      </c>
      <c r="F388" s="18">
        <v>1.0</v>
      </c>
      <c r="G388" s="19">
        <f t="shared" si="1"/>
        <v>1.763699536</v>
      </c>
      <c r="H388" s="17">
        <v>50.0</v>
      </c>
      <c r="I388" s="10">
        <v>230.0</v>
      </c>
      <c r="J388" s="17">
        <v>10.0</v>
      </c>
      <c r="K388" s="17">
        <v>110.0</v>
      </c>
      <c r="L388" s="17"/>
      <c r="M388" s="20">
        <v>33.0</v>
      </c>
      <c r="N388" s="20">
        <v>1.0</v>
      </c>
      <c r="O388" s="20">
        <v>28.0</v>
      </c>
      <c r="P388" s="20">
        <f t="shared" si="2"/>
        <v>4</v>
      </c>
      <c r="Q388" s="21">
        <v>3.0</v>
      </c>
      <c r="R388" s="22">
        <f t="shared" si="3"/>
        <v>130.4077</v>
      </c>
      <c r="S388" s="23">
        <f t="shared" si="4"/>
        <v>4.6</v>
      </c>
      <c r="T388" s="24">
        <f t="shared" si="5"/>
        <v>11</v>
      </c>
      <c r="U388" s="26">
        <f t="shared" si="6"/>
        <v>0.3846153846</v>
      </c>
      <c r="V388" s="26">
        <f t="shared" si="7"/>
        <v>0.4786324786</v>
      </c>
      <c r="W388" s="19">
        <f t="shared" si="8"/>
        <v>0.4782608696</v>
      </c>
      <c r="X388" s="20">
        <f t="shared" si="9"/>
        <v>230</v>
      </c>
      <c r="Y388" s="16"/>
      <c r="Z388" s="17"/>
      <c r="AA388" s="28"/>
      <c r="AB388" s="17"/>
      <c r="AC388" s="28"/>
      <c r="AD388" s="16"/>
    </row>
    <row r="389" ht="15.75" customHeight="1">
      <c r="A389" s="27" t="s">
        <v>1382</v>
      </c>
      <c r="B389" s="27" t="s">
        <v>1383</v>
      </c>
      <c r="C389" s="16" t="s">
        <v>1384</v>
      </c>
      <c r="D389" s="17" t="s">
        <v>212</v>
      </c>
      <c r="E389" s="18" t="s">
        <v>34</v>
      </c>
      <c r="F389" s="18">
        <v>1.0</v>
      </c>
      <c r="G389" s="19">
        <f t="shared" si="1"/>
        <v>1.763699536</v>
      </c>
      <c r="H389" s="17">
        <v>50.0</v>
      </c>
      <c r="I389" s="10">
        <v>230.0</v>
      </c>
      <c r="J389" s="17">
        <v>10.0</v>
      </c>
      <c r="K389" s="17">
        <v>65.0</v>
      </c>
      <c r="L389" s="17">
        <v>135.0</v>
      </c>
      <c r="M389" s="20">
        <v>29.0</v>
      </c>
      <c r="N389" s="20">
        <v>2.0</v>
      </c>
      <c r="O389" s="20">
        <v>11.0</v>
      </c>
      <c r="P389" s="20">
        <f t="shared" si="2"/>
        <v>16</v>
      </c>
      <c r="Q389" s="21">
        <v>5.0</v>
      </c>
      <c r="R389" s="22">
        <f t="shared" si="3"/>
        <v>130.4077</v>
      </c>
      <c r="S389" s="23">
        <f t="shared" si="4"/>
        <v>4.6</v>
      </c>
      <c r="T389" s="24">
        <f t="shared" si="5"/>
        <v>5.8</v>
      </c>
      <c r="U389" s="26">
        <f t="shared" si="6"/>
        <v>0.3982300885</v>
      </c>
      <c r="V389" s="26">
        <f t="shared" si="7"/>
        <v>0.1946902655</v>
      </c>
      <c r="W389" s="19">
        <f t="shared" si="8"/>
        <v>0.2826086957</v>
      </c>
      <c r="X389" s="20">
        <f t="shared" si="9"/>
        <v>230</v>
      </c>
      <c r="Y389" s="27"/>
      <c r="Z389" s="17"/>
      <c r="AA389" s="28"/>
      <c r="AB389" s="17"/>
      <c r="AC389" s="28"/>
      <c r="AD389" s="16"/>
    </row>
    <row r="390" ht="15.75" customHeight="1">
      <c r="A390" s="27" t="s">
        <v>1385</v>
      </c>
      <c r="B390" s="27" t="s">
        <v>1386</v>
      </c>
      <c r="C390" s="16" t="s">
        <v>1387</v>
      </c>
      <c r="D390" s="17" t="s">
        <v>212</v>
      </c>
      <c r="E390" s="18" t="s">
        <v>34</v>
      </c>
      <c r="F390" s="18">
        <v>1.0</v>
      </c>
      <c r="G390" s="19">
        <f t="shared" si="1"/>
        <v>1.763699536</v>
      </c>
      <c r="H390" s="17">
        <v>50.0</v>
      </c>
      <c r="I390" s="10">
        <v>230.0</v>
      </c>
      <c r="J390" s="17">
        <v>12.0</v>
      </c>
      <c r="K390" s="17">
        <v>100.0</v>
      </c>
      <c r="L390" s="17"/>
      <c r="M390" s="20">
        <v>28.0</v>
      </c>
      <c r="N390" s="20">
        <v>4.0</v>
      </c>
      <c r="O390" s="20">
        <v>10.0</v>
      </c>
      <c r="P390" s="20">
        <f t="shared" si="2"/>
        <v>14</v>
      </c>
      <c r="Q390" s="21">
        <v>5.0</v>
      </c>
      <c r="R390" s="22">
        <f t="shared" si="3"/>
        <v>130.4077</v>
      </c>
      <c r="S390" s="23">
        <f t="shared" si="4"/>
        <v>4.6</v>
      </c>
      <c r="T390" s="24">
        <f t="shared" si="5"/>
        <v>5.6</v>
      </c>
      <c r="U390" s="26">
        <f t="shared" si="6"/>
        <v>0.45</v>
      </c>
      <c r="V390" s="26">
        <f t="shared" si="7"/>
        <v>0.1666666667</v>
      </c>
      <c r="W390" s="19">
        <f t="shared" si="8"/>
        <v>0.4347826087</v>
      </c>
      <c r="X390" s="20">
        <f t="shared" si="9"/>
        <v>230</v>
      </c>
      <c r="Y390" s="27"/>
      <c r="Z390" s="17"/>
      <c r="AA390" s="28"/>
      <c r="AB390" s="17"/>
      <c r="AC390" s="28"/>
      <c r="AD390" s="27"/>
    </row>
    <row r="391" ht="15.75" customHeight="1">
      <c r="A391" s="27" t="s">
        <v>1382</v>
      </c>
      <c r="B391" s="27" t="s">
        <v>1388</v>
      </c>
      <c r="C391" s="16" t="s">
        <v>1389</v>
      </c>
      <c r="D391" s="17" t="s">
        <v>212</v>
      </c>
      <c r="E391" s="18" t="s">
        <v>34</v>
      </c>
      <c r="F391" s="18">
        <v>1.0</v>
      </c>
      <c r="G391" s="19">
        <f t="shared" si="1"/>
        <v>1.763699536</v>
      </c>
      <c r="H391" s="17">
        <v>50.0</v>
      </c>
      <c r="I391" s="10">
        <v>230.0</v>
      </c>
      <c r="J391" s="17">
        <v>10.0</v>
      </c>
      <c r="K391" s="17">
        <v>180.0</v>
      </c>
      <c r="L391" s="17">
        <v>144.0</v>
      </c>
      <c r="M391" s="20">
        <v>28.0</v>
      </c>
      <c r="N391" s="20">
        <v>3.0</v>
      </c>
      <c r="O391" s="20">
        <v>9.0</v>
      </c>
      <c r="P391" s="20">
        <f t="shared" si="2"/>
        <v>16</v>
      </c>
      <c r="Q391" s="21">
        <v>6.0</v>
      </c>
      <c r="R391" s="22">
        <f t="shared" si="3"/>
        <v>130.4077</v>
      </c>
      <c r="S391" s="23">
        <f t="shared" si="4"/>
        <v>4.6</v>
      </c>
      <c r="T391" s="24">
        <f t="shared" si="5"/>
        <v>4.666666667</v>
      </c>
      <c r="U391" s="26">
        <f t="shared" si="6"/>
        <v>0.3982300885</v>
      </c>
      <c r="V391" s="26">
        <f t="shared" si="7"/>
        <v>0.1592920354</v>
      </c>
      <c r="W391" s="19">
        <f t="shared" si="8"/>
        <v>0.7826086957</v>
      </c>
      <c r="X391" s="20">
        <f t="shared" si="9"/>
        <v>230</v>
      </c>
      <c r="Y391" s="27"/>
      <c r="Z391" s="17"/>
      <c r="AA391" s="28"/>
      <c r="AB391" s="17"/>
      <c r="AC391" s="28"/>
      <c r="AD391" s="27"/>
    </row>
    <row r="392" ht="15.75" customHeight="1">
      <c r="A392" s="16" t="s">
        <v>1382</v>
      </c>
      <c r="B392" s="16" t="s">
        <v>1390</v>
      </c>
      <c r="C392" s="16" t="s">
        <v>1391</v>
      </c>
      <c r="D392" s="17" t="s">
        <v>212</v>
      </c>
      <c r="E392" s="18" t="s">
        <v>34</v>
      </c>
      <c r="F392" s="18">
        <v>1.0</v>
      </c>
      <c r="G392" s="19">
        <f t="shared" si="1"/>
        <v>1.763699536</v>
      </c>
      <c r="H392" s="17">
        <v>50.0</v>
      </c>
      <c r="I392" s="10">
        <v>230.0</v>
      </c>
      <c r="J392" s="17">
        <v>11.0</v>
      </c>
      <c r="K392" s="17">
        <v>230.0</v>
      </c>
      <c r="L392" s="17">
        <v>150.0</v>
      </c>
      <c r="M392" s="20">
        <v>27.0</v>
      </c>
      <c r="N392" s="20">
        <v>3.0</v>
      </c>
      <c r="O392" s="20">
        <v>10.0</v>
      </c>
      <c r="P392" s="20">
        <f t="shared" si="2"/>
        <v>14</v>
      </c>
      <c r="Q392" s="21">
        <v>7.0</v>
      </c>
      <c r="R392" s="22">
        <f t="shared" si="3"/>
        <v>130.4077</v>
      </c>
      <c r="S392" s="23">
        <f t="shared" si="4"/>
        <v>4.6</v>
      </c>
      <c r="T392" s="24">
        <f t="shared" si="5"/>
        <v>3.857142857</v>
      </c>
      <c r="U392" s="26">
        <f t="shared" si="6"/>
        <v>0.4212765957</v>
      </c>
      <c r="V392" s="26">
        <f t="shared" si="7"/>
        <v>0.170212766</v>
      </c>
      <c r="W392" s="19">
        <f t="shared" si="8"/>
        <v>1</v>
      </c>
      <c r="X392" s="20">
        <f t="shared" si="9"/>
        <v>230</v>
      </c>
      <c r="Y392" s="27"/>
      <c r="Z392" s="17"/>
      <c r="AA392" s="28"/>
      <c r="AB392" s="17"/>
      <c r="AC392" s="28"/>
      <c r="AD392" s="27"/>
    </row>
    <row r="393" ht="15.75" customHeight="1">
      <c r="A393" s="27" t="s">
        <v>1382</v>
      </c>
      <c r="B393" s="27" t="s">
        <v>1392</v>
      </c>
      <c r="C393" s="16" t="s">
        <v>1393</v>
      </c>
      <c r="D393" s="17" t="s">
        <v>212</v>
      </c>
      <c r="E393" s="18" t="s">
        <v>34</v>
      </c>
      <c r="F393" s="18">
        <v>1.0</v>
      </c>
      <c r="G393" s="19">
        <f t="shared" si="1"/>
        <v>1.763699536</v>
      </c>
      <c r="H393" s="17">
        <v>50.0</v>
      </c>
      <c r="I393" s="10">
        <v>230.0</v>
      </c>
      <c r="J393" s="17">
        <v>11.0</v>
      </c>
      <c r="K393" s="17">
        <v>160.0</v>
      </c>
      <c r="L393" s="17">
        <v>150.0</v>
      </c>
      <c r="M393" s="20">
        <v>27.0</v>
      </c>
      <c r="N393" s="20">
        <v>3.0</v>
      </c>
      <c r="O393" s="20">
        <v>10.0</v>
      </c>
      <c r="P393" s="20">
        <f t="shared" si="2"/>
        <v>14</v>
      </c>
      <c r="Q393" s="21">
        <v>7.0</v>
      </c>
      <c r="R393" s="22">
        <f t="shared" si="3"/>
        <v>130.4077</v>
      </c>
      <c r="S393" s="23">
        <f t="shared" si="4"/>
        <v>4.6</v>
      </c>
      <c r="T393" s="24">
        <f t="shared" si="5"/>
        <v>3.857142857</v>
      </c>
      <c r="U393" s="26">
        <f t="shared" si="6"/>
        <v>0.4212765957</v>
      </c>
      <c r="V393" s="26">
        <f t="shared" si="7"/>
        <v>0.170212766</v>
      </c>
      <c r="W393" s="19">
        <f t="shared" si="8"/>
        <v>0.6956521739</v>
      </c>
      <c r="X393" s="20">
        <f t="shared" si="9"/>
        <v>230</v>
      </c>
      <c r="Y393" s="27"/>
      <c r="Z393" s="17"/>
      <c r="AA393" s="28"/>
      <c r="AB393" s="17"/>
      <c r="AC393" s="28"/>
      <c r="AD393" s="27"/>
    </row>
    <row r="394" ht="15.75" customHeight="1">
      <c r="A394" s="27" t="s">
        <v>1382</v>
      </c>
      <c r="B394" s="27" t="s">
        <v>1394</v>
      </c>
      <c r="C394" s="16" t="s">
        <v>1395</v>
      </c>
      <c r="D394" s="17" t="s">
        <v>212</v>
      </c>
      <c r="E394" s="18" t="s">
        <v>34</v>
      </c>
      <c r="F394" s="18">
        <v>1.0</v>
      </c>
      <c r="G394" s="19">
        <f t="shared" si="1"/>
        <v>1.763699536</v>
      </c>
      <c r="H394" s="17">
        <v>50.0</v>
      </c>
      <c r="I394" s="10">
        <v>230.0</v>
      </c>
      <c r="J394" s="17">
        <v>11.0</v>
      </c>
      <c r="K394" s="17">
        <v>150.0</v>
      </c>
      <c r="L394" s="17">
        <v>130.0</v>
      </c>
      <c r="M394" s="20">
        <v>27.0</v>
      </c>
      <c r="N394" s="20">
        <v>3.0</v>
      </c>
      <c r="O394" s="20">
        <v>10.0</v>
      </c>
      <c r="P394" s="20">
        <f t="shared" si="2"/>
        <v>14</v>
      </c>
      <c r="Q394" s="21">
        <v>7.0</v>
      </c>
      <c r="R394" s="22">
        <f t="shared" si="3"/>
        <v>130.4077</v>
      </c>
      <c r="S394" s="23">
        <f t="shared" si="4"/>
        <v>4.6</v>
      </c>
      <c r="T394" s="24">
        <f t="shared" si="5"/>
        <v>3.857142857</v>
      </c>
      <c r="U394" s="26">
        <f t="shared" si="6"/>
        <v>0.4212765957</v>
      </c>
      <c r="V394" s="26">
        <f t="shared" si="7"/>
        <v>0.170212766</v>
      </c>
      <c r="W394" s="19">
        <f t="shared" si="8"/>
        <v>0.652173913</v>
      </c>
      <c r="X394" s="20">
        <f t="shared" si="9"/>
        <v>230</v>
      </c>
      <c r="Y394" s="27"/>
      <c r="Z394" s="17"/>
      <c r="AA394" s="28"/>
      <c r="AB394" s="17"/>
      <c r="AC394" s="28"/>
      <c r="AD394" s="27"/>
    </row>
    <row r="395" ht="15.75" customHeight="1">
      <c r="A395" s="27" t="s">
        <v>1382</v>
      </c>
      <c r="B395" s="27" t="s">
        <v>436</v>
      </c>
      <c r="C395" s="16" t="s">
        <v>1396</v>
      </c>
      <c r="D395" s="17" t="s">
        <v>212</v>
      </c>
      <c r="E395" s="18" t="s">
        <v>34</v>
      </c>
      <c r="F395" s="18">
        <v>1.0</v>
      </c>
      <c r="G395" s="19">
        <f t="shared" si="1"/>
        <v>1.763699536</v>
      </c>
      <c r="H395" s="17">
        <v>50.0</v>
      </c>
      <c r="I395" s="10">
        <v>230.0</v>
      </c>
      <c r="J395" s="17">
        <v>11.0</v>
      </c>
      <c r="K395" s="17">
        <v>160.0</v>
      </c>
      <c r="L395" s="17">
        <v>150.0</v>
      </c>
      <c r="M395" s="20">
        <v>27.0</v>
      </c>
      <c r="N395" s="20">
        <v>3.0</v>
      </c>
      <c r="O395" s="20">
        <v>10.0</v>
      </c>
      <c r="P395" s="20">
        <f t="shared" si="2"/>
        <v>14</v>
      </c>
      <c r="Q395" s="21">
        <v>7.0</v>
      </c>
      <c r="R395" s="22">
        <f t="shared" si="3"/>
        <v>130.4077</v>
      </c>
      <c r="S395" s="23">
        <f t="shared" si="4"/>
        <v>4.6</v>
      </c>
      <c r="T395" s="24">
        <f t="shared" si="5"/>
        <v>3.857142857</v>
      </c>
      <c r="U395" s="26">
        <f t="shared" si="6"/>
        <v>0.4212765957</v>
      </c>
      <c r="V395" s="26">
        <f t="shared" si="7"/>
        <v>0.170212766</v>
      </c>
      <c r="W395" s="19">
        <f t="shared" si="8"/>
        <v>0.6956521739</v>
      </c>
      <c r="X395" s="20">
        <f t="shared" si="9"/>
        <v>230</v>
      </c>
      <c r="Y395" s="27"/>
      <c r="Z395" s="17"/>
      <c r="AA395" s="28"/>
      <c r="AB395" s="17"/>
      <c r="AC395" s="28"/>
      <c r="AD395" s="27"/>
    </row>
    <row r="396" ht="15.75" customHeight="1">
      <c r="A396" s="27" t="s">
        <v>1382</v>
      </c>
      <c r="B396" s="27" t="s">
        <v>1397</v>
      </c>
      <c r="C396" s="16" t="s">
        <v>1398</v>
      </c>
      <c r="D396" s="17" t="s">
        <v>212</v>
      </c>
      <c r="E396" s="18" t="s">
        <v>34</v>
      </c>
      <c r="F396" s="18">
        <v>1.0</v>
      </c>
      <c r="G396" s="19">
        <f t="shared" si="1"/>
        <v>1.763699536</v>
      </c>
      <c r="H396" s="17">
        <v>50.0</v>
      </c>
      <c r="I396" s="10">
        <v>230.0</v>
      </c>
      <c r="J396" s="17">
        <v>11.0</v>
      </c>
      <c r="K396" s="17">
        <v>150.0</v>
      </c>
      <c r="L396" s="17">
        <v>126.0</v>
      </c>
      <c r="M396" s="20">
        <v>26.0</v>
      </c>
      <c r="N396" s="20">
        <v>3.0</v>
      </c>
      <c r="O396" s="20">
        <v>9.0</v>
      </c>
      <c r="P396" s="20">
        <f t="shared" si="2"/>
        <v>14</v>
      </c>
      <c r="Q396" s="21">
        <v>7.0</v>
      </c>
      <c r="R396" s="22">
        <f t="shared" si="3"/>
        <v>130.4077</v>
      </c>
      <c r="S396" s="23">
        <f t="shared" si="4"/>
        <v>4.6</v>
      </c>
      <c r="T396" s="24">
        <f t="shared" si="5"/>
        <v>3.714285714</v>
      </c>
      <c r="U396" s="26">
        <f t="shared" si="6"/>
        <v>0.4285714286</v>
      </c>
      <c r="V396" s="26">
        <f t="shared" si="7"/>
        <v>0.1558441558</v>
      </c>
      <c r="W396" s="19">
        <f t="shared" si="8"/>
        <v>0.652173913</v>
      </c>
      <c r="X396" s="20">
        <f t="shared" si="9"/>
        <v>230</v>
      </c>
      <c r="Y396" s="27"/>
      <c r="Z396" s="17"/>
      <c r="AA396" s="28"/>
      <c r="AB396" s="17"/>
      <c r="AC396" s="28"/>
      <c r="AD396" s="27"/>
    </row>
    <row r="397" ht="15.75" customHeight="1">
      <c r="A397" s="27" t="s">
        <v>1151</v>
      </c>
      <c r="B397" s="27" t="s">
        <v>1399</v>
      </c>
      <c r="C397" s="16" t="s">
        <v>1400</v>
      </c>
      <c r="D397" s="17" t="s">
        <v>212</v>
      </c>
      <c r="E397" s="18" t="s">
        <v>34</v>
      </c>
      <c r="F397" s="18">
        <v>1.0</v>
      </c>
      <c r="G397" s="19">
        <f t="shared" si="1"/>
        <v>1.763699536</v>
      </c>
      <c r="H397" s="17">
        <v>50.0</v>
      </c>
      <c r="I397" s="10">
        <v>230.0</v>
      </c>
      <c r="J397" s="17">
        <v>17.0</v>
      </c>
      <c r="K397" s="17">
        <v>110.0</v>
      </c>
      <c r="L397" s="17"/>
      <c r="M397" s="20">
        <v>18.0</v>
      </c>
      <c r="N397" s="20">
        <v>5.0</v>
      </c>
      <c r="O397" s="20">
        <v>8.0</v>
      </c>
      <c r="P397" s="20">
        <f t="shared" si="2"/>
        <v>5</v>
      </c>
      <c r="Q397" s="21">
        <v>12.0</v>
      </c>
      <c r="R397" s="22">
        <f t="shared" si="3"/>
        <v>130.4077</v>
      </c>
      <c r="S397" s="23">
        <f t="shared" si="4"/>
        <v>4.6</v>
      </c>
      <c r="T397" s="24">
        <f t="shared" si="5"/>
        <v>1.5</v>
      </c>
      <c r="U397" s="26">
        <f t="shared" si="6"/>
        <v>0.5604395604</v>
      </c>
      <c r="V397" s="26">
        <f t="shared" si="7"/>
        <v>0.1172161172</v>
      </c>
      <c r="W397" s="19">
        <f t="shared" si="8"/>
        <v>0.4782608696</v>
      </c>
      <c r="X397" s="20">
        <f t="shared" si="9"/>
        <v>230</v>
      </c>
      <c r="Y397" s="27"/>
      <c r="Z397" s="17"/>
      <c r="AA397" s="28"/>
      <c r="AB397" s="17"/>
      <c r="AC397" s="28"/>
      <c r="AD397" s="27"/>
    </row>
    <row r="398" ht="15.75" customHeight="1">
      <c r="A398" s="16" t="s">
        <v>1374</v>
      </c>
      <c r="B398" s="16" t="s">
        <v>1097</v>
      </c>
      <c r="C398" s="16" t="s">
        <v>1401</v>
      </c>
      <c r="D398" s="17" t="s">
        <v>130</v>
      </c>
      <c r="E398" s="18" t="s">
        <v>34</v>
      </c>
      <c r="F398" s="18">
        <v>1.0</v>
      </c>
      <c r="G398" s="19">
        <f t="shared" si="1"/>
        <v>1.841302316</v>
      </c>
      <c r="H398" s="17">
        <v>52.2</v>
      </c>
      <c r="I398" s="10">
        <v>240.0</v>
      </c>
      <c r="J398" s="17">
        <v>9.0</v>
      </c>
      <c r="K398" s="17">
        <v>75.0</v>
      </c>
      <c r="L398" s="17"/>
      <c r="M398" s="20">
        <v>37.0</v>
      </c>
      <c r="N398" s="20">
        <v>1.0</v>
      </c>
      <c r="O398" s="20">
        <v>31.0</v>
      </c>
      <c r="P398" s="20">
        <f t="shared" si="2"/>
        <v>5</v>
      </c>
      <c r="Q398" s="21">
        <v>2.0</v>
      </c>
      <c r="R398" s="22">
        <f t="shared" si="3"/>
        <v>130.3425287</v>
      </c>
      <c r="S398" s="23">
        <f t="shared" si="4"/>
        <v>4.597701149</v>
      </c>
      <c r="T398" s="24">
        <f t="shared" si="5"/>
        <v>18.5</v>
      </c>
      <c r="U398" s="26">
        <f t="shared" si="6"/>
        <v>0.3417721519</v>
      </c>
      <c r="V398" s="26">
        <f t="shared" si="7"/>
        <v>0.5232067511</v>
      </c>
      <c r="W398" s="19">
        <f t="shared" si="8"/>
        <v>0.3125</v>
      </c>
      <c r="X398" s="20">
        <f t="shared" si="9"/>
        <v>240</v>
      </c>
      <c r="Y398" s="27"/>
      <c r="Z398" s="17"/>
      <c r="AA398" s="28"/>
      <c r="AB398" s="17"/>
      <c r="AC398" s="28"/>
      <c r="AD398" s="27"/>
    </row>
    <row r="399" ht="15.75" customHeight="1">
      <c r="A399" s="27" t="s">
        <v>1402</v>
      </c>
      <c r="B399" s="27" t="s">
        <v>1403</v>
      </c>
      <c r="C399" s="92" t="s">
        <v>43</v>
      </c>
      <c r="D399" s="17" t="s">
        <v>92</v>
      </c>
      <c r="E399" s="18" t="s">
        <v>34</v>
      </c>
      <c r="F399" s="18">
        <v>1.0</v>
      </c>
      <c r="G399" s="19">
        <f t="shared" si="1"/>
        <v>4.761988748</v>
      </c>
      <c r="H399" s="17">
        <v>135.0</v>
      </c>
      <c r="I399" s="10">
        <v>620.0</v>
      </c>
      <c r="J399" s="17">
        <v>31.0</v>
      </c>
      <c r="K399" s="17">
        <v>280.0</v>
      </c>
      <c r="L399" s="17"/>
      <c r="M399" s="20">
        <v>74.0</v>
      </c>
      <c r="N399" s="20">
        <v>7.0</v>
      </c>
      <c r="O399" s="20">
        <v>32.0</v>
      </c>
      <c r="P399" s="20">
        <f t="shared" si="2"/>
        <v>35</v>
      </c>
      <c r="Q399" s="21">
        <v>17.0</v>
      </c>
      <c r="R399" s="22">
        <f t="shared" si="3"/>
        <v>130.1977037</v>
      </c>
      <c r="S399" s="23">
        <f t="shared" si="4"/>
        <v>4.592592593</v>
      </c>
      <c r="T399" s="24">
        <f t="shared" si="5"/>
        <v>4.352941176</v>
      </c>
      <c r="U399" s="26">
        <f t="shared" si="6"/>
        <v>0.433903577</v>
      </c>
      <c r="V399" s="26">
        <f t="shared" si="7"/>
        <v>0.199066874</v>
      </c>
      <c r="W399" s="19">
        <f t="shared" si="8"/>
        <v>0.4516129032</v>
      </c>
      <c r="X399" s="20">
        <f t="shared" si="9"/>
        <v>620</v>
      </c>
      <c r="Y399" s="27"/>
      <c r="Z399" s="17"/>
      <c r="AA399" s="28"/>
      <c r="AB399" s="17"/>
      <c r="AC399" s="28"/>
      <c r="AD399" s="16"/>
    </row>
    <row r="400" ht="15.75" customHeight="1">
      <c r="A400" s="27" t="s">
        <v>1217</v>
      </c>
      <c r="B400" s="27" t="s">
        <v>362</v>
      </c>
      <c r="C400" s="16" t="s">
        <v>1404</v>
      </c>
      <c r="D400" s="17" t="s">
        <v>212</v>
      </c>
      <c r="E400" s="18" t="s">
        <v>34</v>
      </c>
      <c r="F400" s="18">
        <v>1.0</v>
      </c>
      <c r="G400" s="19">
        <f t="shared" si="1"/>
        <v>2.998289211</v>
      </c>
      <c r="H400" s="17">
        <v>85.0</v>
      </c>
      <c r="I400" s="10">
        <v>390.0</v>
      </c>
      <c r="J400" s="17">
        <v>18.0</v>
      </c>
      <c r="K400" s="17">
        <v>100.0</v>
      </c>
      <c r="L400" s="17">
        <v>300.0</v>
      </c>
      <c r="M400" s="20">
        <v>50.0</v>
      </c>
      <c r="N400" s="20">
        <v>6.0</v>
      </c>
      <c r="O400" s="20">
        <v>21.0</v>
      </c>
      <c r="P400" s="20">
        <f t="shared" si="2"/>
        <v>23</v>
      </c>
      <c r="Q400" s="21">
        <v>8.0</v>
      </c>
      <c r="R400" s="22">
        <f t="shared" si="3"/>
        <v>130.0741765</v>
      </c>
      <c r="S400" s="23">
        <f t="shared" si="4"/>
        <v>4.588235294</v>
      </c>
      <c r="T400" s="24">
        <f t="shared" si="5"/>
        <v>6.25</v>
      </c>
      <c r="U400" s="26">
        <f t="shared" si="6"/>
        <v>0.4111675127</v>
      </c>
      <c r="V400" s="26">
        <f t="shared" si="7"/>
        <v>0.2131979695</v>
      </c>
      <c r="W400" s="19">
        <f t="shared" si="8"/>
        <v>0.2564102564</v>
      </c>
      <c r="X400" s="20">
        <f t="shared" si="9"/>
        <v>390</v>
      </c>
      <c r="Y400" s="27"/>
      <c r="Z400" s="17"/>
      <c r="AA400" s="28"/>
      <c r="AB400" s="17"/>
      <c r="AC400" s="28"/>
      <c r="AD400" s="27"/>
    </row>
    <row r="401" ht="15.75" customHeight="1">
      <c r="A401" s="27" t="s">
        <v>1217</v>
      </c>
      <c r="B401" s="27" t="s">
        <v>1405</v>
      </c>
      <c r="C401" s="16" t="s">
        <v>1406</v>
      </c>
      <c r="D401" s="17" t="s">
        <v>212</v>
      </c>
      <c r="E401" s="18" t="s">
        <v>34</v>
      </c>
      <c r="F401" s="18">
        <v>1.0</v>
      </c>
      <c r="G401" s="19">
        <f t="shared" si="1"/>
        <v>2.998289211</v>
      </c>
      <c r="H401" s="17">
        <v>85.0</v>
      </c>
      <c r="I401" s="10">
        <v>390.0</v>
      </c>
      <c r="J401" s="17">
        <v>18.0</v>
      </c>
      <c r="K401" s="17">
        <v>25.0</v>
      </c>
      <c r="L401" s="17">
        <v>320.0</v>
      </c>
      <c r="M401" s="20">
        <v>47.0</v>
      </c>
      <c r="N401" s="20">
        <v>6.0</v>
      </c>
      <c r="O401" s="20">
        <v>20.0</v>
      </c>
      <c r="P401" s="20">
        <f t="shared" si="2"/>
        <v>21</v>
      </c>
      <c r="Q401" s="21">
        <v>9.0</v>
      </c>
      <c r="R401" s="22">
        <f t="shared" si="3"/>
        <v>130.0741765</v>
      </c>
      <c r="S401" s="23">
        <f t="shared" si="4"/>
        <v>4.588235294</v>
      </c>
      <c r="T401" s="24">
        <f t="shared" si="5"/>
        <v>5.222222222</v>
      </c>
      <c r="U401" s="26">
        <f t="shared" si="6"/>
        <v>0.4196891192</v>
      </c>
      <c r="V401" s="26">
        <f t="shared" si="7"/>
        <v>0.207253886</v>
      </c>
      <c r="W401" s="19">
        <f t="shared" si="8"/>
        <v>0.0641025641</v>
      </c>
      <c r="X401" s="20">
        <f t="shared" si="9"/>
        <v>390</v>
      </c>
      <c r="Y401" s="27"/>
      <c r="Z401" s="17"/>
      <c r="AA401" s="28"/>
      <c r="AB401" s="17"/>
      <c r="AC401" s="28"/>
      <c r="AD401" s="27"/>
    </row>
    <row r="402" ht="15.75" customHeight="1">
      <c r="A402" s="27" t="s">
        <v>1217</v>
      </c>
      <c r="B402" s="27" t="s">
        <v>436</v>
      </c>
      <c r="C402" s="16" t="s">
        <v>1407</v>
      </c>
      <c r="D402" s="17" t="s">
        <v>212</v>
      </c>
      <c r="E402" s="18" t="s">
        <v>34</v>
      </c>
      <c r="F402" s="18">
        <v>1.0</v>
      </c>
      <c r="G402" s="19">
        <f t="shared" si="1"/>
        <v>2.998289211</v>
      </c>
      <c r="H402" s="17">
        <v>85.0</v>
      </c>
      <c r="I402" s="10">
        <v>390.0</v>
      </c>
      <c r="J402" s="17">
        <v>21.0</v>
      </c>
      <c r="K402" s="17">
        <v>190.0</v>
      </c>
      <c r="L402" s="17">
        <v>340.0</v>
      </c>
      <c r="M402" s="20">
        <v>43.0</v>
      </c>
      <c r="N402" s="20">
        <v>6.0</v>
      </c>
      <c r="O402" s="20">
        <v>17.0</v>
      </c>
      <c r="P402" s="20">
        <f t="shared" si="2"/>
        <v>20</v>
      </c>
      <c r="Q402" s="21">
        <v>12.0</v>
      </c>
      <c r="R402" s="22">
        <f t="shared" si="3"/>
        <v>130.0741765</v>
      </c>
      <c r="S402" s="23">
        <f t="shared" si="4"/>
        <v>4.588235294</v>
      </c>
      <c r="T402" s="24">
        <f t="shared" si="5"/>
        <v>3.583333333</v>
      </c>
      <c r="U402" s="26">
        <f t="shared" si="6"/>
        <v>0.4621026895</v>
      </c>
      <c r="V402" s="26">
        <f t="shared" si="7"/>
        <v>0.1662591687</v>
      </c>
      <c r="W402" s="19">
        <f t="shared" si="8"/>
        <v>0.4871794872</v>
      </c>
      <c r="X402" s="20">
        <f t="shared" si="9"/>
        <v>390</v>
      </c>
      <c r="Y402" s="27"/>
      <c r="Z402" s="17"/>
      <c r="AA402" s="28"/>
      <c r="AB402" s="17"/>
      <c r="AC402" s="28"/>
      <c r="AD402" s="27"/>
    </row>
    <row r="403" ht="15.75" customHeight="1">
      <c r="A403" s="16" t="s">
        <v>1271</v>
      </c>
      <c r="B403" s="16" t="s">
        <v>1408</v>
      </c>
      <c r="C403" s="16" t="s">
        <v>1409</v>
      </c>
      <c r="D403" s="17" t="s">
        <v>456</v>
      </c>
      <c r="E403" s="18" t="s">
        <v>34</v>
      </c>
      <c r="F403" s="18">
        <v>1.0</v>
      </c>
      <c r="G403" s="19">
        <f t="shared" si="1"/>
        <v>2.539727332</v>
      </c>
      <c r="H403" s="17">
        <v>72.0</v>
      </c>
      <c r="I403" s="10">
        <v>330.0</v>
      </c>
      <c r="J403" s="17">
        <v>17.0</v>
      </c>
      <c r="K403" s="17">
        <v>290.0</v>
      </c>
      <c r="L403" s="17"/>
      <c r="M403" s="20">
        <v>43.0</v>
      </c>
      <c r="N403" s="20">
        <v>1.0</v>
      </c>
      <c r="O403" s="20">
        <v>33.0</v>
      </c>
      <c r="P403" s="20">
        <f t="shared" si="2"/>
        <v>9</v>
      </c>
      <c r="Q403" s="21">
        <v>2.0</v>
      </c>
      <c r="R403" s="22">
        <f t="shared" si="3"/>
        <v>129.9352083</v>
      </c>
      <c r="S403" s="23">
        <f t="shared" si="4"/>
        <v>4.583333333</v>
      </c>
      <c r="T403" s="24">
        <f t="shared" si="5"/>
        <v>21.5</v>
      </c>
      <c r="U403" s="26">
        <f t="shared" si="6"/>
        <v>0.4594594595</v>
      </c>
      <c r="V403" s="26">
        <f t="shared" si="7"/>
        <v>0.3963963964</v>
      </c>
      <c r="W403" s="19">
        <f t="shared" si="8"/>
        <v>0.8787878788</v>
      </c>
      <c r="X403" s="20">
        <f t="shared" si="9"/>
        <v>330</v>
      </c>
      <c r="Y403" s="27"/>
      <c r="Z403" s="17"/>
      <c r="AA403" s="28"/>
      <c r="AB403" s="17"/>
      <c r="AC403" s="28"/>
      <c r="AD403" s="27"/>
    </row>
    <row r="404" ht="15.75" customHeight="1">
      <c r="A404" s="16" t="s">
        <v>1181</v>
      </c>
      <c r="B404" s="16" t="s">
        <v>1410</v>
      </c>
      <c r="C404" s="16" t="s">
        <v>1411</v>
      </c>
      <c r="D404" s="17" t="s">
        <v>212</v>
      </c>
      <c r="E404" s="18" t="s">
        <v>34</v>
      </c>
      <c r="F404" s="18">
        <v>1.0</v>
      </c>
      <c r="G404" s="19">
        <f t="shared" si="1"/>
        <v>1.693151555</v>
      </c>
      <c r="H404" s="17">
        <v>48.0</v>
      </c>
      <c r="I404" s="10">
        <v>220.0</v>
      </c>
      <c r="J404" s="17">
        <v>12.0</v>
      </c>
      <c r="K404" s="17">
        <v>5.0</v>
      </c>
      <c r="L404" s="17">
        <v>300.0</v>
      </c>
      <c r="M404" s="20">
        <v>25.0</v>
      </c>
      <c r="N404" s="20">
        <v>2.0</v>
      </c>
      <c r="O404" s="20">
        <v>15.0</v>
      </c>
      <c r="P404" s="20">
        <f t="shared" si="2"/>
        <v>8</v>
      </c>
      <c r="Q404" s="21">
        <v>5.0</v>
      </c>
      <c r="R404" s="22">
        <f t="shared" si="3"/>
        <v>129.9352083</v>
      </c>
      <c r="S404" s="23">
        <f t="shared" si="4"/>
        <v>4.583333333</v>
      </c>
      <c r="T404" s="24">
        <f t="shared" si="5"/>
        <v>5</v>
      </c>
      <c r="U404" s="26">
        <f t="shared" si="6"/>
        <v>0.4736842105</v>
      </c>
      <c r="V404" s="26">
        <f t="shared" si="7"/>
        <v>0.2631578947</v>
      </c>
      <c r="W404" s="19">
        <f t="shared" si="8"/>
        <v>0.02272727273</v>
      </c>
      <c r="X404" s="20">
        <f t="shared" si="9"/>
        <v>220</v>
      </c>
      <c r="Y404" s="27"/>
      <c r="Z404" s="17"/>
      <c r="AA404" s="28"/>
      <c r="AB404" s="17"/>
      <c r="AC404" s="28"/>
      <c r="AD404" s="27"/>
    </row>
    <row r="405" ht="15.75" customHeight="1">
      <c r="A405" s="27" t="s">
        <v>1181</v>
      </c>
      <c r="B405" s="27" t="s">
        <v>1412</v>
      </c>
      <c r="C405" s="16" t="s">
        <v>1413</v>
      </c>
      <c r="D405" s="17" t="s">
        <v>212</v>
      </c>
      <c r="E405" s="18" t="s">
        <v>34</v>
      </c>
      <c r="F405" s="18">
        <v>1.0</v>
      </c>
      <c r="G405" s="19">
        <f t="shared" si="1"/>
        <v>1.693151555</v>
      </c>
      <c r="H405" s="17">
        <v>48.0</v>
      </c>
      <c r="I405" s="10">
        <v>220.0</v>
      </c>
      <c r="J405" s="17">
        <v>12.0</v>
      </c>
      <c r="K405" s="17">
        <v>85.0</v>
      </c>
      <c r="L405" s="17">
        <v>300.0</v>
      </c>
      <c r="M405" s="20">
        <v>23.0</v>
      </c>
      <c r="N405" s="20">
        <v>4.0</v>
      </c>
      <c r="O405" s="20">
        <v>17.0</v>
      </c>
      <c r="P405" s="20">
        <f t="shared" si="2"/>
        <v>2</v>
      </c>
      <c r="Q405" s="21">
        <v>6.0</v>
      </c>
      <c r="R405" s="22">
        <f t="shared" si="3"/>
        <v>129.9352083</v>
      </c>
      <c r="S405" s="23">
        <f t="shared" si="4"/>
        <v>4.583333333</v>
      </c>
      <c r="T405" s="24">
        <f t="shared" si="5"/>
        <v>3.833333333</v>
      </c>
      <c r="U405" s="26">
        <f t="shared" si="6"/>
        <v>0.4821428571</v>
      </c>
      <c r="V405" s="26">
        <f t="shared" si="7"/>
        <v>0.3035714286</v>
      </c>
      <c r="W405" s="19">
        <f t="shared" si="8"/>
        <v>0.3863636364</v>
      </c>
      <c r="X405" s="20">
        <f t="shared" si="9"/>
        <v>220</v>
      </c>
      <c r="Y405" s="27"/>
      <c r="Z405" s="17"/>
      <c r="AA405" s="28"/>
      <c r="AB405" s="17"/>
      <c r="AC405" s="28"/>
      <c r="AD405" s="27"/>
    </row>
    <row r="406" ht="15.75" customHeight="1">
      <c r="A406" s="16" t="s">
        <v>1414</v>
      </c>
      <c r="B406" s="16" t="s">
        <v>1415</v>
      </c>
      <c r="C406" s="16" t="s">
        <v>1416</v>
      </c>
      <c r="D406" s="17" t="s">
        <v>119</v>
      </c>
      <c r="E406" s="18" t="s">
        <v>34</v>
      </c>
      <c r="F406" s="18">
        <v>1.0</v>
      </c>
      <c r="G406" s="19">
        <f t="shared" si="1"/>
        <v>2.257535406</v>
      </c>
      <c r="H406" s="17">
        <v>64.0</v>
      </c>
      <c r="I406" s="10">
        <v>290.0</v>
      </c>
      <c r="J406" s="17">
        <v>12.0</v>
      </c>
      <c r="K406" s="17">
        <v>1190.0</v>
      </c>
      <c r="L406" s="17"/>
      <c r="M406" s="20">
        <v>39.0</v>
      </c>
      <c r="N406" s="20">
        <v>2.0</v>
      </c>
      <c r="O406" s="20">
        <v>2.0</v>
      </c>
      <c r="P406" s="20">
        <f t="shared" si="2"/>
        <v>35</v>
      </c>
      <c r="Q406" s="21">
        <v>7.0</v>
      </c>
      <c r="R406" s="22">
        <f t="shared" si="3"/>
        <v>128.4586719</v>
      </c>
      <c r="S406" s="23">
        <f t="shared" si="4"/>
        <v>4.53125</v>
      </c>
      <c r="T406" s="24">
        <f t="shared" si="5"/>
        <v>5.571428571</v>
      </c>
      <c r="U406" s="26">
        <f t="shared" si="6"/>
        <v>0.3698630137</v>
      </c>
      <c r="V406" s="26">
        <f t="shared" si="7"/>
        <v>0.02739726027</v>
      </c>
      <c r="W406" s="19">
        <f t="shared" si="8"/>
        <v>4.103448276</v>
      </c>
      <c r="X406" s="20">
        <f t="shared" si="9"/>
        <v>290</v>
      </c>
      <c r="Y406" s="27"/>
      <c r="Z406" s="17"/>
      <c r="AA406" s="28"/>
      <c r="AB406" s="17"/>
      <c r="AC406" s="28"/>
      <c r="AD406" s="27"/>
    </row>
    <row r="407" ht="15.75" customHeight="1">
      <c r="A407" s="27" t="s">
        <v>324</v>
      </c>
      <c r="B407" s="27" t="s">
        <v>1417</v>
      </c>
      <c r="C407" s="16" t="s">
        <v>1418</v>
      </c>
      <c r="D407" s="17" t="s">
        <v>212</v>
      </c>
      <c r="E407" s="18" t="s">
        <v>34</v>
      </c>
      <c r="F407" s="18">
        <v>1.0</v>
      </c>
      <c r="G407" s="19">
        <f t="shared" si="1"/>
        <v>1.48150761</v>
      </c>
      <c r="H407" s="17">
        <v>42.0</v>
      </c>
      <c r="I407" s="10">
        <v>190.0</v>
      </c>
      <c r="J407" s="17">
        <v>7.0</v>
      </c>
      <c r="K407" s="17">
        <v>180.0</v>
      </c>
      <c r="L407" s="17"/>
      <c r="M407" s="20">
        <v>29.0</v>
      </c>
      <c r="N407" s="20">
        <v>2.0</v>
      </c>
      <c r="O407" s="20">
        <v>11.0</v>
      </c>
      <c r="P407" s="20">
        <f t="shared" si="2"/>
        <v>16</v>
      </c>
      <c r="Q407" s="21">
        <v>3.0</v>
      </c>
      <c r="R407" s="22">
        <f t="shared" si="3"/>
        <v>128.2477381</v>
      </c>
      <c r="S407" s="23">
        <f t="shared" si="4"/>
        <v>4.523809524</v>
      </c>
      <c r="T407" s="24">
        <f t="shared" si="5"/>
        <v>9.666666667</v>
      </c>
      <c r="U407" s="26">
        <f t="shared" si="6"/>
        <v>0.3298429319</v>
      </c>
      <c r="V407" s="26">
        <f t="shared" si="7"/>
        <v>0.2303664921</v>
      </c>
      <c r="W407" s="19">
        <f t="shared" si="8"/>
        <v>0.9473684211</v>
      </c>
      <c r="X407" s="20">
        <f t="shared" si="9"/>
        <v>190</v>
      </c>
      <c r="Y407" s="27"/>
      <c r="Z407" s="17"/>
      <c r="AA407" s="28"/>
      <c r="AB407" s="17"/>
      <c r="AC407" s="28"/>
      <c r="AD407" s="27"/>
    </row>
    <row r="408" ht="15.75" customHeight="1">
      <c r="A408" s="16" t="s">
        <v>1297</v>
      </c>
      <c r="B408" s="16" t="s">
        <v>1419</v>
      </c>
      <c r="C408" s="16" t="s">
        <v>1420</v>
      </c>
      <c r="D408" s="17" t="s">
        <v>119</v>
      </c>
      <c r="E408" s="18" t="s">
        <v>34</v>
      </c>
      <c r="F408" s="18">
        <v>1.0</v>
      </c>
      <c r="G408" s="19">
        <f t="shared" si="1"/>
        <v>1.48150761</v>
      </c>
      <c r="H408" s="17">
        <v>42.0</v>
      </c>
      <c r="I408" s="10">
        <v>190.0</v>
      </c>
      <c r="J408" s="17">
        <v>7.0</v>
      </c>
      <c r="K408" s="17">
        <v>910.0</v>
      </c>
      <c r="L408" s="17"/>
      <c r="M408" s="20">
        <v>26.0</v>
      </c>
      <c r="N408" s="20">
        <v>2.0</v>
      </c>
      <c r="O408" s="20">
        <v>1.0</v>
      </c>
      <c r="P408" s="20">
        <f t="shared" si="2"/>
        <v>23</v>
      </c>
      <c r="Q408" s="21">
        <v>5.0</v>
      </c>
      <c r="R408" s="22">
        <f t="shared" si="3"/>
        <v>128.2477381</v>
      </c>
      <c r="S408" s="23">
        <f t="shared" si="4"/>
        <v>4.523809524</v>
      </c>
      <c r="T408" s="24">
        <f t="shared" si="5"/>
        <v>5.2</v>
      </c>
      <c r="U408" s="26">
        <f t="shared" si="6"/>
        <v>0.3368983957</v>
      </c>
      <c r="V408" s="26">
        <f t="shared" si="7"/>
        <v>0.02139037433</v>
      </c>
      <c r="W408" s="19">
        <f t="shared" si="8"/>
        <v>4.789473684</v>
      </c>
      <c r="X408" s="20">
        <f t="shared" si="9"/>
        <v>190</v>
      </c>
      <c r="Y408" s="27"/>
      <c r="Z408" s="17"/>
      <c r="AA408" s="28"/>
      <c r="AB408" s="17"/>
      <c r="AC408" s="28"/>
      <c r="AD408" s="27"/>
    </row>
    <row r="409" ht="15.75" customHeight="1">
      <c r="A409" s="27" t="s">
        <v>453</v>
      </c>
      <c r="B409" s="27" t="s">
        <v>1421</v>
      </c>
      <c r="C409" s="16" t="s">
        <v>1422</v>
      </c>
      <c r="D409" s="17" t="s">
        <v>212</v>
      </c>
      <c r="E409" s="18" t="s">
        <v>34</v>
      </c>
      <c r="F409" s="18">
        <v>1.0</v>
      </c>
      <c r="G409" s="19">
        <f t="shared" si="1"/>
        <v>1.48150761</v>
      </c>
      <c r="H409" s="17">
        <v>42.0</v>
      </c>
      <c r="I409" s="10">
        <v>190.0</v>
      </c>
      <c r="J409" s="17">
        <v>10.0</v>
      </c>
      <c r="K409" s="17">
        <v>27.0</v>
      </c>
      <c r="L409" s="17">
        <v>98.0</v>
      </c>
      <c r="M409" s="20">
        <v>18.0</v>
      </c>
      <c r="N409" s="20">
        <v>2.0</v>
      </c>
      <c r="O409" s="20">
        <v>15.0</v>
      </c>
      <c r="P409" s="20">
        <f t="shared" si="2"/>
        <v>1</v>
      </c>
      <c r="Q409" s="21">
        <v>10.0</v>
      </c>
      <c r="R409" s="22">
        <f t="shared" si="3"/>
        <v>128.2477381</v>
      </c>
      <c r="S409" s="23">
        <f t="shared" si="4"/>
        <v>4.523809524</v>
      </c>
      <c r="T409" s="24">
        <f t="shared" si="5"/>
        <v>1.8</v>
      </c>
      <c r="U409" s="26">
        <f t="shared" si="6"/>
        <v>0.4455445545</v>
      </c>
      <c r="V409" s="26">
        <f t="shared" si="7"/>
        <v>0.297029703</v>
      </c>
      <c r="W409" s="19">
        <f t="shared" si="8"/>
        <v>0.1421052632</v>
      </c>
      <c r="X409" s="20">
        <f t="shared" si="9"/>
        <v>190</v>
      </c>
      <c r="Y409" s="27"/>
      <c r="Z409" s="17"/>
      <c r="AA409" s="28"/>
      <c r="AB409" s="17"/>
      <c r="AC409" s="28"/>
      <c r="AD409" s="27"/>
    </row>
    <row r="410" ht="15.75" customHeight="1">
      <c r="A410" s="27" t="s">
        <v>510</v>
      </c>
      <c r="B410" s="27" t="s">
        <v>1423</v>
      </c>
      <c r="C410" s="16" t="s">
        <v>1424</v>
      </c>
      <c r="D410" s="17" t="s">
        <v>282</v>
      </c>
      <c r="E410" s="18" t="s">
        <v>34</v>
      </c>
      <c r="F410" s="18">
        <v>1.0</v>
      </c>
      <c r="G410" s="19">
        <f t="shared" si="1"/>
        <v>1.093493712</v>
      </c>
      <c r="H410" s="17">
        <v>31.0</v>
      </c>
      <c r="I410" s="10">
        <v>140.0</v>
      </c>
      <c r="J410" s="17">
        <v>5.0</v>
      </c>
      <c r="K410" s="17">
        <v>230.0</v>
      </c>
      <c r="L410" s="17">
        <v>95.0</v>
      </c>
      <c r="M410" s="20">
        <v>22.0</v>
      </c>
      <c r="N410" s="20">
        <v>3.0</v>
      </c>
      <c r="O410" s="20">
        <v>4.0</v>
      </c>
      <c r="P410" s="20">
        <f t="shared" si="2"/>
        <v>15</v>
      </c>
      <c r="Q410" s="21">
        <v>2.0</v>
      </c>
      <c r="R410" s="22">
        <f t="shared" si="3"/>
        <v>128.03</v>
      </c>
      <c r="S410" s="23">
        <f t="shared" si="4"/>
        <v>4.516129032</v>
      </c>
      <c r="T410" s="24">
        <f t="shared" si="5"/>
        <v>11</v>
      </c>
      <c r="U410" s="26">
        <f t="shared" si="6"/>
        <v>0.3191489362</v>
      </c>
      <c r="V410" s="26">
        <f t="shared" si="7"/>
        <v>0.1134751773</v>
      </c>
      <c r="W410" s="19">
        <f t="shared" si="8"/>
        <v>1.642857143</v>
      </c>
      <c r="X410" s="20">
        <f t="shared" si="9"/>
        <v>140</v>
      </c>
      <c r="Y410" s="27"/>
      <c r="Z410" s="17"/>
      <c r="AA410" s="28"/>
      <c r="AB410" s="17"/>
      <c r="AC410" s="28"/>
      <c r="AD410" s="27"/>
    </row>
    <row r="411" ht="15.75" customHeight="1">
      <c r="A411" s="27" t="s">
        <v>483</v>
      </c>
      <c r="B411" s="27" t="s">
        <v>1425</v>
      </c>
      <c r="C411" s="16" t="s">
        <v>1426</v>
      </c>
      <c r="D411" s="17" t="s">
        <v>130</v>
      </c>
      <c r="E411" s="18" t="s">
        <v>34</v>
      </c>
      <c r="F411" s="18">
        <v>1.0</v>
      </c>
      <c r="G411" s="19">
        <f t="shared" si="1"/>
        <v>1.798973527</v>
      </c>
      <c r="H411" s="17">
        <v>51.0</v>
      </c>
      <c r="I411" s="10">
        <v>230.0</v>
      </c>
      <c r="J411" s="17">
        <v>11.0</v>
      </c>
      <c r="K411" s="17">
        <v>100.0</v>
      </c>
      <c r="L411" s="17"/>
      <c r="M411" s="20">
        <v>33.0</v>
      </c>
      <c r="N411" s="20">
        <v>1.0</v>
      </c>
      <c r="O411" s="20">
        <v>24.0</v>
      </c>
      <c r="P411" s="20">
        <f t="shared" si="2"/>
        <v>8</v>
      </c>
      <c r="Q411" s="21">
        <v>3.0</v>
      </c>
      <c r="R411" s="22">
        <f t="shared" si="3"/>
        <v>127.8506863</v>
      </c>
      <c r="S411" s="23">
        <f t="shared" si="4"/>
        <v>4.509803922</v>
      </c>
      <c r="T411" s="24">
        <f t="shared" si="5"/>
        <v>11</v>
      </c>
      <c r="U411" s="26">
        <f t="shared" si="6"/>
        <v>0.4074074074</v>
      </c>
      <c r="V411" s="26">
        <f t="shared" si="7"/>
        <v>0.3950617284</v>
      </c>
      <c r="W411" s="19">
        <f t="shared" si="8"/>
        <v>0.4347826087</v>
      </c>
      <c r="X411" s="20">
        <f t="shared" si="9"/>
        <v>230</v>
      </c>
      <c r="Y411" s="27"/>
      <c r="Z411" s="17"/>
      <c r="AA411" s="28"/>
      <c r="AB411" s="17"/>
      <c r="AC411" s="28"/>
      <c r="AD411" s="16"/>
    </row>
    <row r="412" ht="15.75" customHeight="1">
      <c r="A412" s="16" t="s">
        <v>553</v>
      </c>
      <c r="B412" s="16" t="s">
        <v>1427</v>
      </c>
      <c r="C412" s="16" t="s">
        <v>1428</v>
      </c>
      <c r="D412" s="17" t="s">
        <v>130</v>
      </c>
      <c r="E412" s="18" t="s">
        <v>34</v>
      </c>
      <c r="F412" s="18">
        <v>1.0</v>
      </c>
      <c r="G412" s="19">
        <f t="shared" si="1"/>
        <v>1.798973527</v>
      </c>
      <c r="H412" s="17">
        <v>51.0</v>
      </c>
      <c r="I412" s="10">
        <v>230.0</v>
      </c>
      <c r="J412" s="17">
        <v>11.0</v>
      </c>
      <c r="K412" s="17">
        <v>170.0</v>
      </c>
      <c r="L412" s="17"/>
      <c r="M412" s="20">
        <v>32.0</v>
      </c>
      <c r="N412" s="20">
        <v>1.0</v>
      </c>
      <c r="O412" s="20">
        <v>27.0</v>
      </c>
      <c r="P412" s="20">
        <f t="shared" si="2"/>
        <v>4</v>
      </c>
      <c r="Q412" s="21">
        <v>4.0</v>
      </c>
      <c r="R412" s="22">
        <f t="shared" si="3"/>
        <v>127.8506863</v>
      </c>
      <c r="S412" s="23">
        <f t="shared" si="4"/>
        <v>4.509803922</v>
      </c>
      <c r="T412" s="24">
        <f t="shared" si="5"/>
        <v>8</v>
      </c>
      <c r="U412" s="26">
        <f t="shared" si="6"/>
        <v>0.4074074074</v>
      </c>
      <c r="V412" s="26">
        <f t="shared" si="7"/>
        <v>0.4444444444</v>
      </c>
      <c r="W412" s="19">
        <f t="shared" si="8"/>
        <v>0.7391304348</v>
      </c>
      <c r="X412" s="20">
        <f t="shared" si="9"/>
        <v>230</v>
      </c>
      <c r="Y412" s="27"/>
      <c r="Z412" s="17"/>
      <c r="AA412" s="28"/>
      <c r="AB412" s="17"/>
      <c r="AC412" s="28"/>
      <c r="AD412" s="16"/>
    </row>
    <row r="413" ht="15.75" customHeight="1">
      <c r="A413" s="27" t="s">
        <v>1429</v>
      </c>
      <c r="B413" s="27" t="s">
        <v>1097</v>
      </c>
      <c r="C413" s="16" t="s">
        <v>1430</v>
      </c>
      <c r="D413" s="17" t="s">
        <v>130</v>
      </c>
      <c r="E413" s="18" t="s">
        <v>34</v>
      </c>
      <c r="F413" s="18">
        <v>1.0</v>
      </c>
      <c r="G413" s="19">
        <f t="shared" si="1"/>
        <v>2.116439443</v>
      </c>
      <c r="H413" s="17">
        <v>60.0</v>
      </c>
      <c r="I413" s="10">
        <v>270.0</v>
      </c>
      <c r="J413" s="17">
        <v>11.0</v>
      </c>
      <c r="K413" s="17">
        <v>135.0</v>
      </c>
      <c r="L413" s="17"/>
      <c r="M413" s="20">
        <v>43.0</v>
      </c>
      <c r="N413" s="20">
        <v>1.0</v>
      </c>
      <c r="O413" s="20">
        <v>28.0</v>
      </c>
      <c r="P413" s="20">
        <f t="shared" si="2"/>
        <v>14</v>
      </c>
      <c r="Q413" s="21">
        <v>4.0</v>
      </c>
      <c r="R413" s="22">
        <f t="shared" si="3"/>
        <v>127.57275</v>
      </c>
      <c r="S413" s="23">
        <f t="shared" si="4"/>
        <v>4.5</v>
      </c>
      <c r="T413" s="24">
        <f t="shared" si="5"/>
        <v>10.75</v>
      </c>
      <c r="U413" s="26">
        <f t="shared" si="6"/>
        <v>0.3449477352</v>
      </c>
      <c r="V413" s="26">
        <f t="shared" si="7"/>
        <v>0.3902439024</v>
      </c>
      <c r="W413" s="19">
        <f t="shared" si="8"/>
        <v>0.5</v>
      </c>
      <c r="X413" s="20">
        <f t="shared" si="9"/>
        <v>270</v>
      </c>
      <c r="Y413" s="27"/>
      <c r="Z413" s="17"/>
      <c r="AA413" s="28"/>
      <c r="AB413" s="17"/>
      <c r="AC413" s="28"/>
      <c r="AD413" s="16"/>
    </row>
    <row r="414" ht="15.75" customHeight="1">
      <c r="A414" s="16" t="s">
        <v>104</v>
      </c>
      <c r="B414" s="16" t="s">
        <v>1431</v>
      </c>
      <c r="C414" s="16" t="s">
        <v>1432</v>
      </c>
      <c r="D414" s="17" t="s">
        <v>563</v>
      </c>
      <c r="E414" s="18" t="s">
        <v>34</v>
      </c>
      <c r="F414" s="18">
        <v>1.0</v>
      </c>
      <c r="G414" s="19">
        <f t="shared" si="1"/>
        <v>1.763699536</v>
      </c>
      <c r="H414" s="17">
        <v>50.0</v>
      </c>
      <c r="I414" s="10">
        <v>225.0</v>
      </c>
      <c r="J414" s="17">
        <v>7.0</v>
      </c>
      <c r="K414" s="17">
        <v>75.0</v>
      </c>
      <c r="L414" s="17"/>
      <c r="M414" s="20">
        <v>36.0</v>
      </c>
      <c r="N414" s="20">
        <v>6.0</v>
      </c>
      <c r="O414" s="20">
        <v>11.0</v>
      </c>
      <c r="P414" s="20">
        <f t="shared" si="2"/>
        <v>19</v>
      </c>
      <c r="Q414" s="21">
        <v>4.0</v>
      </c>
      <c r="R414" s="22">
        <f t="shared" si="3"/>
        <v>127.57275</v>
      </c>
      <c r="S414" s="23">
        <f t="shared" si="4"/>
        <v>4.5</v>
      </c>
      <c r="T414" s="24">
        <f t="shared" si="5"/>
        <v>9</v>
      </c>
      <c r="U414" s="26">
        <f t="shared" si="6"/>
        <v>0.2825112108</v>
      </c>
      <c r="V414" s="26">
        <f t="shared" si="7"/>
        <v>0.197309417</v>
      </c>
      <c r="W414" s="19">
        <f t="shared" si="8"/>
        <v>0.3333333333</v>
      </c>
      <c r="X414" s="20">
        <f t="shared" si="9"/>
        <v>225</v>
      </c>
      <c r="Y414" s="27"/>
      <c r="Z414" s="17"/>
      <c r="AA414" s="28"/>
      <c r="AB414" s="17"/>
      <c r="AC414" s="28"/>
      <c r="AD414" s="27"/>
    </row>
    <row r="415" ht="15.75" customHeight="1">
      <c r="A415" s="27" t="s">
        <v>213</v>
      </c>
      <c r="B415" s="27" t="s">
        <v>1433</v>
      </c>
      <c r="C415" s="16" t="s">
        <v>1434</v>
      </c>
      <c r="D415" s="17" t="s">
        <v>203</v>
      </c>
      <c r="E415" s="18" t="s">
        <v>34</v>
      </c>
      <c r="F415" s="18">
        <v>1.0</v>
      </c>
      <c r="G415" s="19">
        <f t="shared" si="1"/>
        <v>1.410959629</v>
      </c>
      <c r="H415" s="17">
        <v>40.0</v>
      </c>
      <c r="I415" s="10">
        <v>180.0</v>
      </c>
      <c r="J415" s="17">
        <v>9.0</v>
      </c>
      <c r="K415" s="17">
        <v>43.0</v>
      </c>
      <c r="L415" s="17"/>
      <c r="M415" s="20">
        <v>23.0</v>
      </c>
      <c r="N415" s="20">
        <v>3.0</v>
      </c>
      <c r="O415" s="20">
        <v>14.0</v>
      </c>
      <c r="P415" s="20">
        <f t="shared" si="2"/>
        <v>6</v>
      </c>
      <c r="Q415" s="21">
        <v>3.0</v>
      </c>
      <c r="R415" s="22">
        <f t="shared" si="3"/>
        <v>127.57275</v>
      </c>
      <c r="S415" s="23">
        <f t="shared" si="4"/>
        <v>4.5</v>
      </c>
      <c r="T415" s="24">
        <f t="shared" si="5"/>
        <v>7.666666667</v>
      </c>
      <c r="U415" s="26">
        <f t="shared" si="6"/>
        <v>0.4378378378</v>
      </c>
      <c r="V415" s="26">
        <f t="shared" si="7"/>
        <v>0.3027027027</v>
      </c>
      <c r="W415" s="19">
        <f t="shared" si="8"/>
        <v>0.2388888889</v>
      </c>
      <c r="X415" s="20">
        <f t="shared" si="9"/>
        <v>180</v>
      </c>
      <c r="Y415" s="27"/>
      <c r="Z415" s="17"/>
      <c r="AA415" s="28"/>
      <c r="AB415" s="17"/>
      <c r="AC415" s="28"/>
      <c r="AD415" s="16"/>
    </row>
    <row r="416" ht="15.75" customHeight="1">
      <c r="A416" s="27" t="s">
        <v>1117</v>
      </c>
      <c r="B416" s="27" t="s">
        <v>1435</v>
      </c>
      <c r="C416" s="16" t="s">
        <v>1436</v>
      </c>
      <c r="D416" s="17" t="s">
        <v>212</v>
      </c>
      <c r="E416" s="18" t="s">
        <v>34</v>
      </c>
      <c r="F416" s="18">
        <v>1.0</v>
      </c>
      <c r="G416" s="19">
        <f t="shared" si="1"/>
        <v>1.410959629</v>
      </c>
      <c r="H416" s="17">
        <v>40.0</v>
      </c>
      <c r="I416" s="10">
        <v>180.0</v>
      </c>
      <c r="J416" s="17">
        <v>12.0</v>
      </c>
      <c r="K416" s="17">
        <v>10.0</v>
      </c>
      <c r="L416" s="17">
        <v>150.0</v>
      </c>
      <c r="M416" s="20">
        <v>21.0</v>
      </c>
      <c r="N416" s="20">
        <v>2.0</v>
      </c>
      <c r="O416" s="20">
        <v>13.0</v>
      </c>
      <c r="P416" s="20">
        <f t="shared" si="2"/>
        <v>6</v>
      </c>
      <c r="Q416" s="21">
        <v>3.0</v>
      </c>
      <c r="R416" s="22">
        <f t="shared" si="3"/>
        <v>127.57275</v>
      </c>
      <c r="S416" s="23">
        <f t="shared" si="4"/>
        <v>4.5</v>
      </c>
      <c r="T416" s="24">
        <f t="shared" si="5"/>
        <v>7</v>
      </c>
      <c r="U416" s="26">
        <f t="shared" si="6"/>
        <v>0.5294117647</v>
      </c>
      <c r="V416" s="26">
        <f t="shared" si="7"/>
        <v>0.2549019608</v>
      </c>
      <c r="W416" s="19">
        <f t="shared" si="8"/>
        <v>0.05555555556</v>
      </c>
      <c r="X416" s="20">
        <f t="shared" si="9"/>
        <v>180</v>
      </c>
      <c r="Y416" s="27"/>
      <c r="Z416" s="17"/>
      <c r="AA416" s="17"/>
      <c r="AB416" s="17"/>
      <c r="AC416" s="17"/>
      <c r="AD416" s="27"/>
    </row>
    <row r="417" ht="15.75" customHeight="1">
      <c r="A417" s="27" t="s">
        <v>1117</v>
      </c>
      <c r="B417" s="27" t="s">
        <v>1437</v>
      </c>
      <c r="C417" s="16" t="s">
        <v>1438</v>
      </c>
      <c r="D417" s="17" t="s">
        <v>212</v>
      </c>
      <c r="E417" s="18" t="s">
        <v>34</v>
      </c>
      <c r="F417" s="18">
        <v>1.0</v>
      </c>
      <c r="G417" s="19">
        <f t="shared" si="1"/>
        <v>1.410959629</v>
      </c>
      <c r="H417" s="17">
        <v>40.0</v>
      </c>
      <c r="I417" s="10">
        <v>180.0</v>
      </c>
      <c r="J417" s="17">
        <v>12.0</v>
      </c>
      <c r="K417" s="17">
        <v>15.0</v>
      </c>
      <c r="L417" s="17">
        <v>160.0</v>
      </c>
      <c r="M417" s="20">
        <v>21.0</v>
      </c>
      <c r="N417" s="20">
        <v>4.0</v>
      </c>
      <c r="O417" s="20">
        <v>12.0</v>
      </c>
      <c r="P417" s="20">
        <f t="shared" si="2"/>
        <v>5</v>
      </c>
      <c r="Q417" s="21">
        <v>3.0</v>
      </c>
      <c r="R417" s="22">
        <f t="shared" si="3"/>
        <v>127.57275</v>
      </c>
      <c r="S417" s="23">
        <f t="shared" si="4"/>
        <v>4.5</v>
      </c>
      <c r="T417" s="24">
        <f t="shared" si="5"/>
        <v>7</v>
      </c>
      <c r="U417" s="26">
        <f t="shared" si="6"/>
        <v>0.5294117647</v>
      </c>
      <c r="V417" s="26">
        <f t="shared" si="7"/>
        <v>0.2352941176</v>
      </c>
      <c r="W417" s="19">
        <f t="shared" si="8"/>
        <v>0.08333333333</v>
      </c>
      <c r="X417" s="20">
        <f t="shared" si="9"/>
        <v>180</v>
      </c>
      <c r="Y417" s="27"/>
      <c r="Z417" s="17"/>
      <c r="AA417" s="28"/>
      <c r="AB417" s="17"/>
      <c r="AC417" s="28"/>
      <c r="AD417" s="27"/>
    </row>
    <row r="418" ht="15.75" customHeight="1">
      <c r="A418" s="27" t="s">
        <v>1117</v>
      </c>
      <c r="B418" s="27" t="s">
        <v>1439</v>
      </c>
      <c r="C418" s="16" t="s">
        <v>1440</v>
      </c>
      <c r="D418" s="17" t="s">
        <v>212</v>
      </c>
      <c r="E418" s="18" t="s">
        <v>34</v>
      </c>
      <c r="F418" s="18">
        <v>1.0</v>
      </c>
      <c r="G418" s="19">
        <f t="shared" si="1"/>
        <v>1.410959629</v>
      </c>
      <c r="H418" s="17">
        <v>40.0</v>
      </c>
      <c r="I418" s="10">
        <v>180.0</v>
      </c>
      <c r="J418" s="17">
        <v>12.0</v>
      </c>
      <c r="K418" s="17">
        <v>15.0</v>
      </c>
      <c r="L418" s="17"/>
      <c r="M418" s="20">
        <v>19.0</v>
      </c>
      <c r="N418" s="20">
        <v>5.0</v>
      </c>
      <c r="O418" s="20">
        <v>9.0</v>
      </c>
      <c r="P418" s="20">
        <f t="shared" si="2"/>
        <v>5</v>
      </c>
      <c r="Q418" s="21">
        <v>5.0</v>
      </c>
      <c r="R418" s="22">
        <f t="shared" si="3"/>
        <v>127.57275</v>
      </c>
      <c r="S418" s="23">
        <f t="shared" si="4"/>
        <v>4.5</v>
      </c>
      <c r="T418" s="24">
        <f t="shared" si="5"/>
        <v>3.8</v>
      </c>
      <c r="U418" s="26">
        <f t="shared" si="6"/>
        <v>0.5294117647</v>
      </c>
      <c r="V418" s="26">
        <f t="shared" si="7"/>
        <v>0.1764705882</v>
      </c>
      <c r="W418" s="19">
        <f t="shared" si="8"/>
        <v>0.08333333333</v>
      </c>
      <c r="X418" s="20">
        <f t="shared" si="9"/>
        <v>180</v>
      </c>
      <c r="Y418" s="27"/>
      <c r="Z418" s="17"/>
      <c r="AA418" s="28"/>
      <c r="AB418" s="17"/>
      <c r="AC418" s="28"/>
      <c r="AD418" s="27"/>
    </row>
    <row r="419" ht="15.75" customHeight="1">
      <c r="A419" s="27" t="s">
        <v>1117</v>
      </c>
      <c r="B419" s="27" t="s">
        <v>1441</v>
      </c>
      <c r="C419" s="16" t="s">
        <v>1442</v>
      </c>
      <c r="D419" s="17" t="s">
        <v>212</v>
      </c>
      <c r="E419" s="18" t="s">
        <v>34</v>
      </c>
      <c r="F419" s="18">
        <v>1.0</v>
      </c>
      <c r="G419" s="19">
        <f t="shared" si="1"/>
        <v>1.410959629</v>
      </c>
      <c r="H419" s="17">
        <v>40.0</v>
      </c>
      <c r="I419" s="10">
        <v>180.0</v>
      </c>
      <c r="J419" s="17">
        <v>15.0</v>
      </c>
      <c r="K419" s="17">
        <v>115.0</v>
      </c>
      <c r="L419" s="17"/>
      <c r="M419" s="20">
        <v>16.0</v>
      </c>
      <c r="N419" s="20">
        <v>7.0</v>
      </c>
      <c r="O419" s="20">
        <v>5.0</v>
      </c>
      <c r="P419" s="20">
        <f t="shared" si="2"/>
        <v>4</v>
      </c>
      <c r="Q419" s="21">
        <v>5.0</v>
      </c>
      <c r="R419" s="22">
        <f t="shared" si="3"/>
        <v>127.57275</v>
      </c>
      <c r="S419" s="23">
        <f t="shared" si="4"/>
        <v>4.5</v>
      </c>
      <c r="T419" s="24">
        <f t="shared" si="5"/>
        <v>3.2</v>
      </c>
      <c r="U419" s="26">
        <f t="shared" si="6"/>
        <v>0.6164383562</v>
      </c>
      <c r="V419" s="26">
        <f t="shared" si="7"/>
        <v>0.09132420091</v>
      </c>
      <c r="W419" s="19">
        <f t="shared" si="8"/>
        <v>0.6388888889</v>
      </c>
      <c r="X419" s="20">
        <f t="shared" si="9"/>
        <v>180</v>
      </c>
      <c r="Y419" s="27"/>
      <c r="Z419" s="17"/>
      <c r="AA419" s="28"/>
      <c r="AB419" s="17"/>
      <c r="AC419" s="28"/>
      <c r="AD419" s="27"/>
    </row>
    <row r="420" ht="15.75" customHeight="1">
      <c r="A420" s="27" t="s">
        <v>1117</v>
      </c>
      <c r="B420" s="27" t="s">
        <v>1443</v>
      </c>
      <c r="C420" s="16" t="s">
        <v>1444</v>
      </c>
      <c r="D420" s="17" t="s">
        <v>212</v>
      </c>
      <c r="E420" s="18" t="s">
        <v>34</v>
      </c>
      <c r="F420" s="18">
        <v>1.0</v>
      </c>
      <c r="G420" s="19">
        <f t="shared" si="1"/>
        <v>1.410959629</v>
      </c>
      <c r="H420" s="17">
        <v>40.0</v>
      </c>
      <c r="I420" s="10">
        <v>180.0</v>
      </c>
      <c r="J420" s="17">
        <v>13.0</v>
      </c>
      <c r="K420" s="17">
        <v>15.0</v>
      </c>
      <c r="L420" s="17">
        <v>180.0</v>
      </c>
      <c r="M420" s="20">
        <v>17.0</v>
      </c>
      <c r="N420" s="20">
        <v>3.0</v>
      </c>
      <c r="O420" s="20">
        <v>7.0</v>
      </c>
      <c r="P420" s="20">
        <f t="shared" si="2"/>
        <v>7</v>
      </c>
      <c r="Q420" s="21">
        <v>6.0</v>
      </c>
      <c r="R420" s="22">
        <f t="shared" si="3"/>
        <v>127.57275</v>
      </c>
      <c r="S420" s="23">
        <f t="shared" si="4"/>
        <v>4.5</v>
      </c>
      <c r="T420" s="24">
        <f t="shared" si="5"/>
        <v>2.833333333</v>
      </c>
      <c r="U420" s="26">
        <f t="shared" si="6"/>
        <v>0.5598086124</v>
      </c>
      <c r="V420" s="26">
        <f t="shared" si="7"/>
        <v>0.1339712919</v>
      </c>
      <c r="W420" s="19">
        <f t="shared" si="8"/>
        <v>0.08333333333</v>
      </c>
      <c r="X420" s="20">
        <f t="shared" si="9"/>
        <v>180</v>
      </c>
      <c r="Y420" s="27"/>
      <c r="Z420" s="17"/>
      <c r="AA420" s="28"/>
      <c r="AB420" s="17"/>
      <c r="AC420" s="28"/>
      <c r="AD420" s="27"/>
    </row>
    <row r="421" ht="15.75" customHeight="1">
      <c r="A421" s="27" t="s">
        <v>1117</v>
      </c>
      <c r="B421" s="27" t="s">
        <v>1445</v>
      </c>
      <c r="C421" s="16" t="s">
        <v>1446</v>
      </c>
      <c r="D421" s="17" t="s">
        <v>212</v>
      </c>
      <c r="E421" s="18" t="s">
        <v>34</v>
      </c>
      <c r="F421" s="18">
        <v>1.0</v>
      </c>
      <c r="G421" s="19">
        <f t="shared" si="1"/>
        <v>1.410959629</v>
      </c>
      <c r="H421" s="17">
        <v>40.0</v>
      </c>
      <c r="I421" s="10">
        <v>180.0</v>
      </c>
      <c r="J421" s="17">
        <v>15.0</v>
      </c>
      <c r="K421" s="17">
        <v>140.0</v>
      </c>
      <c r="L421" s="17"/>
      <c r="M421" s="20">
        <v>16.0</v>
      </c>
      <c r="N421" s="20">
        <v>7.0</v>
      </c>
      <c r="O421" s="20">
        <v>5.0</v>
      </c>
      <c r="P421" s="20">
        <f t="shared" si="2"/>
        <v>4</v>
      </c>
      <c r="Q421" s="21">
        <v>6.0</v>
      </c>
      <c r="R421" s="22">
        <f t="shared" si="3"/>
        <v>127.57275</v>
      </c>
      <c r="S421" s="23">
        <f t="shared" si="4"/>
        <v>4.5</v>
      </c>
      <c r="T421" s="24">
        <f t="shared" si="5"/>
        <v>2.666666667</v>
      </c>
      <c r="U421" s="26">
        <f t="shared" si="6"/>
        <v>0.6053811659</v>
      </c>
      <c r="V421" s="26">
        <f t="shared" si="7"/>
        <v>0.08968609865</v>
      </c>
      <c r="W421" s="19">
        <f t="shared" si="8"/>
        <v>0.7777777778</v>
      </c>
      <c r="X421" s="20">
        <f t="shared" si="9"/>
        <v>180</v>
      </c>
      <c r="Y421" s="27"/>
      <c r="Z421" s="17"/>
      <c r="AA421" s="28"/>
      <c r="AB421" s="17"/>
      <c r="AC421" s="28"/>
      <c r="AD421" s="27"/>
    </row>
    <row r="422" ht="15.75" customHeight="1">
      <c r="A422" s="16" t="s">
        <v>1117</v>
      </c>
      <c r="B422" s="16" t="s">
        <v>1447</v>
      </c>
      <c r="C422" s="16" t="s">
        <v>1448</v>
      </c>
      <c r="D422" s="17" t="s">
        <v>212</v>
      </c>
      <c r="E422" s="18" t="s">
        <v>34</v>
      </c>
      <c r="F422" s="18">
        <v>1.0</v>
      </c>
      <c r="G422" s="19">
        <f t="shared" si="1"/>
        <v>1.410959629</v>
      </c>
      <c r="H422" s="17">
        <v>40.0</v>
      </c>
      <c r="I422" s="10">
        <v>180.0</v>
      </c>
      <c r="J422" s="17">
        <v>140.0</v>
      </c>
      <c r="K422" s="17"/>
      <c r="L422" s="17"/>
      <c r="M422" s="20">
        <v>16.0</v>
      </c>
      <c r="N422" s="20">
        <v>7.0</v>
      </c>
      <c r="O422" s="20">
        <v>5.0</v>
      </c>
      <c r="P422" s="20">
        <f t="shared" si="2"/>
        <v>4</v>
      </c>
      <c r="Q422" s="21">
        <v>6.0</v>
      </c>
      <c r="R422" s="22">
        <f t="shared" si="3"/>
        <v>127.57275</v>
      </c>
      <c r="S422" s="23">
        <f t="shared" si="4"/>
        <v>4.5</v>
      </c>
      <c r="T422" s="24">
        <f t="shared" si="5"/>
        <v>2.666666667</v>
      </c>
      <c r="U422" s="26">
        <f t="shared" si="6"/>
        <v>0.9347181009</v>
      </c>
      <c r="V422" s="26">
        <f t="shared" si="7"/>
        <v>0.01483679525</v>
      </c>
      <c r="W422" s="19">
        <f t="shared" si="8"/>
        <v>0</v>
      </c>
      <c r="X422" s="20">
        <f t="shared" si="9"/>
        <v>180</v>
      </c>
      <c r="Y422" s="27"/>
      <c r="Z422" s="17"/>
      <c r="AA422" s="28"/>
      <c r="AB422" s="17"/>
      <c r="AC422" s="28"/>
      <c r="AD422" s="27"/>
    </row>
    <row r="423" ht="15.75" customHeight="1">
      <c r="A423" s="16" t="s">
        <v>1117</v>
      </c>
      <c r="B423" s="16" t="s">
        <v>1449</v>
      </c>
      <c r="C423" s="16" t="s">
        <v>1450</v>
      </c>
      <c r="D423" s="17" t="s">
        <v>212</v>
      </c>
      <c r="E423" s="18" t="s">
        <v>34</v>
      </c>
      <c r="F423" s="18">
        <v>1.0</v>
      </c>
      <c r="G423" s="19">
        <f t="shared" si="1"/>
        <v>1.410959629</v>
      </c>
      <c r="H423" s="17">
        <v>40.0</v>
      </c>
      <c r="I423" s="10">
        <v>180.0</v>
      </c>
      <c r="J423" s="17">
        <v>15.0</v>
      </c>
      <c r="K423" s="17">
        <v>140.0</v>
      </c>
      <c r="L423" s="17"/>
      <c r="M423" s="20">
        <v>15.0</v>
      </c>
      <c r="N423" s="20">
        <v>4.0</v>
      </c>
      <c r="O423" s="20">
        <v>5.0</v>
      </c>
      <c r="P423" s="20">
        <f t="shared" si="2"/>
        <v>6</v>
      </c>
      <c r="Q423" s="21">
        <v>6.0</v>
      </c>
      <c r="R423" s="22">
        <f t="shared" si="3"/>
        <v>127.57275</v>
      </c>
      <c r="S423" s="23">
        <f t="shared" si="4"/>
        <v>4.5</v>
      </c>
      <c r="T423" s="24">
        <f t="shared" si="5"/>
        <v>2.5</v>
      </c>
      <c r="U423" s="26">
        <f t="shared" si="6"/>
        <v>0.6164383562</v>
      </c>
      <c r="V423" s="26">
        <f t="shared" si="7"/>
        <v>0.09132420091</v>
      </c>
      <c r="W423" s="19">
        <f t="shared" si="8"/>
        <v>0.7777777778</v>
      </c>
      <c r="X423" s="20">
        <f t="shared" si="9"/>
        <v>180</v>
      </c>
      <c r="Y423" s="27"/>
      <c r="Z423" s="17"/>
      <c r="AA423" s="28"/>
      <c r="AB423" s="17"/>
      <c r="AC423" s="28"/>
      <c r="AD423" s="27"/>
    </row>
    <row r="424" ht="15.75" customHeight="1">
      <c r="A424" s="27" t="s">
        <v>1117</v>
      </c>
      <c r="B424" s="27" t="s">
        <v>1451</v>
      </c>
      <c r="C424" s="16" t="s">
        <v>1452</v>
      </c>
      <c r="D424" s="17" t="s">
        <v>212</v>
      </c>
      <c r="E424" s="18" t="s">
        <v>34</v>
      </c>
      <c r="F424" s="18">
        <v>1.0</v>
      </c>
      <c r="G424" s="19">
        <f t="shared" si="1"/>
        <v>1.410959629</v>
      </c>
      <c r="H424" s="17">
        <v>40.0</v>
      </c>
      <c r="I424" s="10">
        <v>180.0</v>
      </c>
      <c r="J424" s="17">
        <v>15.0</v>
      </c>
      <c r="K424" s="17">
        <v>15.0</v>
      </c>
      <c r="L424" s="17"/>
      <c r="M424" s="20">
        <v>15.0</v>
      </c>
      <c r="N424" s="20">
        <v>6.0</v>
      </c>
      <c r="O424" s="20">
        <v>4.0</v>
      </c>
      <c r="P424" s="20">
        <f t="shared" si="2"/>
        <v>5</v>
      </c>
      <c r="Q424" s="21">
        <v>6.0</v>
      </c>
      <c r="R424" s="22">
        <f t="shared" si="3"/>
        <v>127.57275</v>
      </c>
      <c r="S424" s="23">
        <f t="shared" si="4"/>
        <v>4.5</v>
      </c>
      <c r="T424" s="24">
        <f t="shared" si="5"/>
        <v>2.5</v>
      </c>
      <c r="U424" s="26">
        <f t="shared" si="6"/>
        <v>0.6164383562</v>
      </c>
      <c r="V424" s="26">
        <f t="shared" si="7"/>
        <v>0.07305936073</v>
      </c>
      <c r="W424" s="19">
        <f t="shared" si="8"/>
        <v>0.08333333333</v>
      </c>
      <c r="X424" s="20">
        <f t="shared" si="9"/>
        <v>180</v>
      </c>
      <c r="Y424" s="27"/>
      <c r="Z424" s="17"/>
      <c r="AA424" s="28"/>
      <c r="AB424" s="17"/>
      <c r="AC424" s="28"/>
      <c r="AD424" s="27"/>
    </row>
    <row r="425" ht="15.75" customHeight="1">
      <c r="A425" s="16" t="s">
        <v>1453</v>
      </c>
      <c r="B425" s="16" t="s">
        <v>1454</v>
      </c>
      <c r="C425" s="16" t="s">
        <v>1455</v>
      </c>
      <c r="D425" s="17" t="s">
        <v>847</v>
      </c>
      <c r="E425" s="18" t="s">
        <v>34</v>
      </c>
      <c r="F425" s="18">
        <v>1.0</v>
      </c>
      <c r="G425" s="19">
        <f t="shared" si="1"/>
        <v>1.410959629</v>
      </c>
      <c r="H425" s="17">
        <v>40.0</v>
      </c>
      <c r="I425" s="10">
        <v>180.0</v>
      </c>
      <c r="J425" s="17">
        <v>10.0</v>
      </c>
      <c r="K425" s="17">
        <v>200.0</v>
      </c>
      <c r="L425" s="17"/>
      <c r="M425" s="20">
        <v>17.0</v>
      </c>
      <c r="N425" s="20">
        <v>3.0</v>
      </c>
      <c r="O425" s="20">
        <v>4.0</v>
      </c>
      <c r="P425" s="20">
        <f t="shared" si="2"/>
        <v>10</v>
      </c>
      <c r="Q425" s="21">
        <v>7.0</v>
      </c>
      <c r="R425" s="22">
        <f t="shared" si="3"/>
        <v>127.57275</v>
      </c>
      <c r="S425" s="23">
        <f t="shared" si="4"/>
        <v>4.5</v>
      </c>
      <c r="T425" s="24">
        <f t="shared" si="5"/>
        <v>2.428571429</v>
      </c>
      <c r="U425" s="26">
        <f t="shared" si="6"/>
        <v>0.4838709677</v>
      </c>
      <c r="V425" s="26">
        <f t="shared" si="7"/>
        <v>0.08602150538</v>
      </c>
      <c r="W425" s="19">
        <f t="shared" si="8"/>
        <v>1.111111111</v>
      </c>
      <c r="X425" s="20">
        <f t="shared" si="9"/>
        <v>180</v>
      </c>
      <c r="Y425" s="27"/>
      <c r="Z425" s="17"/>
      <c r="AA425" s="28"/>
      <c r="AB425" s="17"/>
      <c r="AC425" s="28"/>
      <c r="AD425" s="27"/>
    </row>
    <row r="426" ht="15.75" customHeight="1">
      <c r="A426" s="27" t="s">
        <v>1453</v>
      </c>
      <c r="B426" s="27" t="s">
        <v>1456</v>
      </c>
      <c r="C426" s="16" t="s">
        <v>1457</v>
      </c>
      <c r="D426" s="17" t="s">
        <v>847</v>
      </c>
      <c r="E426" s="18" t="s">
        <v>34</v>
      </c>
      <c r="F426" s="18">
        <v>1.0</v>
      </c>
      <c r="G426" s="19">
        <f t="shared" si="1"/>
        <v>1.410959629</v>
      </c>
      <c r="H426" s="17">
        <v>40.0</v>
      </c>
      <c r="I426" s="10">
        <v>180.0</v>
      </c>
      <c r="J426" s="17">
        <v>10.0</v>
      </c>
      <c r="K426" s="17">
        <v>210.0</v>
      </c>
      <c r="L426" s="17"/>
      <c r="M426" s="20">
        <v>16.0</v>
      </c>
      <c r="N426" s="20">
        <v>3.0</v>
      </c>
      <c r="O426" s="20">
        <v>4.0</v>
      </c>
      <c r="P426" s="20">
        <f t="shared" si="2"/>
        <v>9</v>
      </c>
      <c r="Q426" s="21">
        <v>7.0</v>
      </c>
      <c r="R426" s="22">
        <f t="shared" si="3"/>
        <v>127.57275</v>
      </c>
      <c r="S426" s="23">
        <f t="shared" si="4"/>
        <v>4.5</v>
      </c>
      <c r="T426" s="24">
        <f t="shared" si="5"/>
        <v>2.285714286</v>
      </c>
      <c r="U426" s="26">
        <f t="shared" si="6"/>
        <v>0.4945054945</v>
      </c>
      <c r="V426" s="26">
        <f t="shared" si="7"/>
        <v>0.08791208791</v>
      </c>
      <c r="W426" s="19">
        <f t="shared" si="8"/>
        <v>1.166666667</v>
      </c>
      <c r="X426" s="20">
        <f t="shared" si="9"/>
        <v>180</v>
      </c>
      <c r="Y426" s="16"/>
      <c r="Z426" s="17"/>
      <c r="AA426" s="28"/>
      <c r="AB426" s="17"/>
      <c r="AC426" s="28"/>
      <c r="AD426" s="16"/>
    </row>
    <row r="427" ht="15.75" customHeight="1">
      <c r="A427" s="27" t="s">
        <v>1453</v>
      </c>
      <c r="B427" s="27" t="s">
        <v>1458</v>
      </c>
      <c r="C427" s="16" t="s">
        <v>1459</v>
      </c>
      <c r="D427" s="17" t="s">
        <v>847</v>
      </c>
      <c r="E427" s="18" t="s">
        <v>34</v>
      </c>
      <c r="F427" s="18">
        <v>1.0</v>
      </c>
      <c r="G427" s="19">
        <f t="shared" si="1"/>
        <v>1.410959629</v>
      </c>
      <c r="H427" s="17">
        <v>40.0</v>
      </c>
      <c r="I427" s="10">
        <v>180.0</v>
      </c>
      <c r="J427" s="17">
        <v>10.0</v>
      </c>
      <c r="K427" s="17">
        <v>210.0</v>
      </c>
      <c r="L427" s="17"/>
      <c r="M427" s="20">
        <v>16.0</v>
      </c>
      <c r="N427" s="20">
        <v>3.0</v>
      </c>
      <c r="O427" s="20">
        <v>4.0</v>
      </c>
      <c r="P427" s="20">
        <f t="shared" si="2"/>
        <v>9</v>
      </c>
      <c r="Q427" s="21">
        <v>7.0</v>
      </c>
      <c r="R427" s="22">
        <f t="shared" si="3"/>
        <v>127.57275</v>
      </c>
      <c r="S427" s="23">
        <f t="shared" si="4"/>
        <v>4.5</v>
      </c>
      <c r="T427" s="24">
        <f t="shared" si="5"/>
        <v>2.285714286</v>
      </c>
      <c r="U427" s="26">
        <f t="shared" si="6"/>
        <v>0.4945054945</v>
      </c>
      <c r="V427" s="26">
        <f t="shared" si="7"/>
        <v>0.08791208791</v>
      </c>
      <c r="W427" s="19">
        <f t="shared" si="8"/>
        <v>1.166666667</v>
      </c>
      <c r="X427" s="20">
        <f t="shared" si="9"/>
        <v>180</v>
      </c>
      <c r="Y427" s="27"/>
      <c r="Z427" s="17"/>
      <c r="AA427" s="28"/>
      <c r="AB427" s="17"/>
      <c r="AC427" s="28"/>
      <c r="AD427" s="16"/>
    </row>
    <row r="428" ht="15.75" customHeight="1">
      <c r="A428" s="16" t="s">
        <v>1460</v>
      </c>
      <c r="B428" s="16" t="s">
        <v>1461</v>
      </c>
      <c r="C428" s="16" t="s">
        <v>1462</v>
      </c>
      <c r="D428" s="17" t="s">
        <v>130</v>
      </c>
      <c r="E428" s="18" t="s">
        <v>34</v>
      </c>
      <c r="F428" s="18">
        <v>1.0</v>
      </c>
      <c r="G428" s="19">
        <f t="shared" si="1"/>
        <v>1.728425545</v>
      </c>
      <c r="H428" s="17">
        <v>49.0</v>
      </c>
      <c r="I428" s="10">
        <v>220.0</v>
      </c>
      <c r="J428" s="17">
        <v>9.0</v>
      </c>
      <c r="K428" s="17">
        <v>100.0</v>
      </c>
      <c r="L428" s="17"/>
      <c r="M428" s="20">
        <v>35.0</v>
      </c>
      <c r="N428" s="20">
        <v>1.0</v>
      </c>
      <c r="O428" s="20">
        <v>25.0</v>
      </c>
      <c r="P428" s="20">
        <f t="shared" si="2"/>
        <v>9</v>
      </c>
      <c r="Q428" s="21">
        <v>3.0</v>
      </c>
      <c r="R428" s="22">
        <f t="shared" si="3"/>
        <v>127.2834694</v>
      </c>
      <c r="S428" s="23">
        <f t="shared" si="4"/>
        <v>4.489795918</v>
      </c>
      <c r="T428" s="24">
        <f t="shared" si="5"/>
        <v>11.66666667</v>
      </c>
      <c r="U428" s="26">
        <f t="shared" si="6"/>
        <v>0.347639485</v>
      </c>
      <c r="V428" s="26">
        <f t="shared" si="7"/>
        <v>0.4291845494</v>
      </c>
      <c r="W428" s="19">
        <f t="shared" si="8"/>
        <v>0.4545454545</v>
      </c>
      <c r="X428" s="20">
        <f t="shared" si="9"/>
        <v>220</v>
      </c>
      <c r="Y428" s="27"/>
      <c r="Z428" s="17"/>
      <c r="AA428" s="28"/>
      <c r="AB428" s="17"/>
      <c r="AC428" s="28"/>
      <c r="AD428" s="16"/>
    </row>
    <row r="429" ht="15.75" customHeight="1">
      <c r="A429" s="27" t="s">
        <v>1463</v>
      </c>
      <c r="B429" s="27" t="s">
        <v>1464</v>
      </c>
      <c r="C429" s="16" t="s">
        <v>1465</v>
      </c>
      <c r="D429" s="17" t="s">
        <v>212</v>
      </c>
      <c r="E429" s="18" t="s">
        <v>34</v>
      </c>
      <c r="F429" s="18">
        <v>1.0</v>
      </c>
      <c r="G429" s="19">
        <f t="shared" si="1"/>
        <v>5.467468562</v>
      </c>
      <c r="H429" s="17">
        <v>155.0</v>
      </c>
      <c r="I429" s="10">
        <v>695.0</v>
      </c>
      <c r="J429" s="17">
        <v>29.0</v>
      </c>
      <c r="K429" s="17">
        <v>800.0</v>
      </c>
      <c r="L429" s="17">
        <v>378.0</v>
      </c>
      <c r="M429" s="20">
        <v>90.0</v>
      </c>
      <c r="N429" s="20">
        <v>9.0</v>
      </c>
      <c r="O429" s="20">
        <v>39.0</v>
      </c>
      <c r="P429" s="20">
        <f t="shared" si="2"/>
        <v>42</v>
      </c>
      <c r="Q429" s="21">
        <v>18.0</v>
      </c>
      <c r="R429" s="22">
        <f t="shared" si="3"/>
        <v>127.1155</v>
      </c>
      <c r="S429" s="23">
        <f t="shared" si="4"/>
        <v>4.483870968</v>
      </c>
      <c r="T429" s="24">
        <f t="shared" si="5"/>
        <v>5</v>
      </c>
      <c r="U429" s="26">
        <f t="shared" si="6"/>
        <v>0.3766233766</v>
      </c>
      <c r="V429" s="26">
        <f t="shared" si="7"/>
        <v>0.2251082251</v>
      </c>
      <c r="W429" s="19">
        <f t="shared" si="8"/>
        <v>1.151079137</v>
      </c>
      <c r="X429" s="20">
        <f t="shared" si="9"/>
        <v>695</v>
      </c>
      <c r="Y429" s="27"/>
      <c r="Z429" s="17"/>
      <c r="AA429" s="28"/>
      <c r="AB429" s="17"/>
      <c r="AC429" s="28"/>
      <c r="AD429" s="16"/>
    </row>
    <row r="430" ht="15.75" customHeight="1">
      <c r="A430" s="16" t="s">
        <v>1117</v>
      </c>
      <c r="B430" s="16" t="s">
        <v>1466</v>
      </c>
      <c r="C430" s="16" t="s">
        <v>1467</v>
      </c>
      <c r="D430" s="17" t="s">
        <v>563</v>
      </c>
      <c r="E430" s="18" t="s">
        <v>34</v>
      </c>
      <c r="F430" s="18">
        <v>1.0</v>
      </c>
      <c r="G430" s="19">
        <f t="shared" si="1"/>
        <v>1.022945731</v>
      </c>
      <c r="H430" s="17">
        <v>29.0</v>
      </c>
      <c r="I430" s="10">
        <v>130.0</v>
      </c>
      <c r="J430" s="17">
        <v>4.0</v>
      </c>
      <c r="K430" s="17">
        <v>20.0</v>
      </c>
      <c r="L430" s="17"/>
      <c r="M430" s="20">
        <v>21.0</v>
      </c>
      <c r="N430" s="20">
        <v>3.0</v>
      </c>
      <c r="O430" s="20">
        <v>5.0</v>
      </c>
      <c r="P430" s="20">
        <f t="shared" si="2"/>
        <v>13</v>
      </c>
      <c r="Q430" s="21">
        <v>2.0</v>
      </c>
      <c r="R430" s="22">
        <f t="shared" si="3"/>
        <v>127.0839655</v>
      </c>
      <c r="S430" s="23">
        <f t="shared" si="4"/>
        <v>4.482758621</v>
      </c>
      <c r="T430" s="24">
        <f t="shared" si="5"/>
        <v>10.5</v>
      </c>
      <c r="U430" s="26">
        <f t="shared" si="6"/>
        <v>0.28125</v>
      </c>
      <c r="V430" s="26">
        <f t="shared" si="7"/>
        <v>0.15625</v>
      </c>
      <c r="W430" s="19">
        <f t="shared" si="8"/>
        <v>0.1538461538</v>
      </c>
      <c r="X430" s="20">
        <f t="shared" si="9"/>
        <v>130</v>
      </c>
      <c r="Y430" s="27"/>
      <c r="Z430" s="17"/>
      <c r="AA430" s="28"/>
      <c r="AB430" s="17"/>
      <c r="AC430" s="28"/>
      <c r="AD430" s="27"/>
    </row>
    <row r="431" ht="15.75" customHeight="1">
      <c r="A431" s="27" t="s">
        <v>1468</v>
      </c>
      <c r="B431" s="27" t="s">
        <v>1469</v>
      </c>
      <c r="C431" s="16" t="s">
        <v>1470</v>
      </c>
      <c r="D431" s="17" t="s">
        <v>130</v>
      </c>
      <c r="E431" s="18" t="s">
        <v>34</v>
      </c>
      <c r="F431" s="18">
        <v>1.0</v>
      </c>
      <c r="G431" s="19">
        <f t="shared" si="1"/>
        <v>3.527399072</v>
      </c>
      <c r="H431" s="17">
        <v>100.0</v>
      </c>
      <c r="I431" s="10">
        <v>448.0</v>
      </c>
      <c r="J431" s="17">
        <v>16.7</v>
      </c>
      <c r="K431" s="17">
        <v>420.0</v>
      </c>
      <c r="L431" s="17"/>
      <c r="M431" s="20">
        <v>69.3</v>
      </c>
      <c r="N431" s="20">
        <v>0.0</v>
      </c>
      <c r="O431" s="20">
        <v>59.9</v>
      </c>
      <c r="P431" s="20">
        <f t="shared" si="2"/>
        <v>9.4</v>
      </c>
      <c r="Q431" s="21">
        <v>4.4</v>
      </c>
      <c r="R431" s="22">
        <f t="shared" si="3"/>
        <v>127.00576</v>
      </c>
      <c r="S431" s="23">
        <f t="shared" si="4"/>
        <v>4.48</v>
      </c>
      <c r="T431" s="24">
        <f t="shared" si="5"/>
        <v>15.75</v>
      </c>
      <c r="U431" s="26">
        <f t="shared" si="6"/>
        <v>0.3376769265</v>
      </c>
      <c r="V431" s="26">
        <f t="shared" si="7"/>
        <v>0.5383059987</v>
      </c>
      <c r="W431" s="19">
        <f t="shared" si="8"/>
        <v>0.9375</v>
      </c>
      <c r="X431" s="20">
        <f t="shared" si="9"/>
        <v>448</v>
      </c>
      <c r="Y431" s="27"/>
      <c r="Z431" s="17"/>
      <c r="AA431" s="28"/>
      <c r="AB431" s="17"/>
      <c r="AC431" s="28"/>
      <c r="AD431" s="27"/>
    </row>
    <row r="432" ht="15.75" customHeight="1">
      <c r="A432" s="27" t="s">
        <v>1132</v>
      </c>
      <c r="B432" s="27" t="s">
        <v>1471</v>
      </c>
      <c r="C432" s="16" t="s">
        <v>1472</v>
      </c>
      <c r="D432" s="17" t="s">
        <v>212</v>
      </c>
      <c r="E432" s="18" t="s">
        <v>34</v>
      </c>
      <c r="F432" s="18">
        <v>1.0</v>
      </c>
      <c r="G432" s="19">
        <f t="shared" si="1"/>
        <v>1.340411647</v>
      </c>
      <c r="H432" s="17">
        <v>38.0</v>
      </c>
      <c r="I432" s="10">
        <v>170.0</v>
      </c>
      <c r="J432" s="17">
        <v>8.0</v>
      </c>
      <c r="K432" s="17">
        <v>190.0</v>
      </c>
      <c r="L432" s="17"/>
      <c r="M432" s="20">
        <v>20.0</v>
      </c>
      <c r="N432" s="20">
        <v>3.0</v>
      </c>
      <c r="O432" s="20">
        <v>7.0</v>
      </c>
      <c r="P432" s="20">
        <f t="shared" si="2"/>
        <v>10</v>
      </c>
      <c r="Q432" s="21">
        <v>5.0</v>
      </c>
      <c r="R432" s="22">
        <f t="shared" si="3"/>
        <v>126.8267105</v>
      </c>
      <c r="S432" s="23">
        <f t="shared" si="4"/>
        <v>4.473684211</v>
      </c>
      <c r="T432" s="24">
        <f t="shared" si="5"/>
        <v>4</v>
      </c>
      <c r="U432" s="26">
        <f t="shared" si="6"/>
        <v>0.4186046512</v>
      </c>
      <c r="V432" s="26">
        <f t="shared" si="7"/>
        <v>0.1627906977</v>
      </c>
      <c r="W432" s="19">
        <f t="shared" si="8"/>
        <v>1.117647059</v>
      </c>
      <c r="X432" s="20">
        <f t="shared" si="9"/>
        <v>170</v>
      </c>
      <c r="Y432" s="27"/>
      <c r="Z432" s="17"/>
      <c r="AA432" s="28"/>
      <c r="AB432" s="17"/>
      <c r="AC432" s="28"/>
      <c r="AD432" s="16"/>
    </row>
    <row r="433" ht="15.75" customHeight="1">
      <c r="A433" s="27" t="s">
        <v>1217</v>
      </c>
      <c r="B433" s="27" t="s">
        <v>1473</v>
      </c>
      <c r="C433" s="16" t="s">
        <v>1474</v>
      </c>
      <c r="D433" s="17" t="s">
        <v>212</v>
      </c>
      <c r="E433" s="18" t="s">
        <v>34</v>
      </c>
      <c r="F433" s="18">
        <v>1.0</v>
      </c>
      <c r="G433" s="19">
        <f t="shared" si="1"/>
        <v>2.998289211</v>
      </c>
      <c r="H433" s="17">
        <v>85.0</v>
      </c>
      <c r="I433" s="10">
        <v>380.0</v>
      </c>
      <c r="J433" s="17">
        <v>18.0</v>
      </c>
      <c r="K433" s="17">
        <v>25.0</v>
      </c>
      <c r="L433" s="17">
        <v>380.0</v>
      </c>
      <c r="M433" s="20">
        <v>48.0</v>
      </c>
      <c r="N433" s="20">
        <v>6.0</v>
      </c>
      <c r="O433" s="20">
        <v>20.0</v>
      </c>
      <c r="P433" s="20">
        <f t="shared" si="2"/>
        <v>22</v>
      </c>
      <c r="Q433" s="21">
        <v>10.0</v>
      </c>
      <c r="R433" s="22">
        <f t="shared" si="3"/>
        <v>126.7389412</v>
      </c>
      <c r="S433" s="23">
        <f t="shared" si="4"/>
        <v>4.470588235</v>
      </c>
      <c r="T433" s="24">
        <f t="shared" si="5"/>
        <v>4.8</v>
      </c>
      <c r="U433" s="26">
        <f t="shared" si="6"/>
        <v>0.4111675127</v>
      </c>
      <c r="V433" s="26">
        <f t="shared" si="7"/>
        <v>0.2030456853</v>
      </c>
      <c r="W433" s="19">
        <f t="shared" si="8"/>
        <v>0.06578947368</v>
      </c>
      <c r="X433" s="20">
        <f t="shared" si="9"/>
        <v>380</v>
      </c>
      <c r="Y433" s="27"/>
      <c r="Z433" s="17"/>
      <c r="AA433" s="28"/>
      <c r="AB433" s="17"/>
      <c r="AC433" s="28"/>
      <c r="AD433" s="27"/>
    </row>
    <row r="434" ht="15.75" customHeight="1">
      <c r="A434" s="27" t="s">
        <v>1475</v>
      </c>
      <c r="B434" s="27" t="s">
        <v>1476</v>
      </c>
      <c r="C434" s="16" t="s">
        <v>1477</v>
      </c>
      <c r="D434" s="17" t="s">
        <v>212</v>
      </c>
      <c r="E434" s="18" t="s">
        <v>34</v>
      </c>
      <c r="F434" s="18">
        <v>1.0</v>
      </c>
      <c r="G434" s="19">
        <f t="shared" si="1"/>
        <v>1.97534348</v>
      </c>
      <c r="H434" s="17">
        <v>56.0</v>
      </c>
      <c r="I434" s="10">
        <v>250.0</v>
      </c>
      <c r="J434" s="17">
        <v>11.0</v>
      </c>
      <c r="K434" s="17">
        <v>200.0</v>
      </c>
      <c r="L434" s="17">
        <v>170.0</v>
      </c>
      <c r="M434" s="20">
        <v>26.0</v>
      </c>
      <c r="N434" s="20">
        <v>3.0</v>
      </c>
      <c r="O434" s="20">
        <v>5.0</v>
      </c>
      <c r="P434" s="20">
        <f t="shared" si="2"/>
        <v>18</v>
      </c>
      <c r="Q434" s="21">
        <v>14.0</v>
      </c>
      <c r="R434" s="22">
        <f t="shared" si="3"/>
        <v>126.5602679</v>
      </c>
      <c r="S434" s="23">
        <f t="shared" si="4"/>
        <v>4.464285714</v>
      </c>
      <c r="T434" s="24">
        <f t="shared" si="5"/>
        <v>1.857142857</v>
      </c>
      <c r="U434" s="26">
        <f t="shared" si="6"/>
        <v>0.3822393822</v>
      </c>
      <c r="V434" s="26">
        <f t="shared" si="7"/>
        <v>0.07722007722</v>
      </c>
      <c r="W434" s="19">
        <f t="shared" si="8"/>
        <v>0.8</v>
      </c>
      <c r="X434" s="20">
        <f t="shared" si="9"/>
        <v>250</v>
      </c>
      <c r="Y434" s="27"/>
      <c r="Z434" s="17"/>
      <c r="AA434" s="28"/>
      <c r="AB434" s="17"/>
      <c r="AC434" s="28"/>
      <c r="AD434" s="27"/>
    </row>
    <row r="435" ht="15.75" customHeight="1">
      <c r="A435" s="27" t="s">
        <v>1181</v>
      </c>
      <c r="B435" s="27" t="s">
        <v>1478</v>
      </c>
      <c r="C435" s="16" t="s">
        <v>1479</v>
      </c>
      <c r="D435" s="17" t="s">
        <v>212</v>
      </c>
      <c r="E435" s="18" t="s">
        <v>34</v>
      </c>
      <c r="F435" s="18">
        <v>1.0</v>
      </c>
      <c r="G435" s="19">
        <f t="shared" si="1"/>
        <v>1.587329583</v>
      </c>
      <c r="H435" s="17">
        <v>45.0</v>
      </c>
      <c r="I435" s="10">
        <v>200.0</v>
      </c>
      <c r="J435" s="17">
        <v>9.0</v>
      </c>
      <c r="K435" s="17">
        <v>10.0</v>
      </c>
      <c r="L435" s="17">
        <v>300.0</v>
      </c>
      <c r="M435" s="20">
        <v>25.0</v>
      </c>
      <c r="N435" s="20">
        <v>4.0</v>
      </c>
      <c r="O435" s="20">
        <v>18.0</v>
      </c>
      <c r="P435" s="20">
        <f t="shared" si="2"/>
        <v>3</v>
      </c>
      <c r="Q435" s="21">
        <v>4.0</v>
      </c>
      <c r="R435" s="22">
        <f t="shared" si="3"/>
        <v>125.9977778</v>
      </c>
      <c r="S435" s="23">
        <f t="shared" si="4"/>
        <v>4.444444444</v>
      </c>
      <c r="T435" s="24">
        <f t="shared" si="5"/>
        <v>6.25</v>
      </c>
      <c r="U435" s="26">
        <f t="shared" si="6"/>
        <v>0.4111675127</v>
      </c>
      <c r="V435" s="26">
        <f t="shared" si="7"/>
        <v>0.3654822335</v>
      </c>
      <c r="W435" s="19">
        <f t="shared" si="8"/>
        <v>0.05</v>
      </c>
      <c r="X435" s="20">
        <f t="shared" si="9"/>
        <v>200</v>
      </c>
      <c r="Y435" s="27"/>
      <c r="Z435" s="17"/>
      <c r="AA435" s="28"/>
      <c r="AB435" s="17"/>
      <c r="AC435" s="28"/>
      <c r="AD435" s="27"/>
    </row>
    <row r="436" ht="15.75" customHeight="1">
      <c r="A436" s="27" t="s">
        <v>1181</v>
      </c>
      <c r="B436" s="27" t="s">
        <v>383</v>
      </c>
      <c r="C436" s="16" t="s">
        <v>1480</v>
      </c>
      <c r="D436" s="17" t="s">
        <v>212</v>
      </c>
      <c r="E436" s="18" t="s">
        <v>34</v>
      </c>
      <c r="F436" s="18">
        <v>1.0</v>
      </c>
      <c r="G436" s="19">
        <f t="shared" si="1"/>
        <v>1.587329583</v>
      </c>
      <c r="H436" s="17">
        <v>45.0</v>
      </c>
      <c r="I436" s="10">
        <v>200.0</v>
      </c>
      <c r="J436" s="17">
        <v>10.0</v>
      </c>
      <c r="K436" s="17">
        <v>10.0</v>
      </c>
      <c r="L436" s="17">
        <v>280.0</v>
      </c>
      <c r="M436" s="20">
        <v>25.0</v>
      </c>
      <c r="N436" s="20">
        <v>4.0</v>
      </c>
      <c r="O436" s="20">
        <v>18.0</v>
      </c>
      <c r="P436" s="20">
        <f t="shared" si="2"/>
        <v>3</v>
      </c>
      <c r="Q436" s="21">
        <v>4.0</v>
      </c>
      <c r="R436" s="22">
        <f t="shared" si="3"/>
        <v>125.9977778</v>
      </c>
      <c r="S436" s="23">
        <f t="shared" si="4"/>
        <v>4.444444444</v>
      </c>
      <c r="T436" s="24">
        <f t="shared" si="5"/>
        <v>6.25</v>
      </c>
      <c r="U436" s="26">
        <f t="shared" si="6"/>
        <v>0.4368932039</v>
      </c>
      <c r="V436" s="26">
        <f t="shared" si="7"/>
        <v>0.3495145631</v>
      </c>
      <c r="W436" s="19">
        <f t="shared" si="8"/>
        <v>0.05</v>
      </c>
      <c r="X436" s="20">
        <f t="shared" si="9"/>
        <v>200</v>
      </c>
      <c r="Y436" s="27"/>
      <c r="Z436" s="17"/>
      <c r="AA436" s="28"/>
      <c r="AB436" s="17"/>
      <c r="AC436" s="28"/>
      <c r="AD436" s="27"/>
    </row>
    <row r="437" ht="15.75" customHeight="1">
      <c r="A437" s="27" t="s">
        <v>1181</v>
      </c>
      <c r="B437" s="27" t="s">
        <v>1481</v>
      </c>
      <c r="C437" s="16" t="s">
        <v>1482</v>
      </c>
      <c r="D437" s="17" t="s">
        <v>212</v>
      </c>
      <c r="E437" s="18" t="s">
        <v>34</v>
      </c>
      <c r="F437" s="18">
        <v>1.0</v>
      </c>
      <c r="G437" s="19">
        <f t="shared" si="1"/>
        <v>1.587329583</v>
      </c>
      <c r="H437" s="17">
        <v>45.0</v>
      </c>
      <c r="I437" s="10">
        <v>200.0</v>
      </c>
      <c r="J437" s="17">
        <v>10.0</v>
      </c>
      <c r="K437" s="17">
        <v>5.0</v>
      </c>
      <c r="L437" s="17">
        <v>300.0</v>
      </c>
      <c r="M437" s="20">
        <v>24.0</v>
      </c>
      <c r="N437" s="20">
        <v>3.0</v>
      </c>
      <c r="O437" s="20">
        <v>16.0</v>
      </c>
      <c r="P437" s="20">
        <f t="shared" si="2"/>
        <v>5</v>
      </c>
      <c r="Q437" s="21">
        <v>4.0</v>
      </c>
      <c r="R437" s="22">
        <f t="shared" si="3"/>
        <v>125.9977778</v>
      </c>
      <c r="S437" s="23">
        <f t="shared" si="4"/>
        <v>4.444444444</v>
      </c>
      <c r="T437" s="24">
        <f t="shared" si="5"/>
        <v>6</v>
      </c>
      <c r="U437" s="26">
        <f t="shared" si="6"/>
        <v>0.4455445545</v>
      </c>
      <c r="V437" s="26">
        <f t="shared" si="7"/>
        <v>0.3168316832</v>
      </c>
      <c r="W437" s="19">
        <f t="shared" si="8"/>
        <v>0.025</v>
      </c>
      <c r="X437" s="20">
        <f t="shared" si="9"/>
        <v>200</v>
      </c>
      <c r="Y437" s="27"/>
      <c r="Z437" s="17"/>
      <c r="AA437" s="28"/>
      <c r="AB437" s="17"/>
      <c r="AC437" s="28"/>
      <c r="AD437" s="27"/>
    </row>
    <row r="438" ht="15.75" customHeight="1">
      <c r="A438" s="27" t="s">
        <v>104</v>
      </c>
      <c r="B438" s="27" t="s">
        <v>1483</v>
      </c>
      <c r="C438" s="16" t="s">
        <v>1484</v>
      </c>
      <c r="D438" s="17" t="s">
        <v>203</v>
      </c>
      <c r="E438" s="18" t="s">
        <v>34</v>
      </c>
      <c r="F438" s="18">
        <v>1.0</v>
      </c>
      <c r="G438" s="19">
        <f t="shared" si="1"/>
        <v>1.587329583</v>
      </c>
      <c r="H438" s="17">
        <v>45.0</v>
      </c>
      <c r="I438" s="10">
        <v>200.0</v>
      </c>
      <c r="J438" s="17">
        <v>12.0</v>
      </c>
      <c r="K438" s="17">
        <v>0.0</v>
      </c>
      <c r="L438" s="17">
        <v>280.0</v>
      </c>
      <c r="M438" s="20">
        <v>22.0</v>
      </c>
      <c r="N438" s="20">
        <v>4.0</v>
      </c>
      <c r="O438" s="20">
        <v>15.0</v>
      </c>
      <c r="P438" s="20">
        <f t="shared" si="2"/>
        <v>3</v>
      </c>
      <c r="Q438" s="21">
        <v>5.0</v>
      </c>
      <c r="R438" s="22">
        <f t="shared" si="3"/>
        <v>125.9977778</v>
      </c>
      <c r="S438" s="23">
        <f t="shared" si="4"/>
        <v>4.444444444</v>
      </c>
      <c r="T438" s="24">
        <f t="shared" si="5"/>
        <v>4.4</v>
      </c>
      <c r="U438" s="26">
        <f t="shared" si="6"/>
        <v>0.5</v>
      </c>
      <c r="V438" s="26">
        <f t="shared" si="7"/>
        <v>0.2777777778</v>
      </c>
      <c r="W438" s="19">
        <f t="shared" si="8"/>
        <v>0</v>
      </c>
      <c r="X438" s="20">
        <f t="shared" si="9"/>
        <v>200</v>
      </c>
      <c r="Y438" s="27"/>
      <c r="Z438" s="17"/>
      <c r="AA438" s="28"/>
      <c r="AB438" s="17"/>
      <c r="AC438" s="28"/>
      <c r="AD438" s="27"/>
    </row>
    <row r="439" ht="15.75" customHeight="1">
      <c r="A439" s="27" t="s">
        <v>1485</v>
      </c>
      <c r="B439" s="27" t="s">
        <v>1486</v>
      </c>
      <c r="C439" s="16" t="s">
        <v>1487</v>
      </c>
      <c r="D439" s="17" t="s">
        <v>212</v>
      </c>
      <c r="E439" s="18" t="s">
        <v>34</v>
      </c>
      <c r="F439" s="18">
        <v>1.0</v>
      </c>
      <c r="G439" s="19">
        <f t="shared" si="1"/>
        <v>1.587329583</v>
      </c>
      <c r="H439" s="17">
        <v>45.0</v>
      </c>
      <c r="I439" s="10">
        <v>200.0</v>
      </c>
      <c r="J439" s="17">
        <v>8.0</v>
      </c>
      <c r="K439" s="17">
        <v>140.0</v>
      </c>
      <c r="L439" s="17"/>
      <c r="M439" s="20">
        <v>28.0</v>
      </c>
      <c r="N439" s="20">
        <v>3.0</v>
      </c>
      <c r="O439" s="20">
        <v>18.0</v>
      </c>
      <c r="P439" s="20">
        <f t="shared" si="2"/>
        <v>7</v>
      </c>
      <c r="Q439" s="21">
        <v>7.0</v>
      </c>
      <c r="R439" s="22">
        <f t="shared" si="3"/>
        <v>125.9977778</v>
      </c>
      <c r="S439" s="23">
        <f t="shared" si="4"/>
        <v>4.444444444</v>
      </c>
      <c r="T439" s="24">
        <f t="shared" si="5"/>
        <v>4</v>
      </c>
      <c r="U439" s="26">
        <f t="shared" si="6"/>
        <v>0.3396226415</v>
      </c>
      <c r="V439" s="26">
        <f t="shared" si="7"/>
        <v>0.3396226415</v>
      </c>
      <c r="W439" s="19">
        <f t="shared" si="8"/>
        <v>0.7</v>
      </c>
      <c r="X439" s="20">
        <f t="shared" si="9"/>
        <v>200</v>
      </c>
      <c r="Y439" s="27"/>
      <c r="Z439" s="17"/>
      <c r="AA439" s="17"/>
      <c r="AB439" s="17"/>
      <c r="AC439" s="17"/>
      <c r="AD439" s="27"/>
    </row>
    <row r="440" ht="15.75" customHeight="1">
      <c r="A440" s="27" t="s">
        <v>1485</v>
      </c>
      <c r="B440" s="27" t="s">
        <v>1488</v>
      </c>
      <c r="C440" s="16" t="s">
        <v>1489</v>
      </c>
      <c r="D440" s="17" t="s">
        <v>212</v>
      </c>
      <c r="E440" s="18" t="s">
        <v>34</v>
      </c>
      <c r="F440" s="18">
        <v>1.0</v>
      </c>
      <c r="G440" s="19">
        <f t="shared" si="1"/>
        <v>1.587329583</v>
      </c>
      <c r="H440" s="17">
        <v>45.0</v>
      </c>
      <c r="I440" s="10">
        <v>200.0</v>
      </c>
      <c r="J440" s="17">
        <v>8.0</v>
      </c>
      <c r="K440" s="17">
        <v>75.0</v>
      </c>
      <c r="L440" s="17"/>
      <c r="M440" s="20">
        <v>28.0</v>
      </c>
      <c r="N440" s="20">
        <v>3.0</v>
      </c>
      <c r="O440" s="20">
        <v>18.0</v>
      </c>
      <c r="P440" s="20">
        <f t="shared" si="2"/>
        <v>7</v>
      </c>
      <c r="Q440" s="21">
        <v>7.0</v>
      </c>
      <c r="R440" s="22">
        <f t="shared" si="3"/>
        <v>125.9977778</v>
      </c>
      <c r="S440" s="23">
        <f t="shared" si="4"/>
        <v>4.444444444</v>
      </c>
      <c r="T440" s="24">
        <f t="shared" si="5"/>
        <v>4</v>
      </c>
      <c r="U440" s="26">
        <f t="shared" si="6"/>
        <v>0.3396226415</v>
      </c>
      <c r="V440" s="26">
        <f t="shared" si="7"/>
        <v>0.3396226415</v>
      </c>
      <c r="W440" s="19">
        <f t="shared" si="8"/>
        <v>0.375</v>
      </c>
      <c r="X440" s="20">
        <f t="shared" si="9"/>
        <v>200</v>
      </c>
      <c r="Y440" s="27"/>
      <c r="Z440" s="17"/>
      <c r="AA440" s="28"/>
      <c r="AB440" s="17"/>
      <c r="AC440" s="28"/>
      <c r="AD440" s="27"/>
    </row>
    <row r="441" ht="15.75" customHeight="1">
      <c r="A441" s="27" t="s">
        <v>1485</v>
      </c>
      <c r="B441" s="27" t="s">
        <v>1490</v>
      </c>
      <c r="C441" s="16" t="s">
        <v>1491</v>
      </c>
      <c r="D441" s="17" t="s">
        <v>212</v>
      </c>
      <c r="E441" s="18" t="s">
        <v>34</v>
      </c>
      <c r="F441" s="18">
        <v>1.0</v>
      </c>
      <c r="G441" s="19">
        <f t="shared" si="1"/>
        <v>1.587329583</v>
      </c>
      <c r="H441" s="17">
        <v>45.0</v>
      </c>
      <c r="I441" s="10">
        <v>200.0</v>
      </c>
      <c r="J441" s="17">
        <v>8.0</v>
      </c>
      <c r="K441" s="17">
        <v>132.0</v>
      </c>
      <c r="L441" s="17"/>
      <c r="M441" s="20">
        <v>28.0</v>
      </c>
      <c r="N441" s="20">
        <v>3.0</v>
      </c>
      <c r="O441" s="20">
        <v>18.0</v>
      </c>
      <c r="P441" s="20">
        <f t="shared" si="2"/>
        <v>7</v>
      </c>
      <c r="Q441" s="21">
        <v>7.0</v>
      </c>
      <c r="R441" s="22">
        <f t="shared" si="3"/>
        <v>125.9977778</v>
      </c>
      <c r="S441" s="23">
        <f t="shared" si="4"/>
        <v>4.444444444</v>
      </c>
      <c r="T441" s="24">
        <f t="shared" si="5"/>
        <v>4</v>
      </c>
      <c r="U441" s="26">
        <f t="shared" si="6"/>
        <v>0.3396226415</v>
      </c>
      <c r="V441" s="26">
        <f t="shared" si="7"/>
        <v>0.3396226415</v>
      </c>
      <c r="W441" s="19">
        <f t="shared" si="8"/>
        <v>0.66</v>
      </c>
      <c r="X441" s="20">
        <f t="shared" si="9"/>
        <v>200</v>
      </c>
      <c r="Y441" s="27"/>
      <c r="Z441" s="17"/>
      <c r="AA441" s="28"/>
      <c r="AB441" s="17"/>
      <c r="AC441" s="28"/>
      <c r="AD441" s="27"/>
    </row>
    <row r="442" ht="15.75" customHeight="1">
      <c r="A442" s="16" t="s">
        <v>1485</v>
      </c>
      <c r="B442" s="16" t="s">
        <v>1492</v>
      </c>
      <c r="C442" s="16" t="s">
        <v>1493</v>
      </c>
      <c r="D442" s="17" t="s">
        <v>212</v>
      </c>
      <c r="E442" s="18" t="s">
        <v>34</v>
      </c>
      <c r="F442" s="18">
        <v>1.0</v>
      </c>
      <c r="G442" s="19">
        <f t="shared" si="1"/>
        <v>1.587329583</v>
      </c>
      <c r="H442" s="17">
        <v>45.0</v>
      </c>
      <c r="I442" s="10">
        <v>200.0</v>
      </c>
      <c r="J442" s="17">
        <v>8.0</v>
      </c>
      <c r="K442" s="17">
        <v>67.0</v>
      </c>
      <c r="L442" s="17"/>
      <c r="M442" s="20">
        <v>28.0</v>
      </c>
      <c r="N442" s="20">
        <v>3.0</v>
      </c>
      <c r="O442" s="20">
        <v>22.0</v>
      </c>
      <c r="P442" s="20">
        <f t="shared" si="2"/>
        <v>3</v>
      </c>
      <c r="Q442" s="21">
        <v>7.0</v>
      </c>
      <c r="R442" s="22">
        <f t="shared" si="3"/>
        <v>125.9977778</v>
      </c>
      <c r="S442" s="23">
        <f t="shared" si="4"/>
        <v>4.444444444</v>
      </c>
      <c r="T442" s="24">
        <f t="shared" si="5"/>
        <v>4</v>
      </c>
      <c r="U442" s="26">
        <f t="shared" si="6"/>
        <v>0.3396226415</v>
      </c>
      <c r="V442" s="26">
        <f t="shared" si="7"/>
        <v>0.4150943396</v>
      </c>
      <c r="W442" s="19">
        <f t="shared" si="8"/>
        <v>0.335</v>
      </c>
      <c r="X442" s="20">
        <f t="shared" si="9"/>
        <v>200</v>
      </c>
      <c r="Y442" s="27"/>
      <c r="Z442" s="17"/>
      <c r="AA442" s="28"/>
      <c r="AB442" s="17"/>
      <c r="AC442" s="28"/>
      <c r="AD442" s="16"/>
    </row>
    <row r="443" ht="15.75" customHeight="1">
      <c r="A443" s="27" t="s">
        <v>248</v>
      </c>
      <c r="B443" s="27" t="s">
        <v>1494</v>
      </c>
      <c r="C443" s="16" t="s">
        <v>1495</v>
      </c>
      <c r="D443" s="17" t="s">
        <v>212</v>
      </c>
      <c r="E443" s="18" t="s">
        <v>34</v>
      </c>
      <c r="F443" s="18">
        <v>1.0</v>
      </c>
      <c r="G443" s="19">
        <f t="shared" si="1"/>
        <v>1.587329583</v>
      </c>
      <c r="H443" s="17">
        <v>45.0</v>
      </c>
      <c r="I443" s="10">
        <v>200.0</v>
      </c>
      <c r="J443" s="17">
        <v>11.0</v>
      </c>
      <c r="K443" s="17">
        <v>115.0</v>
      </c>
      <c r="L443" s="17">
        <v>170.0</v>
      </c>
      <c r="M443" s="20">
        <v>22.0</v>
      </c>
      <c r="N443" s="20">
        <v>3.0</v>
      </c>
      <c r="O443" s="20">
        <v>9.0</v>
      </c>
      <c r="P443" s="20">
        <f t="shared" si="2"/>
        <v>10</v>
      </c>
      <c r="Q443" s="21">
        <v>6.0</v>
      </c>
      <c r="R443" s="22">
        <f t="shared" si="3"/>
        <v>125.9977778</v>
      </c>
      <c r="S443" s="23">
        <f t="shared" si="4"/>
        <v>4.444444444</v>
      </c>
      <c r="T443" s="24">
        <f t="shared" si="5"/>
        <v>3.666666667</v>
      </c>
      <c r="U443" s="26">
        <f t="shared" si="6"/>
        <v>0.4691943128</v>
      </c>
      <c r="V443" s="26">
        <f t="shared" si="7"/>
        <v>0.1706161137</v>
      </c>
      <c r="W443" s="19">
        <f t="shared" si="8"/>
        <v>0.575</v>
      </c>
      <c r="X443" s="20">
        <f t="shared" si="9"/>
        <v>200</v>
      </c>
      <c r="Y443" s="27"/>
      <c r="Z443" s="17"/>
      <c r="AA443" s="28"/>
      <c r="AB443" s="17"/>
      <c r="AC443" s="28"/>
      <c r="AD443" s="27"/>
    </row>
    <row r="444" ht="15.75" customHeight="1">
      <c r="A444" s="27" t="s">
        <v>248</v>
      </c>
      <c r="B444" s="27" t="s">
        <v>1496</v>
      </c>
      <c r="C444" s="16" t="s">
        <v>1497</v>
      </c>
      <c r="D444" s="17" t="s">
        <v>212</v>
      </c>
      <c r="E444" s="18" t="s">
        <v>34</v>
      </c>
      <c r="F444" s="18">
        <v>1.0</v>
      </c>
      <c r="G444" s="19">
        <f t="shared" si="1"/>
        <v>1.587329583</v>
      </c>
      <c r="H444" s="17">
        <v>45.0</v>
      </c>
      <c r="I444" s="10">
        <v>200.0</v>
      </c>
      <c r="J444" s="17">
        <v>11.0</v>
      </c>
      <c r="K444" s="17">
        <v>110.0</v>
      </c>
      <c r="L444" s="17">
        <v>180.0</v>
      </c>
      <c r="M444" s="20">
        <v>21.0</v>
      </c>
      <c r="N444" s="20">
        <v>3.0</v>
      </c>
      <c r="O444" s="20">
        <v>9.0</v>
      </c>
      <c r="P444" s="20">
        <f t="shared" si="2"/>
        <v>9</v>
      </c>
      <c r="Q444" s="21">
        <v>6.0</v>
      </c>
      <c r="R444" s="22">
        <f t="shared" si="3"/>
        <v>125.9977778</v>
      </c>
      <c r="S444" s="23">
        <f t="shared" si="4"/>
        <v>4.444444444</v>
      </c>
      <c r="T444" s="24">
        <f t="shared" si="5"/>
        <v>3.5</v>
      </c>
      <c r="U444" s="26">
        <f t="shared" si="6"/>
        <v>0.4782608696</v>
      </c>
      <c r="V444" s="26">
        <f t="shared" si="7"/>
        <v>0.1739130435</v>
      </c>
      <c r="W444" s="19">
        <f t="shared" si="8"/>
        <v>0.55</v>
      </c>
      <c r="X444" s="20">
        <f t="shared" si="9"/>
        <v>200</v>
      </c>
      <c r="Y444" s="27"/>
      <c r="Z444" s="17"/>
      <c r="AA444" s="28"/>
      <c r="AB444" s="17"/>
      <c r="AC444" s="28"/>
      <c r="AD444" s="27"/>
    </row>
    <row r="445" ht="15.75" customHeight="1">
      <c r="A445" s="27" t="s">
        <v>248</v>
      </c>
      <c r="B445" s="27" t="s">
        <v>1498</v>
      </c>
      <c r="C445" s="16" t="s">
        <v>1499</v>
      </c>
      <c r="D445" s="17" t="s">
        <v>212</v>
      </c>
      <c r="E445" s="18" t="s">
        <v>34</v>
      </c>
      <c r="F445" s="18">
        <v>1.0</v>
      </c>
      <c r="G445" s="19">
        <f t="shared" si="1"/>
        <v>1.587329583</v>
      </c>
      <c r="H445" s="17">
        <v>45.0</v>
      </c>
      <c r="I445" s="10">
        <v>200.0</v>
      </c>
      <c r="J445" s="17">
        <v>11.0</v>
      </c>
      <c r="K445" s="17">
        <v>110.0</v>
      </c>
      <c r="L445" s="17">
        <v>180.0</v>
      </c>
      <c r="M445" s="20">
        <v>21.0</v>
      </c>
      <c r="N445" s="20">
        <v>3.0</v>
      </c>
      <c r="O445" s="20">
        <v>9.0</v>
      </c>
      <c r="P445" s="20">
        <f t="shared" si="2"/>
        <v>9</v>
      </c>
      <c r="Q445" s="21">
        <v>6.0</v>
      </c>
      <c r="R445" s="22">
        <f t="shared" si="3"/>
        <v>125.9977778</v>
      </c>
      <c r="S445" s="23">
        <f t="shared" si="4"/>
        <v>4.444444444</v>
      </c>
      <c r="T445" s="24">
        <f t="shared" si="5"/>
        <v>3.5</v>
      </c>
      <c r="U445" s="26">
        <f t="shared" si="6"/>
        <v>0.4782608696</v>
      </c>
      <c r="V445" s="26">
        <f t="shared" si="7"/>
        <v>0.1739130435</v>
      </c>
      <c r="W445" s="19">
        <f t="shared" si="8"/>
        <v>0.55</v>
      </c>
      <c r="X445" s="20">
        <f t="shared" si="9"/>
        <v>200</v>
      </c>
      <c r="Y445" s="27"/>
      <c r="Z445" s="17"/>
      <c r="AA445" s="28"/>
      <c r="AB445" s="17"/>
      <c r="AC445" s="28"/>
      <c r="AD445" s="27"/>
    </row>
    <row r="446" ht="15.75" customHeight="1">
      <c r="A446" s="27" t="s">
        <v>248</v>
      </c>
      <c r="B446" s="27" t="s">
        <v>1500</v>
      </c>
      <c r="C446" s="16" t="s">
        <v>1501</v>
      </c>
      <c r="D446" s="17" t="s">
        <v>212</v>
      </c>
      <c r="E446" s="18" t="s">
        <v>34</v>
      </c>
      <c r="F446" s="18">
        <v>1.0</v>
      </c>
      <c r="G446" s="19">
        <f t="shared" si="1"/>
        <v>1.587329583</v>
      </c>
      <c r="H446" s="17">
        <v>45.0</v>
      </c>
      <c r="I446" s="10">
        <v>200.0</v>
      </c>
      <c r="J446" s="17">
        <v>11.0</v>
      </c>
      <c r="K446" s="17">
        <v>110.0</v>
      </c>
      <c r="L446" s="17">
        <v>200.0</v>
      </c>
      <c r="M446" s="20">
        <v>21.0</v>
      </c>
      <c r="N446" s="20">
        <v>3.0</v>
      </c>
      <c r="O446" s="20">
        <v>7.0</v>
      </c>
      <c r="P446" s="20">
        <f t="shared" si="2"/>
        <v>11</v>
      </c>
      <c r="Q446" s="21">
        <v>7.0</v>
      </c>
      <c r="R446" s="22">
        <f t="shared" si="3"/>
        <v>125.9977778</v>
      </c>
      <c r="S446" s="23">
        <f t="shared" si="4"/>
        <v>4.444444444</v>
      </c>
      <c r="T446" s="24">
        <f t="shared" si="5"/>
        <v>3</v>
      </c>
      <c r="U446" s="26">
        <f t="shared" si="6"/>
        <v>0.4691943128</v>
      </c>
      <c r="V446" s="26">
        <f t="shared" si="7"/>
        <v>0.1327014218</v>
      </c>
      <c r="W446" s="19">
        <f t="shared" si="8"/>
        <v>0.55</v>
      </c>
      <c r="X446" s="20">
        <f t="shared" si="9"/>
        <v>200</v>
      </c>
      <c r="Y446" s="27"/>
      <c r="Z446" s="17"/>
      <c r="AA446" s="28"/>
      <c r="AB446" s="17"/>
      <c r="AC446" s="28"/>
      <c r="AD446" s="27"/>
    </row>
    <row r="447" ht="15.75" customHeight="1">
      <c r="A447" s="16" t="s">
        <v>1502</v>
      </c>
      <c r="B447" s="16" t="s">
        <v>1503</v>
      </c>
      <c r="C447" s="16" t="s">
        <v>1504</v>
      </c>
      <c r="D447" s="17" t="s">
        <v>212</v>
      </c>
      <c r="E447" s="18" t="s">
        <v>34</v>
      </c>
      <c r="F447" s="18">
        <v>1.0</v>
      </c>
      <c r="G447" s="19">
        <f t="shared" si="1"/>
        <v>1.587329583</v>
      </c>
      <c r="H447" s="17">
        <v>45.0</v>
      </c>
      <c r="I447" s="10">
        <v>200.0</v>
      </c>
      <c r="J447" s="17">
        <v>10.0</v>
      </c>
      <c r="K447" s="17">
        <v>115.0</v>
      </c>
      <c r="L447" s="17"/>
      <c r="M447" s="20">
        <v>21.0</v>
      </c>
      <c r="N447" s="20">
        <v>4.0</v>
      </c>
      <c r="O447" s="20">
        <v>8.0</v>
      </c>
      <c r="P447" s="20">
        <f t="shared" si="2"/>
        <v>9</v>
      </c>
      <c r="Q447" s="21">
        <v>8.0</v>
      </c>
      <c r="R447" s="22">
        <f t="shared" si="3"/>
        <v>125.9977778</v>
      </c>
      <c r="S447" s="23">
        <f t="shared" si="4"/>
        <v>4.444444444</v>
      </c>
      <c r="T447" s="24">
        <f t="shared" si="5"/>
        <v>2.625</v>
      </c>
      <c r="U447" s="26">
        <f t="shared" si="6"/>
        <v>0.4368932039</v>
      </c>
      <c r="V447" s="26">
        <f t="shared" si="7"/>
        <v>0.1553398058</v>
      </c>
      <c r="W447" s="19">
        <f t="shared" si="8"/>
        <v>0.575</v>
      </c>
      <c r="X447" s="20">
        <f t="shared" si="9"/>
        <v>200</v>
      </c>
      <c r="Y447" s="27"/>
      <c r="Z447" s="17"/>
      <c r="AA447" s="28"/>
      <c r="AB447" s="17"/>
      <c r="AC447" s="28"/>
      <c r="AD447" s="27"/>
    </row>
    <row r="448" ht="15.75" customHeight="1">
      <c r="A448" s="27" t="s">
        <v>1505</v>
      </c>
      <c r="B448" s="27" t="s">
        <v>1506</v>
      </c>
      <c r="C448" s="16" t="s">
        <v>1507</v>
      </c>
      <c r="D448" s="17" t="s">
        <v>212</v>
      </c>
      <c r="E448" s="18" t="s">
        <v>34</v>
      </c>
      <c r="F448" s="18">
        <v>1.0</v>
      </c>
      <c r="G448" s="19">
        <f t="shared" si="1"/>
        <v>1.587329583</v>
      </c>
      <c r="H448" s="17">
        <v>45.0</v>
      </c>
      <c r="I448" s="10">
        <v>200.0</v>
      </c>
      <c r="J448" s="17">
        <v>9.0</v>
      </c>
      <c r="K448" s="17">
        <v>300.0</v>
      </c>
      <c r="L448" s="17">
        <v>90.0</v>
      </c>
      <c r="M448" s="20">
        <v>19.0</v>
      </c>
      <c r="N448" s="20">
        <v>1.0</v>
      </c>
      <c r="O448" s="20">
        <v>14.0</v>
      </c>
      <c r="P448" s="20">
        <f t="shared" si="2"/>
        <v>4</v>
      </c>
      <c r="Q448" s="21">
        <v>11.0</v>
      </c>
      <c r="R448" s="22">
        <f t="shared" si="3"/>
        <v>125.9977778</v>
      </c>
      <c r="S448" s="23">
        <f t="shared" si="4"/>
        <v>4.444444444</v>
      </c>
      <c r="T448" s="24">
        <f t="shared" si="5"/>
        <v>1.727272727</v>
      </c>
      <c r="U448" s="26">
        <f t="shared" si="6"/>
        <v>0.4029850746</v>
      </c>
      <c r="V448" s="26">
        <f t="shared" si="7"/>
        <v>0.2786069652</v>
      </c>
      <c r="W448" s="19">
        <f t="shared" si="8"/>
        <v>1.5</v>
      </c>
      <c r="X448" s="20">
        <f t="shared" si="9"/>
        <v>200</v>
      </c>
      <c r="Y448" s="27"/>
      <c r="Z448" s="17"/>
      <c r="AA448" s="28"/>
      <c r="AB448" s="17"/>
      <c r="AC448" s="28"/>
      <c r="AD448" s="27"/>
    </row>
    <row r="449" ht="15.75" customHeight="1">
      <c r="A449" s="27" t="s">
        <v>1414</v>
      </c>
      <c r="B449" s="27" t="s">
        <v>1508</v>
      </c>
      <c r="C449" s="16" t="s">
        <v>1509</v>
      </c>
      <c r="D449" s="17" t="s">
        <v>119</v>
      </c>
      <c r="E449" s="18" t="s">
        <v>34</v>
      </c>
      <c r="F449" s="18">
        <v>1.0</v>
      </c>
      <c r="G449" s="19">
        <f t="shared" si="1"/>
        <v>1.516781601</v>
      </c>
      <c r="H449" s="17">
        <v>43.0</v>
      </c>
      <c r="I449" s="10">
        <v>190.0</v>
      </c>
      <c r="J449" s="17">
        <v>7.0</v>
      </c>
      <c r="K449" s="17">
        <v>830.0</v>
      </c>
      <c r="L449" s="17"/>
      <c r="M449" s="20">
        <v>26.0</v>
      </c>
      <c r="N449" s="20">
        <v>1.0</v>
      </c>
      <c r="O449" s="20">
        <v>1.0</v>
      </c>
      <c r="P449" s="20">
        <f t="shared" si="2"/>
        <v>24</v>
      </c>
      <c r="Q449" s="21">
        <v>4.0</v>
      </c>
      <c r="R449" s="22">
        <f t="shared" si="3"/>
        <v>125.2652326</v>
      </c>
      <c r="S449" s="23">
        <f t="shared" si="4"/>
        <v>4.418604651</v>
      </c>
      <c r="T449" s="24">
        <f t="shared" si="5"/>
        <v>6.5</v>
      </c>
      <c r="U449" s="26">
        <f t="shared" si="6"/>
        <v>0.3442622951</v>
      </c>
      <c r="V449" s="26">
        <f t="shared" si="7"/>
        <v>0.0218579235</v>
      </c>
      <c r="W449" s="19">
        <f t="shared" si="8"/>
        <v>4.368421053</v>
      </c>
      <c r="X449" s="20">
        <f t="shared" si="9"/>
        <v>190</v>
      </c>
      <c r="Y449" s="27"/>
      <c r="Z449" s="17"/>
      <c r="AA449" s="28"/>
      <c r="AB449" s="17"/>
      <c r="AC449" s="28"/>
      <c r="AD449" s="27"/>
    </row>
    <row r="450" ht="15.75" customHeight="1">
      <c r="A450" s="27" t="s">
        <v>104</v>
      </c>
      <c r="B450" s="27" t="s">
        <v>1510</v>
      </c>
      <c r="C450" s="16" t="s">
        <v>1511</v>
      </c>
      <c r="D450" s="17" t="s">
        <v>203</v>
      </c>
      <c r="E450" s="18" t="s">
        <v>34</v>
      </c>
      <c r="F450" s="18">
        <v>1.0</v>
      </c>
      <c r="G450" s="19">
        <f t="shared" si="1"/>
        <v>1.516781601</v>
      </c>
      <c r="H450" s="17">
        <v>43.0</v>
      </c>
      <c r="I450" s="10">
        <v>190.0</v>
      </c>
      <c r="J450" s="17">
        <v>10.0</v>
      </c>
      <c r="K450" s="17">
        <v>0.0</v>
      </c>
      <c r="L450" s="17">
        <v>200.0</v>
      </c>
      <c r="M450" s="20">
        <v>23.0</v>
      </c>
      <c r="N450" s="20">
        <v>3.0</v>
      </c>
      <c r="O450" s="20">
        <v>16.0</v>
      </c>
      <c r="P450" s="20">
        <f t="shared" si="2"/>
        <v>4</v>
      </c>
      <c r="Q450" s="21">
        <v>4.0</v>
      </c>
      <c r="R450" s="22">
        <f t="shared" si="3"/>
        <v>125.2652326</v>
      </c>
      <c r="S450" s="23">
        <f t="shared" si="4"/>
        <v>4.418604651</v>
      </c>
      <c r="T450" s="24">
        <f t="shared" si="5"/>
        <v>5.75</v>
      </c>
      <c r="U450" s="26">
        <f t="shared" si="6"/>
        <v>0.4545454545</v>
      </c>
      <c r="V450" s="26">
        <f t="shared" si="7"/>
        <v>0.3232323232</v>
      </c>
      <c r="W450" s="19">
        <f t="shared" si="8"/>
        <v>0</v>
      </c>
      <c r="X450" s="20">
        <f t="shared" si="9"/>
        <v>190</v>
      </c>
      <c r="Y450" s="27"/>
      <c r="Z450" s="17"/>
      <c r="AA450" s="28"/>
      <c r="AB450" s="17"/>
      <c r="AC450" s="28"/>
      <c r="AD450" s="16"/>
    </row>
    <row r="451" ht="15.75" customHeight="1">
      <c r="A451" s="27" t="s">
        <v>1512</v>
      </c>
      <c r="B451" s="27" t="s">
        <v>1097</v>
      </c>
      <c r="C451" s="16" t="s">
        <v>1513</v>
      </c>
      <c r="D451" s="17" t="s">
        <v>130</v>
      </c>
      <c r="E451" s="18" t="s">
        <v>34</v>
      </c>
      <c r="F451" s="18">
        <v>1.0</v>
      </c>
      <c r="G451" s="19">
        <f t="shared" si="1"/>
        <v>1.918905095</v>
      </c>
      <c r="H451" s="17">
        <v>54.4</v>
      </c>
      <c r="I451" s="10">
        <v>240.0</v>
      </c>
      <c r="J451" s="17">
        <v>7.0</v>
      </c>
      <c r="K451" s="17">
        <v>90.0</v>
      </c>
      <c r="L451" s="17"/>
      <c r="M451" s="20">
        <v>42.0</v>
      </c>
      <c r="N451" s="20">
        <v>1.0</v>
      </c>
      <c r="O451" s="20">
        <v>36.0</v>
      </c>
      <c r="P451" s="20">
        <f t="shared" si="2"/>
        <v>5</v>
      </c>
      <c r="Q451" s="21">
        <v>1.0</v>
      </c>
      <c r="R451" s="22">
        <f t="shared" si="3"/>
        <v>125.0713235</v>
      </c>
      <c r="S451" s="23">
        <f t="shared" si="4"/>
        <v>4.411764706</v>
      </c>
      <c r="T451" s="24">
        <f t="shared" si="5"/>
        <v>42</v>
      </c>
      <c r="U451" s="26">
        <f t="shared" si="6"/>
        <v>0.2680851064</v>
      </c>
      <c r="V451" s="26">
        <f t="shared" si="7"/>
        <v>0.6127659574</v>
      </c>
      <c r="W451" s="19">
        <f t="shared" si="8"/>
        <v>0.375</v>
      </c>
      <c r="X451" s="20">
        <f t="shared" si="9"/>
        <v>240</v>
      </c>
      <c r="Y451" s="27"/>
      <c r="Z451" s="17"/>
      <c r="AA451" s="17"/>
      <c r="AB451" s="17"/>
      <c r="AC451" s="17"/>
      <c r="AD451" s="27"/>
    </row>
    <row r="452" ht="15.75" customHeight="1">
      <c r="A452" s="27" t="s">
        <v>1514</v>
      </c>
      <c r="B452" s="27" t="s">
        <v>1152</v>
      </c>
      <c r="C452" s="16" t="s">
        <v>1515</v>
      </c>
      <c r="D452" s="17" t="s">
        <v>212</v>
      </c>
      <c r="E452" s="18" t="s">
        <v>34</v>
      </c>
      <c r="F452" s="18">
        <v>1.0</v>
      </c>
      <c r="G452" s="19">
        <f t="shared" si="1"/>
        <v>2.398631369</v>
      </c>
      <c r="H452" s="17">
        <v>68.0</v>
      </c>
      <c r="I452" s="10">
        <v>300.0</v>
      </c>
      <c r="J452" s="17">
        <v>11.0</v>
      </c>
      <c r="K452" s="17">
        <v>330.0</v>
      </c>
      <c r="L452" s="17">
        <v>198.0</v>
      </c>
      <c r="M452" s="20">
        <v>29.0</v>
      </c>
      <c r="N452" s="20">
        <v>2.0</v>
      </c>
      <c r="O452" s="20">
        <v>16.0</v>
      </c>
      <c r="P452" s="20">
        <f t="shared" si="2"/>
        <v>11</v>
      </c>
      <c r="Q452" s="21">
        <v>20.0</v>
      </c>
      <c r="R452" s="22">
        <f t="shared" si="3"/>
        <v>125.0713235</v>
      </c>
      <c r="S452" s="23">
        <f t="shared" si="4"/>
        <v>4.411764706</v>
      </c>
      <c r="T452" s="24">
        <f t="shared" si="5"/>
        <v>1.45</v>
      </c>
      <c r="U452" s="26">
        <f t="shared" si="6"/>
        <v>0.3355932203</v>
      </c>
      <c r="V452" s="26">
        <f t="shared" si="7"/>
        <v>0.2169491525</v>
      </c>
      <c r="W452" s="19">
        <f t="shared" si="8"/>
        <v>1.1</v>
      </c>
      <c r="X452" s="20">
        <f t="shared" si="9"/>
        <v>300</v>
      </c>
      <c r="Y452" s="27"/>
      <c r="Z452" s="17"/>
      <c r="AA452" s="28"/>
      <c r="AB452" s="17"/>
      <c r="AC452" s="28"/>
      <c r="AD452" s="27"/>
    </row>
    <row r="453" ht="15.75" customHeight="1">
      <c r="A453" s="27" t="s">
        <v>1385</v>
      </c>
      <c r="B453" s="27" t="s">
        <v>1516</v>
      </c>
      <c r="C453" s="16" t="s">
        <v>1517</v>
      </c>
      <c r="D453" s="17" t="s">
        <v>212</v>
      </c>
      <c r="E453" s="18" t="s">
        <v>34</v>
      </c>
      <c r="F453" s="18">
        <v>1.0</v>
      </c>
      <c r="G453" s="19">
        <f t="shared" si="1"/>
        <v>1.763699536</v>
      </c>
      <c r="H453" s="17">
        <v>50.0</v>
      </c>
      <c r="I453" s="10">
        <v>220.0</v>
      </c>
      <c r="J453" s="17">
        <v>9.0</v>
      </c>
      <c r="K453" s="17">
        <v>20.0</v>
      </c>
      <c r="L453" s="17"/>
      <c r="M453" s="20">
        <v>32.0</v>
      </c>
      <c r="N453" s="20">
        <v>5.0</v>
      </c>
      <c r="O453" s="20">
        <v>10.0</v>
      </c>
      <c r="P453" s="20">
        <f t="shared" si="2"/>
        <v>17</v>
      </c>
      <c r="Q453" s="21">
        <v>3.0</v>
      </c>
      <c r="R453" s="22">
        <f t="shared" si="3"/>
        <v>124.7378</v>
      </c>
      <c r="S453" s="23">
        <f t="shared" si="4"/>
        <v>4.4</v>
      </c>
      <c r="T453" s="24">
        <f t="shared" si="5"/>
        <v>10.66666667</v>
      </c>
      <c r="U453" s="26">
        <f t="shared" si="6"/>
        <v>0.3665158371</v>
      </c>
      <c r="V453" s="26">
        <f t="shared" si="7"/>
        <v>0.1809954751</v>
      </c>
      <c r="W453" s="19">
        <f t="shared" si="8"/>
        <v>0.09090909091</v>
      </c>
      <c r="X453" s="20">
        <f t="shared" si="9"/>
        <v>220</v>
      </c>
      <c r="Y453" s="27"/>
      <c r="Z453" s="17"/>
      <c r="AA453" s="28"/>
      <c r="AB453" s="17"/>
      <c r="AC453" s="28"/>
      <c r="AD453" s="27"/>
    </row>
    <row r="454" ht="15.75" customHeight="1">
      <c r="A454" s="27" t="s">
        <v>1385</v>
      </c>
      <c r="B454" s="27" t="s">
        <v>1518</v>
      </c>
      <c r="C454" s="16" t="s">
        <v>1519</v>
      </c>
      <c r="D454" s="17" t="s">
        <v>212</v>
      </c>
      <c r="E454" s="18" t="s">
        <v>34</v>
      </c>
      <c r="F454" s="18">
        <v>1.0</v>
      </c>
      <c r="G454" s="19">
        <f t="shared" si="1"/>
        <v>1.763699536</v>
      </c>
      <c r="H454" s="17">
        <v>50.0</v>
      </c>
      <c r="I454" s="10">
        <v>220.0</v>
      </c>
      <c r="J454" s="17">
        <v>8.0</v>
      </c>
      <c r="K454" s="17">
        <v>35.0</v>
      </c>
      <c r="L454" s="17"/>
      <c r="M454" s="20">
        <v>33.0</v>
      </c>
      <c r="N454" s="20">
        <v>5.0</v>
      </c>
      <c r="O454" s="20">
        <v>10.0</v>
      </c>
      <c r="P454" s="20">
        <f t="shared" si="2"/>
        <v>18</v>
      </c>
      <c r="Q454" s="21">
        <v>4.0</v>
      </c>
      <c r="R454" s="22">
        <f t="shared" si="3"/>
        <v>124.7378</v>
      </c>
      <c r="S454" s="23">
        <f t="shared" si="4"/>
        <v>4.4</v>
      </c>
      <c r="T454" s="24">
        <f t="shared" si="5"/>
        <v>8.25</v>
      </c>
      <c r="U454" s="26">
        <f t="shared" si="6"/>
        <v>0.3272727273</v>
      </c>
      <c r="V454" s="26">
        <f t="shared" si="7"/>
        <v>0.1818181818</v>
      </c>
      <c r="W454" s="19">
        <f t="shared" si="8"/>
        <v>0.1590909091</v>
      </c>
      <c r="X454" s="20">
        <f t="shared" si="9"/>
        <v>220</v>
      </c>
      <c r="Y454" s="27"/>
      <c r="Z454" s="17"/>
      <c r="AA454" s="28"/>
      <c r="AB454" s="17"/>
      <c r="AC454" s="28"/>
      <c r="AD454" s="27"/>
    </row>
    <row r="455" ht="15.75" customHeight="1">
      <c r="A455" s="27" t="s">
        <v>1385</v>
      </c>
      <c r="B455" s="27" t="s">
        <v>1520</v>
      </c>
      <c r="C455" s="16" t="s">
        <v>1521</v>
      </c>
      <c r="D455" s="17" t="s">
        <v>212</v>
      </c>
      <c r="E455" s="18" t="s">
        <v>34</v>
      </c>
      <c r="F455" s="18">
        <v>1.0</v>
      </c>
      <c r="G455" s="19">
        <f t="shared" si="1"/>
        <v>1.763699536</v>
      </c>
      <c r="H455" s="17">
        <v>50.0</v>
      </c>
      <c r="I455" s="10">
        <v>220.0</v>
      </c>
      <c r="J455" s="17">
        <v>10.0</v>
      </c>
      <c r="K455" s="17">
        <v>115.0</v>
      </c>
      <c r="L455" s="17"/>
      <c r="M455" s="20">
        <v>26.0</v>
      </c>
      <c r="N455" s="20">
        <v>4.0</v>
      </c>
      <c r="O455" s="20">
        <v>10.0</v>
      </c>
      <c r="P455" s="20">
        <f t="shared" si="2"/>
        <v>12</v>
      </c>
      <c r="Q455" s="21">
        <v>8.0</v>
      </c>
      <c r="R455" s="22">
        <f t="shared" si="3"/>
        <v>124.7378</v>
      </c>
      <c r="S455" s="23">
        <f t="shared" si="4"/>
        <v>4.4</v>
      </c>
      <c r="T455" s="24">
        <f t="shared" si="5"/>
        <v>3.25</v>
      </c>
      <c r="U455" s="26">
        <f t="shared" si="6"/>
        <v>0.3982300885</v>
      </c>
      <c r="V455" s="26">
        <f t="shared" si="7"/>
        <v>0.1769911504</v>
      </c>
      <c r="W455" s="19">
        <f t="shared" si="8"/>
        <v>0.5227272727</v>
      </c>
      <c r="X455" s="20">
        <f t="shared" si="9"/>
        <v>220</v>
      </c>
      <c r="Y455" s="27"/>
      <c r="Z455" s="17"/>
      <c r="AA455" s="28"/>
      <c r="AB455" s="17"/>
      <c r="AC455" s="28"/>
      <c r="AD455" s="27"/>
    </row>
    <row r="456" ht="15.75" customHeight="1">
      <c r="A456" s="27" t="s">
        <v>1385</v>
      </c>
      <c r="B456" s="27" t="s">
        <v>1522</v>
      </c>
      <c r="C456" s="16" t="s">
        <v>1523</v>
      </c>
      <c r="D456" s="17" t="s">
        <v>212</v>
      </c>
      <c r="E456" s="18" t="s">
        <v>34</v>
      </c>
      <c r="F456" s="18">
        <v>1.0</v>
      </c>
      <c r="G456" s="19">
        <f t="shared" si="1"/>
        <v>1.763699536</v>
      </c>
      <c r="H456" s="17">
        <v>50.0</v>
      </c>
      <c r="I456" s="10">
        <v>220.0</v>
      </c>
      <c r="J456" s="17">
        <v>9.0</v>
      </c>
      <c r="K456" s="17">
        <v>85.0</v>
      </c>
      <c r="L456" s="17"/>
      <c r="M456" s="20">
        <v>26.0</v>
      </c>
      <c r="N456" s="20">
        <v>4.0</v>
      </c>
      <c r="O456" s="20">
        <v>10.0</v>
      </c>
      <c r="P456" s="20">
        <f t="shared" si="2"/>
        <v>12</v>
      </c>
      <c r="Q456" s="21">
        <v>8.0</v>
      </c>
      <c r="R456" s="22">
        <f t="shared" si="3"/>
        <v>124.7378</v>
      </c>
      <c r="S456" s="23">
        <f t="shared" si="4"/>
        <v>4.4</v>
      </c>
      <c r="T456" s="24">
        <f t="shared" si="5"/>
        <v>3.25</v>
      </c>
      <c r="U456" s="26">
        <f t="shared" si="6"/>
        <v>0.3732718894</v>
      </c>
      <c r="V456" s="26">
        <f t="shared" si="7"/>
        <v>0.1843317972</v>
      </c>
      <c r="W456" s="19">
        <f t="shared" si="8"/>
        <v>0.3863636364</v>
      </c>
      <c r="X456" s="20">
        <f t="shared" si="9"/>
        <v>220</v>
      </c>
      <c r="Y456" s="27"/>
      <c r="Z456" s="17"/>
      <c r="AA456" s="28"/>
      <c r="AB456" s="17"/>
      <c r="AC456" s="28"/>
      <c r="AD456" s="27"/>
    </row>
    <row r="457" ht="15.75" customHeight="1">
      <c r="A457" s="27" t="s">
        <v>1385</v>
      </c>
      <c r="B457" s="27" t="s">
        <v>1524</v>
      </c>
      <c r="C457" s="16" t="s">
        <v>1525</v>
      </c>
      <c r="D457" s="17" t="s">
        <v>212</v>
      </c>
      <c r="E457" s="18" t="s">
        <v>34</v>
      </c>
      <c r="F457" s="18">
        <v>1.0</v>
      </c>
      <c r="G457" s="19">
        <f t="shared" si="1"/>
        <v>1.763699536</v>
      </c>
      <c r="H457" s="17">
        <v>50.0</v>
      </c>
      <c r="I457" s="10">
        <v>220.0</v>
      </c>
      <c r="J457" s="17">
        <v>11.0</v>
      </c>
      <c r="K457" s="17">
        <v>135.0</v>
      </c>
      <c r="L457" s="17"/>
      <c r="M457" s="20">
        <v>25.0</v>
      </c>
      <c r="N457" s="20">
        <v>4.0</v>
      </c>
      <c r="O457" s="20">
        <v>10.0</v>
      </c>
      <c r="P457" s="20">
        <f t="shared" si="2"/>
        <v>11</v>
      </c>
      <c r="Q457" s="21">
        <v>8.0</v>
      </c>
      <c r="R457" s="22">
        <f t="shared" si="3"/>
        <v>124.7378</v>
      </c>
      <c r="S457" s="23">
        <f t="shared" si="4"/>
        <v>4.4</v>
      </c>
      <c r="T457" s="24">
        <f t="shared" si="5"/>
        <v>3.125</v>
      </c>
      <c r="U457" s="26">
        <f t="shared" si="6"/>
        <v>0.4285714286</v>
      </c>
      <c r="V457" s="26">
        <f t="shared" si="7"/>
        <v>0.1731601732</v>
      </c>
      <c r="W457" s="19">
        <f t="shared" si="8"/>
        <v>0.6136363636</v>
      </c>
      <c r="X457" s="20">
        <f t="shared" si="9"/>
        <v>220</v>
      </c>
      <c r="Y457" s="27"/>
      <c r="Z457" s="17"/>
      <c r="AA457" s="28"/>
      <c r="AB457" s="17"/>
      <c r="AC457" s="28"/>
      <c r="AD457" s="27"/>
    </row>
    <row r="458" ht="15.75" customHeight="1">
      <c r="A458" s="16" t="s">
        <v>1526</v>
      </c>
      <c r="B458" s="16" t="s">
        <v>1527</v>
      </c>
      <c r="C458" s="16" t="s">
        <v>1528</v>
      </c>
      <c r="D458" s="17" t="s">
        <v>563</v>
      </c>
      <c r="E458" s="18" t="s">
        <v>34</v>
      </c>
      <c r="F458" s="18">
        <v>1.0</v>
      </c>
      <c r="G458" s="19">
        <f t="shared" si="1"/>
        <v>2.010617471</v>
      </c>
      <c r="H458" s="17">
        <v>57.0</v>
      </c>
      <c r="I458" s="10">
        <v>250.0</v>
      </c>
      <c r="J458" s="17">
        <v>9.0</v>
      </c>
      <c r="K458" s="17">
        <v>65.0</v>
      </c>
      <c r="L458" s="17"/>
      <c r="M458" s="20">
        <v>37.0</v>
      </c>
      <c r="N458" s="20">
        <v>4.0</v>
      </c>
      <c r="O458" s="20">
        <v>16.0</v>
      </c>
      <c r="P458" s="20">
        <f t="shared" si="2"/>
        <v>17</v>
      </c>
      <c r="Q458" s="21">
        <v>8.0</v>
      </c>
      <c r="R458" s="22">
        <f t="shared" si="3"/>
        <v>124.3399123</v>
      </c>
      <c r="S458" s="23">
        <f t="shared" si="4"/>
        <v>4.385964912</v>
      </c>
      <c r="T458" s="24">
        <f t="shared" si="5"/>
        <v>4.625</v>
      </c>
      <c r="U458" s="26">
        <f t="shared" si="6"/>
        <v>0.3103448276</v>
      </c>
      <c r="V458" s="26">
        <f t="shared" si="7"/>
        <v>0.245210728</v>
      </c>
      <c r="W458" s="19">
        <f t="shared" si="8"/>
        <v>0.26</v>
      </c>
      <c r="X458" s="20">
        <f t="shared" si="9"/>
        <v>250</v>
      </c>
      <c r="Y458" s="27"/>
      <c r="Z458" s="17"/>
      <c r="AA458" s="28"/>
      <c r="AB458" s="17"/>
      <c r="AC458" s="28"/>
      <c r="AD458" s="27"/>
    </row>
    <row r="459" ht="15.75" customHeight="1">
      <c r="A459" s="27" t="s">
        <v>1529</v>
      </c>
      <c r="B459" s="27" t="s">
        <v>1530</v>
      </c>
      <c r="C459" s="16" t="s">
        <v>1531</v>
      </c>
      <c r="D459" s="17" t="s">
        <v>130</v>
      </c>
      <c r="E459" s="18" t="s">
        <v>34</v>
      </c>
      <c r="F459" s="18">
        <v>1.0</v>
      </c>
      <c r="G459" s="19">
        <f t="shared" si="1"/>
        <v>0.5643838516</v>
      </c>
      <c r="H459" s="17">
        <v>16.0</v>
      </c>
      <c r="I459" s="10">
        <v>70.0</v>
      </c>
      <c r="J459" s="17">
        <v>1.5</v>
      </c>
      <c r="K459" s="17">
        <v>45.0</v>
      </c>
      <c r="L459" s="17"/>
      <c r="M459" s="20">
        <v>14.0</v>
      </c>
      <c r="N459" s="20">
        <v>0.0</v>
      </c>
      <c r="O459" s="20">
        <v>10.0</v>
      </c>
      <c r="P459" s="20">
        <f t="shared" si="2"/>
        <v>4</v>
      </c>
      <c r="Q459" s="21">
        <v>0.0</v>
      </c>
      <c r="R459" s="22">
        <f t="shared" si="3"/>
        <v>124.0290625</v>
      </c>
      <c r="S459" s="23">
        <f t="shared" si="4"/>
        <v>4.375</v>
      </c>
      <c r="T459" s="24" t="str">
        <f t="shared" si="5"/>
        <v>N/A</v>
      </c>
      <c r="U459" s="26">
        <f t="shared" si="6"/>
        <v>0.1942446043</v>
      </c>
      <c r="V459" s="26">
        <f t="shared" si="7"/>
        <v>0.5755395683</v>
      </c>
      <c r="W459" s="19">
        <f t="shared" si="8"/>
        <v>0.6428571429</v>
      </c>
      <c r="X459" s="20">
        <f t="shared" si="9"/>
        <v>70</v>
      </c>
      <c r="Y459" s="27"/>
      <c r="Z459" s="17"/>
      <c r="AA459" s="28"/>
      <c r="AB459" s="17"/>
      <c r="AC459" s="28"/>
      <c r="AD459" s="16"/>
    </row>
    <row r="460" ht="15.75" customHeight="1">
      <c r="A460" s="16" t="s">
        <v>1532</v>
      </c>
      <c r="B460" s="16" t="s">
        <v>1533</v>
      </c>
      <c r="C460" s="16" t="s">
        <v>1534</v>
      </c>
      <c r="D460" s="17" t="s">
        <v>282</v>
      </c>
      <c r="E460" s="18" t="s">
        <v>34</v>
      </c>
      <c r="F460" s="18">
        <v>1.0</v>
      </c>
      <c r="G460" s="19">
        <f t="shared" si="1"/>
        <v>0.5643838516</v>
      </c>
      <c r="H460" s="17">
        <v>16.0</v>
      </c>
      <c r="I460" s="10">
        <v>70.0</v>
      </c>
      <c r="J460" s="17">
        <v>1.5</v>
      </c>
      <c r="K460" s="17">
        <v>135.0</v>
      </c>
      <c r="L460" s="17">
        <v>20.0</v>
      </c>
      <c r="M460" s="20">
        <v>12.0</v>
      </c>
      <c r="N460" s="20">
        <v>0.0</v>
      </c>
      <c r="O460" s="20">
        <v>0.0</v>
      </c>
      <c r="P460" s="20">
        <f t="shared" si="2"/>
        <v>12</v>
      </c>
      <c r="Q460" s="21">
        <v>1.0</v>
      </c>
      <c r="R460" s="22">
        <f t="shared" si="3"/>
        <v>124.0290625</v>
      </c>
      <c r="S460" s="23">
        <f t="shared" si="4"/>
        <v>4.375</v>
      </c>
      <c r="T460" s="24">
        <f t="shared" si="5"/>
        <v>12</v>
      </c>
      <c r="U460" s="26">
        <f t="shared" si="6"/>
        <v>0.2061068702</v>
      </c>
      <c r="V460" s="26" t="str">
        <f t="shared" si="7"/>
        <v>0%</v>
      </c>
      <c r="W460" s="19">
        <f t="shared" si="8"/>
        <v>1.928571429</v>
      </c>
      <c r="X460" s="20">
        <f t="shared" si="9"/>
        <v>70</v>
      </c>
      <c r="Y460" s="27"/>
      <c r="Z460" s="17"/>
      <c r="AA460" s="28"/>
      <c r="AB460" s="17"/>
      <c r="AC460" s="28"/>
      <c r="AD460" s="16"/>
    </row>
    <row r="461" ht="15.75" customHeight="1">
      <c r="A461" s="27" t="s">
        <v>1181</v>
      </c>
      <c r="B461" s="27" t="s">
        <v>1535</v>
      </c>
      <c r="C461" s="16" t="s">
        <v>1536</v>
      </c>
      <c r="D461" s="17" t="s">
        <v>212</v>
      </c>
      <c r="E461" s="18" t="s">
        <v>34</v>
      </c>
      <c r="F461" s="18">
        <v>1.0</v>
      </c>
      <c r="G461" s="19">
        <f t="shared" si="1"/>
        <v>1.693151555</v>
      </c>
      <c r="H461" s="17">
        <v>48.0</v>
      </c>
      <c r="I461" s="10">
        <v>210.0</v>
      </c>
      <c r="J461" s="17">
        <v>10.0</v>
      </c>
      <c r="K461" s="17">
        <v>5.0</v>
      </c>
      <c r="L461" s="17">
        <v>230.0</v>
      </c>
      <c r="M461" s="20">
        <v>28.0</v>
      </c>
      <c r="N461" s="20">
        <v>4.0</v>
      </c>
      <c r="O461" s="20">
        <v>20.0</v>
      </c>
      <c r="P461" s="20">
        <f t="shared" si="2"/>
        <v>4</v>
      </c>
      <c r="Q461" s="21">
        <v>3.0</v>
      </c>
      <c r="R461" s="22">
        <f t="shared" si="3"/>
        <v>124.0290625</v>
      </c>
      <c r="S461" s="23">
        <f t="shared" si="4"/>
        <v>4.375</v>
      </c>
      <c r="T461" s="24">
        <f t="shared" si="5"/>
        <v>9.333333333</v>
      </c>
      <c r="U461" s="26">
        <f t="shared" si="6"/>
        <v>0.4205607477</v>
      </c>
      <c r="V461" s="26">
        <f t="shared" si="7"/>
        <v>0.3738317757</v>
      </c>
      <c r="W461" s="19">
        <f t="shared" si="8"/>
        <v>0.02380952381</v>
      </c>
      <c r="X461" s="20">
        <f t="shared" si="9"/>
        <v>210</v>
      </c>
      <c r="Y461" s="27"/>
      <c r="Z461" s="17"/>
      <c r="AA461" s="28"/>
      <c r="AB461" s="17"/>
      <c r="AC461" s="28"/>
      <c r="AD461" s="27"/>
    </row>
    <row r="462" ht="15.75" customHeight="1">
      <c r="A462" s="27" t="s">
        <v>1537</v>
      </c>
      <c r="B462" s="27" t="s">
        <v>1538</v>
      </c>
      <c r="C462" s="16" t="s">
        <v>1539</v>
      </c>
      <c r="D462" s="17" t="s">
        <v>99</v>
      </c>
      <c r="E462" s="18" t="s">
        <v>34</v>
      </c>
      <c r="F462" s="18">
        <v>1.0</v>
      </c>
      <c r="G462" s="19">
        <f t="shared" si="1"/>
        <v>1.128767703</v>
      </c>
      <c r="H462" s="17">
        <v>32.0</v>
      </c>
      <c r="I462" s="10">
        <v>140.0</v>
      </c>
      <c r="J462" s="17">
        <v>3.5</v>
      </c>
      <c r="K462" s="17">
        <v>65.0</v>
      </c>
      <c r="L462" s="17"/>
      <c r="M462" s="20">
        <v>22.0</v>
      </c>
      <c r="N462" s="20">
        <v>0.0</v>
      </c>
      <c r="O462" s="20">
        <v>20.0</v>
      </c>
      <c r="P462" s="20">
        <f t="shared" si="2"/>
        <v>2</v>
      </c>
      <c r="Q462" s="21">
        <v>4.0</v>
      </c>
      <c r="R462" s="22">
        <f t="shared" si="3"/>
        <v>124.0290625</v>
      </c>
      <c r="S462" s="23">
        <f t="shared" si="4"/>
        <v>4.375</v>
      </c>
      <c r="T462" s="24">
        <f t="shared" si="5"/>
        <v>5.5</v>
      </c>
      <c r="U462" s="26">
        <f t="shared" si="6"/>
        <v>0.2324723247</v>
      </c>
      <c r="V462" s="26">
        <f t="shared" si="7"/>
        <v>0.5904059041</v>
      </c>
      <c r="W462" s="19">
        <f t="shared" si="8"/>
        <v>0.4642857143</v>
      </c>
      <c r="X462" s="20">
        <f t="shared" si="9"/>
        <v>140</v>
      </c>
      <c r="Y462" s="27"/>
      <c r="Z462" s="17"/>
      <c r="AA462" s="28"/>
      <c r="AB462" s="17"/>
      <c r="AC462" s="28"/>
      <c r="AD462" s="27"/>
    </row>
    <row r="463" ht="15.75" customHeight="1">
      <c r="A463" s="27" t="s">
        <v>1537</v>
      </c>
      <c r="B463" s="27" t="s">
        <v>1540</v>
      </c>
      <c r="C463" s="16" t="s">
        <v>1541</v>
      </c>
      <c r="D463" s="17" t="s">
        <v>99</v>
      </c>
      <c r="E463" s="18" t="s">
        <v>34</v>
      </c>
      <c r="F463" s="18">
        <v>1.0</v>
      </c>
      <c r="G463" s="19">
        <f t="shared" si="1"/>
        <v>1.128767703</v>
      </c>
      <c r="H463" s="17">
        <v>32.0</v>
      </c>
      <c r="I463" s="10">
        <v>140.0</v>
      </c>
      <c r="J463" s="17">
        <v>3.5</v>
      </c>
      <c r="K463" s="17">
        <v>65.0</v>
      </c>
      <c r="L463" s="17"/>
      <c r="M463" s="20">
        <v>22.0</v>
      </c>
      <c r="N463" s="20">
        <v>0.0</v>
      </c>
      <c r="O463" s="20">
        <v>21.0</v>
      </c>
      <c r="P463" s="20">
        <f t="shared" si="2"/>
        <v>1</v>
      </c>
      <c r="Q463" s="21">
        <v>4.0</v>
      </c>
      <c r="R463" s="22">
        <f t="shared" si="3"/>
        <v>124.0290625</v>
      </c>
      <c r="S463" s="23">
        <f t="shared" si="4"/>
        <v>4.375</v>
      </c>
      <c r="T463" s="24">
        <f t="shared" si="5"/>
        <v>5.5</v>
      </c>
      <c r="U463" s="26">
        <f t="shared" si="6"/>
        <v>0.2324723247</v>
      </c>
      <c r="V463" s="26">
        <f t="shared" si="7"/>
        <v>0.6199261993</v>
      </c>
      <c r="W463" s="19">
        <f t="shared" si="8"/>
        <v>0.4642857143</v>
      </c>
      <c r="X463" s="20">
        <f t="shared" si="9"/>
        <v>140</v>
      </c>
      <c r="Y463" s="27"/>
      <c r="Z463" s="17"/>
      <c r="AA463" s="28"/>
      <c r="AB463" s="17"/>
      <c r="AC463" s="28"/>
      <c r="AD463" s="16"/>
    </row>
    <row r="464" ht="15.75" customHeight="1">
      <c r="A464" s="27" t="s">
        <v>71</v>
      </c>
      <c r="B464" s="27" t="s">
        <v>1542</v>
      </c>
      <c r="C464" s="16" t="s">
        <v>1543</v>
      </c>
      <c r="D464" s="17" t="s">
        <v>33</v>
      </c>
      <c r="E464" s="18" t="s">
        <v>34</v>
      </c>
      <c r="F464" s="18">
        <v>1.0</v>
      </c>
      <c r="G464" s="19">
        <f t="shared" si="1"/>
        <v>0.2821919258</v>
      </c>
      <c r="H464" s="17">
        <v>8.0</v>
      </c>
      <c r="I464" s="10">
        <v>35.0</v>
      </c>
      <c r="J464" s="17">
        <v>2.0</v>
      </c>
      <c r="K464" s="17">
        <v>290.0</v>
      </c>
      <c r="L464" s="17"/>
      <c r="M464" s="20">
        <v>3.0</v>
      </c>
      <c r="N464" s="20">
        <v>0.0</v>
      </c>
      <c r="O464" s="20">
        <v>2.0</v>
      </c>
      <c r="P464" s="20">
        <f t="shared" si="2"/>
        <v>1</v>
      </c>
      <c r="Q464" s="21">
        <v>1.0</v>
      </c>
      <c r="R464" s="22">
        <f t="shared" si="3"/>
        <v>124.0290625</v>
      </c>
      <c r="S464" s="23">
        <f t="shared" si="4"/>
        <v>4.375</v>
      </c>
      <c r="T464" s="24">
        <f t="shared" si="5"/>
        <v>3</v>
      </c>
      <c r="U464" s="26">
        <f t="shared" si="6"/>
        <v>0.5294117647</v>
      </c>
      <c r="V464" s="26">
        <f t="shared" si="7"/>
        <v>0.2352941176</v>
      </c>
      <c r="W464" s="19">
        <f t="shared" si="8"/>
        <v>8.285714286</v>
      </c>
      <c r="X464" s="20">
        <f t="shared" si="9"/>
        <v>35</v>
      </c>
      <c r="Y464" s="27"/>
      <c r="Z464" s="17"/>
      <c r="AA464" s="28"/>
      <c r="AB464" s="17"/>
      <c r="AC464" s="28"/>
      <c r="AD464" s="16"/>
    </row>
    <row r="465" ht="15.75" customHeight="1">
      <c r="A465" s="27" t="s">
        <v>1544</v>
      </c>
      <c r="B465" s="27" t="s">
        <v>1545</v>
      </c>
      <c r="C465" s="16" t="s">
        <v>1546</v>
      </c>
      <c r="D465" s="17" t="s">
        <v>212</v>
      </c>
      <c r="E465" s="18" t="s">
        <v>34</v>
      </c>
      <c r="F465" s="18">
        <v>1.0</v>
      </c>
      <c r="G465" s="19">
        <f t="shared" si="1"/>
        <v>2.821919258</v>
      </c>
      <c r="H465" s="17">
        <v>80.0</v>
      </c>
      <c r="I465" s="10">
        <v>350.0</v>
      </c>
      <c r="J465" s="17">
        <v>12.0</v>
      </c>
      <c r="K465" s="17">
        <v>180.0</v>
      </c>
      <c r="L465" s="17"/>
      <c r="M465" s="20">
        <v>42.0</v>
      </c>
      <c r="N465" s="20">
        <v>1.0</v>
      </c>
      <c r="O465" s="20">
        <v>28.0</v>
      </c>
      <c r="P465" s="20">
        <f t="shared" si="2"/>
        <v>13</v>
      </c>
      <c r="Q465" s="21">
        <v>20.0</v>
      </c>
      <c r="R465" s="22">
        <f t="shared" si="3"/>
        <v>124.0290625</v>
      </c>
      <c r="S465" s="23">
        <f t="shared" si="4"/>
        <v>4.375</v>
      </c>
      <c r="T465" s="24">
        <f t="shared" si="5"/>
        <v>2.1</v>
      </c>
      <c r="U465" s="26">
        <f t="shared" si="6"/>
        <v>0.3033707865</v>
      </c>
      <c r="V465" s="26">
        <f t="shared" si="7"/>
        <v>0.3146067416</v>
      </c>
      <c r="W465" s="19">
        <f t="shared" si="8"/>
        <v>0.5142857143</v>
      </c>
      <c r="X465" s="20">
        <f t="shared" si="9"/>
        <v>350</v>
      </c>
      <c r="Y465" s="27"/>
      <c r="Z465" s="17"/>
      <c r="AA465" s="28"/>
      <c r="AB465" s="17"/>
      <c r="AC465" s="28"/>
      <c r="AD465" s="27"/>
    </row>
    <row r="466" ht="15.75" customHeight="1">
      <c r="A466" s="27" t="s">
        <v>1544</v>
      </c>
      <c r="B466" s="27" t="s">
        <v>530</v>
      </c>
      <c r="C466" s="16" t="s">
        <v>1547</v>
      </c>
      <c r="D466" s="17" t="s">
        <v>212</v>
      </c>
      <c r="E466" s="18" t="s">
        <v>34</v>
      </c>
      <c r="F466" s="18">
        <v>1.0</v>
      </c>
      <c r="G466" s="19">
        <f t="shared" si="1"/>
        <v>2.821919258</v>
      </c>
      <c r="H466" s="17">
        <v>80.0</v>
      </c>
      <c r="I466" s="10">
        <v>350.0</v>
      </c>
      <c r="J466" s="17">
        <v>13.0</v>
      </c>
      <c r="K466" s="17">
        <v>340.0</v>
      </c>
      <c r="L466" s="17"/>
      <c r="M466" s="20">
        <v>40.0</v>
      </c>
      <c r="N466" s="20">
        <v>1.0</v>
      </c>
      <c r="O466" s="20">
        <v>25.0</v>
      </c>
      <c r="P466" s="20">
        <f t="shared" si="2"/>
        <v>14</v>
      </c>
      <c r="Q466" s="21">
        <v>20.0</v>
      </c>
      <c r="R466" s="22">
        <f t="shared" si="3"/>
        <v>124.0290625</v>
      </c>
      <c r="S466" s="23">
        <f t="shared" si="4"/>
        <v>4.375</v>
      </c>
      <c r="T466" s="24">
        <f t="shared" si="5"/>
        <v>2</v>
      </c>
      <c r="U466" s="26">
        <f t="shared" si="6"/>
        <v>0.3277310924</v>
      </c>
      <c r="V466" s="26">
        <f t="shared" si="7"/>
        <v>0.2801120448</v>
      </c>
      <c r="W466" s="19">
        <f t="shared" si="8"/>
        <v>0.9714285714</v>
      </c>
      <c r="X466" s="20">
        <f t="shared" si="9"/>
        <v>350</v>
      </c>
      <c r="Y466" s="27"/>
      <c r="Z466" s="17"/>
      <c r="AA466" s="28"/>
      <c r="AB466" s="17"/>
      <c r="AC466" s="28"/>
      <c r="AD466" s="27"/>
    </row>
    <row r="467" ht="15.75" customHeight="1">
      <c r="A467" s="27" t="s">
        <v>1548</v>
      </c>
      <c r="B467" s="27" t="s">
        <v>1549</v>
      </c>
      <c r="C467" s="16" t="s">
        <v>1550</v>
      </c>
      <c r="D467" s="17" t="s">
        <v>212</v>
      </c>
      <c r="E467" s="18" t="s">
        <v>34</v>
      </c>
      <c r="F467" s="18">
        <v>1.0</v>
      </c>
      <c r="G467" s="19">
        <f t="shared" si="1"/>
        <v>1.693151555</v>
      </c>
      <c r="H467" s="17">
        <v>48.0</v>
      </c>
      <c r="I467" s="10">
        <v>210.0</v>
      </c>
      <c r="J467" s="17">
        <v>11.0</v>
      </c>
      <c r="K467" s="17">
        <v>240.0</v>
      </c>
      <c r="L467" s="17">
        <v>70.0</v>
      </c>
      <c r="M467" s="20">
        <v>19.0</v>
      </c>
      <c r="N467" s="20">
        <v>5.0</v>
      </c>
      <c r="O467" s="20">
        <v>1.0</v>
      </c>
      <c r="P467" s="20">
        <f t="shared" si="2"/>
        <v>13</v>
      </c>
      <c r="Q467" s="21">
        <v>15.0</v>
      </c>
      <c r="R467" s="22">
        <f t="shared" si="3"/>
        <v>124.0290625</v>
      </c>
      <c r="S467" s="23">
        <f t="shared" si="4"/>
        <v>4.375</v>
      </c>
      <c r="T467" s="24">
        <f t="shared" si="5"/>
        <v>1.266666667</v>
      </c>
      <c r="U467" s="26">
        <f t="shared" si="6"/>
        <v>0.4212765957</v>
      </c>
      <c r="V467" s="26">
        <f t="shared" si="7"/>
        <v>0.0170212766</v>
      </c>
      <c r="W467" s="19">
        <f t="shared" si="8"/>
        <v>1.142857143</v>
      </c>
      <c r="X467" s="20">
        <f t="shared" si="9"/>
        <v>210</v>
      </c>
      <c r="Y467" s="27"/>
      <c r="Z467" s="17"/>
      <c r="AA467" s="28"/>
      <c r="AB467" s="17"/>
      <c r="AC467" s="28"/>
      <c r="AD467" s="27"/>
    </row>
    <row r="468" ht="15.75" customHeight="1">
      <c r="A468" s="27" t="s">
        <v>1548</v>
      </c>
      <c r="B468" s="27" t="s">
        <v>1551</v>
      </c>
      <c r="C468" s="16" t="s">
        <v>1552</v>
      </c>
      <c r="D468" s="17" t="s">
        <v>212</v>
      </c>
      <c r="E468" s="18" t="s">
        <v>34</v>
      </c>
      <c r="F468" s="18">
        <v>1.0</v>
      </c>
      <c r="G468" s="19">
        <f t="shared" si="1"/>
        <v>1.693151555</v>
      </c>
      <c r="H468" s="17">
        <v>48.0</v>
      </c>
      <c r="I468" s="10">
        <v>210.0</v>
      </c>
      <c r="J468" s="17">
        <v>9.0</v>
      </c>
      <c r="K468" s="17">
        <v>250.0</v>
      </c>
      <c r="L468" s="17">
        <v>100.0</v>
      </c>
      <c r="M468" s="20">
        <v>17.0</v>
      </c>
      <c r="N468" s="20">
        <v>6.0</v>
      </c>
      <c r="O468" s="20">
        <v>1.0</v>
      </c>
      <c r="P468" s="20">
        <f t="shared" si="2"/>
        <v>10</v>
      </c>
      <c r="Q468" s="21">
        <v>18.0</v>
      </c>
      <c r="R468" s="22">
        <f t="shared" si="3"/>
        <v>124.0290625</v>
      </c>
      <c r="S468" s="23">
        <f t="shared" si="4"/>
        <v>4.375</v>
      </c>
      <c r="T468" s="24">
        <f t="shared" si="5"/>
        <v>0.9444444444</v>
      </c>
      <c r="U468" s="26">
        <f t="shared" si="6"/>
        <v>0.3665158371</v>
      </c>
      <c r="V468" s="26">
        <f t="shared" si="7"/>
        <v>0.01809954751</v>
      </c>
      <c r="W468" s="19">
        <f t="shared" si="8"/>
        <v>1.19047619</v>
      </c>
      <c r="X468" s="20">
        <f t="shared" si="9"/>
        <v>210</v>
      </c>
      <c r="Y468" s="27"/>
      <c r="Z468" s="17"/>
      <c r="AA468" s="28"/>
      <c r="AB468" s="17"/>
      <c r="AC468" s="28"/>
      <c r="AD468" s="27"/>
    </row>
    <row r="469" ht="15.75" customHeight="1">
      <c r="A469" s="27" t="s">
        <v>1553</v>
      </c>
      <c r="B469" s="27" t="s">
        <v>1554</v>
      </c>
      <c r="C469" s="16" t="s">
        <v>1555</v>
      </c>
      <c r="D469" s="17" t="s">
        <v>212</v>
      </c>
      <c r="E469" s="18" t="s">
        <v>34</v>
      </c>
      <c r="F469" s="18">
        <v>1.0</v>
      </c>
      <c r="G469" s="19">
        <f t="shared" si="1"/>
        <v>2.504453341</v>
      </c>
      <c r="H469" s="17">
        <v>71.0</v>
      </c>
      <c r="I469" s="10">
        <v>310.0</v>
      </c>
      <c r="J469" s="17">
        <v>15.0</v>
      </c>
      <c r="K469" s="17">
        <v>20.0</v>
      </c>
      <c r="L469" s="17">
        <v>310.0</v>
      </c>
      <c r="M469" s="20">
        <v>41.0</v>
      </c>
      <c r="N469" s="20">
        <v>7.0</v>
      </c>
      <c r="O469" s="20">
        <v>18.0</v>
      </c>
      <c r="P469" s="20">
        <f t="shared" si="2"/>
        <v>16</v>
      </c>
      <c r="Q469" s="21">
        <v>7.0</v>
      </c>
      <c r="R469" s="22">
        <f t="shared" si="3"/>
        <v>123.779507</v>
      </c>
      <c r="S469" s="23">
        <f t="shared" si="4"/>
        <v>4.366197183</v>
      </c>
      <c r="T469" s="24">
        <f t="shared" si="5"/>
        <v>5.857142857</v>
      </c>
      <c r="U469" s="26">
        <f t="shared" si="6"/>
        <v>0.4128440367</v>
      </c>
      <c r="V469" s="26">
        <f t="shared" si="7"/>
        <v>0.2201834862</v>
      </c>
      <c r="W469" s="19">
        <f t="shared" si="8"/>
        <v>0.06451612903</v>
      </c>
      <c r="X469" s="20">
        <f t="shared" si="9"/>
        <v>310</v>
      </c>
      <c r="Y469" s="27"/>
      <c r="Z469" s="17"/>
      <c r="AA469" s="28"/>
      <c r="AB469" s="17"/>
      <c r="AC469" s="28"/>
      <c r="AD469" s="27"/>
    </row>
    <row r="470" ht="15.75" customHeight="1">
      <c r="A470" s="27" t="s">
        <v>501</v>
      </c>
      <c r="B470" s="27" t="s">
        <v>1556</v>
      </c>
      <c r="C470" s="16" t="s">
        <v>1557</v>
      </c>
      <c r="D470" s="17" t="s">
        <v>130</v>
      </c>
      <c r="E470" s="18" t="s">
        <v>34</v>
      </c>
      <c r="F470" s="18">
        <v>1.0</v>
      </c>
      <c r="G470" s="19">
        <f t="shared" si="1"/>
        <v>1.375685638</v>
      </c>
      <c r="H470" s="17">
        <v>39.0</v>
      </c>
      <c r="I470" s="10">
        <v>170.0</v>
      </c>
      <c r="J470" s="17">
        <v>6.0</v>
      </c>
      <c r="K470" s="17">
        <v>100.0</v>
      </c>
      <c r="L470" s="17"/>
      <c r="M470" s="20">
        <v>28.0</v>
      </c>
      <c r="N470" s="20">
        <v>0.0</v>
      </c>
      <c r="O470" s="20">
        <v>20.0</v>
      </c>
      <c r="P470" s="20">
        <f t="shared" si="2"/>
        <v>8</v>
      </c>
      <c r="Q470" s="21">
        <v>1.0</v>
      </c>
      <c r="R470" s="22">
        <f t="shared" si="3"/>
        <v>123.5747436</v>
      </c>
      <c r="S470" s="23">
        <f t="shared" si="4"/>
        <v>4.358974359</v>
      </c>
      <c r="T470" s="24">
        <f t="shared" si="5"/>
        <v>28</v>
      </c>
      <c r="U470" s="26">
        <f t="shared" si="6"/>
        <v>0.3176470588</v>
      </c>
      <c r="V470" s="26">
        <f t="shared" si="7"/>
        <v>0.4705882353</v>
      </c>
      <c r="W470" s="19">
        <f t="shared" si="8"/>
        <v>0.5882352941</v>
      </c>
      <c r="X470" s="20">
        <f t="shared" si="9"/>
        <v>170</v>
      </c>
      <c r="Y470" s="27"/>
      <c r="Z470" s="17"/>
      <c r="AA470" s="28"/>
      <c r="AB470" s="17"/>
      <c r="AC470" s="28"/>
      <c r="AD470" s="27"/>
    </row>
    <row r="471" ht="15.75" customHeight="1">
      <c r="A471" s="27" t="s">
        <v>702</v>
      </c>
      <c r="B471" s="27" t="s">
        <v>1558</v>
      </c>
      <c r="C471" s="16" t="s">
        <v>1559</v>
      </c>
      <c r="D471" s="17" t="s">
        <v>130</v>
      </c>
      <c r="E471" s="18" t="s">
        <v>34</v>
      </c>
      <c r="F471" s="18">
        <v>1.0</v>
      </c>
      <c r="G471" s="19">
        <f t="shared" si="1"/>
        <v>1.375685638</v>
      </c>
      <c r="H471" s="17">
        <v>39.0</v>
      </c>
      <c r="I471" s="10">
        <v>170.0</v>
      </c>
      <c r="J471" s="17">
        <v>12.0</v>
      </c>
      <c r="K471" s="17">
        <v>0.0</v>
      </c>
      <c r="L471" s="17"/>
      <c r="M471" s="20">
        <v>23.0</v>
      </c>
      <c r="N471" s="20">
        <v>3.0</v>
      </c>
      <c r="O471" s="20">
        <v>20.0</v>
      </c>
      <c r="P471" s="20">
        <f t="shared" si="2"/>
        <v>0</v>
      </c>
      <c r="Q471" s="21">
        <v>2.0</v>
      </c>
      <c r="R471" s="22">
        <f t="shared" si="3"/>
        <v>123.5747436</v>
      </c>
      <c r="S471" s="23">
        <f t="shared" si="4"/>
        <v>4.358974359</v>
      </c>
      <c r="T471" s="24">
        <f t="shared" si="5"/>
        <v>11.5</v>
      </c>
      <c r="U471" s="26">
        <f t="shared" si="6"/>
        <v>0.5192307692</v>
      </c>
      <c r="V471" s="26">
        <f t="shared" si="7"/>
        <v>0.3846153846</v>
      </c>
      <c r="W471" s="19">
        <f t="shared" si="8"/>
        <v>0</v>
      </c>
      <c r="X471" s="20">
        <f t="shared" si="9"/>
        <v>170</v>
      </c>
      <c r="Y471" s="27"/>
      <c r="Z471" s="17"/>
      <c r="AA471" s="28"/>
      <c r="AB471" s="17"/>
      <c r="AC471" s="28"/>
      <c r="AD471" s="27"/>
    </row>
    <row r="472" ht="15.75" customHeight="1">
      <c r="A472" s="27" t="s">
        <v>1560</v>
      </c>
      <c r="B472" s="27" t="s">
        <v>1288</v>
      </c>
      <c r="C472" s="16" t="s">
        <v>1561</v>
      </c>
      <c r="D472" s="17" t="s">
        <v>212</v>
      </c>
      <c r="E472" s="18" t="s">
        <v>34</v>
      </c>
      <c r="F472" s="18">
        <v>1.0</v>
      </c>
      <c r="G472" s="19">
        <f t="shared" si="1"/>
        <v>2.186987425</v>
      </c>
      <c r="H472" s="17">
        <v>62.0</v>
      </c>
      <c r="I472" s="10">
        <v>270.0</v>
      </c>
      <c r="J472" s="17">
        <v>11.0</v>
      </c>
      <c r="K472" s="17">
        <v>65.0</v>
      </c>
      <c r="L472" s="17">
        <v>210.0</v>
      </c>
      <c r="M472" s="20">
        <v>31.0</v>
      </c>
      <c r="N472" s="20">
        <v>3.0</v>
      </c>
      <c r="O472" s="20">
        <v>16.0</v>
      </c>
      <c r="P472" s="20">
        <f t="shared" si="2"/>
        <v>12</v>
      </c>
      <c r="Q472" s="21">
        <v>13.0</v>
      </c>
      <c r="R472" s="22">
        <f t="shared" si="3"/>
        <v>123.4575</v>
      </c>
      <c r="S472" s="23">
        <f t="shared" si="4"/>
        <v>4.35483871</v>
      </c>
      <c r="T472" s="24">
        <f t="shared" si="5"/>
        <v>2.384615385</v>
      </c>
      <c r="U472" s="26">
        <f t="shared" si="6"/>
        <v>0.36</v>
      </c>
      <c r="V472" s="26">
        <f t="shared" si="7"/>
        <v>0.2327272727</v>
      </c>
      <c r="W472" s="19">
        <f t="shared" si="8"/>
        <v>0.2407407407</v>
      </c>
      <c r="X472" s="20">
        <f t="shared" si="9"/>
        <v>270</v>
      </c>
      <c r="Y472" s="27"/>
      <c r="Z472" s="17"/>
      <c r="AA472" s="28"/>
      <c r="AB472" s="17"/>
      <c r="AC472" s="28"/>
      <c r="AD472" s="16"/>
    </row>
    <row r="473" ht="15.75" customHeight="1">
      <c r="A473" s="27" t="s">
        <v>1271</v>
      </c>
      <c r="B473" s="27" t="s">
        <v>1562</v>
      </c>
      <c r="C473" s="16" t="s">
        <v>1563</v>
      </c>
      <c r="D473" s="17" t="s">
        <v>456</v>
      </c>
      <c r="E473" s="18" t="s">
        <v>34</v>
      </c>
      <c r="F473" s="18">
        <v>1.0</v>
      </c>
      <c r="G473" s="19">
        <f t="shared" si="1"/>
        <v>2.998289211</v>
      </c>
      <c r="H473" s="17">
        <v>85.0</v>
      </c>
      <c r="I473" s="10">
        <v>370.0</v>
      </c>
      <c r="J473" s="17">
        <v>17.0</v>
      </c>
      <c r="K473" s="17">
        <v>170.0</v>
      </c>
      <c r="L473" s="17"/>
      <c r="M473" s="20">
        <v>53.0</v>
      </c>
      <c r="N473" s="20">
        <v>1.0</v>
      </c>
      <c r="O473" s="20">
        <v>43.0</v>
      </c>
      <c r="P473" s="20">
        <f t="shared" si="2"/>
        <v>9</v>
      </c>
      <c r="Q473" s="21">
        <v>2.0</v>
      </c>
      <c r="R473" s="22">
        <f t="shared" si="3"/>
        <v>123.4037059</v>
      </c>
      <c r="S473" s="23">
        <f t="shared" si="4"/>
        <v>4.352941176</v>
      </c>
      <c r="T473" s="24">
        <f t="shared" si="5"/>
        <v>26.5</v>
      </c>
      <c r="U473" s="26">
        <f t="shared" si="6"/>
        <v>0.4101876676</v>
      </c>
      <c r="V473" s="26">
        <f t="shared" si="7"/>
        <v>0.4611260054</v>
      </c>
      <c r="W473" s="19">
        <f t="shared" si="8"/>
        <v>0.4594594595</v>
      </c>
      <c r="X473" s="20">
        <f t="shared" si="9"/>
        <v>370</v>
      </c>
      <c r="Y473" s="27"/>
      <c r="Z473" s="17"/>
      <c r="AA473" s="28"/>
      <c r="AB473" s="17"/>
      <c r="AC473" s="28"/>
      <c r="AD473" s="27"/>
    </row>
    <row r="474" ht="15.75" customHeight="1">
      <c r="A474" s="27" t="s">
        <v>1217</v>
      </c>
      <c r="B474" s="27" t="s">
        <v>1564</v>
      </c>
      <c r="C474" s="16" t="s">
        <v>1565</v>
      </c>
      <c r="D474" s="17" t="s">
        <v>212</v>
      </c>
      <c r="E474" s="18" t="s">
        <v>34</v>
      </c>
      <c r="F474" s="18">
        <v>1.0</v>
      </c>
      <c r="G474" s="19">
        <f t="shared" si="1"/>
        <v>2.998289211</v>
      </c>
      <c r="H474" s="17">
        <v>85.0</v>
      </c>
      <c r="I474" s="10">
        <v>370.0</v>
      </c>
      <c r="J474" s="17">
        <v>15.0</v>
      </c>
      <c r="K474" s="17">
        <v>25.0</v>
      </c>
      <c r="L474" s="17">
        <v>330.0</v>
      </c>
      <c r="M474" s="20">
        <v>50.0</v>
      </c>
      <c r="N474" s="20">
        <v>6.0</v>
      </c>
      <c r="O474" s="20">
        <v>21.0</v>
      </c>
      <c r="P474" s="20">
        <f t="shared" si="2"/>
        <v>23</v>
      </c>
      <c r="Q474" s="21">
        <v>8.0</v>
      </c>
      <c r="R474" s="22">
        <f t="shared" si="3"/>
        <v>123.4037059</v>
      </c>
      <c r="S474" s="23">
        <f t="shared" si="4"/>
        <v>4.352941176</v>
      </c>
      <c r="T474" s="24">
        <f t="shared" si="5"/>
        <v>6.25</v>
      </c>
      <c r="U474" s="26">
        <f t="shared" si="6"/>
        <v>0.3678474114</v>
      </c>
      <c r="V474" s="26">
        <f t="shared" si="7"/>
        <v>0.2288828338</v>
      </c>
      <c r="W474" s="19">
        <f t="shared" si="8"/>
        <v>0.06756756757</v>
      </c>
      <c r="X474" s="20">
        <f t="shared" si="9"/>
        <v>370</v>
      </c>
      <c r="Y474" s="27"/>
      <c r="Z474" s="17"/>
      <c r="AA474" s="28"/>
      <c r="AB474" s="17"/>
      <c r="AC474" s="28"/>
      <c r="AD474" s="16"/>
    </row>
    <row r="475" ht="15.75" customHeight="1">
      <c r="A475" s="27" t="s">
        <v>1217</v>
      </c>
      <c r="B475" s="27" t="s">
        <v>1566</v>
      </c>
      <c r="C475" s="16" t="s">
        <v>1567</v>
      </c>
      <c r="D475" s="17" t="s">
        <v>212</v>
      </c>
      <c r="E475" s="18" t="s">
        <v>34</v>
      </c>
      <c r="F475" s="18">
        <v>1.0</v>
      </c>
      <c r="G475" s="19">
        <f t="shared" si="1"/>
        <v>2.998289211</v>
      </c>
      <c r="H475" s="17">
        <v>85.0</v>
      </c>
      <c r="I475" s="10">
        <v>370.0</v>
      </c>
      <c r="J475" s="17">
        <v>16.0</v>
      </c>
      <c r="K475" s="17">
        <v>25.0</v>
      </c>
      <c r="L475" s="17">
        <v>320.0</v>
      </c>
      <c r="M475" s="20">
        <v>50.0</v>
      </c>
      <c r="N475" s="20">
        <v>6.0</v>
      </c>
      <c r="O475" s="20">
        <v>23.0</v>
      </c>
      <c r="P475" s="20">
        <f t="shared" si="2"/>
        <v>21</v>
      </c>
      <c r="Q475" s="21">
        <v>8.0</v>
      </c>
      <c r="R475" s="22">
        <f t="shared" si="3"/>
        <v>123.4037059</v>
      </c>
      <c r="S475" s="23">
        <f t="shared" si="4"/>
        <v>4.352941176</v>
      </c>
      <c r="T475" s="24">
        <f t="shared" si="5"/>
        <v>6.25</v>
      </c>
      <c r="U475" s="26">
        <f t="shared" si="6"/>
        <v>0.3829787234</v>
      </c>
      <c r="V475" s="26">
        <f t="shared" si="7"/>
        <v>0.2446808511</v>
      </c>
      <c r="W475" s="19">
        <f t="shared" si="8"/>
        <v>0.06756756757</v>
      </c>
      <c r="X475" s="20">
        <f t="shared" si="9"/>
        <v>370</v>
      </c>
      <c r="Y475" s="27"/>
      <c r="Z475" s="17"/>
      <c r="AA475" s="28"/>
      <c r="AB475" s="17"/>
      <c r="AC475" s="28"/>
      <c r="AD475" s="27"/>
    </row>
    <row r="476" ht="15.75" customHeight="1">
      <c r="A476" s="27" t="s">
        <v>1217</v>
      </c>
      <c r="B476" s="27" t="s">
        <v>1568</v>
      </c>
      <c r="C476" s="16" t="s">
        <v>1569</v>
      </c>
      <c r="D476" s="17" t="s">
        <v>212</v>
      </c>
      <c r="E476" s="18" t="s">
        <v>34</v>
      </c>
      <c r="F476" s="18">
        <v>1.0</v>
      </c>
      <c r="G476" s="19">
        <f t="shared" si="1"/>
        <v>2.998289211</v>
      </c>
      <c r="H476" s="17">
        <v>85.0</v>
      </c>
      <c r="I476" s="10">
        <v>370.0</v>
      </c>
      <c r="J476" s="17">
        <v>16.0</v>
      </c>
      <c r="K476" s="17">
        <v>25.0</v>
      </c>
      <c r="L476" s="17">
        <v>350.0</v>
      </c>
      <c r="M476" s="20">
        <v>50.0</v>
      </c>
      <c r="N476" s="20">
        <v>6.0</v>
      </c>
      <c r="O476" s="20">
        <v>21.0</v>
      </c>
      <c r="P476" s="20">
        <f t="shared" si="2"/>
        <v>23</v>
      </c>
      <c r="Q476" s="21">
        <v>9.0</v>
      </c>
      <c r="R476" s="22">
        <f t="shared" si="3"/>
        <v>123.4037059</v>
      </c>
      <c r="S476" s="23">
        <f t="shared" si="4"/>
        <v>4.352941176</v>
      </c>
      <c r="T476" s="24">
        <f t="shared" si="5"/>
        <v>5.555555556</v>
      </c>
      <c r="U476" s="26">
        <f t="shared" si="6"/>
        <v>0.3789473684</v>
      </c>
      <c r="V476" s="26">
        <f t="shared" si="7"/>
        <v>0.2210526316</v>
      </c>
      <c r="W476" s="19">
        <f t="shared" si="8"/>
        <v>0.06756756757</v>
      </c>
      <c r="X476" s="20">
        <f t="shared" si="9"/>
        <v>370</v>
      </c>
      <c r="Y476" s="27"/>
      <c r="Z476" s="17"/>
      <c r="AA476" s="28"/>
      <c r="AB476" s="17"/>
      <c r="AC476" s="28"/>
      <c r="AD476" s="16"/>
    </row>
    <row r="477" ht="15.75" customHeight="1">
      <c r="A477" s="27" t="s">
        <v>1217</v>
      </c>
      <c r="B477" s="27" t="s">
        <v>1570</v>
      </c>
      <c r="C477" s="16" t="s">
        <v>1571</v>
      </c>
      <c r="D477" s="17" t="s">
        <v>212</v>
      </c>
      <c r="E477" s="18" t="s">
        <v>34</v>
      </c>
      <c r="F477" s="18">
        <v>1.0</v>
      </c>
      <c r="G477" s="19">
        <f t="shared" si="1"/>
        <v>2.998289211</v>
      </c>
      <c r="H477" s="17">
        <v>85.0</v>
      </c>
      <c r="I477" s="10">
        <v>370.0</v>
      </c>
      <c r="J477" s="17">
        <v>17.0</v>
      </c>
      <c r="K477" s="17">
        <v>25.0</v>
      </c>
      <c r="L477" s="17">
        <v>390.0</v>
      </c>
      <c r="M477" s="20">
        <v>48.0</v>
      </c>
      <c r="N477" s="20">
        <v>6.0</v>
      </c>
      <c r="O477" s="20">
        <v>23.0</v>
      </c>
      <c r="P477" s="20">
        <f t="shared" si="2"/>
        <v>19</v>
      </c>
      <c r="Q477" s="21">
        <v>9.0</v>
      </c>
      <c r="R477" s="22">
        <f t="shared" si="3"/>
        <v>123.4037059</v>
      </c>
      <c r="S477" s="23">
        <f t="shared" si="4"/>
        <v>4.352941176</v>
      </c>
      <c r="T477" s="24">
        <f t="shared" si="5"/>
        <v>5.333333333</v>
      </c>
      <c r="U477" s="26">
        <f t="shared" si="6"/>
        <v>0.4015748031</v>
      </c>
      <c r="V477" s="26">
        <f t="shared" si="7"/>
        <v>0.2414698163</v>
      </c>
      <c r="W477" s="19">
        <f t="shared" si="8"/>
        <v>0.06756756757</v>
      </c>
      <c r="X477" s="20">
        <f t="shared" si="9"/>
        <v>370</v>
      </c>
      <c r="Y477" s="27"/>
      <c r="Z477" s="17"/>
      <c r="AA477" s="28"/>
      <c r="AB477" s="17"/>
      <c r="AC477" s="28"/>
      <c r="AD477" s="27"/>
    </row>
    <row r="478" ht="15.75" customHeight="1">
      <c r="A478" s="27" t="s">
        <v>1217</v>
      </c>
      <c r="B478" s="27" t="s">
        <v>1572</v>
      </c>
      <c r="C478" s="16" t="s">
        <v>1573</v>
      </c>
      <c r="D478" s="17" t="s">
        <v>212</v>
      </c>
      <c r="E478" s="18" t="s">
        <v>34</v>
      </c>
      <c r="F478" s="18">
        <v>1.0</v>
      </c>
      <c r="G478" s="19">
        <f t="shared" si="1"/>
        <v>2.998289211</v>
      </c>
      <c r="H478" s="17">
        <v>85.0</v>
      </c>
      <c r="I478" s="10">
        <v>370.0</v>
      </c>
      <c r="J478" s="17">
        <v>17.0</v>
      </c>
      <c r="K478" s="17">
        <v>25.0</v>
      </c>
      <c r="L478" s="17">
        <v>380.0</v>
      </c>
      <c r="M478" s="20">
        <v>48.0</v>
      </c>
      <c r="N478" s="20">
        <v>6.0</v>
      </c>
      <c r="O478" s="20">
        <v>21.0</v>
      </c>
      <c r="P478" s="20">
        <f t="shared" si="2"/>
        <v>21</v>
      </c>
      <c r="Q478" s="21">
        <v>10.0</v>
      </c>
      <c r="R478" s="22">
        <f t="shared" si="3"/>
        <v>123.4037059</v>
      </c>
      <c r="S478" s="23">
        <f t="shared" si="4"/>
        <v>4.352941176</v>
      </c>
      <c r="T478" s="24">
        <f t="shared" si="5"/>
        <v>4.8</v>
      </c>
      <c r="U478" s="26">
        <f t="shared" si="6"/>
        <v>0.3974025974</v>
      </c>
      <c r="V478" s="26">
        <f t="shared" si="7"/>
        <v>0.2181818182</v>
      </c>
      <c r="W478" s="19">
        <f t="shared" si="8"/>
        <v>0.06756756757</v>
      </c>
      <c r="X478" s="20">
        <f t="shared" si="9"/>
        <v>370</v>
      </c>
      <c r="Y478" s="27"/>
      <c r="Z478" s="17"/>
      <c r="AA478" s="28"/>
      <c r="AB478" s="17"/>
      <c r="AC478" s="28"/>
      <c r="AD478" s="27"/>
    </row>
    <row r="479" ht="15.75" customHeight="1">
      <c r="A479" s="27" t="s">
        <v>1574</v>
      </c>
      <c r="B479" s="27" t="s">
        <v>1575</v>
      </c>
      <c r="C479" s="16" t="s">
        <v>1576</v>
      </c>
      <c r="D479" s="17" t="s">
        <v>212</v>
      </c>
      <c r="E479" s="18" t="s">
        <v>34</v>
      </c>
      <c r="F479" s="18">
        <v>1.0</v>
      </c>
      <c r="G479" s="19">
        <f t="shared" si="1"/>
        <v>1.798973527</v>
      </c>
      <c r="H479" s="17">
        <v>51.0</v>
      </c>
      <c r="I479" s="10">
        <v>222.0</v>
      </c>
      <c r="J479" s="17">
        <v>17.0</v>
      </c>
      <c r="K479" s="17">
        <v>120.0</v>
      </c>
      <c r="L479" s="17"/>
      <c r="M479" s="20">
        <v>14.0</v>
      </c>
      <c r="N479" s="20">
        <v>4.0</v>
      </c>
      <c r="O479" s="20">
        <v>9.0</v>
      </c>
      <c r="P479" s="20">
        <f t="shared" si="2"/>
        <v>1</v>
      </c>
      <c r="Q479" s="21">
        <v>8.0</v>
      </c>
      <c r="R479" s="22">
        <f t="shared" si="3"/>
        <v>123.4037059</v>
      </c>
      <c r="S479" s="23">
        <f t="shared" si="4"/>
        <v>4.352941176</v>
      </c>
      <c r="T479" s="24">
        <f t="shared" si="5"/>
        <v>1.75</v>
      </c>
      <c r="U479" s="26">
        <f t="shared" si="6"/>
        <v>0.6348547718</v>
      </c>
      <c r="V479" s="26">
        <f t="shared" si="7"/>
        <v>0.1493775934</v>
      </c>
      <c r="W479" s="19">
        <f t="shared" si="8"/>
        <v>0.5405405405</v>
      </c>
      <c r="X479" s="20">
        <f t="shared" si="9"/>
        <v>222</v>
      </c>
      <c r="Y479" s="27"/>
      <c r="Z479" s="17"/>
      <c r="AA479" s="28"/>
      <c r="AB479" s="17"/>
      <c r="AC479" s="28"/>
      <c r="AD479" s="27"/>
    </row>
    <row r="480" ht="15.75" customHeight="1">
      <c r="A480" s="27" t="s">
        <v>1577</v>
      </c>
      <c r="B480" s="27" t="s">
        <v>312</v>
      </c>
      <c r="C480" s="16" t="s">
        <v>1578</v>
      </c>
      <c r="D480" s="17" t="s">
        <v>212</v>
      </c>
      <c r="E480" s="18" t="s">
        <v>34</v>
      </c>
      <c r="F480" s="18">
        <v>1.0</v>
      </c>
      <c r="G480" s="19">
        <f t="shared" si="1"/>
        <v>2.92774123</v>
      </c>
      <c r="H480" s="17">
        <v>83.0</v>
      </c>
      <c r="I480" s="10">
        <v>360.0</v>
      </c>
      <c r="J480" s="17">
        <v>13.0</v>
      </c>
      <c r="K480" s="17">
        <v>400.0</v>
      </c>
      <c r="L480" s="17">
        <v>190.0</v>
      </c>
      <c r="M480" s="20">
        <v>31.0</v>
      </c>
      <c r="N480" s="20">
        <v>6.0</v>
      </c>
      <c r="O480" s="20">
        <v>15.0</v>
      </c>
      <c r="P480" s="20">
        <f t="shared" si="2"/>
        <v>10</v>
      </c>
      <c r="Q480" s="21">
        <v>30.0</v>
      </c>
      <c r="R480" s="22">
        <f t="shared" si="3"/>
        <v>122.9616867</v>
      </c>
      <c r="S480" s="23">
        <f t="shared" si="4"/>
        <v>4.337349398</v>
      </c>
      <c r="T480" s="24">
        <f t="shared" si="5"/>
        <v>1.033333333</v>
      </c>
      <c r="U480" s="26">
        <f t="shared" si="6"/>
        <v>0.324099723</v>
      </c>
      <c r="V480" s="26">
        <f t="shared" si="7"/>
        <v>0.1662049861</v>
      </c>
      <c r="W480" s="19">
        <f t="shared" si="8"/>
        <v>1.111111111</v>
      </c>
      <c r="X480" s="20">
        <f t="shared" si="9"/>
        <v>360</v>
      </c>
      <c r="Y480" s="27"/>
      <c r="Z480" s="17"/>
      <c r="AA480" s="28"/>
      <c r="AB480" s="17"/>
      <c r="AC480" s="28"/>
      <c r="AD480" s="27"/>
    </row>
    <row r="481" ht="15.75" customHeight="1">
      <c r="A481" s="16" t="s">
        <v>1579</v>
      </c>
      <c r="B481" s="16" t="s">
        <v>1580</v>
      </c>
      <c r="C481" s="16" t="s">
        <v>1581</v>
      </c>
      <c r="D481" s="17" t="s">
        <v>130</v>
      </c>
      <c r="E481" s="18" t="s">
        <v>34</v>
      </c>
      <c r="F481" s="18">
        <v>1.0</v>
      </c>
      <c r="G481" s="19">
        <f t="shared" si="1"/>
        <v>2.116439443</v>
      </c>
      <c r="H481" s="17">
        <v>60.0</v>
      </c>
      <c r="I481" s="10">
        <v>260.0</v>
      </c>
      <c r="J481" s="17">
        <v>10.0</v>
      </c>
      <c r="K481" s="17">
        <v>120.0</v>
      </c>
      <c r="L481" s="17"/>
      <c r="M481" s="20">
        <v>45.0</v>
      </c>
      <c r="N481" s="20">
        <v>1.0</v>
      </c>
      <c r="O481" s="20">
        <v>32.0</v>
      </c>
      <c r="P481" s="20">
        <f t="shared" si="2"/>
        <v>12</v>
      </c>
      <c r="Q481" s="21">
        <v>3.0</v>
      </c>
      <c r="R481" s="22">
        <f t="shared" si="3"/>
        <v>122.8478333</v>
      </c>
      <c r="S481" s="23">
        <f t="shared" si="4"/>
        <v>4.333333333</v>
      </c>
      <c r="T481" s="24">
        <f t="shared" si="5"/>
        <v>15</v>
      </c>
      <c r="U481" s="26">
        <f t="shared" si="6"/>
        <v>0.3191489362</v>
      </c>
      <c r="V481" s="26">
        <f t="shared" si="7"/>
        <v>0.4539007092</v>
      </c>
      <c r="W481" s="19">
        <f t="shared" si="8"/>
        <v>0.4615384615</v>
      </c>
      <c r="X481" s="20">
        <f t="shared" si="9"/>
        <v>260</v>
      </c>
      <c r="Y481" s="27"/>
      <c r="Z481" s="17"/>
      <c r="AA481" s="28"/>
      <c r="AB481" s="17"/>
      <c r="AC481" s="28"/>
      <c r="AD481" s="27"/>
    </row>
    <row r="482" ht="15.75" customHeight="1">
      <c r="A482" s="27" t="s">
        <v>1582</v>
      </c>
      <c r="B482" s="27" t="s">
        <v>1583</v>
      </c>
      <c r="C482" s="16" t="s">
        <v>1584</v>
      </c>
      <c r="D482" s="17" t="s">
        <v>282</v>
      </c>
      <c r="E482" s="18" t="s">
        <v>34</v>
      </c>
      <c r="F482" s="18">
        <v>1.0</v>
      </c>
      <c r="G482" s="19">
        <f t="shared" si="1"/>
        <v>1.058219722</v>
      </c>
      <c r="H482" s="17">
        <v>30.0</v>
      </c>
      <c r="I482" s="10">
        <v>130.0</v>
      </c>
      <c r="J482" s="17">
        <v>3.5</v>
      </c>
      <c r="K482" s="17">
        <v>90.0</v>
      </c>
      <c r="L482" s="17">
        <v>80.0</v>
      </c>
      <c r="M482" s="20">
        <v>23.0</v>
      </c>
      <c r="N482" s="20">
        <v>2.0</v>
      </c>
      <c r="O482" s="20">
        <v>1.0</v>
      </c>
      <c r="P482" s="20">
        <f t="shared" si="2"/>
        <v>20</v>
      </c>
      <c r="Q482" s="21">
        <v>2.0</v>
      </c>
      <c r="R482" s="22">
        <f t="shared" si="3"/>
        <v>122.8478333</v>
      </c>
      <c r="S482" s="23">
        <f t="shared" si="4"/>
        <v>4.333333333</v>
      </c>
      <c r="T482" s="24">
        <f t="shared" si="5"/>
        <v>11.5</v>
      </c>
      <c r="U482" s="26">
        <f t="shared" si="6"/>
        <v>0.2395437262</v>
      </c>
      <c r="V482" s="26">
        <f t="shared" si="7"/>
        <v>0.03041825095</v>
      </c>
      <c r="W482" s="19">
        <f t="shared" si="8"/>
        <v>0.6923076923</v>
      </c>
      <c r="X482" s="20">
        <f t="shared" si="9"/>
        <v>130</v>
      </c>
      <c r="Y482" s="27"/>
      <c r="Z482" s="17"/>
      <c r="AA482" s="28"/>
      <c r="AB482" s="17"/>
      <c r="AC482" s="28"/>
      <c r="AD482" s="16"/>
    </row>
    <row r="483" ht="15.75" customHeight="1">
      <c r="A483" s="16" t="s">
        <v>1585</v>
      </c>
      <c r="B483" s="16" t="s">
        <v>1586</v>
      </c>
      <c r="C483" s="16" t="s">
        <v>1587</v>
      </c>
      <c r="D483" s="17" t="s">
        <v>119</v>
      </c>
      <c r="E483" s="18" t="s">
        <v>34</v>
      </c>
      <c r="F483" s="18">
        <v>1.0</v>
      </c>
      <c r="G483" s="19">
        <f t="shared" si="1"/>
        <v>1.058219722</v>
      </c>
      <c r="H483" s="17">
        <v>30.0</v>
      </c>
      <c r="I483" s="10">
        <v>130.0</v>
      </c>
      <c r="J483" s="17">
        <v>0.0</v>
      </c>
      <c r="K483" s="17">
        <v>2.0</v>
      </c>
      <c r="L483" s="17">
        <v>300.0</v>
      </c>
      <c r="M483" s="20">
        <v>24.0</v>
      </c>
      <c r="N483" s="20">
        <v>10.0</v>
      </c>
      <c r="O483" s="20">
        <v>2.0</v>
      </c>
      <c r="P483" s="20">
        <f t="shared" si="2"/>
        <v>12</v>
      </c>
      <c r="Q483" s="21">
        <v>7.0</v>
      </c>
      <c r="R483" s="22">
        <f t="shared" si="3"/>
        <v>122.8478333</v>
      </c>
      <c r="S483" s="23">
        <f t="shared" si="4"/>
        <v>4.333333333</v>
      </c>
      <c r="T483" s="24">
        <f t="shared" si="5"/>
        <v>3.428571429</v>
      </c>
      <c r="U483" s="26" t="str">
        <f t="shared" si="6"/>
        <v>0%</v>
      </c>
      <c r="V483" s="26">
        <f t="shared" si="7"/>
        <v>0.06451612903</v>
      </c>
      <c r="W483" s="19">
        <f t="shared" si="8"/>
        <v>0.01538461538</v>
      </c>
      <c r="X483" s="20">
        <f t="shared" si="9"/>
        <v>130</v>
      </c>
      <c r="Y483" s="27"/>
      <c r="Z483" s="17"/>
      <c r="AA483" s="28"/>
      <c r="AB483" s="17"/>
      <c r="AC483" s="28"/>
      <c r="AD483" s="27"/>
    </row>
    <row r="484" ht="15.75" customHeight="1">
      <c r="A484" s="27" t="s">
        <v>1588</v>
      </c>
      <c r="B484" s="27" t="s">
        <v>1589</v>
      </c>
      <c r="C484" s="16" t="s">
        <v>1590</v>
      </c>
      <c r="D484" s="17" t="s">
        <v>212</v>
      </c>
      <c r="E484" s="18" t="s">
        <v>34</v>
      </c>
      <c r="F484" s="18">
        <v>1.0</v>
      </c>
      <c r="G484" s="19">
        <f t="shared" si="1"/>
        <v>2.116439443</v>
      </c>
      <c r="H484" s="17">
        <v>60.0</v>
      </c>
      <c r="I484" s="10">
        <v>260.0</v>
      </c>
      <c r="J484" s="17">
        <v>11.0</v>
      </c>
      <c r="K484" s="17">
        <v>35.0</v>
      </c>
      <c r="L484" s="17"/>
      <c r="M484" s="20">
        <v>30.0</v>
      </c>
      <c r="N484" s="20">
        <v>1.0</v>
      </c>
      <c r="O484" s="20">
        <v>10.0</v>
      </c>
      <c r="P484" s="20">
        <f t="shared" si="2"/>
        <v>19</v>
      </c>
      <c r="Q484" s="21">
        <v>11.0</v>
      </c>
      <c r="R484" s="22">
        <f t="shared" si="3"/>
        <v>122.8478333</v>
      </c>
      <c r="S484" s="23">
        <f t="shared" si="4"/>
        <v>4.333333333</v>
      </c>
      <c r="T484" s="24">
        <f t="shared" si="5"/>
        <v>2.727272727</v>
      </c>
      <c r="U484" s="26">
        <f t="shared" si="6"/>
        <v>0.3764258555</v>
      </c>
      <c r="V484" s="26">
        <f t="shared" si="7"/>
        <v>0.1520912548</v>
      </c>
      <c r="W484" s="19">
        <f t="shared" si="8"/>
        <v>0.1346153846</v>
      </c>
      <c r="X484" s="20">
        <f t="shared" si="9"/>
        <v>260</v>
      </c>
      <c r="Y484" s="27"/>
      <c r="Z484" s="17"/>
      <c r="AA484" s="28"/>
      <c r="AB484" s="17"/>
      <c r="AC484" s="28"/>
      <c r="AD484" s="16"/>
    </row>
    <row r="485" ht="15.75" customHeight="1">
      <c r="A485" s="27" t="s">
        <v>1591</v>
      </c>
      <c r="B485" s="27" t="s">
        <v>1592</v>
      </c>
      <c r="C485" s="16" t="s">
        <v>1593</v>
      </c>
      <c r="D485" s="17" t="s">
        <v>212</v>
      </c>
      <c r="E485" s="18" t="s">
        <v>34</v>
      </c>
      <c r="F485" s="18">
        <v>1.0</v>
      </c>
      <c r="G485" s="19">
        <f t="shared" si="1"/>
        <v>1.305137657</v>
      </c>
      <c r="H485" s="17">
        <v>37.0</v>
      </c>
      <c r="I485" s="10">
        <v>160.0</v>
      </c>
      <c r="J485" s="17">
        <v>7.0</v>
      </c>
      <c r="K485" s="17">
        <v>50.0</v>
      </c>
      <c r="L485" s="17">
        <v>110.0</v>
      </c>
      <c r="M485" s="20">
        <v>20.0</v>
      </c>
      <c r="N485" s="20">
        <v>5.0</v>
      </c>
      <c r="O485" s="20">
        <v>4.0</v>
      </c>
      <c r="P485" s="20">
        <f t="shared" si="2"/>
        <v>11</v>
      </c>
      <c r="Q485" s="21">
        <v>5.0</v>
      </c>
      <c r="R485" s="22">
        <f t="shared" si="3"/>
        <v>122.5924324</v>
      </c>
      <c r="S485" s="23">
        <f t="shared" si="4"/>
        <v>4.324324324</v>
      </c>
      <c r="T485" s="24">
        <f t="shared" si="5"/>
        <v>4</v>
      </c>
      <c r="U485" s="26">
        <f t="shared" si="6"/>
        <v>0.3865030675</v>
      </c>
      <c r="V485" s="26">
        <f t="shared" si="7"/>
        <v>0.0981595092</v>
      </c>
      <c r="W485" s="19">
        <f t="shared" si="8"/>
        <v>0.3125</v>
      </c>
      <c r="X485" s="20">
        <f t="shared" si="9"/>
        <v>160</v>
      </c>
      <c r="Y485" s="27"/>
      <c r="Z485" s="17"/>
      <c r="AA485" s="28"/>
      <c r="AB485" s="17"/>
      <c r="AC485" s="28"/>
      <c r="AD485" s="27"/>
    </row>
    <row r="486" ht="15.75" customHeight="1">
      <c r="A486" s="27" t="s">
        <v>1594</v>
      </c>
      <c r="B486" s="27" t="s">
        <v>1318</v>
      </c>
      <c r="C486" s="16" t="s">
        <v>1595</v>
      </c>
      <c r="D486" s="17" t="s">
        <v>212</v>
      </c>
      <c r="E486" s="18" t="s">
        <v>34</v>
      </c>
      <c r="F486" s="18">
        <v>1.0</v>
      </c>
      <c r="G486" s="19">
        <f t="shared" si="1"/>
        <v>3.104111184</v>
      </c>
      <c r="H486" s="17">
        <v>88.0</v>
      </c>
      <c r="I486" s="10">
        <v>380.0</v>
      </c>
      <c r="J486" s="17">
        <v>16.0</v>
      </c>
      <c r="K486" s="17">
        <v>320.0</v>
      </c>
      <c r="L486" s="17">
        <v>100.0</v>
      </c>
      <c r="M486" s="20">
        <v>27.0</v>
      </c>
      <c r="N486" s="20">
        <v>2.0</v>
      </c>
      <c r="O486" s="20">
        <v>6.0</v>
      </c>
      <c r="P486" s="20">
        <f t="shared" si="2"/>
        <v>19</v>
      </c>
      <c r="Q486" s="21">
        <v>30.0</v>
      </c>
      <c r="R486" s="22">
        <f t="shared" si="3"/>
        <v>122.4182955</v>
      </c>
      <c r="S486" s="23">
        <f t="shared" si="4"/>
        <v>4.318181818</v>
      </c>
      <c r="T486" s="24">
        <f t="shared" si="5"/>
        <v>0.9</v>
      </c>
      <c r="U486" s="26">
        <f t="shared" si="6"/>
        <v>0.3870967742</v>
      </c>
      <c r="V486" s="26">
        <f t="shared" si="7"/>
        <v>0.06451612903</v>
      </c>
      <c r="W486" s="19">
        <f t="shared" si="8"/>
        <v>0.8421052632</v>
      </c>
      <c r="X486" s="20">
        <f t="shared" si="9"/>
        <v>380</v>
      </c>
      <c r="Y486" s="27"/>
      <c r="Z486" s="17"/>
      <c r="AA486" s="28"/>
      <c r="AB486" s="17"/>
      <c r="AC486" s="28"/>
      <c r="AD486" s="27"/>
    </row>
    <row r="487" ht="15.75" customHeight="1">
      <c r="A487" s="16" t="s">
        <v>1594</v>
      </c>
      <c r="B487" s="16" t="s">
        <v>1596</v>
      </c>
      <c r="C487" s="16" t="s">
        <v>1597</v>
      </c>
      <c r="D487" s="17" t="s">
        <v>212</v>
      </c>
      <c r="E487" s="18" t="s">
        <v>34</v>
      </c>
      <c r="F487" s="18">
        <v>1.0</v>
      </c>
      <c r="G487" s="19">
        <f t="shared" si="1"/>
        <v>3.104111184</v>
      </c>
      <c r="H487" s="17">
        <v>88.0</v>
      </c>
      <c r="I487" s="10">
        <v>380.0</v>
      </c>
      <c r="J487" s="17">
        <v>16.0</v>
      </c>
      <c r="K487" s="17">
        <v>490.0</v>
      </c>
      <c r="L487" s="17">
        <v>100.0</v>
      </c>
      <c r="M487" s="20">
        <v>27.0</v>
      </c>
      <c r="N487" s="20">
        <v>2.0</v>
      </c>
      <c r="O487" s="20">
        <v>6.0</v>
      </c>
      <c r="P487" s="20">
        <f t="shared" si="2"/>
        <v>19</v>
      </c>
      <c r="Q487" s="21">
        <v>30.0</v>
      </c>
      <c r="R487" s="22">
        <f t="shared" si="3"/>
        <v>122.4182955</v>
      </c>
      <c r="S487" s="23">
        <f t="shared" si="4"/>
        <v>4.318181818</v>
      </c>
      <c r="T487" s="24">
        <f t="shared" si="5"/>
        <v>0.9</v>
      </c>
      <c r="U487" s="26">
        <f t="shared" si="6"/>
        <v>0.3870967742</v>
      </c>
      <c r="V487" s="26">
        <f t="shared" si="7"/>
        <v>0.06451612903</v>
      </c>
      <c r="W487" s="19">
        <f t="shared" si="8"/>
        <v>1.289473684</v>
      </c>
      <c r="X487" s="20">
        <f t="shared" si="9"/>
        <v>380</v>
      </c>
      <c r="Y487" s="27"/>
      <c r="Z487" s="17"/>
      <c r="AA487" s="28"/>
      <c r="AB487" s="17"/>
      <c r="AC487" s="28"/>
      <c r="AD487" s="27"/>
    </row>
    <row r="488" ht="15.75" customHeight="1">
      <c r="A488" s="27" t="s">
        <v>1594</v>
      </c>
      <c r="B488" s="27" t="s">
        <v>436</v>
      </c>
      <c r="C488" s="16" t="s">
        <v>1598</v>
      </c>
      <c r="D488" s="17" t="s">
        <v>212</v>
      </c>
      <c r="E488" s="18" t="s">
        <v>34</v>
      </c>
      <c r="F488" s="18">
        <v>1.0</v>
      </c>
      <c r="G488" s="19">
        <f t="shared" si="1"/>
        <v>3.104111184</v>
      </c>
      <c r="H488" s="17">
        <v>88.0</v>
      </c>
      <c r="I488" s="10">
        <v>380.0</v>
      </c>
      <c r="J488" s="17">
        <v>16.0</v>
      </c>
      <c r="K488" s="17">
        <v>490.0</v>
      </c>
      <c r="L488" s="17">
        <v>100.0</v>
      </c>
      <c r="M488" s="20">
        <v>27.0</v>
      </c>
      <c r="N488" s="20">
        <v>2.0</v>
      </c>
      <c r="O488" s="20">
        <v>6.0</v>
      </c>
      <c r="P488" s="20">
        <f t="shared" si="2"/>
        <v>19</v>
      </c>
      <c r="Q488" s="21">
        <v>30.0</v>
      </c>
      <c r="R488" s="22">
        <f t="shared" si="3"/>
        <v>122.4182955</v>
      </c>
      <c r="S488" s="23">
        <f t="shared" si="4"/>
        <v>4.318181818</v>
      </c>
      <c r="T488" s="24">
        <f t="shared" si="5"/>
        <v>0.9</v>
      </c>
      <c r="U488" s="26">
        <f t="shared" si="6"/>
        <v>0.3870967742</v>
      </c>
      <c r="V488" s="26">
        <f t="shared" si="7"/>
        <v>0.06451612903</v>
      </c>
      <c r="W488" s="19">
        <f t="shared" si="8"/>
        <v>1.289473684</v>
      </c>
      <c r="X488" s="20">
        <f t="shared" si="9"/>
        <v>380</v>
      </c>
      <c r="Y488" s="27"/>
      <c r="Z488" s="17"/>
      <c r="AA488" s="28"/>
      <c r="AB488" s="17"/>
      <c r="AC488" s="28"/>
      <c r="AD488" s="27"/>
    </row>
    <row r="489" ht="15.75" customHeight="1">
      <c r="A489" s="16" t="s">
        <v>518</v>
      </c>
      <c r="B489" s="16" t="s">
        <v>1599</v>
      </c>
      <c r="C489" s="16" t="s">
        <v>1600</v>
      </c>
      <c r="D489" s="17" t="s">
        <v>318</v>
      </c>
      <c r="E489" s="18" t="s">
        <v>34</v>
      </c>
      <c r="F489" s="18">
        <v>1.0</v>
      </c>
      <c r="G489" s="19">
        <f t="shared" si="1"/>
        <v>1.798973527</v>
      </c>
      <c r="H489" s="17">
        <v>51.0</v>
      </c>
      <c r="I489" s="10">
        <v>220.0</v>
      </c>
      <c r="J489" s="17">
        <v>13.0</v>
      </c>
      <c r="K489" s="17">
        <v>85.0</v>
      </c>
      <c r="L489" s="17"/>
      <c r="M489" s="20">
        <v>17.0</v>
      </c>
      <c r="N489" s="20">
        <v>1.0</v>
      </c>
      <c r="O489" s="20">
        <v>13.0</v>
      </c>
      <c r="P489" s="20">
        <f t="shared" si="2"/>
        <v>3</v>
      </c>
      <c r="Q489" s="21">
        <v>12.0</v>
      </c>
      <c r="R489" s="22">
        <f t="shared" si="3"/>
        <v>122.2919608</v>
      </c>
      <c r="S489" s="23">
        <f t="shared" si="4"/>
        <v>4.31372549</v>
      </c>
      <c r="T489" s="24">
        <f t="shared" si="5"/>
        <v>1.416666667</v>
      </c>
      <c r="U489" s="26">
        <f t="shared" si="6"/>
        <v>0.5021459227</v>
      </c>
      <c r="V489" s="26">
        <f t="shared" si="7"/>
        <v>0.2231759657</v>
      </c>
      <c r="W489" s="19">
        <f t="shared" si="8"/>
        <v>0.3863636364</v>
      </c>
      <c r="X489" s="20">
        <f t="shared" si="9"/>
        <v>220</v>
      </c>
      <c r="Y489" s="27"/>
      <c r="Z489" s="17"/>
      <c r="AA489" s="28"/>
      <c r="AB489" s="17"/>
      <c r="AC489" s="28"/>
      <c r="AD489" s="27"/>
    </row>
    <row r="490" ht="15.75" customHeight="1">
      <c r="A490" s="16" t="s">
        <v>518</v>
      </c>
      <c r="B490" s="16" t="s">
        <v>1601</v>
      </c>
      <c r="C490" s="16" t="s">
        <v>1602</v>
      </c>
      <c r="D490" s="17" t="s">
        <v>318</v>
      </c>
      <c r="E490" s="18" t="s">
        <v>34</v>
      </c>
      <c r="F490" s="18">
        <v>1.0</v>
      </c>
      <c r="G490" s="19">
        <f t="shared" si="1"/>
        <v>1.798973527</v>
      </c>
      <c r="H490" s="17">
        <v>51.0</v>
      </c>
      <c r="I490" s="10">
        <v>220.0</v>
      </c>
      <c r="J490" s="17">
        <v>12.0</v>
      </c>
      <c r="K490" s="17">
        <v>95.0</v>
      </c>
      <c r="L490" s="17"/>
      <c r="M490" s="20">
        <v>17.0</v>
      </c>
      <c r="N490" s="20">
        <v>2.0</v>
      </c>
      <c r="O490" s="20">
        <v>13.0</v>
      </c>
      <c r="P490" s="20">
        <f t="shared" si="2"/>
        <v>2</v>
      </c>
      <c r="Q490" s="21">
        <v>12.0</v>
      </c>
      <c r="R490" s="22">
        <f t="shared" si="3"/>
        <v>122.2919608</v>
      </c>
      <c r="S490" s="23">
        <f t="shared" si="4"/>
        <v>4.31372549</v>
      </c>
      <c r="T490" s="24">
        <f t="shared" si="5"/>
        <v>1.416666667</v>
      </c>
      <c r="U490" s="26">
        <f t="shared" si="6"/>
        <v>0.4821428571</v>
      </c>
      <c r="V490" s="26">
        <f t="shared" si="7"/>
        <v>0.2321428571</v>
      </c>
      <c r="W490" s="19">
        <f t="shared" si="8"/>
        <v>0.4318181818</v>
      </c>
      <c r="X490" s="20">
        <f t="shared" si="9"/>
        <v>220</v>
      </c>
      <c r="Y490" s="27"/>
      <c r="Z490" s="17"/>
      <c r="AA490" s="28"/>
      <c r="AB490" s="17"/>
      <c r="AC490" s="28"/>
      <c r="AD490" s="27"/>
    </row>
    <row r="491" ht="15.75" customHeight="1">
      <c r="A491" s="16" t="s">
        <v>518</v>
      </c>
      <c r="B491" s="16" t="s">
        <v>1603</v>
      </c>
      <c r="C491" s="16" t="s">
        <v>1604</v>
      </c>
      <c r="D491" s="17" t="s">
        <v>318</v>
      </c>
      <c r="E491" s="18" t="s">
        <v>34</v>
      </c>
      <c r="F491" s="18">
        <v>1.0</v>
      </c>
      <c r="G491" s="19">
        <f t="shared" si="1"/>
        <v>1.798973527</v>
      </c>
      <c r="H491" s="17">
        <v>51.0</v>
      </c>
      <c r="I491" s="10">
        <v>220.0</v>
      </c>
      <c r="J491" s="17">
        <v>13.0</v>
      </c>
      <c r="K491" s="17">
        <v>90.0</v>
      </c>
      <c r="L491" s="17"/>
      <c r="M491" s="20">
        <v>16.0</v>
      </c>
      <c r="N491" s="20">
        <v>2.0</v>
      </c>
      <c r="O491" s="20">
        <v>12.0</v>
      </c>
      <c r="P491" s="20">
        <f t="shared" si="2"/>
        <v>2</v>
      </c>
      <c r="Q491" s="21">
        <v>12.0</v>
      </c>
      <c r="R491" s="22">
        <f t="shared" si="3"/>
        <v>122.2919608</v>
      </c>
      <c r="S491" s="23">
        <f t="shared" si="4"/>
        <v>4.31372549</v>
      </c>
      <c r="T491" s="24">
        <f t="shared" si="5"/>
        <v>1.333333333</v>
      </c>
      <c r="U491" s="26">
        <f t="shared" si="6"/>
        <v>0.5109170306</v>
      </c>
      <c r="V491" s="26">
        <f t="shared" si="7"/>
        <v>0.2096069869</v>
      </c>
      <c r="W491" s="19">
        <f t="shared" si="8"/>
        <v>0.4090909091</v>
      </c>
      <c r="X491" s="20">
        <f t="shared" si="9"/>
        <v>220</v>
      </c>
      <c r="Y491" s="27"/>
      <c r="Z491" s="17"/>
      <c r="AA491" s="28"/>
      <c r="AB491" s="17"/>
      <c r="AC491" s="28"/>
      <c r="AD491" s="16"/>
    </row>
    <row r="492" ht="15.75" customHeight="1">
      <c r="A492" s="27" t="s">
        <v>1605</v>
      </c>
      <c r="B492" s="27" t="s">
        <v>1606</v>
      </c>
      <c r="C492" s="16" t="s">
        <v>1607</v>
      </c>
      <c r="D492" s="17" t="s">
        <v>212</v>
      </c>
      <c r="E492" s="18" t="s">
        <v>34</v>
      </c>
      <c r="F492" s="18">
        <v>1.0</v>
      </c>
      <c r="G492" s="19">
        <f t="shared" si="1"/>
        <v>2.539727332</v>
      </c>
      <c r="H492" s="17">
        <v>72.0</v>
      </c>
      <c r="I492" s="10">
        <v>310.0</v>
      </c>
      <c r="J492" s="17">
        <v>14.0</v>
      </c>
      <c r="K492" s="17">
        <v>170.0</v>
      </c>
      <c r="L492" s="17"/>
      <c r="M492" s="20">
        <v>31.0</v>
      </c>
      <c r="N492" s="20">
        <v>7.0</v>
      </c>
      <c r="O492" s="20">
        <v>22.0</v>
      </c>
      <c r="P492" s="20">
        <f t="shared" si="2"/>
        <v>2</v>
      </c>
      <c r="Q492" s="21">
        <v>17.0</v>
      </c>
      <c r="R492" s="22">
        <f t="shared" si="3"/>
        <v>122.0603472</v>
      </c>
      <c r="S492" s="23">
        <f t="shared" si="4"/>
        <v>4.305555556</v>
      </c>
      <c r="T492" s="24">
        <f t="shared" si="5"/>
        <v>1.823529412</v>
      </c>
      <c r="U492" s="26">
        <f t="shared" si="6"/>
        <v>0.3962264151</v>
      </c>
      <c r="V492" s="26">
        <f t="shared" si="7"/>
        <v>0.2767295597</v>
      </c>
      <c r="W492" s="19">
        <f t="shared" si="8"/>
        <v>0.5483870968</v>
      </c>
      <c r="X492" s="20">
        <f t="shared" si="9"/>
        <v>310</v>
      </c>
      <c r="Y492" s="27"/>
      <c r="Z492" s="17"/>
      <c r="AA492" s="28"/>
      <c r="AB492" s="17"/>
      <c r="AC492" s="28"/>
      <c r="AD492" s="16"/>
    </row>
    <row r="493" ht="15.75" customHeight="1">
      <c r="A493" s="27" t="s">
        <v>1463</v>
      </c>
      <c r="B493" s="27" t="s">
        <v>1608</v>
      </c>
      <c r="C493" s="16" t="s">
        <v>1609</v>
      </c>
      <c r="D493" s="17" t="s">
        <v>212</v>
      </c>
      <c r="E493" s="18" t="s">
        <v>34</v>
      </c>
      <c r="F493" s="18">
        <v>1.0</v>
      </c>
      <c r="G493" s="19">
        <f t="shared" si="1"/>
        <v>5.467468562</v>
      </c>
      <c r="H493" s="17">
        <v>155.0</v>
      </c>
      <c r="I493" s="10">
        <v>665.0</v>
      </c>
      <c r="J493" s="17">
        <v>25.0</v>
      </c>
      <c r="K493" s="17">
        <v>750.0</v>
      </c>
      <c r="L493" s="17">
        <v>585.0</v>
      </c>
      <c r="M493" s="20">
        <v>100.0</v>
      </c>
      <c r="N493" s="20">
        <v>7.0</v>
      </c>
      <c r="O493" s="20">
        <v>39.0</v>
      </c>
      <c r="P493" s="20">
        <f t="shared" si="2"/>
        <v>54</v>
      </c>
      <c r="Q493" s="21">
        <v>16.0</v>
      </c>
      <c r="R493" s="22">
        <f t="shared" si="3"/>
        <v>121.6285</v>
      </c>
      <c r="S493" s="23">
        <f t="shared" si="4"/>
        <v>4.290322581</v>
      </c>
      <c r="T493" s="24">
        <f t="shared" si="5"/>
        <v>6.25</v>
      </c>
      <c r="U493" s="26">
        <f t="shared" si="6"/>
        <v>0.3265602322</v>
      </c>
      <c r="V493" s="26">
        <f t="shared" si="7"/>
        <v>0.2264150943</v>
      </c>
      <c r="W493" s="19">
        <f t="shared" si="8"/>
        <v>1.127819549</v>
      </c>
      <c r="X493" s="20">
        <f t="shared" si="9"/>
        <v>665</v>
      </c>
      <c r="Y493" s="27"/>
      <c r="Z493" s="17"/>
      <c r="AA493" s="28"/>
      <c r="AB493" s="17"/>
      <c r="AC493" s="28"/>
      <c r="AD493" s="27"/>
    </row>
    <row r="494" ht="15.75" customHeight="1">
      <c r="A494" s="27" t="s">
        <v>1463</v>
      </c>
      <c r="B494" s="27" t="s">
        <v>1610</v>
      </c>
      <c r="C494" s="16" t="s">
        <v>1611</v>
      </c>
      <c r="D494" s="17" t="s">
        <v>212</v>
      </c>
      <c r="E494" s="18" t="s">
        <v>34</v>
      </c>
      <c r="F494" s="18">
        <v>1.0</v>
      </c>
      <c r="G494" s="19">
        <f t="shared" si="1"/>
        <v>5.467468562</v>
      </c>
      <c r="H494" s="17">
        <v>155.0</v>
      </c>
      <c r="I494" s="10">
        <v>665.0</v>
      </c>
      <c r="J494" s="17">
        <v>23.0</v>
      </c>
      <c r="K494" s="17">
        <v>720.0</v>
      </c>
      <c r="L494" s="17">
        <v>930.0</v>
      </c>
      <c r="M494" s="20">
        <v>100.0</v>
      </c>
      <c r="N494" s="20">
        <v>10.0</v>
      </c>
      <c r="O494" s="20">
        <v>30.0</v>
      </c>
      <c r="P494" s="20">
        <f t="shared" si="2"/>
        <v>60</v>
      </c>
      <c r="Q494" s="21">
        <v>18.0</v>
      </c>
      <c r="R494" s="22">
        <f t="shared" si="3"/>
        <v>121.6285</v>
      </c>
      <c r="S494" s="23">
        <f t="shared" si="4"/>
        <v>4.290322581</v>
      </c>
      <c r="T494" s="24">
        <f t="shared" si="5"/>
        <v>5.555555556</v>
      </c>
      <c r="U494" s="26">
        <f t="shared" si="6"/>
        <v>0.3048600884</v>
      </c>
      <c r="V494" s="26">
        <f t="shared" si="7"/>
        <v>0.176730486</v>
      </c>
      <c r="W494" s="19">
        <f t="shared" si="8"/>
        <v>1.082706767</v>
      </c>
      <c r="X494" s="20">
        <f t="shared" si="9"/>
        <v>665</v>
      </c>
      <c r="Y494" s="27"/>
      <c r="Z494" s="17"/>
      <c r="AA494" s="28"/>
      <c r="AB494" s="17"/>
      <c r="AC494" s="28"/>
      <c r="AD494" s="27"/>
    </row>
    <row r="495" ht="15.75" customHeight="1">
      <c r="A495" s="27" t="s">
        <v>104</v>
      </c>
      <c r="B495" s="27" t="s">
        <v>1612</v>
      </c>
      <c r="C495" s="16" t="s">
        <v>1613</v>
      </c>
      <c r="D495" s="17" t="s">
        <v>81</v>
      </c>
      <c r="E495" s="18" t="s">
        <v>34</v>
      </c>
      <c r="F495" s="18">
        <v>1.0</v>
      </c>
      <c r="G495" s="19">
        <f t="shared" si="1"/>
        <v>0.9876717402</v>
      </c>
      <c r="H495" s="17">
        <v>28.0</v>
      </c>
      <c r="I495" s="10">
        <v>120.0</v>
      </c>
      <c r="J495" s="17">
        <v>0.0</v>
      </c>
      <c r="K495" s="17">
        <v>0.0</v>
      </c>
      <c r="L495" s="17"/>
      <c r="M495" s="20">
        <v>31.0</v>
      </c>
      <c r="N495" s="20">
        <v>3.0</v>
      </c>
      <c r="O495" s="20">
        <v>29.0</v>
      </c>
      <c r="P495" s="20">
        <f t="shared" si="2"/>
        <v>-1</v>
      </c>
      <c r="Q495" s="21">
        <v>1.0</v>
      </c>
      <c r="R495" s="22">
        <f t="shared" si="3"/>
        <v>121.4978571</v>
      </c>
      <c r="S495" s="23">
        <f t="shared" si="4"/>
        <v>4.285714286</v>
      </c>
      <c r="T495" s="24">
        <f t="shared" si="5"/>
        <v>31</v>
      </c>
      <c r="U495" s="26" t="str">
        <f t="shared" si="6"/>
        <v>0%</v>
      </c>
      <c r="V495" s="26">
        <f t="shared" si="7"/>
        <v>0.90625</v>
      </c>
      <c r="W495" s="19">
        <f t="shared" si="8"/>
        <v>0</v>
      </c>
      <c r="X495" s="20">
        <f t="shared" si="9"/>
        <v>120</v>
      </c>
      <c r="Y495" s="27"/>
      <c r="Z495" s="17"/>
      <c r="AA495" s="28"/>
      <c r="AB495" s="17"/>
      <c r="AC495" s="28"/>
      <c r="AD495" s="27"/>
    </row>
    <row r="496" ht="15.75" customHeight="1">
      <c r="A496" s="27" t="s">
        <v>1614</v>
      </c>
      <c r="B496" s="27" t="s">
        <v>1615</v>
      </c>
      <c r="C496" s="16" t="s">
        <v>1616</v>
      </c>
      <c r="D496" s="17" t="s">
        <v>99</v>
      </c>
      <c r="E496" s="18" t="s">
        <v>34</v>
      </c>
      <c r="F496" s="18">
        <v>1.0</v>
      </c>
      <c r="G496" s="19">
        <f t="shared" si="1"/>
        <v>0.7407538052</v>
      </c>
      <c r="H496" s="17">
        <v>21.0</v>
      </c>
      <c r="I496" s="10">
        <v>90.0</v>
      </c>
      <c r="J496" s="17">
        <v>2.0</v>
      </c>
      <c r="K496" s="17">
        <v>150.0</v>
      </c>
      <c r="L496" s="17">
        <v>270.0</v>
      </c>
      <c r="M496" s="20">
        <v>16.0</v>
      </c>
      <c r="N496" s="20">
        <v>1.0</v>
      </c>
      <c r="O496" s="20">
        <v>8.0</v>
      </c>
      <c r="P496" s="20">
        <f t="shared" si="2"/>
        <v>7</v>
      </c>
      <c r="Q496" s="21">
        <v>1.0</v>
      </c>
      <c r="R496" s="22">
        <f t="shared" si="3"/>
        <v>121.4978571</v>
      </c>
      <c r="S496" s="23">
        <f t="shared" si="4"/>
        <v>4.285714286</v>
      </c>
      <c r="T496" s="24">
        <f t="shared" si="5"/>
        <v>16</v>
      </c>
      <c r="U496" s="26">
        <f t="shared" si="6"/>
        <v>0.2093023256</v>
      </c>
      <c r="V496" s="26">
        <f t="shared" si="7"/>
        <v>0.3720930233</v>
      </c>
      <c r="W496" s="19">
        <f t="shared" si="8"/>
        <v>1.666666667</v>
      </c>
      <c r="X496" s="20">
        <f t="shared" si="9"/>
        <v>90</v>
      </c>
      <c r="Y496" s="27"/>
      <c r="Z496" s="17"/>
      <c r="AA496" s="28"/>
      <c r="AB496" s="17"/>
      <c r="AC496" s="28"/>
      <c r="AD496" s="27"/>
    </row>
    <row r="497" ht="15.75" customHeight="1">
      <c r="A497" s="27" t="s">
        <v>1617</v>
      </c>
      <c r="B497" s="27" t="s">
        <v>1618</v>
      </c>
      <c r="C497" s="16" t="s">
        <v>1619</v>
      </c>
      <c r="D497" s="17" t="s">
        <v>99</v>
      </c>
      <c r="E497" s="18" t="s">
        <v>34</v>
      </c>
      <c r="F497" s="18">
        <v>1.0</v>
      </c>
      <c r="G497" s="19">
        <f t="shared" si="1"/>
        <v>0.9876717402</v>
      </c>
      <c r="H497" s="17">
        <v>28.0</v>
      </c>
      <c r="I497" s="10">
        <v>120.0</v>
      </c>
      <c r="J497" s="17">
        <v>2.0</v>
      </c>
      <c r="K497" s="17">
        <v>0.0</v>
      </c>
      <c r="L497" s="17"/>
      <c r="M497" s="20">
        <v>22.0</v>
      </c>
      <c r="N497" s="20">
        <v>3.0</v>
      </c>
      <c r="O497" s="20">
        <v>17.0</v>
      </c>
      <c r="P497" s="20">
        <f t="shared" si="2"/>
        <v>2</v>
      </c>
      <c r="Q497" s="21">
        <v>2.0</v>
      </c>
      <c r="R497" s="22">
        <f t="shared" si="3"/>
        <v>121.4978571</v>
      </c>
      <c r="S497" s="23">
        <f t="shared" si="4"/>
        <v>4.285714286</v>
      </c>
      <c r="T497" s="24">
        <f t="shared" si="5"/>
        <v>11</v>
      </c>
      <c r="U497" s="26">
        <f t="shared" si="6"/>
        <v>0.1578947368</v>
      </c>
      <c r="V497" s="26">
        <f t="shared" si="7"/>
        <v>0.5964912281</v>
      </c>
      <c r="W497" s="19">
        <f t="shared" si="8"/>
        <v>0</v>
      </c>
      <c r="X497" s="20">
        <f t="shared" si="9"/>
        <v>120</v>
      </c>
      <c r="Y497" s="27"/>
      <c r="Z497" s="17"/>
      <c r="AA497" s="28"/>
      <c r="AB497" s="17"/>
      <c r="AC497" s="28"/>
      <c r="AD497" s="27"/>
    </row>
    <row r="498" ht="15.75" customHeight="1">
      <c r="A498" s="27" t="s">
        <v>1617</v>
      </c>
      <c r="B498" s="27" t="s">
        <v>1620</v>
      </c>
      <c r="C498" s="16" t="s">
        <v>1621</v>
      </c>
      <c r="D498" s="17" t="s">
        <v>99</v>
      </c>
      <c r="E498" s="18" t="s">
        <v>34</v>
      </c>
      <c r="F498" s="18">
        <v>1.0</v>
      </c>
      <c r="G498" s="19">
        <f t="shared" si="1"/>
        <v>0.9876717402</v>
      </c>
      <c r="H498" s="17">
        <v>28.0</v>
      </c>
      <c r="I498" s="10">
        <v>120.0</v>
      </c>
      <c r="J498" s="17">
        <v>2.5</v>
      </c>
      <c r="K498" s="17">
        <v>0.0</v>
      </c>
      <c r="L498" s="17"/>
      <c r="M498" s="20">
        <v>22.0</v>
      </c>
      <c r="N498" s="20">
        <v>3.0</v>
      </c>
      <c r="O498" s="20">
        <v>17.0</v>
      </c>
      <c r="P498" s="20">
        <f t="shared" si="2"/>
        <v>2</v>
      </c>
      <c r="Q498" s="21">
        <v>2.0</v>
      </c>
      <c r="R498" s="22">
        <f t="shared" si="3"/>
        <v>121.4978571</v>
      </c>
      <c r="S498" s="23">
        <f t="shared" si="4"/>
        <v>4.285714286</v>
      </c>
      <c r="T498" s="24">
        <f t="shared" si="5"/>
        <v>11</v>
      </c>
      <c r="U498" s="26">
        <f t="shared" si="6"/>
        <v>0.1898734177</v>
      </c>
      <c r="V498" s="26">
        <f t="shared" si="7"/>
        <v>0.5738396624</v>
      </c>
      <c r="W498" s="19">
        <f t="shared" si="8"/>
        <v>0</v>
      </c>
      <c r="X498" s="20">
        <f t="shared" si="9"/>
        <v>120</v>
      </c>
      <c r="Y498" s="27"/>
      <c r="Z498" s="17"/>
      <c r="AA498" s="28"/>
      <c r="AB498" s="17"/>
      <c r="AC498" s="28"/>
      <c r="AD498" s="27"/>
    </row>
    <row r="499" ht="15.75" customHeight="1">
      <c r="A499" s="27" t="s">
        <v>324</v>
      </c>
      <c r="B499" s="27" t="s">
        <v>1622</v>
      </c>
      <c r="C499" s="16" t="s">
        <v>1623</v>
      </c>
      <c r="D499" s="17" t="s">
        <v>212</v>
      </c>
      <c r="E499" s="18" t="s">
        <v>34</v>
      </c>
      <c r="F499" s="18">
        <v>1.0</v>
      </c>
      <c r="G499" s="19">
        <f t="shared" si="1"/>
        <v>1.48150761</v>
      </c>
      <c r="H499" s="17">
        <v>42.0</v>
      </c>
      <c r="I499" s="10">
        <v>180.0</v>
      </c>
      <c r="J499" s="17">
        <v>8.0</v>
      </c>
      <c r="K499" s="17">
        <v>125.0</v>
      </c>
      <c r="L499" s="17"/>
      <c r="M499" s="20">
        <v>25.0</v>
      </c>
      <c r="N499" s="20">
        <v>2.0</v>
      </c>
      <c r="O499" s="20">
        <v>12.0</v>
      </c>
      <c r="P499" s="20">
        <f t="shared" si="2"/>
        <v>11</v>
      </c>
      <c r="Q499" s="21">
        <v>3.0</v>
      </c>
      <c r="R499" s="22">
        <f t="shared" si="3"/>
        <v>121.4978571</v>
      </c>
      <c r="S499" s="23">
        <f t="shared" si="4"/>
        <v>4.285714286</v>
      </c>
      <c r="T499" s="24">
        <f t="shared" si="5"/>
        <v>8.333333333</v>
      </c>
      <c r="U499" s="26">
        <f t="shared" si="6"/>
        <v>0.3913043478</v>
      </c>
      <c r="V499" s="26">
        <f t="shared" si="7"/>
        <v>0.2608695652</v>
      </c>
      <c r="W499" s="19">
        <f t="shared" si="8"/>
        <v>0.6944444444</v>
      </c>
      <c r="X499" s="20">
        <f t="shared" si="9"/>
        <v>180</v>
      </c>
      <c r="Y499" s="27"/>
      <c r="Z499" s="17"/>
      <c r="AA499" s="28"/>
      <c r="AB499" s="17"/>
      <c r="AC499" s="28"/>
      <c r="AD499" s="27"/>
    </row>
    <row r="500" ht="15.75" customHeight="1">
      <c r="A500" s="27" t="s">
        <v>1624</v>
      </c>
      <c r="B500" s="27" t="s">
        <v>1143</v>
      </c>
      <c r="C500" s="16" t="s">
        <v>1625</v>
      </c>
      <c r="D500" s="17" t="s">
        <v>212</v>
      </c>
      <c r="E500" s="18" t="s">
        <v>34</v>
      </c>
      <c r="F500" s="18">
        <v>1.0</v>
      </c>
      <c r="G500" s="19">
        <f t="shared" si="1"/>
        <v>1.234589675</v>
      </c>
      <c r="H500" s="17">
        <v>35.0</v>
      </c>
      <c r="I500" s="10">
        <v>150.0</v>
      </c>
      <c r="J500" s="17">
        <v>5.0</v>
      </c>
      <c r="K500" s="17">
        <v>90.0</v>
      </c>
      <c r="L500" s="17"/>
      <c r="M500" s="20">
        <v>23.0</v>
      </c>
      <c r="N500" s="20">
        <v>2.0</v>
      </c>
      <c r="O500" s="20">
        <v>5.0</v>
      </c>
      <c r="P500" s="20">
        <f t="shared" si="2"/>
        <v>16</v>
      </c>
      <c r="Q500" s="21">
        <v>3.0</v>
      </c>
      <c r="R500" s="22">
        <f t="shared" si="3"/>
        <v>121.4978571</v>
      </c>
      <c r="S500" s="23">
        <f t="shared" si="4"/>
        <v>4.285714286</v>
      </c>
      <c r="T500" s="24">
        <f t="shared" si="5"/>
        <v>7.666666667</v>
      </c>
      <c r="U500" s="26">
        <f t="shared" si="6"/>
        <v>0.3020134228</v>
      </c>
      <c r="V500" s="26">
        <f t="shared" si="7"/>
        <v>0.1342281879</v>
      </c>
      <c r="W500" s="19">
        <f t="shared" si="8"/>
        <v>0.6</v>
      </c>
      <c r="X500" s="20">
        <f t="shared" si="9"/>
        <v>150</v>
      </c>
      <c r="Y500" s="27"/>
      <c r="Z500" s="17"/>
      <c r="AA500" s="28"/>
      <c r="AB500" s="17"/>
      <c r="AC500" s="28"/>
      <c r="AD500" s="27"/>
    </row>
    <row r="501" ht="15.75" customHeight="1">
      <c r="A501" s="27" t="s">
        <v>1624</v>
      </c>
      <c r="B501" s="27" t="s">
        <v>1626</v>
      </c>
      <c r="C501" s="16" t="s">
        <v>1627</v>
      </c>
      <c r="D501" s="17" t="s">
        <v>212</v>
      </c>
      <c r="E501" s="18" t="s">
        <v>34</v>
      </c>
      <c r="F501" s="18">
        <v>1.0</v>
      </c>
      <c r="G501" s="19">
        <f t="shared" si="1"/>
        <v>1.234589675</v>
      </c>
      <c r="H501" s="17">
        <v>35.0</v>
      </c>
      <c r="I501" s="10">
        <v>150.0</v>
      </c>
      <c r="J501" s="17">
        <v>5.0</v>
      </c>
      <c r="K501" s="17">
        <v>95.0</v>
      </c>
      <c r="L501" s="17"/>
      <c r="M501" s="20">
        <v>23.0</v>
      </c>
      <c r="N501" s="20">
        <v>2.0</v>
      </c>
      <c r="O501" s="20">
        <v>6.0</v>
      </c>
      <c r="P501" s="20">
        <f t="shared" si="2"/>
        <v>15</v>
      </c>
      <c r="Q501" s="21">
        <v>3.0</v>
      </c>
      <c r="R501" s="22">
        <f t="shared" si="3"/>
        <v>121.4978571</v>
      </c>
      <c r="S501" s="23">
        <f t="shared" si="4"/>
        <v>4.285714286</v>
      </c>
      <c r="T501" s="24">
        <f t="shared" si="5"/>
        <v>7.666666667</v>
      </c>
      <c r="U501" s="26">
        <f t="shared" si="6"/>
        <v>0.3020134228</v>
      </c>
      <c r="V501" s="26">
        <f t="shared" si="7"/>
        <v>0.1610738255</v>
      </c>
      <c r="W501" s="19">
        <f t="shared" si="8"/>
        <v>0.6333333333</v>
      </c>
      <c r="X501" s="20">
        <f t="shared" si="9"/>
        <v>150</v>
      </c>
      <c r="Y501" s="27"/>
      <c r="Z501" s="17"/>
      <c r="AA501" s="28"/>
      <c r="AB501" s="17"/>
      <c r="AC501" s="28"/>
      <c r="AD501" s="27"/>
    </row>
    <row r="502" ht="15.75" customHeight="1">
      <c r="A502" s="27" t="s">
        <v>1624</v>
      </c>
      <c r="B502" s="27" t="s">
        <v>1126</v>
      </c>
      <c r="C502" s="16" t="s">
        <v>1628</v>
      </c>
      <c r="D502" s="17" t="s">
        <v>212</v>
      </c>
      <c r="E502" s="18" t="s">
        <v>34</v>
      </c>
      <c r="F502" s="18">
        <v>1.0</v>
      </c>
      <c r="G502" s="19">
        <f t="shared" si="1"/>
        <v>1.234589675</v>
      </c>
      <c r="H502" s="17">
        <v>35.0</v>
      </c>
      <c r="I502" s="10">
        <v>150.0</v>
      </c>
      <c r="J502" s="17">
        <v>5.0</v>
      </c>
      <c r="K502" s="17">
        <v>75.0</v>
      </c>
      <c r="L502" s="17"/>
      <c r="M502" s="20">
        <v>23.0</v>
      </c>
      <c r="N502" s="20">
        <v>2.0</v>
      </c>
      <c r="O502" s="20">
        <v>7.0</v>
      </c>
      <c r="P502" s="20">
        <f t="shared" si="2"/>
        <v>14</v>
      </c>
      <c r="Q502" s="21">
        <v>3.0</v>
      </c>
      <c r="R502" s="22">
        <f t="shared" si="3"/>
        <v>121.4978571</v>
      </c>
      <c r="S502" s="23">
        <f t="shared" si="4"/>
        <v>4.285714286</v>
      </c>
      <c r="T502" s="24">
        <f t="shared" si="5"/>
        <v>7.666666667</v>
      </c>
      <c r="U502" s="26">
        <f t="shared" si="6"/>
        <v>0.3020134228</v>
      </c>
      <c r="V502" s="26">
        <f t="shared" si="7"/>
        <v>0.1879194631</v>
      </c>
      <c r="W502" s="19">
        <f t="shared" si="8"/>
        <v>0.5</v>
      </c>
      <c r="X502" s="20">
        <f t="shared" si="9"/>
        <v>150</v>
      </c>
      <c r="Y502" s="27"/>
      <c r="Z502" s="17"/>
      <c r="AA502" s="28"/>
      <c r="AB502" s="17"/>
      <c r="AC502" s="28"/>
      <c r="AD502" s="27"/>
    </row>
    <row r="503" ht="15.75" customHeight="1">
      <c r="A503" s="16" t="s">
        <v>1624</v>
      </c>
      <c r="B503" s="16" t="s">
        <v>1629</v>
      </c>
      <c r="C503" s="16" t="s">
        <v>1630</v>
      </c>
      <c r="D503" s="17" t="s">
        <v>212</v>
      </c>
      <c r="E503" s="18" t="s">
        <v>34</v>
      </c>
      <c r="F503" s="18">
        <v>1.0</v>
      </c>
      <c r="G503" s="19">
        <f t="shared" si="1"/>
        <v>1.234589675</v>
      </c>
      <c r="H503" s="17">
        <v>35.0</v>
      </c>
      <c r="I503" s="10">
        <v>150.0</v>
      </c>
      <c r="J503" s="17">
        <v>6.0</v>
      </c>
      <c r="K503" s="17">
        <v>85.0</v>
      </c>
      <c r="L503" s="17"/>
      <c r="M503" s="20">
        <v>22.0</v>
      </c>
      <c r="N503" s="20">
        <v>2.0</v>
      </c>
      <c r="O503" s="20">
        <v>5.0</v>
      </c>
      <c r="P503" s="20">
        <f t="shared" si="2"/>
        <v>15</v>
      </c>
      <c r="Q503" s="21">
        <v>3.0</v>
      </c>
      <c r="R503" s="22">
        <f t="shared" si="3"/>
        <v>121.4978571</v>
      </c>
      <c r="S503" s="23">
        <f t="shared" si="4"/>
        <v>4.285714286</v>
      </c>
      <c r="T503" s="24">
        <f t="shared" si="5"/>
        <v>7.333333333</v>
      </c>
      <c r="U503" s="26">
        <f t="shared" si="6"/>
        <v>0.3506493506</v>
      </c>
      <c r="V503" s="26">
        <f t="shared" si="7"/>
        <v>0.1298701299</v>
      </c>
      <c r="W503" s="19">
        <f t="shared" si="8"/>
        <v>0.5666666667</v>
      </c>
      <c r="X503" s="20">
        <f t="shared" si="9"/>
        <v>150</v>
      </c>
      <c r="Y503" s="27"/>
      <c r="Z503" s="17"/>
      <c r="AA503" s="28"/>
      <c r="AB503" s="17"/>
      <c r="AC503" s="28"/>
      <c r="AD503" s="27"/>
    </row>
    <row r="504" ht="15.75" customHeight="1">
      <c r="A504" s="16" t="s">
        <v>1582</v>
      </c>
      <c r="B504" s="16" t="s">
        <v>1097</v>
      </c>
      <c r="C504" s="16" t="s">
        <v>1631</v>
      </c>
      <c r="D504" s="17" t="s">
        <v>282</v>
      </c>
      <c r="E504" s="18" t="s">
        <v>34</v>
      </c>
      <c r="F504" s="18">
        <v>1.0</v>
      </c>
      <c r="G504" s="19">
        <f t="shared" si="1"/>
        <v>0.9876717402</v>
      </c>
      <c r="H504" s="17">
        <v>28.0</v>
      </c>
      <c r="I504" s="10">
        <v>120.0</v>
      </c>
      <c r="J504" s="17">
        <v>4.0</v>
      </c>
      <c r="K504" s="17">
        <v>160.0</v>
      </c>
      <c r="L504" s="17">
        <v>115.0</v>
      </c>
      <c r="M504" s="20">
        <v>20.0</v>
      </c>
      <c r="N504" s="20">
        <v>3.0</v>
      </c>
      <c r="O504" s="20">
        <v>0.0</v>
      </c>
      <c r="P504" s="20">
        <f t="shared" si="2"/>
        <v>17</v>
      </c>
      <c r="Q504" s="21">
        <v>3.0</v>
      </c>
      <c r="R504" s="22">
        <f t="shared" si="3"/>
        <v>121.4978571</v>
      </c>
      <c r="S504" s="23">
        <f t="shared" si="4"/>
        <v>4.285714286</v>
      </c>
      <c r="T504" s="24">
        <f t="shared" si="5"/>
        <v>6.666666667</v>
      </c>
      <c r="U504" s="26">
        <f t="shared" si="6"/>
        <v>0.28125</v>
      </c>
      <c r="V504" s="26" t="str">
        <f t="shared" si="7"/>
        <v>0%</v>
      </c>
      <c r="W504" s="19">
        <f t="shared" si="8"/>
        <v>1.333333333</v>
      </c>
      <c r="X504" s="20">
        <f t="shared" si="9"/>
        <v>120</v>
      </c>
      <c r="Y504" s="27"/>
      <c r="Z504" s="17"/>
      <c r="AA504" s="28"/>
      <c r="AB504" s="17"/>
      <c r="AC504" s="28"/>
      <c r="AD504" s="16"/>
    </row>
    <row r="505" ht="15.75" customHeight="1">
      <c r="A505" s="27" t="s">
        <v>453</v>
      </c>
      <c r="B505" s="27" t="s">
        <v>1632</v>
      </c>
      <c r="C505" s="16" t="s">
        <v>1633</v>
      </c>
      <c r="D505" s="17" t="s">
        <v>212</v>
      </c>
      <c r="E505" s="18" t="s">
        <v>34</v>
      </c>
      <c r="F505" s="18">
        <v>1.0</v>
      </c>
      <c r="G505" s="19">
        <f t="shared" si="1"/>
        <v>1.48150761</v>
      </c>
      <c r="H505" s="17">
        <v>42.0</v>
      </c>
      <c r="I505" s="10">
        <v>180.0</v>
      </c>
      <c r="J505" s="17">
        <v>8.0</v>
      </c>
      <c r="K505" s="17">
        <v>30.0</v>
      </c>
      <c r="L505" s="17">
        <v>90.0</v>
      </c>
      <c r="M505" s="20">
        <v>19.0</v>
      </c>
      <c r="N505" s="20">
        <v>2.0</v>
      </c>
      <c r="O505" s="20">
        <v>16.0</v>
      </c>
      <c r="P505" s="20">
        <f t="shared" si="2"/>
        <v>1</v>
      </c>
      <c r="Q505" s="21">
        <v>10.0</v>
      </c>
      <c r="R505" s="22">
        <f t="shared" si="3"/>
        <v>121.4978571</v>
      </c>
      <c r="S505" s="23">
        <f t="shared" si="4"/>
        <v>4.285714286</v>
      </c>
      <c r="T505" s="24">
        <f t="shared" si="5"/>
        <v>1.9</v>
      </c>
      <c r="U505" s="26">
        <f t="shared" si="6"/>
        <v>0.3829787234</v>
      </c>
      <c r="V505" s="26">
        <f t="shared" si="7"/>
        <v>0.3404255319</v>
      </c>
      <c r="W505" s="19">
        <f t="shared" si="8"/>
        <v>0.1666666667</v>
      </c>
      <c r="X505" s="20">
        <f t="shared" si="9"/>
        <v>180</v>
      </c>
      <c r="Y505" s="16"/>
      <c r="Z505" s="17"/>
      <c r="AA505" s="28"/>
      <c r="AB505" s="17"/>
      <c r="AC505" s="28"/>
      <c r="AD505" s="16"/>
    </row>
    <row r="506" ht="15.75" customHeight="1">
      <c r="A506" s="27" t="s">
        <v>453</v>
      </c>
      <c r="B506" s="27" t="s">
        <v>1634</v>
      </c>
      <c r="C506" s="16" t="s">
        <v>1635</v>
      </c>
      <c r="D506" s="17" t="s">
        <v>212</v>
      </c>
      <c r="E506" s="18" t="s">
        <v>34</v>
      </c>
      <c r="F506" s="18">
        <v>1.0</v>
      </c>
      <c r="G506" s="19">
        <f t="shared" si="1"/>
        <v>1.48150761</v>
      </c>
      <c r="H506" s="17">
        <v>42.0</v>
      </c>
      <c r="I506" s="10">
        <v>180.0</v>
      </c>
      <c r="J506" s="17">
        <v>8.0</v>
      </c>
      <c r="K506" s="17">
        <v>30.0</v>
      </c>
      <c r="L506" s="17">
        <v>90.0</v>
      </c>
      <c r="M506" s="20">
        <v>19.0</v>
      </c>
      <c r="N506" s="20">
        <v>2.0</v>
      </c>
      <c r="O506" s="20">
        <v>16.0</v>
      </c>
      <c r="P506" s="20">
        <f t="shared" si="2"/>
        <v>1</v>
      </c>
      <c r="Q506" s="21">
        <v>10.0</v>
      </c>
      <c r="R506" s="22">
        <f t="shared" si="3"/>
        <v>121.4978571</v>
      </c>
      <c r="S506" s="23">
        <f t="shared" si="4"/>
        <v>4.285714286</v>
      </c>
      <c r="T506" s="24">
        <f t="shared" si="5"/>
        <v>1.9</v>
      </c>
      <c r="U506" s="26">
        <f t="shared" si="6"/>
        <v>0.3829787234</v>
      </c>
      <c r="V506" s="26">
        <f t="shared" si="7"/>
        <v>0.3404255319</v>
      </c>
      <c r="W506" s="19">
        <f t="shared" si="8"/>
        <v>0.1666666667</v>
      </c>
      <c r="X506" s="20">
        <f t="shared" si="9"/>
        <v>180</v>
      </c>
      <c r="Y506" s="27"/>
      <c r="Z506" s="17"/>
      <c r="AA506" s="28"/>
      <c r="AB506" s="17"/>
      <c r="AC506" s="28"/>
      <c r="AD506" s="27"/>
    </row>
    <row r="507" ht="15.75" customHeight="1">
      <c r="A507" s="27" t="s">
        <v>1548</v>
      </c>
      <c r="B507" s="27" t="s">
        <v>1636</v>
      </c>
      <c r="C507" s="16" t="s">
        <v>1637</v>
      </c>
      <c r="D507" s="17" t="s">
        <v>212</v>
      </c>
      <c r="E507" s="18" t="s">
        <v>34</v>
      </c>
      <c r="F507" s="18">
        <v>1.0</v>
      </c>
      <c r="G507" s="19">
        <f t="shared" si="1"/>
        <v>1.234589675</v>
      </c>
      <c r="H507" s="17">
        <v>35.0</v>
      </c>
      <c r="I507" s="10">
        <v>150.0</v>
      </c>
      <c r="J507" s="17">
        <v>7.0</v>
      </c>
      <c r="K507" s="17">
        <v>160.0</v>
      </c>
      <c r="L507" s="17">
        <v>110.0</v>
      </c>
      <c r="M507" s="20">
        <v>15.0</v>
      </c>
      <c r="N507" s="20">
        <v>8.0</v>
      </c>
      <c r="O507" s="20">
        <v>1.0</v>
      </c>
      <c r="P507" s="20">
        <f t="shared" si="2"/>
        <v>6</v>
      </c>
      <c r="Q507" s="21">
        <v>10.0</v>
      </c>
      <c r="R507" s="22">
        <f t="shared" si="3"/>
        <v>121.4978571</v>
      </c>
      <c r="S507" s="23">
        <f t="shared" si="4"/>
        <v>4.285714286</v>
      </c>
      <c r="T507" s="24">
        <f t="shared" si="5"/>
        <v>1.5</v>
      </c>
      <c r="U507" s="26">
        <f t="shared" si="6"/>
        <v>0.3865030675</v>
      </c>
      <c r="V507" s="26">
        <f t="shared" si="7"/>
        <v>0.0245398773</v>
      </c>
      <c r="W507" s="19">
        <f t="shared" si="8"/>
        <v>1.066666667</v>
      </c>
      <c r="X507" s="20">
        <f t="shared" si="9"/>
        <v>150</v>
      </c>
      <c r="Y507" s="27"/>
      <c r="Z507" s="17"/>
      <c r="AA507" s="28"/>
      <c r="AB507" s="17"/>
      <c r="AC507" s="28"/>
      <c r="AD507" s="27"/>
    </row>
    <row r="508" ht="15.75" customHeight="1">
      <c r="A508" s="16" t="s">
        <v>1638</v>
      </c>
      <c r="B508" s="16" t="s">
        <v>1639</v>
      </c>
      <c r="C508" s="16" t="s">
        <v>1640</v>
      </c>
      <c r="D508" s="17" t="s">
        <v>247</v>
      </c>
      <c r="E508" s="18" t="s">
        <v>34</v>
      </c>
      <c r="F508" s="18">
        <v>1.0</v>
      </c>
      <c r="G508" s="19">
        <f t="shared" si="1"/>
        <v>0.9876717402</v>
      </c>
      <c r="H508" s="17">
        <v>28.0</v>
      </c>
      <c r="I508" s="10">
        <v>120.0</v>
      </c>
      <c r="J508" s="17">
        <v>7.0</v>
      </c>
      <c r="K508" s="17">
        <v>200.0</v>
      </c>
      <c r="L508" s="17"/>
      <c r="M508" s="20">
        <v>8.0</v>
      </c>
      <c r="N508" s="20">
        <v>1.0</v>
      </c>
      <c r="O508" s="20">
        <v>6.0</v>
      </c>
      <c r="P508" s="20">
        <f t="shared" si="2"/>
        <v>1</v>
      </c>
      <c r="Q508" s="21">
        <v>6.0</v>
      </c>
      <c r="R508" s="22">
        <f t="shared" si="3"/>
        <v>121.4978571</v>
      </c>
      <c r="S508" s="23">
        <f t="shared" si="4"/>
        <v>4.285714286</v>
      </c>
      <c r="T508" s="24">
        <f t="shared" si="5"/>
        <v>1.333333333</v>
      </c>
      <c r="U508" s="26">
        <f t="shared" si="6"/>
        <v>0.5294117647</v>
      </c>
      <c r="V508" s="26">
        <f t="shared" si="7"/>
        <v>0.2016806723</v>
      </c>
      <c r="W508" s="19">
        <f t="shared" si="8"/>
        <v>1.666666667</v>
      </c>
      <c r="X508" s="20">
        <f t="shared" si="9"/>
        <v>120</v>
      </c>
      <c r="Y508" s="27"/>
      <c r="Z508" s="17"/>
      <c r="AA508" s="28"/>
      <c r="AB508" s="17"/>
      <c r="AC508" s="28"/>
      <c r="AD508" s="27"/>
    </row>
    <row r="509" ht="15.75" customHeight="1">
      <c r="A509" s="27" t="s">
        <v>244</v>
      </c>
      <c r="B509" s="27" t="s">
        <v>1641</v>
      </c>
      <c r="C509" s="16" t="s">
        <v>1642</v>
      </c>
      <c r="D509" s="17" t="s">
        <v>203</v>
      </c>
      <c r="E509" s="18" t="s">
        <v>34</v>
      </c>
      <c r="F509" s="18">
        <v>1.0</v>
      </c>
      <c r="G509" s="19">
        <f t="shared" si="1"/>
        <v>0.9876717402</v>
      </c>
      <c r="H509" s="17">
        <v>28.0</v>
      </c>
      <c r="I509" s="10">
        <v>120.0</v>
      </c>
      <c r="J509" s="17">
        <v>8.0</v>
      </c>
      <c r="K509" s="17">
        <v>135.0</v>
      </c>
      <c r="L509" s="17"/>
      <c r="M509" s="20">
        <v>8.0</v>
      </c>
      <c r="N509" s="20">
        <v>1.0</v>
      </c>
      <c r="O509" s="20">
        <v>6.0</v>
      </c>
      <c r="P509" s="20">
        <f t="shared" si="2"/>
        <v>1</v>
      </c>
      <c r="Q509" s="21">
        <v>6.0</v>
      </c>
      <c r="R509" s="22">
        <f t="shared" si="3"/>
        <v>121.4978571</v>
      </c>
      <c r="S509" s="23">
        <f t="shared" si="4"/>
        <v>4.285714286</v>
      </c>
      <c r="T509" s="24">
        <f t="shared" si="5"/>
        <v>1.333333333</v>
      </c>
      <c r="U509" s="26">
        <f t="shared" si="6"/>
        <v>0.5625</v>
      </c>
      <c r="V509" s="26">
        <f t="shared" si="7"/>
        <v>0.1875</v>
      </c>
      <c r="W509" s="19">
        <f t="shared" si="8"/>
        <v>1.125</v>
      </c>
      <c r="X509" s="20">
        <f t="shared" si="9"/>
        <v>120</v>
      </c>
      <c r="Y509" s="27"/>
      <c r="Z509" s="17"/>
      <c r="AA509" s="28"/>
      <c r="AB509" s="17"/>
      <c r="AC509" s="28"/>
      <c r="AD509" s="16"/>
    </row>
    <row r="510" ht="15.75" customHeight="1">
      <c r="A510" s="27" t="s">
        <v>1158</v>
      </c>
      <c r="B510" s="27" t="s">
        <v>1643</v>
      </c>
      <c r="C510" s="16" t="s">
        <v>1644</v>
      </c>
      <c r="D510" s="17" t="s">
        <v>203</v>
      </c>
      <c r="E510" s="18" t="s">
        <v>34</v>
      </c>
      <c r="F510" s="18">
        <v>1.0</v>
      </c>
      <c r="G510" s="19">
        <f t="shared" si="1"/>
        <v>0.9876717402</v>
      </c>
      <c r="H510" s="17">
        <v>28.0</v>
      </c>
      <c r="I510" s="10">
        <v>120.0</v>
      </c>
      <c r="J510" s="17">
        <v>6.0</v>
      </c>
      <c r="K510" s="17">
        <v>280.0</v>
      </c>
      <c r="L510" s="17"/>
      <c r="M510" s="20">
        <v>8.0</v>
      </c>
      <c r="N510" s="20">
        <v>0.0</v>
      </c>
      <c r="O510" s="20">
        <v>5.0</v>
      </c>
      <c r="P510" s="20">
        <f t="shared" si="2"/>
        <v>3</v>
      </c>
      <c r="Q510" s="21">
        <v>7.0</v>
      </c>
      <c r="R510" s="22">
        <f t="shared" si="3"/>
        <v>121.4978571</v>
      </c>
      <c r="S510" s="23">
        <f t="shared" si="4"/>
        <v>4.285714286</v>
      </c>
      <c r="T510" s="24">
        <f t="shared" si="5"/>
        <v>1.142857143</v>
      </c>
      <c r="U510" s="26">
        <f t="shared" si="6"/>
        <v>0.4736842105</v>
      </c>
      <c r="V510" s="26">
        <f t="shared" si="7"/>
        <v>0.1754385965</v>
      </c>
      <c r="W510" s="19">
        <f t="shared" si="8"/>
        <v>2.333333333</v>
      </c>
      <c r="X510" s="20">
        <f t="shared" si="9"/>
        <v>120</v>
      </c>
      <c r="Y510" s="27"/>
      <c r="Z510" s="17"/>
      <c r="AA510" s="17"/>
      <c r="AB510" s="17"/>
      <c r="AC510" s="17"/>
      <c r="AD510" s="27"/>
    </row>
    <row r="511" ht="15.75" customHeight="1">
      <c r="A511" s="16" t="s">
        <v>1645</v>
      </c>
      <c r="B511" s="16" t="s">
        <v>1646</v>
      </c>
      <c r="C511" s="16" t="s">
        <v>1647</v>
      </c>
      <c r="D511" s="17" t="s">
        <v>1648</v>
      </c>
      <c r="E511" s="18" t="s">
        <v>34</v>
      </c>
      <c r="F511" s="18">
        <v>1.0</v>
      </c>
      <c r="G511" s="19">
        <f t="shared" si="1"/>
        <v>0.9876717402</v>
      </c>
      <c r="H511" s="17">
        <v>28.0</v>
      </c>
      <c r="I511" s="10">
        <v>120.0</v>
      </c>
      <c r="J511" s="17">
        <v>7.0</v>
      </c>
      <c r="K511" s="17">
        <v>530.0</v>
      </c>
      <c r="L511" s="17">
        <v>115.0</v>
      </c>
      <c r="M511" s="20">
        <v>4.0</v>
      </c>
      <c r="N511" s="20">
        <v>0.0</v>
      </c>
      <c r="O511" s="20">
        <v>4.0</v>
      </c>
      <c r="P511" s="20">
        <f t="shared" si="2"/>
        <v>0</v>
      </c>
      <c r="Q511" s="21">
        <v>10.0</v>
      </c>
      <c r="R511" s="22">
        <f t="shared" si="3"/>
        <v>121.4978571</v>
      </c>
      <c r="S511" s="23">
        <f t="shared" si="4"/>
        <v>4.285714286</v>
      </c>
      <c r="T511" s="24">
        <f t="shared" si="5"/>
        <v>0.4</v>
      </c>
      <c r="U511" s="26">
        <f t="shared" si="6"/>
        <v>0.5294117647</v>
      </c>
      <c r="V511" s="26">
        <f t="shared" si="7"/>
        <v>0.1344537815</v>
      </c>
      <c r="W511" s="19">
        <f t="shared" si="8"/>
        <v>4.416666667</v>
      </c>
      <c r="X511" s="20">
        <f t="shared" si="9"/>
        <v>120</v>
      </c>
      <c r="Y511" s="27"/>
      <c r="Z511" s="17"/>
      <c r="AA511" s="17"/>
      <c r="AB511" s="17"/>
      <c r="AC511" s="17"/>
      <c r="AD511" s="27"/>
    </row>
    <row r="512" ht="15.75" customHeight="1">
      <c r="A512" s="27" t="s">
        <v>1649</v>
      </c>
      <c r="B512" s="27" t="s">
        <v>1650</v>
      </c>
      <c r="C512" s="16" t="s">
        <v>1651</v>
      </c>
      <c r="D512" s="17" t="s">
        <v>247</v>
      </c>
      <c r="E512" s="18" t="s">
        <v>34</v>
      </c>
      <c r="F512" s="18">
        <v>1.0</v>
      </c>
      <c r="G512" s="19">
        <f t="shared" si="1"/>
        <v>0.9876717402</v>
      </c>
      <c r="H512" s="17">
        <v>28.0</v>
      </c>
      <c r="I512" s="10">
        <v>120.0</v>
      </c>
      <c r="J512" s="17">
        <v>10.0</v>
      </c>
      <c r="K512" s="17">
        <v>770.0</v>
      </c>
      <c r="L512" s="17"/>
      <c r="M512" s="20">
        <v>2.0</v>
      </c>
      <c r="N512" s="20">
        <v>1.0</v>
      </c>
      <c r="O512" s="20">
        <v>0.0</v>
      </c>
      <c r="P512" s="20">
        <f t="shared" si="2"/>
        <v>1</v>
      </c>
      <c r="Q512" s="21">
        <v>6.0</v>
      </c>
      <c r="R512" s="22">
        <f t="shared" si="3"/>
        <v>121.4978571</v>
      </c>
      <c r="S512" s="23">
        <f t="shared" si="4"/>
        <v>4.285714286</v>
      </c>
      <c r="T512" s="24">
        <f t="shared" si="5"/>
        <v>0.3333333333</v>
      </c>
      <c r="U512" s="26">
        <f t="shared" si="6"/>
        <v>0.737704918</v>
      </c>
      <c r="V512" s="26" t="str">
        <f t="shared" si="7"/>
        <v>0%</v>
      </c>
      <c r="W512" s="19">
        <f t="shared" si="8"/>
        <v>6.416666667</v>
      </c>
      <c r="X512" s="20">
        <f t="shared" si="9"/>
        <v>120</v>
      </c>
      <c r="Y512" s="27"/>
      <c r="Z512" s="17"/>
      <c r="AA512" s="28"/>
      <c r="AB512" s="17"/>
      <c r="AC512" s="28"/>
      <c r="AD512" s="27"/>
    </row>
    <row r="513" ht="15.75" customHeight="1">
      <c r="A513" s="16" t="s">
        <v>1652</v>
      </c>
      <c r="B513" s="16" t="s">
        <v>1653</v>
      </c>
      <c r="C513" s="16" t="s">
        <v>1654</v>
      </c>
      <c r="D513" s="17" t="s">
        <v>240</v>
      </c>
      <c r="E513" s="18" t="s">
        <v>34</v>
      </c>
      <c r="F513" s="18">
        <v>1.0</v>
      </c>
      <c r="G513" s="19">
        <f t="shared" si="1"/>
        <v>0.9876717402</v>
      </c>
      <c r="H513" s="17">
        <v>28.0</v>
      </c>
      <c r="I513" s="10">
        <v>120.0</v>
      </c>
      <c r="J513" s="17">
        <v>9.0</v>
      </c>
      <c r="K513" s="17">
        <v>190.0</v>
      </c>
      <c r="L513" s="17"/>
      <c r="M513" s="20">
        <v>2.0</v>
      </c>
      <c r="N513" s="20">
        <v>0.0</v>
      </c>
      <c r="O513" s="20">
        <v>0.0</v>
      </c>
      <c r="P513" s="20">
        <f t="shared" si="2"/>
        <v>2</v>
      </c>
      <c r="Q513" s="21">
        <v>7.0</v>
      </c>
      <c r="R513" s="22">
        <f t="shared" si="3"/>
        <v>121.4978571</v>
      </c>
      <c r="S513" s="23">
        <f t="shared" si="4"/>
        <v>4.285714286</v>
      </c>
      <c r="T513" s="24">
        <f t="shared" si="5"/>
        <v>0.2857142857</v>
      </c>
      <c r="U513" s="26">
        <f t="shared" si="6"/>
        <v>0.6923076923</v>
      </c>
      <c r="V513" s="26" t="str">
        <f t="shared" si="7"/>
        <v>0%</v>
      </c>
      <c r="W513" s="19">
        <f t="shared" si="8"/>
        <v>1.583333333</v>
      </c>
      <c r="X513" s="20">
        <f t="shared" si="9"/>
        <v>120</v>
      </c>
      <c r="Y513" s="27"/>
      <c r="Z513" s="17"/>
      <c r="AA513" s="28"/>
      <c r="AB513" s="17"/>
      <c r="AC513" s="28"/>
      <c r="AD513" s="27"/>
    </row>
    <row r="514" ht="15.75" customHeight="1">
      <c r="A514" s="16" t="s">
        <v>1652</v>
      </c>
      <c r="B514" s="16" t="s">
        <v>1655</v>
      </c>
      <c r="C514" s="16" t="s">
        <v>60</v>
      </c>
      <c r="D514" s="17" t="s">
        <v>240</v>
      </c>
      <c r="E514" s="18" t="s">
        <v>34</v>
      </c>
      <c r="F514" s="18">
        <v>1.0</v>
      </c>
      <c r="G514" s="19">
        <f t="shared" si="1"/>
        <v>0.7407538052</v>
      </c>
      <c r="H514" s="17">
        <v>21.0</v>
      </c>
      <c r="I514" s="10">
        <v>90.0</v>
      </c>
      <c r="J514" s="17">
        <v>7.0</v>
      </c>
      <c r="K514" s="17">
        <v>150.0</v>
      </c>
      <c r="L514" s="17"/>
      <c r="M514" s="20">
        <v>1.0</v>
      </c>
      <c r="N514" s="20">
        <v>0.0</v>
      </c>
      <c r="O514" s="20">
        <v>0.0</v>
      </c>
      <c r="P514" s="20">
        <f t="shared" si="2"/>
        <v>1</v>
      </c>
      <c r="Q514" s="21">
        <v>5.0</v>
      </c>
      <c r="R514" s="22">
        <f t="shared" si="3"/>
        <v>121.4978571</v>
      </c>
      <c r="S514" s="23">
        <f t="shared" si="4"/>
        <v>4.285714286</v>
      </c>
      <c r="T514" s="24">
        <f t="shared" si="5"/>
        <v>0.2</v>
      </c>
      <c r="U514" s="26">
        <f t="shared" si="6"/>
        <v>0.724137931</v>
      </c>
      <c r="V514" s="26" t="str">
        <f t="shared" si="7"/>
        <v>0%</v>
      </c>
      <c r="W514" s="19">
        <f t="shared" si="8"/>
        <v>1.666666667</v>
      </c>
      <c r="X514" s="20">
        <f t="shared" si="9"/>
        <v>90</v>
      </c>
      <c r="Y514" s="27"/>
      <c r="Z514" s="17"/>
      <c r="AA514" s="28"/>
      <c r="AB514" s="17"/>
      <c r="AC514" s="28"/>
      <c r="AD514" s="27"/>
    </row>
    <row r="515" ht="15.75" customHeight="1">
      <c r="A515" s="27" t="s">
        <v>1652</v>
      </c>
      <c r="B515" s="27" t="s">
        <v>1656</v>
      </c>
      <c r="C515" s="16" t="s">
        <v>1657</v>
      </c>
      <c r="D515" s="17" t="s">
        <v>240</v>
      </c>
      <c r="E515" s="18" t="s">
        <v>34</v>
      </c>
      <c r="F515" s="18">
        <v>1.0</v>
      </c>
      <c r="G515" s="19">
        <f t="shared" si="1"/>
        <v>0.7407538052</v>
      </c>
      <c r="H515" s="17">
        <v>21.0</v>
      </c>
      <c r="I515" s="10">
        <v>90.0</v>
      </c>
      <c r="J515" s="17">
        <v>8.0</v>
      </c>
      <c r="K515" s="17">
        <v>160.0</v>
      </c>
      <c r="L515" s="17"/>
      <c r="M515" s="20">
        <v>1.0</v>
      </c>
      <c r="N515" s="20">
        <v>0.0</v>
      </c>
      <c r="O515" s="20">
        <v>0.0</v>
      </c>
      <c r="P515" s="20">
        <f t="shared" si="2"/>
        <v>1</v>
      </c>
      <c r="Q515" s="21">
        <v>5.0</v>
      </c>
      <c r="R515" s="22">
        <f t="shared" si="3"/>
        <v>121.4978571</v>
      </c>
      <c r="S515" s="23">
        <f t="shared" si="4"/>
        <v>4.285714286</v>
      </c>
      <c r="T515" s="24">
        <f t="shared" si="5"/>
        <v>0.2</v>
      </c>
      <c r="U515" s="26">
        <f t="shared" si="6"/>
        <v>0.75</v>
      </c>
      <c r="V515" s="26" t="str">
        <f t="shared" si="7"/>
        <v>0%</v>
      </c>
      <c r="W515" s="19">
        <f t="shared" si="8"/>
        <v>1.777777778</v>
      </c>
      <c r="X515" s="20">
        <f t="shared" si="9"/>
        <v>90</v>
      </c>
      <c r="Y515" s="27"/>
      <c r="Z515" s="17"/>
      <c r="AA515" s="28"/>
      <c r="AB515" s="17"/>
      <c r="AC515" s="28"/>
      <c r="AD515" s="16"/>
    </row>
    <row r="516" ht="15.75" customHeight="1">
      <c r="A516" s="27" t="s">
        <v>1293</v>
      </c>
      <c r="B516" s="27" t="s">
        <v>1658</v>
      </c>
      <c r="C516" s="16" t="s">
        <v>1659</v>
      </c>
      <c r="D516" s="17" t="s">
        <v>1648</v>
      </c>
      <c r="E516" s="18" t="s">
        <v>34</v>
      </c>
      <c r="F516" s="18">
        <v>1.0</v>
      </c>
      <c r="G516" s="19">
        <f t="shared" si="1"/>
        <v>0.9876717402</v>
      </c>
      <c r="H516" s="17">
        <v>28.0</v>
      </c>
      <c r="I516" s="10">
        <v>120.0</v>
      </c>
      <c r="J516" s="17">
        <v>8.0</v>
      </c>
      <c r="K516" s="17">
        <v>360.0</v>
      </c>
      <c r="L516" s="17"/>
      <c r="M516" s="20">
        <v>2.0</v>
      </c>
      <c r="N516" s="20">
        <v>0.0</v>
      </c>
      <c r="O516" s="20">
        <v>2.0</v>
      </c>
      <c r="P516" s="20">
        <f t="shared" si="2"/>
        <v>0</v>
      </c>
      <c r="Q516" s="21">
        <v>11.0</v>
      </c>
      <c r="R516" s="22">
        <f t="shared" si="3"/>
        <v>121.4978571</v>
      </c>
      <c r="S516" s="23">
        <f t="shared" si="4"/>
        <v>4.285714286</v>
      </c>
      <c r="T516" s="24">
        <f t="shared" si="5"/>
        <v>0.1818181818</v>
      </c>
      <c r="U516" s="26">
        <f t="shared" si="6"/>
        <v>0.5806451613</v>
      </c>
      <c r="V516" s="26">
        <f t="shared" si="7"/>
        <v>0.06451612903</v>
      </c>
      <c r="W516" s="19">
        <f t="shared" si="8"/>
        <v>3</v>
      </c>
      <c r="X516" s="20">
        <f t="shared" si="9"/>
        <v>120</v>
      </c>
      <c r="Y516" s="27"/>
      <c r="Z516" s="17"/>
      <c r="AA516" s="28"/>
      <c r="AB516" s="17"/>
      <c r="AC516" s="28"/>
      <c r="AD516" s="27"/>
    </row>
    <row r="517" ht="15.75" customHeight="1">
      <c r="A517" s="27" t="s">
        <v>1660</v>
      </c>
      <c r="B517" s="27" t="s">
        <v>1661</v>
      </c>
      <c r="C517" s="16" t="s">
        <v>1662</v>
      </c>
      <c r="D517" s="17" t="s">
        <v>240</v>
      </c>
      <c r="E517" s="18" t="s">
        <v>34</v>
      </c>
      <c r="F517" s="18">
        <v>1.0</v>
      </c>
      <c r="G517" s="19">
        <f t="shared" si="1"/>
        <v>0.9876717402</v>
      </c>
      <c r="H517" s="17">
        <v>28.0</v>
      </c>
      <c r="I517" s="10">
        <v>120.0</v>
      </c>
      <c r="J517" s="17">
        <v>9.0</v>
      </c>
      <c r="K517" s="17">
        <v>230.0</v>
      </c>
      <c r="L517" s="17"/>
      <c r="M517" s="20">
        <v>1.0</v>
      </c>
      <c r="N517" s="20">
        <v>0.0</v>
      </c>
      <c r="O517" s="20">
        <v>0.0</v>
      </c>
      <c r="P517" s="20">
        <f t="shared" si="2"/>
        <v>1</v>
      </c>
      <c r="Q517" s="21">
        <v>7.0</v>
      </c>
      <c r="R517" s="22">
        <f t="shared" si="3"/>
        <v>121.4978571</v>
      </c>
      <c r="S517" s="23">
        <f t="shared" si="4"/>
        <v>4.285714286</v>
      </c>
      <c r="T517" s="24">
        <f t="shared" si="5"/>
        <v>0.1428571429</v>
      </c>
      <c r="U517" s="26">
        <f t="shared" si="6"/>
        <v>0.7168141593</v>
      </c>
      <c r="V517" s="26" t="str">
        <f t="shared" si="7"/>
        <v>0%</v>
      </c>
      <c r="W517" s="19">
        <f t="shared" si="8"/>
        <v>1.916666667</v>
      </c>
      <c r="X517" s="20">
        <f t="shared" si="9"/>
        <v>120</v>
      </c>
      <c r="Y517" s="27"/>
      <c r="Z517" s="17"/>
      <c r="AA517" s="28"/>
      <c r="AB517" s="17"/>
      <c r="AC517" s="28"/>
      <c r="AD517" s="27"/>
    </row>
    <row r="518" ht="15.75" customHeight="1">
      <c r="A518" s="16" t="s">
        <v>1663</v>
      </c>
      <c r="B518" s="16" t="s">
        <v>1664</v>
      </c>
      <c r="C518" s="16" t="s">
        <v>1665</v>
      </c>
      <c r="D518" s="17" t="s">
        <v>247</v>
      </c>
      <c r="E518" s="18" t="s">
        <v>34</v>
      </c>
      <c r="F518" s="18">
        <v>1.0</v>
      </c>
      <c r="G518" s="19">
        <f t="shared" si="1"/>
        <v>0.9876717402</v>
      </c>
      <c r="H518" s="17">
        <v>28.0</v>
      </c>
      <c r="I518" s="10">
        <v>120.0</v>
      </c>
      <c r="J518" s="17">
        <v>10.0</v>
      </c>
      <c r="K518" s="17">
        <v>540.0</v>
      </c>
      <c r="L518" s="17"/>
      <c r="M518" s="20">
        <v>1.0</v>
      </c>
      <c r="N518" s="20">
        <v>0.0</v>
      </c>
      <c r="O518" s="20">
        <v>0.0</v>
      </c>
      <c r="P518" s="20">
        <f t="shared" si="2"/>
        <v>1</v>
      </c>
      <c r="Q518" s="21">
        <v>7.0</v>
      </c>
      <c r="R518" s="22">
        <f t="shared" si="3"/>
        <v>121.4978571</v>
      </c>
      <c r="S518" s="23">
        <f t="shared" si="4"/>
        <v>4.285714286</v>
      </c>
      <c r="T518" s="24">
        <f t="shared" si="5"/>
        <v>0.1428571429</v>
      </c>
      <c r="U518" s="26">
        <f t="shared" si="6"/>
        <v>0.737704918</v>
      </c>
      <c r="V518" s="26" t="str">
        <f t="shared" si="7"/>
        <v>0%</v>
      </c>
      <c r="W518" s="19">
        <f t="shared" si="8"/>
        <v>4.5</v>
      </c>
      <c r="X518" s="20">
        <f t="shared" si="9"/>
        <v>120</v>
      </c>
      <c r="Y518" s="27"/>
      <c r="Z518" s="17"/>
      <c r="AA518" s="28"/>
      <c r="AB518" s="17"/>
      <c r="AC518" s="28"/>
      <c r="AD518" s="16"/>
    </row>
    <row r="519" ht="15.75" customHeight="1">
      <c r="A519" s="27" t="s">
        <v>244</v>
      </c>
      <c r="B519" s="27" t="s">
        <v>1666</v>
      </c>
      <c r="C519" s="16" t="s">
        <v>1667</v>
      </c>
      <c r="D519" s="17" t="s">
        <v>247</v>
      </c>
      <c r="E519" s="18" t="s">
        <v>34</v>
      </c>
      <c r="F519" s="18">
        <v>1.0</v>
      </c>
      <c r="G519" s="19">
        <f t="shared" si="1"/>
        <v>0.9876717402</v>
      </c>
      <c r="H519" s="17">
        <v>28.0</v>
      </c>
      <c r="I519" s="10">
        <v>120.0</v>
      </c>
      <c r="J519" s="17">
        <v>8.0</v>
      </c>
      <c r="K519" s="17">
        <v>450.0</v>
      </c>
      <c r="L519" s="17"/>
      <c r="M519" s="20">
        <v>1.0</v>
      </c>
      <c r="N519" s="20">
        <v>0.0</v>
      </c>
      <c r="O519" s="20">
        <v>1.0</v>
      </c>
      <c r="P519" s="20">
        <f t="shared" si="2"/>
        <v>0</v>
      </c>
      <c r="Q519" s="21">
        <v>8.0</v>
      </c>
      <c r="R519" s="22">
        <f t="shared" si="3"/>
        <v>121.4978571</v>
      </c>
      <c r="S519" s="23">
        <f t="shared" si="4"/>
        <v>4.285714286</v>
      </c>
      <c r="T519" s="24">
        <f t="shared" si="5"/>
        <v>0.125</v>
      </c>
      <c r="U519" s="26">
        <f t="shared" si="6"/>
        <v>0.6666666667</v>
      </c>
      <c r="V519" s="26">
        <f t="shared" si="7"/>
        <v>0.03703703704</v>
      </c>
      <c r="W519" s="19">
        <f t="shared" si="8"/>
        <v>3.75</v>
      </c>
      <c r="X519" s="20">
        <f t="shared" si="9"/>
        <v>120</v>
      </c>
      <c r="Y519" s="27"/>
      <c r="Z519" s="17"/>
      <c r="AA519" s="28"/>
      <c r="AB519" s="17"/>
      <c r="AC519" s="28"/>
      <c r="AD519" s="27"/>
    </row>
    <row r="520" ht="15.75" customHeight="1">
      <c r="A520" s="27" t="s">
        <v>1668</v>
      </c>
      <c r="B520" s="27" t="s">
        <v>1669</v>
      </c>
      <c r="C520" s="16" t="s">
        <v>1670</v>
      </c>
      <c r="D520" s="17" t="s">
        <v>240</v>
      </c>
      <c r="E520" s="18" t="s">
        <v>34</v>
      </c>
      <c r="F520" s="18">
        <v>1.0</v>
      </c>
      <c r="G520" s="19">
        <f t="shared" si="1"/>
        <v>0.9876717402</v>
      </c>
      <c r="H520" s="17">
        <v>28.0</v>
      </c>
      <c r="I520" s="10">
        <v>120.0</v>
      </c>
      <c r="J520" s="17">
        <v>11.0</v>
      </c>
      <c r="K520" s="17">
        <v>220.0</v>
      </c>
      <c r="L520" s="17"/>
      <c r="M520" s="20">
        <v>0.0</v>
      </c>
      <c r="N520" s="20">
        <v>0.0</v>
      </c>
      <c r="O520" s="20">
        <v>0.0</v>
      </c>
      <c r="P520" s="20">
        <f t="shared" si="2"/>
        <v>0</v>
      </c>
      <c r="Q520" s="21">
        <v>5.0</v>
      </c>
      <c r="R520" s="22">
        <f t="shared" si="3"/>
        <v>121.4978571</v>
      </c>
      <c r="S520" s="23">
        <f t="shared" si="4"/>
        <v>4.285714286</v>
      </c>
      <c r="T520" s="24">
        <f t="shared" si="5"/>
        <v>0</v>
      </c>
      <c r="U520" s="26">
        <f t="shared" si="6"/>
        <v>0.8319327731</v>
      </c>
      <c r="V520" s="26" t="str">
        <f t="shared" si="7"/>
        <v>0%</v>
      </c>
      <c r="W520" s="19">
        <f t="shared" si="8"/>
        <v>1.833333333</v>
      </c>
      <c r="X520" s="20">
        <f t="shared" si="9"/>
        <v>120</v>
      </c>
      <c r="Y520" s="27"/>
      <c r="Z520" s="17"/>
      <c r="AA520" s="28"/>
      <c r="AB520" s="17"/>
      <c r="AC520" s="28"/>
      <c r="AD520" s="27"/>
    </row>
    <row r="521" ht="15.75" customHeight="1">
      <c r="A521" s="27" t="s">
        <v>64</v>
      </c>
      <c r="B521" s="27" t="s">
        <v>1671</v>
      </c>
      <c r="C521" s="16" t="s">
        <v>1672</v>
      </c>
      <c r="D521" s="17" t="s">
        <v>247</v>
      </c>
      <c r="E521" s="18" t="s">
        <v>34</v>
      </c>
      <c r="F521" s="18">
        <v>1.0</v>
      </c>
      <c r="G521" s="19">
        <f t="shared" si="1"/>
        <v>0.2469179351</v>
      </c>
      <c r="H521" s="17">
        <v>7.0</v>
      </c>
      <c r="I521" s="10">
        <v>30.0</v>
      </c>
      <c r="J521" s="17">
        <v>2.0</v>
      </c>
      <c r="K521" s="17">
        <v>125.0</v>
      </c>
      <c r="L521" s="17"/>
      <c r="M521" s="20">
        <v>0.0</v>
      </c>
      <c r="N521" s="20">
        <v>0.0</v>
      </c>
      <c r="O521" s="20">
        <v>0.0</v>
      </c>
      <c r="P521" s="20">
        <f t="shared" si="2"/>
        <v>0</v>
      </c>
      <c r="Q521" s="21">
        <v>2.0</v>
      </c>
      <c r="R521" s="22">
        <f t="shared" si="3"/>
        <v>121.4978571</v>
      </c>
      <c r="S521" s="23">
        <f t="shared" si="4"/>
        <v>4.285714286</v>
      </c>
      <c r="T521" s="24">
        <f t="shared" si="5"/>
        <v>0</v>
      </c>
      <c r="U521" s="26">
        <f t="shared" si="6"/>
        <v>0.6923076923</v>
      </c>
      <c r="V521" s="26" t="str">
        <f t="shared" si="7"/>
        <v>0%</v>
      </c>
      <c r="W521" s="19">
        <f t="shared" si="8"/>
        <v>4.166666667</v>
      </c>
      <c r="X521" s="20">
        <f t="shared" si="9"/>
        <v>30</v>
      </c>
      <c r="Y521" s="27"/>
      <c r="Z521" s="17"/>
      <c r="AA521" s="28"/>
      <c r="AB521" s="17"/>
      <c r="AC521" s="28"/>
      <c r="AD521" s="27"/>
    </row>
    <row r="522" ht="15.75" customHeight="1">
      <c r="A522" s="27" t="s">
        <v>1673</v>
      </c>
      <c r="B522" s="27" t="s">
        <v>1674</v>
      </c>
      <c r="C522" s="16" t="s">
        <v>1675</v>
      </c>
      <c r="D522" s="17" t="s">
        <v>247</v>
      </c>
      <c r="E522" s="18" t="s">
        <v>34</v>
      </c>
      <c r="F522" s="18">
        <v>1.0</v>
      </c>
      <c r="G522" s="19">
        <f t="shared" si="1"/>
        <v>0.2469179351</v>
      </c>
      <c r="H522" s="17">
        <v>7.0</v>
      </c>
      <c r="I522" s="10">
        <v>30.0</v>
      </c>
      <c r="J522" s="17">
        <v>2.0</v>
      </c>
      <c r="K522" s="17">
        <v>160.0</v>
      </c>
      <c r="L522" s="17"/>
      <c r="M522" s="20">
        <v>0.0</v>
      </c>
      <c r="N522" s="20">
        <v>0.0</v>
      </c>
      <c r="O522" s="20">
        <v>0.0</v>
      </c>
      <c r="P522" s="20">
        <f t="shared" si="2"/>
        <v>0</v>
      </c>
      <c r="Q522" s="21">
        <v>3.0</v>
      </c>
      <c r="R522" s="22">
        <f t="shared" si="3"/>
        <v>121.4978571</v>
      </c>
      <c r="S522" s="23">
        <f t="shared" si="4"/>
        <v>4.285714286</v>
      </c>
      <c r="T522" s="24">
        <f t="shared" si="5"/>
        <v>0</v>
      </c>
      <c r="U522" s="26">
        <f t="shared" si="6"/>
        <v>0.6</v>
      </c>
      <c r="V522" s="26" t="str">
        <f t="shared" si="7"/>
        <v>0%</v>
      </c>
      <c r="W522" s="19">
        <f t="shared" si="8"/>
        <v>5.333333333</v>
      </c>
      <c r="X522" s="20">
        <f t="shared" si="9"/>
        <v>30</v>
      </c>
      <c r="Y522" s="16"/>
      <c r="Z522" s="17"/>
      <c r="AA522" s="28"/>
      <c r="AB522" s="17"/>
      <c r="AC522" s="28"/>
      <c r="AD522" s="16"/>
    </row>
    <row r="523" ht="15.75" customHeight="1">
      <c r="A523" s="27" t="s">
        <v>1514</v>
      </c>
      <c r="B523" s="27" t="s">
        <v>312</v>
      </c>
      <c r="C523" s="16" t="s">
        <v>1676</v>
      </c>
      <c r="D523" s="17" t="s">
        <v>212</v>
      </c>
      <c r="E523" s="18" t="s">
        <v>34</v>
      </c>
      <c r="F523" s="18">
        <v>1.0</v>
      </c>
      <c r="G523" s="19">
        <f t="shared" si="1"/>
        <v>2.398631369</v>
      </c>
      <c r="H523" s="17">
        <v>68.0</v>
      </c>
      <c r="I523" s="10">
        <v>290.0</v>
      </c>
      <c r="J523" s="17">
        <v>11.0</v>
      </c>
      <c r="K523" s="17">
        <v>330.0</v>
      </c>
      <c r="L523" s="17">
        <v>213.0</v>
      </c>
      <c r="M523" s="20">
        <v>29.0</v>
      </c>
      <c r="N523" s="20">
        <v>2.0</v>
      </c>
      <c r="O523" s="20">
        <v>17.0</v>
      </c>
      <c r="P523" s="20">
        <f t="shared" si="2"/>
        <v>10</v>
      </c>
      <c r="Q523" s="21">
        <v>20.0</v>
      </c>
      <c r="R523" s="22">
        <f t="shared" si="3"/>
        <v>120.9022794</v>
      </c>
      <c r="S523" s="23">
        <f t="shared" si="4"/>
        <v>4.264705882</v>
      </c>
      <c r="T523" s="24">
        <f t="shared" si="5"/>
        <v>1.45</v>
      </c>
      <c r="U523" s="26">
        <f t="shared" si="6"/>
        <v>0.3355932203</v>
      </c>
      <c r="V523" s="26">
        <f t="shared" si="7"/>
        <v>0.2305084746</v>
      </c>
      <c r="W523" s="19">
        <f t="shared" si="8"/>
        <v>1.137931034</v>
      </c>
      <c r="X523" s="20">
        <f t="shared" si="9"/>
        <v>290</v>
      </c>
      <c r="Y523" s="27"/>
      <c r="Z523" s="17"/>
      <c r="AA523" s="28"/>
      <c r="AB523" s="17"/>
      <c r="AC523" s="28"/>
      <c r="AD523" s="16"/>
    </row>
    <row r="524" ht="15.75" customHeight="1">
      <c r="A524" s="27" t="s">
        <v>1463</v>
      </c>
      <c r="B524" s="27" t="s">
        <v>1677</v>
      </c>
      <c r="C524" s="16" t="s">
        <v>1678</v>
      </c>
      <c r="D524" s="17" t="s">
        <v>212</v>
      </c>
      <c r="E524" s="18" t="s">
        <v>34</v>
      </c>
      <c r="F524" s="18">
        <v>1.0</v>
      </c>
      <c r="G524" s="19">
        <f t="shared" si="1"/>
        <v>5.467468562</v>
      </c>
      <c r="H524" s="17">
        <v>155.0</v>
      </c>
      <c r="I524" s="10">
        <v>660.0</v>
      </c>
      <c r="J524" s="17">
        <v>26.0</v>
      </c>
      <c r="K524" s="17">
        <v>720.0</v>
      </c>
      <c r="L524" s="17">
        <v>420.0</v>
      </c>
      <c r="M524" s="20">
        <v>95.0</v>
      </c>
      <c r="N524" s="20">
        <v>10.0</v>
      </c>
      <c r="O524" s="20">
        <v>28.0</v>
      </c>
      <c r="P524" s="20">
        <f t="shared" si="2"/>
        <v>57</v>
      </c>
      <c r="Q524" s="21">
        <v>17.0</v>
      </c>
      <c r="R524" s="22">
        <f t="shared" si="3"/>
        <v>120.714</v>
      </c>
      <c r="S524" s="23">
        <f t="shared" si="4"/>
        <v>4.258064516</v>
      </c>
      <c r="T524" s="24">
        <f t="shared" si="5"/>
        <v>5.588235294</v>
      </c>
      <c r="U524" s="26">
        <f t="shared" si="6"/>
        <v>0.3431085044</v>
      </c>
      <c r="V524" s="26">
        <f t="shared" si="7"/>
        <v>0.1642228739</v>
      </c>
      <c r="W524" s="19">
        <f t="shared" si="8"/>
        <v>1.090909091</v>
      </c>
      <c r="X524" s="20">
        <f t="shared" si="9"/>
        <v>660</v>
      </c>
      <c r="Y524" s="27"/>
      <c r="Z524" s="17"/>
      <c r="AA524" s="28"/>
      <c r="AB524" s="17"/>
      <c r="AC524" s="28"/>
      <c r="AD524" s="27"/>
    </row>
    <row r="525" ht="15.75" customHeight="1">
      <c r="A525" s="27" t="s">
        <v>1117</v>
      </c>
      <c r="B525" s="27" t="s">
        <v>1679</v>
      </c>
      <c r="C525" s="16" t="s">
        <v>1680</v>
      </c>
      <c r="D525" s="17" t="s">
        <v>212</v>
      </c>
      <c r="E525" s="18" t="s">
        <v>34</v>
      </c>
      <c r="F525" s="18">
        <v>1.0</v>
      </c>
      <c r="G525" s="19">
        <f t="shared" si="1"/>
        <v>1.410959629</v>
      </c>
      <c r="H525" s="17">
        <v>40.0</v>
      </c>
      <c r="I525" s="10">
        <v>170.0</v>
      </c>
      <c r="J525" s="17">
        <v>11.0</v>
      </c>
      <c r="K525" s="17">
        <v>15.0</v>
      </c>
      <c r="L525" s="17">
        <v>135.0</v>
      </c>
      <c r="M525" s="20">
        <v>21.0</v>
      </c>
      <c r="N525" s="20">
        <v>5.0</v>
      </c>
      <c r="O525" s="20">
        <v>10.0</v>
      </c>
      <c r="P525" s="20">
        <f t="shared" si="2"/>
        <v>6</v>
      </c>
      <c r="Q525" s="21">
        <v>4.0</v>
      </c>
      <c r="R525" s="22">
        <f t="shared" si="3"/>
        <v>120.485375</v>
      </c>
      <c r="S525" s="23">
        <f t="shared" si="4"/>
        <v>4.25</v>
      </c>
      <c r="T525" s="24">
        <f t="shared" si="5"/>
        <v>5.25</v>
      </c>
      <c r="U525" s="26">
        <f t="shared" si="6"/>
        <v>0.4974874372</v>
      </c>
      <c r="V525" s="26">
        <f t="shared" si="7"/>
        <v>0.2010050251</v>
      </c>
      <c r="W525" s="19">
        <f t="shared" si="8"/>
        <v>0.08823529412</v>
      </c>
      <c r="X525" s="20">
        <f t="shared" si="9"/>
        <v>170</v>
      </c>
      <c r="Y525" s="27"/>
      <c r="Z525" s="17"/>
      <c r="AA525" s="28"/>
      <c r="AB525" s="17"/>
      <c r="AC525" s="28"/>
      <c r="AD525" s="27"/>
    </row>
    <row r="526" ht="15.75" customHeight="1">
      <c r="A526" s="27" t="s">
        <v>1117</v>
      </c>
      <c r="B526" s="27" t="s">
        <v>1681</v>
      </c>
      <c r="C526" s="16" t="s">
        <v>1682</v>
      </c>
      <c r="D526" s="17" t="s">
        <v>212</v>
      </c>
      <c r="E526" s="18" t="s">
        <v>34</v>
      </c>
      <c r="F526" s="18">
        <v>1.0</v>
      </c>
      <c r="G526" s="19">
        <f t="shared" si="1"/>
        <v>1.410959629</v>
      </c>
      <c r="H526" s="17">
        <v>40.0</v>
      </c>
      <c r="I526" s="10">
        <v>170.0</v>
      </c>
      <c r="J526" s="17">
        <v>13.0</v>
      </c>
      <c r="K526" s="17">
        <v>20.0</v>
      </c>
      <c r="L526" s="17"/>
      <c r="M526" s="20">
        <v>18.0</v>
      </c>
      <c r="N526" s="20">
        <v>5.0</v>
      </c>
      <c r="O526" s="20">
        <v>8.0</v>
      </c>
      <c r="P526" s="20">
        <f t="shared" si="2"/>
        <v>5</v>
      </c>
      <c r="Q526" s="21">
        <v>4.0</v>
      </c>
      <c r="R526" s="22">
        <f t="shared" si="3"/>
        <v>120.485375</v>
      </c>
      <c r="S526" s="23">
        <f t="shared" si="4"/>
        <v>4.25</v>
      </c>
      <c r="T526" s="24">
        <f t="shared" si="5"/>
        <v>4.5</v>
      </c>
      <c r="U526" s="26">
        <f t="shared" si="6"/>
        <v>0.5707317073</v>
      </c>
      <c r="V526" s="26">
        <f t="shared" si="7"/>
        <v>0.156097561</v>
      </c>
      <c r="W526" s="19">
        <f t="shared" si="8"/>
        <v>0.1176470588</v>
      </c>
      <c r="X526" s="20">
        <f t="shared" si="9"/>
        <v>170</v>
      </c>
      <c r="Y526" s="27"/>
      <c r="Z526" s="17"/>
      <c r="AA526" s="28"/>
      <c r="AB526" s="17"/>
      <c r="AC526" s="28"/>
      <c r="AD526" s="27"/>
    </row>
    <row r="527" ht="15.75" customHeight="1">
      <c r="A527" s="16" t="s">
        <v>1117</v>
      </c>
      <c r="B527" s="16" t="s">
        <v>1683</v>
      </c>
      <c r="C527" s="16" t="s">
        <v>1684</v>
      </c>
      <c r="D527" s="17" t="s">
        <v>212</v>
      </c>
      <c r="E527" s="18" t="s">
        <v>34</v>
      </c>
      <c r="F527" s="18">
        <v>1.0</v>
      </c>
      <c r="G527" s="19">
        <f t="shared" si="1"/>
        <v>1.410959629</v>
      </c>
      <c r="H527" s="17">
        <v>40.0</v>
      </c>
      <c r="I527" s="10">
        <v>170.0</v>
      </c>
      <c r="J527" s="17">
        <v>11.0</v>
      </c>
      <c r="K527" s="17">
        <v>20.0</v>
      </c>
      <c r="L527" s="17">
        <v>150.0</v>
      </c>
      <c r="M527" s="20">
        <v>21.0</v>
      </c>
      <c r="N527" s="20">
        <v>3.0</v>
      </c>
      <c r="O527" s="20">
        <v>10.0</v>
      </c>
      <c r="P527" s="20">
        <f t="shared" si="2"/>
        <v>8</v>
      </c>
      <c r="Q527" s="21">
        <v>5.0</v>
      </c>
      <c r="R527" s="22">
        <f t="shared" si="3"/>
        <v>120.485375</v>
      </c>
      <c r="S527" s="23">
        <f t="shared" si="4"/>
        <v>4.25</v>
      </c>
      <c r="T527" s="24">
        <f t="shared" si="5"/>
        <v>4.2</v>
      </c>
      <c r="U527" s="26">
        <f t="shared" si="6"/>
        <v>0.4876847291</v>
      </c>
      <c r="V527" s="26">
        <f t="shared" si="7"/>
        <v>0.197044335</v>
      </c>
      <c r="W527" s="19">
        <f t="shared" si="8"/>
        <v>0.1176470588</v>
      </c>
      <c r="X527" s="20">
        <f t="shared" si="9"/>
        <v>170</v>
      </c>
      <c r="Y527" s="27"/>
      <c r="Z527" s="17"/>
      <c r="AA527" s="28"/>
      <c r="AB527" s="17"/>
      <c r="AC527" s="28"/>
      <c r="AD527" s="16"/>
    </row>
    <row r="528" ht="15.75" customHeight="1">
      <c r="A528" s="27" t="s">
        <v>1548</v>
      </c>
      <c r="B528" s="27" t="s">
        <v>1685</v>
      </c>
      <c r="C528" s="16" t="s">
        <v>1686</v>
      </c>
      <c r="D528" s="17" t="s">
        <v>212</v>
      </c>
      <c r="E528" s="18" t="s">
        <v>34</v>
      </c>
      <c r="F528" s="18">
        <v>1.0</v>
      </c>
      <c r="G528" s="19">
        <f t="shared" si="1"/>
        <v>1.410959629</v>
      </c>
      <c r="H528" s="17">
        <v>40.0</v>
      </c>
      <c r="I528" s="10">
        <v>170.0</v>
      </c>
      <c r="J528" s="17">
        <v>12.0</v>
      </c>
      <c r="K528" s="17">
        <v>65.0</v>
      </c>
      <c r="L528" s="17">
        <v>150.0</v>
      </c>
      <c r="M528" s="20">
        <v>19.0</v>
      </c>
      <c r="N528" s="20">
        <v>8.0</v>
      </c>
      <c r="O528" s="20">
        <v>1.0</v>
      </c>
      <c r="P528" s="20">
        <f t="shared" si="2"/>
        <v>10</v>
      </c>
      <c r="Q528" s="21">
        <v>5.0</v>
      </c>
      <c r="R528" s="22">
        <f t="shared" si="3"/>
        <v>120.485375</v>
      </c>
      <c r="S528" s="23">
        <f t="shared" si="4"/>
        <v>4.25</v>
      </c>
      <c r="T528" s="24">
        <f t="shared" si="5"/>
        <v>3.8</v>
      </c>
      <c r="U528" s="26">
        <f t="shared" si="6"/>
        <v>0.5294117647</v>
      </c>
      <c r="V528" s="26">
        <f t="shared" si="7"/>
        <v>0.01960784314</v>
      </c>
      <c r="W528" s="19">
        <f t="shared" si="8"/>
        <v>0.3823529412</v>
      </c>
      <c r="X528" s="20">
        <f t="shared" si="9"/>
        <v>170</v>
      </c>
      <c r="Y528" s="27"/>
      <c r="Z528" s="17"/>
      <c r="AA528" s="28"/>
      <c r="AB528" s="17"/>
      <c r="AC528" s="28"/>
      <c r="AD528" s="27"/>
    </row>
    <row r="529" ht="15.75" customHeight="1">
      <c r="A529" s="27" t="s">
        <v>1117</v>
      </c>
      <c r="B529" s="27" t="s">
        <v>1687</v>
      </c>
      <c r="C529" s="16" t="s">
        <v>1688</v>
      </c>
      <c r="D529" s="17" t="s">
        <v>212</v>
      </c>
      <c r="E529" s="18" t="s">
        <v>34</v>
      </c>
      <c r="F529" s="18">
        <v>1.0</v>
      </c>
      <c r="G529" s="19">
        <f t="shared" si="1"/>
        <v>1.410959629</v>
      </c>
      <c r="H529" s="17">
        <v>40.0</v>
      </c>
      <c r="I529" s="10">
        <v>170.0</v>
      </c>
      <c r="J529" s="17">
        <v>15.0</v>
      </c>
      <c r="K529" s="17">
        <v>15.0</v>
      </c>
      <c r="L529" s="17"/>
      <c r="M529" s="20">
        <v>16.0</v>
      </c>
      <c r="N529" s="20">
        <v>6.0</v>
      </c>
      <c r="O529" s="20">
        <v>5.0</v>
      </c>
      <c r="P529" s="20">
        <f t="shared" si="2"/>
        <v>5</v>
      </c>
      <c r="Q529" s="21">
        <v>5.0</v>
      </c>
      <c r="R529" s="22">
        <f t="shared" si="3"/>
        <v>120.485375</v>
      </c>
      <c r="S529" s="23">
        <f t="shared" si="4"/>
        <v>4.25</v>
      </c>
      <c r="T529" s="24">
        <f t="shared" si="5"/>
        <v>3.2</v>
      </c>
      <c r="U529" s="26">
        <f t="shared" si="6"/>
        <v>0.6164383562</v>
      </c>
      <c r="V529" s="26">
        <f t="shared" si="7"/>
        <v>0.09132420091</v>
      </c>
      <c r="W529" s="19">
        <f t="shared" si="8"/>
        <v>0.08823529412</v>
      </c>
      <c r="X529" s="20">
        <f t="shared" si="9"/>
        <v>170</v>
      </c>
      <c r="Y529" s="27"/>
      <c r="Z529" s="17"/>
      <c r="AA529" s="28"/>
      <c r="AB529" s="17"/>
      <c r="AC529" s="28"/>
      <c r="AD529" s="27"/>
    </row>
    <row r="530" ht="15.75" customHeight="1">
      <c r="A530" s="27" t="s">
        <v>1117</v>
      </c>
      <c r="B530" s="27" t="s">
        <v>1689</v>
      </c>
      <c r="C530" s="16" t="s">
        <v>1690</v>
      </c>
      <c r="D530" s="17" t="s">
        <v>212</v>
      </c>
      <c r="E530" s="18" t="s">
        <v>34</v>
      </c>
      <c r="F530" s="18">
        <v>1.0</v>
      </c>
      <c r="G530" s="19">
        <f t="shared" si="1"/>
        <v>1.410959629</v>
      </c>
      <c r="H530" s="17">
        <v>40.0</v>
      </c>
      <c r="I530" s="10">
        <v>170.0</v>
      </c>
      <c r="J530" s="17">
        <v>15.0</v>
      </c>
      <c r="K530" s="17">
        <v>15.0</v>
      </c>
      <c r="L530" s="17"/>
      <c r="M530" s="20">
        <v>16.0</v>
      </c>
      <c r="N530" s="20">
        <v>7.0</v>
      </c>
      <c r="O530" s="20">
        <v>5.0</v>
      </c>
      <c r="P530" s="20">
        <f t="shared" si="2"/>
        <v>4</v>
      </c>
      <c r="Q530" s="21">
        <v>5.0</v>
      </c>
      <c r="R530" s="22">
        <f t="shared" si="3"/>
        <v>120.485375</v>
      </c>
      <c r="S530" s="23">
        <f t="shared" si="4"/>
        <v>4.25</v>
      </c>
      <c r="T530" s="24">
        <f t="shared" si="5"/>
        <v>3.2</v>
      </c>
      <c r="U530" s="26">
        <f t="shared" si="6"/>
        <v>0.6164383562</v>
      </c>
      <c r="V530" s="26">
        <f t="shared" si="7"/>
        <v>0.09132420091</v>
      </c>
      <c r="W530" s="19">
        <f t="shared" si="8"/>
        <v>0.08823529412</v>
      </c>
      <c r="X530" s="20">
        <f t="shared" si="9"/>
        <v>170</v>
      </c>
      <c r="Y530" s="27"/>
      <c r="Z530" s="17"/>
      <c r="AA530" s="28"/>
      <c r="AB530" s="17"/>
      <c r="AC530" s="28"/>
      <c r="AD530" s="27"/>
    </row>
    <row r="531" ht="15.75" customHeight="1">
      <c r="A531" s="27" t="s">
        <v>1117</v>
      </c>
      <c r="B531" s="27" t="s">
        <v>1691</v>
      </c>
      <c r="C531" s="16" t="s">
        <v>1692</v>
      </c>
      <c r="D531" s="17" t="s">
        <v>212</v>
      </c>
      <c r="E531" s="18" t="s">
        <v>34</v>
      </c>
      <c r="F531" s="18">
        <v>1.0</v>
      </c>
      <c r="G531" s="19">
        <f t="shared" si="1"/>
        <v>1.410959629</v>
      </c>
      <c r="H531" s="17">
        <v>40.0</v>
      </c>
      <c r="I531" s="10">
        <v>170.0</v>
      </c>
      <c r="J531" s="17">
        <v>15.0</v>
      </c>
      <c r="K531" s="17">
        <v>125.0</v>
      </c>
      <c r="L531" s="17"/>
      <c r="M531" s="20">
        <v>16.0</v>
      </c>
      <c r="N531" s="20">
        <v>7.0</v>
      </c>
      <c r="O531" s="20">
        <v>5.0</v>
      </c>
      <c r="P531" s="20">
        <f t="shared" si="2"/>
        <v>4</v>
      </c>
      <c r="Q531" s="21">
        <v>6.0</v>
      </c>
      <c r="R531" s="22">
        <f t="shared" si="3"/>
        <v>120.485375</v>
      </c>
      <c r="S531" s="23">
        <f t="shared" si="4"/>
        <v>4.25</v>
      </c>
      <c r="T531" s="24">
        <f t="shared" si="5"/>
        <v>2.666666667</v>
      </c>
      <c r="U531" s="26">
        <f t="shared" si="6"/>
        <v>0.6053811659</v>
      </c>
      <c r="V531" s="26">
        <f t="shared" si="7"/>
        <v>0.08968609865</v>
      </c>
      <c r="W531" s="19">
        <f t="shared" si="8"/>
        <v>0.7352941176</v>
      </c>
      <c r="X531" s="20">
        <f t="shared" si="9"/>
        <v>170</v>
      </c>
      <c r="Y531" s="27"/>
      <c r="Z531" s="17"/>
      <c r="AA531" s="28"/>
      <c r="AB531" s="17"/>
      <c r="AC531" s="28"/>
      <c r="AD531" s="27"/>
    </row>
    <row r="532" ht="15.75" customHeight="1">
      <c r="A532" s="27" t="s">
        <v>1544</v>
      </c>
      <c r="B532" s="27" t="s">
        <v>1693</v>
      </c>
      <c r="C532" s="16" t="s">
        <v>1694</v>
      </c>
      <c r="D532" s="17" t="s">
        <v>212</v>
      </c>
      <c r="E532" s="18" t="s">
        <v>34</v>
      </c>
      <c r="F532" s="18">
        <v>1.0</v>
      </c>
      <c r="G532" s="19">
        <f t="shared" si="1"/>
        <v>2.821919258</v>
      </c>
      <c r="H532" s="17">
        <v>80.0</v>
      </c>
      <c r="I532" s="10">
        <v>340.0</v>
      </c>
      <c r="J532" s="17">
        <v>11.0</v>
      </c>
      <c r="K532" s="17">
        <v>380.0</v>
      </c>
      <c r="L532" s="17"/>
      <c r="M532" s="20">
        <v>42.0</v>
      </c>
      <c r="N532" s="20">
        <v>1.0</v>
      </c>
      <c r="O532" s="20">
        <v>26.0</v>
      </c>
      <c r="P532" s="20">
        <f t="shared" si="2"/>
        <v>15</v>
      </c>
      <c r="Q532" s="21">
        <v>20.0</v>
      </c>
      <c r="R532" s="22">
        <f t="shared" si="3"/>
        <v>120.485375</v>
      </c>
      <c r="S532" s="23">
        <f t="shared" si="4"/>
        <v>4.25</v>
      </c>
      <c r="T532" s="24">
        <f t="shared" si="5"/>
        <v>2.1</v>
      </c>
      <c r="U532" s="26">
        <f t="shared" si="6"/>
        <v>0.2853025937</v>
      </c>
      <c r="V532" s="26">
        <f t="shared" si="7"/>
        <v>0.2997118156</v>
      </c>
      <c r="W532" s="19">
        <f t="shared" si="8"/>
        <v>1.117647059</v>
      </c>
      <c r="X532" s="20">
        <f t="shared" si="9"/>
        <v>340</v>
      </c>
      <c r="Y532" s="27"/>
      <c r="Z532" s="17"/>
      <c r="AA532" s="28"/>
      <c r="AB532" s="17"/>
      <c r="AC532" s="28"/>
      <c r="AD532" s="27"/>
    </row>
    <row r="533" ht="15.75" customHeight="1">
      <c r="A533" s="27" t="s">
        <v>1548</v>
      </c>
      <c r="B533" s="27" t="s">
        <v>1695</v>
      </c>
      <c r="C533" s="16" t="s">
        <v>1696</v>
      </c>
      <c r="D533" s="17" t="s">
        <v>212</v>
      </c>
      <c r="E533" s="18" t="s">
        <v>34</v>
      </c>
      <c r="F533" s="18">
        <v>1.0</v>
      </c>
      <c r="G533" s="19">
        <f t="shared" si="1"/>
        <v>1.410959629</v>
      </c>
      <c r="H533" s="17">
        <v>40.0</v>
      </c>
      <c r="I533" s="10">
        <v>170.0</v>
      </c>
      <c r="J533" s="17">
        <v>8.0</v>
      </c>
      <c r="K533" s="17">
        <v>180.0</v>
      </c>
      <c r="L533" s="17">
        <v>50.0</v>
      </c>
      <c r="M533" s="20">
        <v>15.0</v>
      </c>
      <c r="N533" s="20">
        <v>8.0</v>
      </c>
      <c r="O533" s="20">
        <v>2.0</v>
      </c>
      <c r="P533" s="20">
        <f t="shared" si="2"/>
        <v>5</v>
      </c>
      <c r="Q533" s="21">
        <v>12.0</v>
      </c>
      <c r="R533" s="22">
        <f t="shared" si="3"/>
        <v>120.485375</v>
      </c>
      <c r="S533" s="23">
        <f t="shared" si="4"/>
        <v>4.25</v>
      </c>
      <c r="T533" s="24">
        <f t="shared" si="5"/>
        <v>1.25</v>
      </c>
      <c r="U533" s="26">
        <f t="shared" si="6"/>
        <v>0.4</v>
      </c>
      <c r="V533" s="26">
        <f t="shared" si="7"/>
        <v>0.04444444444</v>
      </c>
      <c r="W533" s="19">
        <f t="shared" si="8"/>
        <v>1.058823529</v>
      </c>
      <c r="X533" s="20">
        <f t="shared" si="9"/>
        <v>170</v>
      </c>
      <c r="Y533" s="27"/>
      <c r="Z533" s="17"/>
      <c r="AA533" s="28"/>
      <c r="AB533" s="17"/>
      <c r="AC533" s="28"/>
      <c r="AD533" s="27"/>
    </row>
    <row r="534" ht="15.75" customHeight="1">
      <c r="A534" s="27" t="s">
        <v>1697</v>
      </c>
      <c r="B534" s="27" t="s">
        <v>1698</v>
      </c>
      <c r="C534" s="16" t="s">
        <v>1699</v>
      </c>
      <c r="D534" s="17" t="s">
        <v>1648</v>
      </c>
      <c r="E534" s="18" t="s">
        <v>34</v>
      </c>
      <c r="F534" s="18">
        <v>1.0</v>
      </c>
      <c r="G534" s="19">
        <f t="shared" si="1"/>
        <v>0.9982539375</v>
      </c>
      <c r="H534" s="17">
        <v>28.3</v>
      </c>
      <c r="I534" s="10">
        <v>120.0</v>
      </c>
      <c r="J534" s="17">
        <v>8.0</v>
      </c>
      <c r="K534" s="17">
        <v>650.0</v>
      </c>
      <c r="L534" s="17"/>
      <c r="M534" s="20">
        <v>5.0</v>
      </c>
      <c r="N534" s="20">
        <v>0.0</v>
      </c>
      <c r="O534" s="20">
        <v>5.0</v>
      </c>
      <c r="P534" s="20">
        <f t="shared" si="2"/>
        <v>0</v>
      </c>
      <c r="Q534" s="21">
        <v>8.0</v>
      </c>
      <c r="R534" s="22">
        <f t="shared" si="3"/>
        <v>120.209894</v>
      </c>
      <c r="S534" s="23">
        <f t="shared" si="4"/>
        <v>4.240282686</v>
      </c>
      <c r="T534" s="24">
        <f t="shared" si="5"/>
        <v>0.625</v>
      </c>
      <c r="U534" s="26">
        <f t="shared" si="6"/>
        <v>0.5806451613</v>
      </c>
      <c r="V534" s="26">
        <f t="shared" si="7"/>
        <v>0.1612903226</v>
      </c>
      <c r="W534" s="19">
        <f t="shared" si="8"/>
        <v>5.416666667</v>
      </c>
      <c r="X534" s="20">
        <f t="shared" si="9"/>
        <v>120</v>
      </c>
      <c r="Y534" s="27"/>
      <c r="Z534" s="17"/>
      <c r="AA534" s="28"/>
      <c r="AB534" s="17"/>
      <c r="AC534" s="28"/>
      <c r="AD534" s="16"/>
    </row>
    <row r="535" ht="15.75" customHeight="1">
      <c r="A535" s="27" t="s">
        <v>1700</v>
      </c>
      <c r="B535" s="27" t="s">
        <v>1701</v>
      </c>
      <c r="C535" s="16" t="s">
        <v>1702</v>
      </c>
      <c r="D535" s="17" t="s">
        <v>212</v>
      </c>
      <c r="E535" s="18" t="s">
        <v>34</v>
      </c>
      <c r="F535" s="18">
        <v>1.0</v>
      </c>
      <c r="G535" s="19">
        <f t="shared" si="1"/>
        <v>2.998289211</v>
      </c>
      <c r="H535" s="17">
        <v>85.0</v>
      </c>
      <c r="I535" s="10">
        <v>360.0</v>
      </c>
      <c r="J535" s="17">
        <v>16.0</v>
      </c>
      <c r="K535" s="17">
        <v>140.0</v>
      </c>
      <c r="L535" s="17"/>
      <c r="M535" s="20">
        <v>49.0</v>
      </c>
      <c r="N535" s="20">
        <v>5.0</v>
      </c>
      <c r="O535" s="20">
        <v>25.0</v>
      </c>
      <c r="P535" s="20">
        <f t="shared" si="2"/>
        <v>19</v>
      </c>
      <c r="Q535" s="21">
        <v>8.0</v>
      </c>
      <c r="R535" s="22">
        <f t="shared" si="3"/>
        <v>120.0684706</v>
      </c>
      <c r="S535" s="23">
        <f t="shared" si="4"/>
        <v>4.235294118</v>
      </c>
      <c r="T535" s="24">
        <f t="shared" si="5"/>
        <v>6.125</v>
      </c>
      <c r="U535" s="26">
        <f t="shared" si="6"/>
        <v>0.3870967742</v>
      </c>
      <c r="V535" s="26">
        <f t="shared" si="7"/>
        <v>0.2688172043</v>
      </c>
      <c r="W535" s="19">
        <f t="shared" si="8"/>
        <v>0.3888888889</v>
      </c>
      <c r="X535" s="20">
        <f t="shared" si="9"/>
        <v>360</v>
      </c>
      <c r="Y535" s="27"/>
      <c r="Z535" s="17"/>
      <c r="AA535" s="28"/>
      <c r="AB535" s="17"/>
      <c r="AC535" s="28"/>
      <c r="AD535" s="16"/>
    </row>
    <row r="536" ht="15.75" customHeight="1">
      <c r="A536" s="16" t="s">
        <v>1703</v>
      </c>
      <c r="B536" s="16" t="s">
        <v>1704</v>
      </c>
      <c r="C536" s="16" t="s">
        <v>1705</v>
      </c>
      <c r="D536" s="17" t="s">
        <v>1648</v>
      </c>
      <c r="E536" s="18" t="s">
        <v>34</v>
      </c>
      <c r="F536" s="18">
        <v>1.0</v>
      </c>
      <c r="G536" s="19">
        <f t="shared" si="1"/>
        <v>1.499144606</v>
      </c>
      <c r="H536" s="17">
        <v>42.5</v>
      </c>
      <c r="I536" s="10">
        <v>180.0</v>
      </c>
      <c r="J536" s="17">
        <v>12.0</v>
      </c>
      <c r="K536" s="17">
        <v>975.0</v>
      </c>
      <c r="L536" s="17"/>
      <c r="M536" s="20">
        <v>7.5</v>
      </c>
      <c r="N536" s="20">
        <v>0.0</v>
      </c>
      <c r="O536" s="20">
        <v>7.5</v>
      </c>
      <c r="P536" s="20">
        <f t="shared" si="2"/>
        <v>0</v>
      </c>
      <c r="Q536" s="21">
        <v>12.0</v>
      </c>
      <c r="R536" s="22">
        <f t="shared" si="3"/>
        <v>120.0684706</v>
      </c>
      <c r="S536" s="23">
        <f t="shared" si="4"/>
        <v>4.235294118</v>
      </c>
      <c r="T536" s="24">
        <f t="shared" si="5"/>
        <v>0.625</v>
      </c>
      <c r="U536" s="26">
        <f t="shared" si="6"/>
        <v>0.5806451613</v>
      </c>
      <c r="V536" s="26">
        <f t="shared" si="7"/>
        <v>0.1612903226</v>
      </c>
      <c r="W536" s="19">
        <f t="shared" si="8"/>
        <v>5.416666667</v>
      </c>
      <c r="X536" s="20">
        <f t="shared" si="9"/>
        <v>180</v>
      </c>
      <c r="Y536" s="27"/>
      <c r="Z536" s="17"/>
      <c r="AA536" s="28"/>
      <c r="AB536" s="17"/>
      <c r="AC536" s="28"/>
      <c r="AD536" s="27"/>
    </row>
    <row r="537" ht="15.75" customHeight="1">
      <c r="A537" s="16" t="s">
        <v>88</v>
      </c>
      <c r="B537" s="16" t="s">
        <v>1706</v>
      </c>
      <c r="C537" s="16" t="s">
        <v>1707</v>
      </c>
      <c r="D537" s="17" t="s">
        <v>33</v>
      </c>
      <c r="E537" s="18" t="s">
        <v>34</v>
      </c>
      <c r="F537" s="18">
        <v>1.0</v>
      </c>
      <c r="G537" s="19">
        <f t="shared" si="1"/>
        <v>2.000035274</v>
      </c>
      <c r="H537" s="17">
        <v>56.7</v>
      </c>
      <c r="I537" s="10">
        <v>240.0</v>
      </c>
      <c r="J537" s="17">
        <v>24.0</v>
      </c>
      <c r="K537" s="17">
        <v>620.0</v>
      </c>
      <c r="L537" s="17"/>
      <c r="M537" s="20">
        <v>3.0</v>
      </c>
      <c r="N537" s="20">
        <v>0.0</v>
      </c>
      <c r="O537" s="20">
        <v>2.0</v>
      </c>
      <c r="P537" s="20">
        <f t="shared" si="2"/>
        <v>1</v>
      </c>
      <c r="Q537" s="21">
        <v>3.0</v>
      </c>
      <c r="R537" s="22">
        <f t="shared" si="3"/>
        <v>119.9978836</v>
      </c>
      <c r="S537" s="23">
        <f t="shared" si="4"/>
        <v>4.232804233</v>
      </c>
      <c r="T537" s="24">
        <f t="shared" si="5"/>
        <v>1</v>
      </c>
      <c r="U537" s="26">
        <f t="shared" si="6"/>
        <v>0.9</v>
      </c>
      <c r="V537" s="26">
        <f t="shared" si="7"/>
        <v>0.03333333333</v>
      </c>
      <c r="W537" s="19">
        <f t="shared" si="8"/>
        <v>2.583333333</v>
      </c>
      <c r="X537" s="20">
        <f t="shared" si="9"/>
        <v>240</v>
      </c>
      <c r="Y537" s="27"/>
      <c r="Z537" s="17"/>
      <c r="AA537" s="28"/>
      <c r="AB537" s="17"/>
      <c r="AC537" s="28"/>
      <c r="AD537" s="27"/>
    </row>
    <row r="538" ht="15.75" customHeight="1">
      <c r="A538" s="27" t="s">
        <v>1708</v>
      </c>
      <c r="B538" s="27" t="s">
        <v>1709</v>
      </c>
      <c r="C538" s="16" t="s">
        <v>1710</v>
      </c>
      <c r="D538" s="17" t="s">
        <v>212</v>
      </c>
      <c r="E538" s="18" t="s">
        <v>34</v>
      </c>
      <c r="F538" s="18">
        <v>1.0</v>
      </c>
      <c r="G538" s="19">
        <f t="shared" si="1"/>
        <v>1.834247518</v>
      </c>
      <c r="H538" s="17">
        <v>52.0</v>
      </c>
      <c r="I538" s="10">
        <v>220.0</v>
      </c>
      <c r="J538" s="17">
        <v>10.0</v>
      </c>
      <c r="K538" s="17">
        <v>250.0</v>
      </c>
      <c r="L538" s="17"/>
      <c r="M538" s="20">
        <v>22.0</v>
      </c>
      <c r="N538" s="20">
        <v>3.0</v>
      </c>
      <c r="O538" s="20">
        <v>13.0</v>
      </c>
      <c r="P538" s="20">
        <f t="shared" si="2"/>
        <v>6</v>
      </c>
      <c r="Q538" s="21">
        <v>12.0</v>
      </c>
      <c r="R538" s="22">
        <f t="shared" si="3"/>
        <v>119.9401923</v>
      </c>
      <c r="S538" s="23">
        <f t="shared" si="4"/>
        <v>4.230769231</v>
      </c>
      <c r="T538" s="24">
        <f t="shared" si="5"/>
        <v>1.833333333</v>
      </c>
      <c r="U538" s="26">
        <f t="shared" si="6"/>
        <v>0.3982300885</v>
      </c>
      <c r="V538" s="26">
        <f t="shared" si="7"/>
        <v>0.2300884956</v>
      </c>
      <c r="W538" s="19">
        <f t="shared" si="8"/>
        <v>1.136363636</v>
      </c>
      <c r="X538" s="20">
        <f t="shared" si="9"/>
        <v>220</v>
      </c>
      <c r="Y538" s="27"/>
      <c r="Z538" s="17"/>
      <c r="AA538" s="28"/>
      <c r="AB538" s="17"/>
      <c r="AC538" s="28"/>
      <c r="AD538" s="27"/>
    </row>
    <row r="539" ht="15.75" customHeight="1">
      <c r="A539" s="27" t="s">
        <v>1553</v>
      </c>
      <c r="B539" s="27" t="s">
        <v>1244</v>
      </c>
      <c r="C539" s="16" t="s">
        <v>1711</v>
      </c>
      <c r="D539" s="17" t="s">
        <v>212</v>
      </c>
      <c r="E539" s="18" t="s">
        <v>34</v>
      </c>
      <c r="F539" s="18">
        <v>1.0</v>
      </c>
      <c r="G539" s="19">
        <f t="shared" si="1"/>
        <v>2.504453341</v>
      </c>
      <c r="H539" s="17">
        <v>71.0</v>
      </c>
      <c r="I539" s="10">
        <v>300.0</v>
      </c>
      <c r="J539" s="17">
        <v>11.0</v>
      </c>
      <c r="K539" s="17">
        <v>15.0</v>
      </c>
      <c r="L539" s="17">
        <v>1020.0</v>
      </c>
      <c r="M539" s="20">
        <v>46.0</v>
      </c>
      <c r="N539" s="20">
        <v>8.0</v>
      </c>
      <c r="O539" s="20">
        <v>24.0</v>
      </c>
      <c r="P539" s="20">
        <f t="shared" si="2"/>
        <v>14</v>
      </c>
      <c r="Q539" s="21">
        <v>6.0</v>
      </c>
      <c r="R539" s="22">
        <f t="shared" si="3"/>
        <v>119.7866197</v>
      </c>
      <c r="S539" s="23">
        <f t="shared" si="4"/>
        <v>4.225352113</v>
      </c>
      <c r="T539" s="24">
        <f t="shared" si="5"/>
        <v>7.666666667</v>
      </c>
      <c r="U539" s="26">
        <f t="shared" si="6"/>
        <v>0.32247557</v>
      </c>
      <c r="V539" s="26">
        <f t="shared" si="7"/>
        <v>0.3127035831</v>
      </c>
      <c r="W539" s="19">
        <f t="shared" si="8"/>
        <v>0.05</v>
      </c>
      <c r="X539" s="20">
        <f t="shared" si="9"/>
        <v>300</v>
      </c>
      <c r="Y539" s="27"/>
      <c r="Z539" s="17"/>
      <c r="AA539" s="28"/>
      <c r="AB539" s="17"/>
      <c r="AC539" s="28"/>
      <c r="AD539" s="27"/>
    </row>
    <row r="540" ht="15.75" customHeight="1">
      <c r="A540" s="27" t="s">
        <v>1181</v>
      </c>
      <c r="B540" s="27" t="s">
        <v>1712</v>
      </c>
      <c r="C540" s="16" t="s">
        <v>1713</v>
      </c>
      <c r="D540" s="17" t="s">
        <v>212</v>
      </c>
      <c r="E540" s="18" t="s">
        <v>34</v>
      </c>
      <c r="F540" s="18">
        <v>1.0</v>
      </c>
      <c r="G540" s="19">
        <f t="shared" si="1"/>
        <v>1.587329583</v>
      </c>
      <c r="H540" s="17">
        <v>45.0</v>
      </c>
      <c r="I540" s="10">
        <v>190.0</v>
      </c>
      <c r="J540" s="17">
        <v>8.0</v>
      </c>
      <c r="K540" s="17">
        <v>5.0</v>
      </c>
      <c r="L540" s="17">
        <v>310.0</v>
      </c>
      <c r="M540" s="20">
        <v>26.0</v>
      </c>
      <c r="N540" s="20">
        <v>4.0</v>
      </c>
      <c r="O540" s="20">
        <v>19.0</v>
      </c>
      <c r="P540" s="20">
        <f t="shared" si="2"/>
        <v>3</v>
      </c>
      <c r="Q540" s="21">
        <v>3.0</v>
      </c>
      <c r="R540" s="22">
        <f t="shared" si="3"/>
        <v>119.6978889</v>
      </c>
      <c r="S540" s="23">
        <f t="shared" si="4"/>
        <v>4.222222222</v>
      </c>
      <c r="T540" s="24">
        <f t="shared" si="5"/>
        <v>8.666666667</v>
      </c>
      <c r="U540" s="26">
        <f t="shared" si="6"/>
        <v>0.3829787234</v>
      </c>
      <c r="V540" s="26">
        <f t="shared" si="7"/>
        <v>0.4042553191</v>
      </c>
      <c r="W540" s="19">
        <f t="shared" si="8"/>
        <v>0.02631578947</v>
      </c>
      <c r="X540" s="20">
        <f t="shared" si="9"/>
        <v>190</v>
      </c>
      <c r="Y540" s="27"/>
      <c r="Z540" s="17"/>
      <c r="AA540" s="28"/>
      <c r="AB540" s="17"/>
      <c r="AC540" s="28"/>
      <c r="AD540" s="27"/>
    </row>
    <row r="541" ht="15.75" customHeight="1">
      <c r="A541" s="16" t="s">
        <v>1181</v>
      </c>
      <c r="B541" s="16" t="s">
        <v>1714</v>
      </c>
      <c r="C541" s="16" t="s">
        <v>1715</v>
      </c>
      <c r="D541" s="17" t="s">
        <v>212</v>
      </c>
      <c r="E541" s="18" t="s">
        <v>34</v>
      </c>
      <c r="F541" s="18">
        <v>1.0</v>
      </c>
      <c r="G541" s="19">
        <f t="shared" si="1"/>
        <v>1.587329583</v>
      </c>
      <c r="H541" s="17">
        <v>45.0</v>
      </c>
      <c r="I541" s="10">
        <v>190.0</v>
      </c>
      <c r="J541" s="17">
        <v>9.0</v>
      </c>
      <c r="K541" s="17">
        <v>0.0</v>
      </c>
      <c r="L541" s="17">
        <v>350.0</v>
      </c>
      <c r="M541" s="20">
        <v>26.0</v>
      </c>
      <c r="N541" s="20">
        <v>4.0</v>
      </c>
      <c r="O541" s="20">
        <v>20.0</v>
      </c>
      <c r="P541" s="20">
        <f t="shared" si="2"/>
        <v>2</v>
      </c>
      <c r="Q541" s="21">
        <v>4.0</v>
      </c>
      <c r="R541" s="22">
        <f t="shared" si="3"/>
        <v>119.6978889</v>
      </c>
      <c r="S541" s="23">
        <f t="shared" si="4"/>
        <v>4.222222222</v>
      </c>
      <c r="T541" s="24">
        <f t="shared" si="5"/>
        <v>6.5</v>
      </c>
      <c r="U541" s="26">
        <f t="shared" si="6"/>
        <v>0.4029850746</v>
      </c>
      <c r="V541" s="26">
        <f t="shared" si="7"/>
        <v>0.3980099502</v>
      </c>
      <c r="W541" s="19">
        <f t="shared" si="8"/>
        <v>0</v>
      </c>
      <c r="X541" s="20">
        <f t="shared" si="9"/>
        <v>190</v>
      </c>
      <c r="Y541" s="27"/>
      <c r="Z541" s="17"/>
      <c r="AA541" s="28"/>
      <c r="AB541" s="17"/>
      <c r="AC541" s="28"/>
      <c r="AD541" s="27"/>
    </row>
    <row r="542" ht="15.75" customHeight="1">
      <c r="A542" s="27" t="s">
        <v>248</v>
      </c>
      <c r="B542" s="27" t="s">
        <v>1716</v>
      </c>
      <c r="C542" s="16" t="s">
        <v>1717</v>
      </c>
      <c r="D542" s="17" t="s">
        <v>212</v>
      </c>
      <c r="E542" s="18" t="s">
        <v>34</v>
      </c>
      <c r="F542" s="18">
        <v>1.0</v>
      </c>
      <c r="G542" s="19">
        <f t="shared" si="1"/>
        <v>1.587329583</v>
      </c>
      <c r="H542" s="17">
        <v>45.0</v>
      </c>
      <c r="I542" s="10">
        <v>190.0</v>
      </c>
      <c r="J542" s="17">
        <v>9.0</v>
      </c>
      <c r="K542" s="17">
        <v>110.0</v>
      </c>
      <c r="L542" s="17">
        <v>190.0</v>
      </c>
      <c r="M542" s="20">
        <v>23.0</v>
      </c>
      <c r="N542" s="20">
        <v>3.0</v>
      </c>
      <c r="O542" s="20">
        <v>10.0</v>
      </c>
      <c r="P542" s="20">
        <f t="shared" si="2"/>
        <v>10</v>
      </c>
      <c r="Q542" s="21">
        <v>5.0</v>
      </c>
      <c r="R542" s="22">
        <f t="shared" si="3"/>
        <v>119.6978889</v>
      </c>
      <c r="S542" s="23">
        <f t="shared" si="4"/>
        <v>4.222222222</v>
      </c>
      <c r="T542" s="24">
        <f t="shared" si="5"/>
        <v>4.6</v>
      </c>
      <c r="U542" s="26">
        <f t="shared" si="6"/>
        <v>0.4196891192</v>
      </c>
      <c r="V542" s="26">
        <f t="shared" si="7"/>
        <v>0.207253886</v>
      </c>
      <c r="W542" s="19">
        <f t="shared" si="8"/>
        <v>0.5789473684</v>
      </c>
      <c r="X542" s="20">
        <f t="shared" si="9"/>
        <v>190</v>
      </c>
      <c r="Y542" s="27"/>
      <c r="Z542" s="17"/>
      <c r="AA542" s="28"/>
      <c r="AB542" s="17"/>
      <c r="AC542" s="28"/>
      <c r="AD542" s="27"/>
    </row>
    <row r="543" ht="15.75" customHeight="1">
      <c r="A543" s="27" t="s">
        <v>248</v>
      </c>
      <c r="B543" s="27" t="s">
        <v>1718</v>
      </c>
      <c r="C543" s="16" t="s">
        <v>1719</v>
      </c>
      <c r="D543" s="17" t="s">
        <v>212</v>
      </c>
      <c r="E543" s="18" t="s">
        <v>34</v>
      </c>
      <c r="F543" s="18">
        <v>1.0</v>
      </c>
      <c r="G543" s="19">
        <f t="shared" si="1"/>
        <v>1.587329583</v>
      </c>
      <c r="H543" s="17">
        <v>45.0</v>
      </c>
      <c r="I543" s="10">
        <v>190.0</v>
      </c>
      <c r="J543" s="17">
        <v>9.0</v>
      </c>
      <c r="K543" s="17">
        <v>105.0</v>
      </c>
      <c r="L543" s="17">
        <v>80.0</v>
      </c>
      <c r="M543" s="20">
        <v>24.0</v>
      </c>
      <c r="N543" s="20">
        <v>3.0</v>
      </c>
      <c r="O543" s="20">
        <v>11.0</v>
      </c>
      <c r="P543" s="20">
        <f t="shared" si="2"/>
        <v>10</v>
      </c>
      <c r="Q543" s="21">
        <v>6.0</v>
      </c>
      <c r="R543" s="22">
        <f t="shared" si="3"/>
        <v>119.6978889</v>
      </c>
      <c r="S543" s="23">
        <f t="shared" si="4"/>
        <v>4.222222222</v>
      </c>
      <c r="T543" s="24">
        <f t="shared" si="5"/>
        <v>4</v>
      </c>
      <c r="U543" s="26">
        <f t="shared" si="6"/>
        <v>0.4029850746</v>
      </c>
      <c r="V543" s="26">
        <f t="shared" si="7"/>
        <v>0.2189054726</v>
      </c>
      <c r="W543" s="19">
        <f t="shared" si="8"/>
        <v>0.5526315789</v>
      </c>
      <c r="X543" s="20">
        <f t="shared" si="9"/>
        <v>190</v>
      </c>
      <c r="Y543" s="27"/>
      <c r="Z543" s="17"/>
      <c r="AA543" s="28"/>
      <c r="AB543" s="17"/>
      <c r="AC543" s="28"/>
      <c r="AD543" s="27"/>
    </row>
    <row r="544" ht="15.75" customHeight="1">
      <c r="A544" s="27" t="s">
        <v>1505</v>
      </c>
      <c r="B544" s="27" t="s">
        <v>1143</v>
      </c>
      <c r="C544" s="16" t="s">
        <v>1720</v>
      </c>
      <c r="D544" s="17" t="s">
        <v>212</v>
      </c>
      <c r="E544" s="18" t="s">
        <v>34</v>
      </c>
      <c r="F544" s="18">
        <v>1.0</v>
      </c>
      <c r="G544" s="19">
        <f t="shared" si="1"/>
        <v>1.587329583</v>
      </c>
      <c r="H544" s="17">
        <v>45.0</v>
      </c>
      <c r="I544" s="10">
        <v>190.0</v>
      </c>
      <c r="J544" s="17">
        <v>6.0</v>
      </c>
      <c r="K544" s="17">
        <v>210.0</v>
      </c>
      <c r="L544" s="17">
        <v>160.0</v>
      </c>
      <c r="M544" s="20">
        <v>22.0</v>
      </c>
      <c r="N544" s="20">
        <v>1.0</v>
      </c>
      <c r="O544" s="20">
        <v>14.0</v>
      </c>
      <c r="P544" s="20">
        <f t="shared" si="2"/>
        <v>7</v>
      </c>
      <c r="Q544" s="21">
        <v>12.0</v>
      </c>
      <c r="R544" s="22">
        <f t="shared" si="3"/>
        <v>119.6978889</v>
      </c>
      <c r="S544" s="23">
        <f t="shared" si="4"/>
        <v>4.222222222</v>
      </c>
      <c r="T544" s="24">
        <f t="shared" si="5"/>
        <v>1.833333333</v>
      </c>
      <c r="U544" s="26">
        <f t="shared" si="6"/>
        <v>0.2842105263</v>
      </c>
      <c r="V544" s="26">
        <f t="shared" si="7"/>
        <v>0.2947368421</v>
      </c>
      <c r="W544" s="19">
        <f t="shared" si="8"/>
        <v>1.105263158</v>
      </c>
      <c r="X544" s="20">
        <f t="shared" si="9"/>
        <v>190</v>
      </c>
      <c r="Y544" s="27"/>
      <c r="Z544" s="17"/>
      <c r="AA544" s="28"/>
      <c r="AB544" s="17"/>
      <c r="AC544" s="28"/>
      <c r="AD544" s="27"/>
    </row>
    <row r="545" ht="15.75" customHeight="1">
      <c r="A545" s="27" t="s">
        <v>1721</v>
      </c>
      <c r="B545" s="27" t="s">
        <v>1722</v>
      </c>
      <c r="C545" s="16" t="s">
        <v>1723</v>
      </c>
      <c r="D545" s="17" t="s">
        <v>456</v>
      </c>
      <c r="E545" s="18" t="s">
        <v>34</v>
      </c>
      <c r="F545" s="18">
        <v>1.0</v>
      </c>
      <c r="G545" s="19">
        <f t="shared" si="1"/>
        <v>2.010617471</v>
      </c>
      <c r="H545" s="17">
        <v>57.0</v>
      </c>
      <c r="I545" s="10">
        <v>240.0</v>
      </c>
      <c r="J545" s="17">
        <v>12.0</v>
      </c>
      <c r="K545" s="17">
        <v>240.0</v>
      </c>
      <c r="L545" s="17"/>
      <c r="M545" s="20">
        <v>32.0</v>
      </c>
      <c r="N545" s="20">
        <v>1.0</v>
      </c>
      <c r="O545" s="20">
        <v>18.0</v>
      </c>
      <c r="P545" s="20">
        <f t="shared" si="2"/>
        <v>13</v>
      </c>
      <c r="Q545" s="21">
        <v>3.0</v>
      </c>
      <c r="R545" s="22">
        <f t="shared" si="3"/>
        <v>119.3663158</v>
      </c>
      <c r="S545" s="23">
        <f t="shared" si="4"/>
        <v>4.210526316</v>
      </c>
      <c r="T545" s="24">
        <f t="shared" si="5"/>
        <v>10.66666667</v>
      </c>
      <c r="U545" s="26">
        <f t="shared" si="6"/>
        <v>0.435483871</v>
      </c>
      <c r="V545" s="26">
        <f t="shared" si="7"/>
        <v>0.2903225806</v>
      </c>
      <c r="W545" s="19">
        <f t="shared" si="8"/>
        <v>1</v>
      </c>
      <c r="X545" s="20">
        <f t="shared" si="9"/>
        <v>240</v>
      </c>
      <c r="Y545" s="27"/>
      <c r="Z545" s="17"/>
      <c r="AA545" s="28"/>
      <c r="AB545" s="17"/>
      <c r="AC545" s="28"/>
      <c r="AD545" s="27"/>
    </row>
    <row r="546" ht="15.75" customHeight="1">
      <c r="A546" s="27" t="s">
        <v>1721</v>
      </c>
      <c r="B546" s="27" t="s">
        <v>1724</v>
      </c>
      <c r="C546" s="16" t="s">
        <v>1725</v>
      </c>
      <c r="D546" s="17" t="s">
        <v>456</v>
      </c>
      <c r="E546" s="18" t="s">
        <v>34</v>
      </c>
      <c r="F546" s="18">
        <v>1.0</v>
      </c>
      <c r="G546" s="19">
        <f t="shared" si="1"/>
        <v>2.010617471</v>
      </c>
      <c r="H546" s="17">
        <v>57.0</v>
      </c>
      <c r="I546" s="10">
        <v>240.0</v>
      </c>
      <c r="J546" s="17">
        <v>12.0</v>
      </c>
      <c r="K546" s="17">
        <v>230.0</v>
      </c>
      <c r="L546" s="17"/>
      <c r="M546" s="20">
        <v>32.0</v>
      </c>
      <c r="N546" s="20">
        <v>1.0</v>
      </c>
      <c r="O546" s="20">
        <v>19.0</v>
      </c>
      <c r="P546" s="20">
        <f t="shared" si="2"/>
        <v>12</v>
      </c>
      <c r="Q546" s="21">
        <v>3.0</v>
      </c>
      <c r="R546" s="22">
        <f t="shared" si="3"/>
        <v>119.3663158</v>
      </c>
      <c r="S546" s="23">
        <f t="shared" si="4"/>
        <v>4.210526316</v>
      </c>
      <c r="T546" s="24">
        <f t="shared" si="5"/>
        <v>10.66666667</v>
      </c>
      <c r="U546" s="26">
        <f t="shared" si="6"/>
        <v>0.435483871</v>
      </c>
      <c r="V546" s="26">
        <f t="shared" si="7"/>
        <v>0.3064516129</v>
      </c>
      <c r="W546" s="19">
        <f t="shared" si="8"/>
        <v>0.9583333333</v>
      </c>
      <c r="X546" s="20">
        <f t="shared" si="9"/>
        <v>240</v>
      </c>
      <c r="Y546" s="27"/>
      <c r="Z546" s="17"/>
      <c r="AA546" s="28"/>
      <c r="AB546" s="17"/>
      <c r="AC546" s="28"/>
      <c r="AD546" s="27"/>
    </row>
    <row r="547" ht="15.75" customHeight="1">
      <c r="A547" s="27" t="s">
        <v>1726</v>
      </c>
      <c r="B547" s="27" t="s">
        <v>1727</v>
      </c>
      <c r="C547" s="16" t="s">
        <v>1728</v>
      </c>
      <c r="D547" s="17" t="s">
        <v>212</v>
      </c>
      <c r="E547" s="18" t="s">
        <v>34</v>
      </c>
      <c r="F547" s="18">
        <v>1.0</v>
      </c>
      <c r="G547" s="19">
        <f t="shared" si="1"/>
        <v>2.43390536</v>
      </c>
      <c r="H547" s="17">
        <v>69.0</v>
      </c>
      <c r="I547" s="10">
        <v>290.0</v>
      </c>
      <c r="J547" s="17">
        <v>11.0</v>
      </c>
      <c r="K547" s="17">
        <v>40.0</v>
      </c>
      <c r="L547" s="17"/>
      <c r="M547" s="20">
        <v>37.0</v>
      </c>
      <c r="N547" s="20">
        <v>2.0</v>
      </c>
      <c r="O547" s="20">
        <v>14.0</v>
      </c>
      <c r="P547" s="20">
        <f t="shared" si="2"/>
        <v>21</v>
      </c>
      <c r="Q547" s="21">
        <v>11.0</v>
      </c>
      <c r="R547" s="22">
        <f t="shared" si="3"/>
        <v>119.1500725</v>
      </c>
      <c r="S547" s="23">
        <f t="shared" si="4"/>
        <v>4.202898551</v>
      </c>
      <c r="T547" s="24">
        <f t="shared" si="5"/>
        <v>3.363636364</v>
      </c>
      <c r="U547" s="26">
        <f t="shared" si="6"/>
        <v>0.3402061856</v>
      </c>
      <c r="V547" s="26">
        <f t="shared" si="7"/>
        <v>0.1924398625</v>
      </c>
      <c r="W547" s="19">
        <f t="shared" si="8"/>
        <v>0.1379310345</v>
      </c>
      <c r="X547" s="20">
        <f t="shared" si="9"/>
        <v>290</v>
      </c>
      <c r="Y547" s="27"/>
      <c r="Z547" s="17"/>
      <c r="AA547" s="28"/>
      <c r="AB547" s="17"/>
      <c r="AC547" s="28"/>
      <c r="AD547" s="16"/>
    </row>
    <row r="548" ht="15.75" customHeight="1">
      <c r="A548" s="27" t="s">
        <v>1729</v>
      </c>
      <c r="B548" s="27" t="s">
        <v>1730</v>
      </c>
      <c r="C548" s="16" t="s">
        <v>1731</v>
      </c>
      <c r="D548" s="17" t="s">
        <v>456</v>
      </c>
      <c r="E548" s="18" t="s">
        <v>34</v>
      </c>
      <c r="F548" s="18">
        <v>1.0</v>
      </c>
      <c r="G548" s="19">
        <f t="shared" si="1"/>
        <v>1.763699536</v>
      </c>
      <c r="H548" s="17">
        <v>50.0</v>
      </c>
      <c r="I548" s="10">
        <v>210.0</v>
      </c>
      <c r="J548" s="17">
        <v>7.0</v>
      </c>
      <c r="K548" s="17">
        <v>170.0</v>
      </c>
      <c r="L548" s="17"/>
      <c r="M548" s="20">
        <v>35.0</v>
      </c>
      <c r="N548" s="20">
        <v>1.0</v>
      </c>
      <c r="O548" s="20">
        <v>15.0</v>
      </c>
      <c r="P548" s="20">
        <f t="shared" si="2"/>
        <v>19</v>
      </c>
      <c r="Q548" s="21">
        <v>2.0</v>
      </c>
      <c r="R548" s="22">
        <f t="shared" si="3"/>
        <v>119.0679</v>
      </c>
      <c r="S548" s="23">
        <f t="shared" si="4"/>
        <v>4.2</v>
      </c>
      <c r="T548" s="24">
        <f t="shared" si="5"/>
        <v>17.5</v>
      </c>
      <c r="U548" s="26">
        <f t="shared" si="6"/>
        <v>0.2985781991</v>
      </c>
      <c r="V548" s="26">
        <f t="shared" si="7"/>
        <v>0.2843601896</v>
      </c>
      <c r="W548" s="19">
        <f t="shared" si="8"/>
        <v>0.8095238095</v>
      </c>
      <c r="X548" s="20">
        <f t="shared" si="9"/>
        <v>210</v>
      </c>
      <c r="Y548" s="27"/>
      <c r="Z548" s="17"/>
      <c r="AA548" s="28"/>
      <c r="AB548" s="17"/>
      <c r="AC548" s="28"/>
      <c r="AD548" s="27"/>
    </row>
    <row r="549" ht="15.75" customHeight="1">
      <c r="A549" s="27" t="s">
        <v>1729</v>
      </c>
      <c r="B549" s="27" t="s">
        <v>1732</v>
      </c>
      <c r="C549" s="16" t="s">
        <v>1733</v>
      </c>
      <c r="D549" s="17" t="s">
        <v>456</v>
      </c>
      <c r="E549" s="18" t="s">
        <v>34</v>
      </c>
      <c r="F549" s="18">
        <v>1.0</v>
      </c>
      <c r="G549" s="19">
        <f t="shared" si="1"/>
        <v>1.763699536</v>
      </c>
      <c r="H549" s="17">
        <v>50.0</v>
      </c>
      <c r="I549" s="10">
        <v>210.0</v>
      </c>
      <c r="J549" s="17">
        <v>7.0</v>
      </c>
      <c r="K549" s="17">
        <v>170.0</v>
      </c>
      <c r="L549" s="17"/>
      <c r="M549" s="20">
        <v>34.0</v>
      </c>
      <c r="N549" s="20">
        <v>1.0</v>
      </c>
      <c r="O549" s="20">
        <v>13.0</v>
      </c>
      <c r="P549" s="20">
        <f t="shared" si="2"/>
        <v>20</v>
      </c>
      <c r="Q549" s="21">
        <v>2.0</v>
      </c>
      <c r="R549" s="22">
        <f t="shared" si="3"/>
        <v>119.0679</v>
      </c>
      <c r="S549" s="23">
        <f t="shared" si="4"/>
        <v>4.2</v>
      </c>
      <c r="T549" s="24">
        <f t="shared" si="5"/>
        <v>17</v>
      </c>
      <c r="U549" s="26">
        <f t="shared" si="6"/>
        <v>0.3043478261</v>
      </c>
      <c r="V549" s="26">
        <f t="shared" si="7"/>
        <v>0.2512077295</v>
      </c>
      <c r="W549" s="19">
        <f t="shared" si="8"/>
        <v>0.8095238095</v>
      </c>
      <c r="X549" s="20">
        <f t="shared" si="9"/>
        <v>210</v>
      </c>
      <c r="Y549" s="27"/>
      <c r="Z549" s="17"/>
      <c r="AA549" s="28"/>
      <c r="AB549" s="17"/>
      <c r="AC549" s="28"/>
      <c r="AD549" s="27"/>
    </row>
    <row r="550" ht="15.75" customHeight="1">
      <c r="A550" s="27" t="s">
        <v>1385</v>
      </c>
      <c r="B550" s="27" t="s">
        <v>1734</v>
      </c>
      <c r="C550" s="16" t="s">
        <v>1735</v>
      </c>
      <c r="D550" s="17" t="s">
        <v>212</v>
      </c>
      <c r="E550" s="18" t="s">
        <v>34</v>
      </c>
      <c r="F550" s="18">
        <v>1.0</v>
      </c>
      <c r="G550" s="19">
        <f t="shared" si="1"/>
        <v>1.763699536</v>
      </c>
      <c r="H550" s="17">
        <v>50.0</v>
      </c>
      <c r="I550" s="10">
        <v>210.0</v>
      </c>
      <c r="J550" s="17">
        <v>7.0</v>
      </c>
      <c r="K550" s="17">
        <v>110.0</v>
      </c>
      <c r="L550" s="17"/>
      <c r="M550" s="20">
        <v>33.0</v>
      </c>
      <c r="N550" s="20">
        <v>4.0</v>
      </c>
      <c r="O550" s="20">
        <v>10.0</v>
      </c>
      <c r="P550" s="20">
        <f t="shared" si="2"/>
        <v>19</v>
      </c>
      <c r="Q550" s="21">
        <v>3.0</v>
      </c>
      <c r="R550" s="22">
        <f t="shared" si="3"/>
        <v>119.0679</v>
      </c>
      <c r="S550" s="23">
        <f t="shared" si="4"/>
        <v>4.2</v>
      </c>
      <c r="T550" s="24">
        <f t="shared" si="5"/>
        <v>11</v>
      </c>
      <c r="U550" s="26">
        <f t="shared" si="6"/>
        <v>0.3043478261</v>
      </c>
      <c r="V550" s="26">
        <f t="shared" si="7"/>
        <v>0.193236715</v>
      </c>
      <c r="W550" s="19">
        <f t="shared" si="8"/>
        <v>0.5238095238</v>
      </c>
      <c r="X550" s="20">
        <f t="shared" si="9"/>
        <v>210</v>
      </c>
      <c r="Y550" s="27"/>
      <c r="Z550" s="17"/>
      <c r="AA550" s="28"/>
      <c r="AB550" s="17"/>
      <c r="AC550" s="28"/>
      <c r="AD550" s="27"/>
    </row>
    <row r="551" ht="15.75" customHeight="1">
      <c r="A551" s="16" t="s">
        <v>1736</v>
      </c>
      <c r="B551" s="16" t="s">
        <v>1737</v>
      </c>
      <c r="C551" s="16" t="s">
        <v>1738</v>
      </c>
      <c r="D551" s="17" t="s">
        <v>563</v>
      </c>
      <c r="E551" s="18" t="s">
        <v>34</v>
      </c>
      <c r="F551" s="18">
        <v>1.0</v>
      </c>
      <c r="G551" s="19">
        <f t="shared" si="1"/>
        <v>1.763699536</v>
      </c>
      <c r="H551" s="17">
        <v>50.0</v>
      </c>
      <c r="I551" s="10">
        <v>210.0</v>
      </c>
      <c r="J551" s="17">
        <v>7.0</v>
      </c>
      <c r="K551" s="17">
        <v>70.0</v>
      </c>
      <c r="L551" s="17">
        <v>230.0</v>
      </c>
      <c r="M551" s="20">
        <v>32.0</v>
      </c>
      <c r="N551" s="20">
        <v>6.0</v>
      </c>
      <c r="O551" s="20">
        <v>0.0</v>
      </c>
      <c r="P551" s="20">
        <f t="shared" si="2"/>
        <v>26</v>
      </c>
      <c r="Q551" s="21">
        <v>7.0</v>
      </c>
      <c r="R551" s="22">
        <f t="shared" si="3"/>
        <v>119.0679</v>
      </c>
      <c r="S551" s="23">
        <f t="shared" si="4"/>
        <v>4.2</v>
      </c>
      <c r="T551" s="24">
        <f t="shared" si="5"/>
        <v>4.571428571</v>
      </c>
      <c r="U551" s="26">
        <f t="shared" si="6"/>
        <v>0.2876712329</v>
      </c>
      <c r="V551" s="26" t="str">
        <f t="shared" si="7"/>
        <v>0%</v>
      </c>
      <c r="W551" s="19">
        <f t="shared" si="8"/>
        <v>0.3333333333</v>
      </c>
      <c r="X551" s="20">
        <f t="shared" si="9"/>
        <v>210</v>
      </c>
      <c r="Y551" s="27"/>
      <c r="Z551" s="17"/>
      <c r="AA551" s="28"/>
      <c r="AB551" s="17"/>
      <c r="AC551" s="28"/>
      <c r="AD551" s="27"/>
    </row>
    <row r="552" ht="15.75" customHeight="1">
      <c r="A552" s="27" t="s">
        <v>1505</v>
      </c>
      <c r="B552" s="27" t="s">
        <v>1739</v>
      </c>
      <c r="C552" s="16" t="s">
        <v>1740</v>
      </c>
      <c r="D552" s="17" t="s">
        <v>212</v>
      </c>
      <c r="E552" s="18" t="s">
        <v>34</v>
      </c>
      <c r="F552" s="18">
        <v>1.0</v>
      </c>
      <c r="G552" s="19">
        <f t="shared" si="1"/>
        <v>1.763699536</v>
      </c>
      <c r="H552" s="17">
        <v>50.0</v>
      </c>
      <c r="I552" s="10">
        <v>210.0</v>
      </c>
      <c r="J552" s="17">
        <v>7.0</v>
      </c>
      <c r="K552" s="17">
        <v>200.0</v>
      </c>
      <c r="L552" s="17">
        <v>90.0</v>
      </c>
      <c r="M552" s="20">
        <v>23.0</v>
      </c>
      <c r="N552" s="20">
        <v>3.0</v>
      </c>
      <c r="O552" s="20">
        <v>15.0</v>
      </c>
      <c r="P552" s="20">
        <f t="shared" si="2"/>
        <v>5</v>
      </c>
      <c r="Q552" s="21">
        <v>14.0</v>
      </c>
      <c r="R552" s="22">
        <f t="shared" si="3"/>
        <v>119.0679</v>
      </c>
      <c r="S552" s="23">
        <f t="shared" si="4"/>
        <v>4.2</v>
      </c>
      <c r="T552" s="24">
        <f t="shared" si="5"/>
        <v>1.642857143</v>
      </c>
      <c r="U552" s="26">
        <f t="shared" si="6"/>
        <v>0.2985781991</v>
      </c>
      <c r="V552" s="26">
        <f t="shared" si="7"/>
        <v>0.2843601896</v>
      </c>
      <c r="W552" s="19">
        <f t="shared" si="8"/>
        <v>0.9523809524</v>
      </c>
      <c r="X552" s="20">
        <f t="shared" si="9"/>
        <v>210</v>
      </c>
      <c r="Y552" s="27"/>
      <c r="Z552" s="17"/>
      <c r="AA552" s="28"/>
      <c r="AB552" s="17"/>
      <c r="AC552" s="28"/>
      <c r="AD552" s="27"/>
    </row>
    <row r="553" ht="15.75" customHeight="1">
      <c r="A553" s="27" t="s">
        <v>1741</v>
      </c>
      <c r="B553" s="27" t="s">
        <v>1742</v>
      </c>
      <c r="C553" s="16" t="s">
        <v>1743</v>
      </c>
      <c r="D553" s="17" t="s">
        <v>212</v>
      </c>
      <c r="E553" s="18" t="s">
        <v>34</v>
      </c>
      <c r="F553" s="18">
        <v>1.0</v>
      </c>
      <c r="G553" s="19">
        <f t="shared" si="1"/>
        <v>3.527399072</v>
      </c>
      <c r="H553" s="17">
        <v>100.0</v>
      </c>
      <c r="I553" s="10">
        <v>420.0</v>
      </c>
      <c r="J553" s="17">
        <v>14.0</v>
      </c>
      <c r="K553" s="17">
        <v>320.0</v>
      </c>
      <c r="L553" s="17">
        <v>410.0</v>
      </c>
      <c r="M553" s="20">
        <v>42.0</v>
      </c>
      <c r="N553" s="20">
        <v>3.0</v>
      </c>
      <c r="O553" s="20">
        <v>26.0</v>
      </c>
      <c r="P553" s="20">
        <f t="shared" si="2"/>
        <v>13</v>
      </c>
      <c r="Q553" s="21">
        <v>32.0</v>
      </c>
      <c r="R553" s="22">
        <f t="shared" si="3"/>
        <v>119.0679</v>
      </c>
      <c r="S553" s="23">
        <f t="shared" si="4"/>
        <v>4.2</v>
      </c>
      <c r="T553" s="24">
        <f t="shared" si="5"/>
        <v>1.3125</v>
      </c>
      <c r="U553" s="26">
        <f t="shared" si="6"/>
        <v>0.2985781991</v>
      </c>
      <c r="V553" s="26">
        <f t="shared" si="7"/>
        <v>0.2464454976</v>
      </c>
      <c r="W553" s="19">
        <f t="shared" si="8"/>
        <v>0.7619047619</v>
      </c>
      <c r="X553" s="20">
        <f t="shared" si="9"/>
        <v>420</v>
      </c>
      <c r="Y553" s="27"/>
      <c r="Z553" s="17"/>
      <c r="AA553" s="28"/>
      <c r="AB553" s="17"/>
      <c r="AC553" s="28"/>
      <c r="AD553" s="16"/>
    </row>
    <row r="554" ht="15.75" customHeight="1">
      <c r="A554" s="27" t="s">
        <v>1744</v>
      </c>
      <c r="B554" s="27" t="s">
        <v>1745</v>
      </c>
      <c r="C554" s="16" t="s">
        <v>1746</v>
      </c>
      <c r="D554" s="17" t="s">
        <v>563</v>
      </c>
      <c r="E554" s="18" t="s">
        <v>34</v>
      </c>
      <c r="F554" s="18">
        <v>1.0</v>
      </c>
      <c r="G554" s="19">
        <f t="shared" si="1"/>
        <v>1.093493712</v>
      </c>
      <c r="H554" s="17">
        <v>31.0</v>
      </c>
      <c r="I554" s="10">
        <v>130.0</v>
      </c>
      <c r="J554" s="17">
        <v>3.0</v>
      </c>
      <c r="K554" s="17">
        <v>180.0</v>
      </c>
      <c r="L554" s="17">
        <v>55.0</v>
      </c>
      <c r="M554" s="20">
        <v>25.0</v>
      </c>
      <c r="N554" s="20">
        <v>2.0</v>
      </c>
      <c r="O554" s="20">
        <v>9.0</v>
      </c>
      <c r="P554" s="20">
        <f t="shared" si="2"/>
        <v>14</v>
      </c>
      <c r="Q554" s="21">
        <v>1.0</v>
      </c>
      <c r="R554" s="22">
        <f t="shared" si="3"/>
        <v>118.885</v>
      </c>
      <c r="S554" s="23">
        <f t="shared" si="4"/>
        <v>4.193548387</v>
      </c>
      <c r="T554" s="24">
        <f t="shared" si="5"/>
        <v>25</v>
      </c>
      <c r="U554" s="26">
        <f t="shared" si="6"/>
        <v>0.2061068702</v>
      </c>
      <c r="V554" s="26">
        <f t="shared" si="7"/>
        <v>0.2748091603</v>
      </c>
      <c r="W554" s="19">
        <f t="shared" si="8"/>
        <v>1.384615385</v>
      </c>
      <c r="X554" s="20">
        <f t="shared" si="9"/>
        <v>130</v>
      </c>
      <c r="Y554" s="27"/>
      <c r="Z554" s="17"/>
      <c r="AA554" s="28"/>
      <c r="AB554" s="17"/>
      <c r="AC554" s="28"/>
      <c r="AD554" s="27"/>
    </row>
    <row r="555" ht="15.75" customHeight="1">
      <c r="A555" s="16" t="s">
        <v>1747</v>
      </c>
      <c r="B555" s="16" t="s">
        <v>1748</v>
      </c>
      <c r="C555" s="16" t="s">
        <v>1749</v>
      </c>
      <c r="D555" s="17" t="s">
        <v>563</v>
      </c>
      <c r="E555" s="18" t="s">
        <v>34</v>
      </c>
      <c r="F555" s="18">
        <v>1.0</v>
      </c>
      <c r="G555" s="19">
        <f t="shared" si="1"/>
        <v>2.186987425</v>
      </c>
      <c r="H555" s="17">
        <v>62.0</v>
      </c>
      <c r="I555" s="10">
        <v>260.0</v>
      </c>
      <c r="J555" s="17">
        <v>7.0</v>
      </c>
      <c r="K555" s="17">
        <v>55.0</v>
      </c>
      <c r="L555" s="17"/>
      <c r="M555" s="20">
        <v>46.0</v>
      </c>
      <c r="N555" s="20">
        <v>3.0</v>
      </c>
      <c r="O555" s="20">
        <v>14.0</v>
      </c>
      <c r="P555" s="20">
        <f t="shared" si="2"/>
        <v>29</v>
      </c>
      <c r="Q555" s="21">
        <v>6.0</v>
      </c>
      <c r="R555" s="22">
        <f t="shared" si="3"/>
        <v>118.885</v>
      </c>
      <c r="S555" s="23">
        <f t="shared" si="4"/>
        <v>4.193548387</v>
      </c>
      <c r="T555" s="24">
        <f t="shared" si="5"/>
        <v>7.666666667</v>
      </c>
      <c r="U555" s="26">
        <f t="shared" si="6"/>
        <v>0.2324723247</v>
      </c>
      <c r="V555" s="26">
        <f t="shared" si="7"/>
        <v>0.2066420664</v>
      </c>
      <c r="W555" s="19">
        <f t="shared" si="8"/>
        <v>0.2115384615</v>
      </c>
      <c r="X555" s="20">
        <f t="shared" si="9"/>
        <v>260</v>
      </c>
      <c r="Y555" s="16"/>
      <c r="Z555" s="17"/>
      <c r="AA555" s="28"/>
      <c r="AB555" s="17"/>
      <c r="AC555" s="28"/>
      <c r="AD555" s="16"/>
    </row>
    <row r="556" ht="15.75" customHeight="1">
      <c r="A556" s="16" t="s">
        <v>1463</v>
      </c>
      <c r="B556" s="16" t="s">
        <v>1750</v>
      </c>
      <c r="C556" s="16" t="s">
        <v>1751</v>
      </c>
      <c r="D556" s="17" t="s">
        <v>212</v>
      </c>
      <c r="E556" s="18" t="s">
        <v>34</v>
      </c>
      <c r="F556" s="18">
        <v>1.0</v>
      </c>
      <c r="G556" s="19">
        <f t="shared" si="1"/>
        <v>5.467468562</v>
      </c>
      <c r="H556" s="17">
        <v>155.0</v>
      </c>
      <c r="I556" s="10">
        <v>650.0</v>
      </c>
      <c r="J556" s="17">
        <v>24.0</v>
      </c>
      <c r="K556" s="17">
        <v>720.0</v>
      </c>
      <c r="L556" s="17">
        <v>570.0</v>
      </c>
      <c r="M556" s="20">
        <v>95.0</v>
      </c>
      <c r="N556" s="20">
        <v>9.0</v>
      </c>
      <c r="O556" s="20">
        <v>43.0</v>
      </c>
      <c r="P556" s="20">
        <f t="shared" si="2"/>
        <v>43</v>
      </c>
      <c r="Q556" s="21">
        <v>17.0</v>
      </c>
      <c r="R556" s="22">
        <f t="shared" si="3"/>
        <v>118.885</v>
      </c>
      <c r="S556" s="23">
        <f t="shared" si="4"/>
        <v>4.193548387</v>
      </c>
      <c r="T556" s="24">
        <f t="shared" si="5"/>
        <v>5.588235294</v>
      </c>
      <c r="U556" s="26">
        <f t="shared" si="6"/>
        <v>0.3253012048</v>
      </c>
      <c r="V556" s="26">
        <f t="shared" si="7"/>
        <v>0.2590361446</v>
      </c>
      <c r="W556" s="19">
        <f t="shared" si="8"/>
        <v>1.107692308</v>
      </c>
      <c r="X556" s="20">
        <f t="shared" si="9"/>
        <v>650</v>
      </c>
      <c r="Y556" s="27"/>
      <c r="Z556" s="17"/>
      <c r="AA556" s="28"/>
      <c r="AB556" s="17"/>
      <c r="AC556" s="28"/>
      <c r="AD556" s="16"/>
    </row>
    <row r="557" ht="15.75" customHeight="1">
      <c r="A557" s="27" t="s">
        <v>1537</v>
      </c>
      <c r="B557" s="27" t="s">
        <v>1752</v>
      </c>
      <c r="C557" s="16" t="s">
        <v>1753</v>
      </c>
      <c r="D557" s="17" t="s">
        <v>99</v>
      </c>
      <c r="E557" s="18" t="s">
        <v>34</v>
      </c>
      <c r="F557" s="18">
        <v>1.0</v>
      </c>
      <c r="G557" s="19">
        <f t="shared" si="1"/>
        <v>1.093493712</v>
      </c>
      <c r="H557" s="17">
        <v>31.0</v>
      </c>
      <c r="I557" s="10">
        <v>130.0</v>
      </c>
      <c r="J557" s="17">
        <v>3.5</v>
      </c>
      <c r="K557" s="17">
        <v>65.0</v>
      </c>
      <c r="L557" s="17"/>
      <c r="M557" s="20">
        <v>21.0</v>
      </c>
      <c r="N557" s="20">
        <v>0.0</v>
      </c>
      <c r="O557" s="20">
        <v>19.0</v>
      </c>
      <c r="P557" s="20">
        <f t="shared" si="2"/>
        <v>2</v>
      </c>
      <c r="Q557" s="21">
        <v>4.0</v>
      </c>
      <c r="R557" s="22">
        <f t="shared" si="3"/>
        <v>118.885</v>
      </c>
      <c r="S557" s="23">
        <f t="shared" si="4"/>
        <v>4.193548387</v>
      </c>
      <c r="T557" s="24">
        <f t="shared" si="5"/>
        <v>5.25</v>
      </c>
      <c r="U557" s="26">
        <f t="shared" si="6"/>
        <v>0.2395437262</v>
      </c>
      <c r="V557" s="26">
        <f t="shared" si="7"/>
        <v>0.5779467681</v>
      </c>
      <c r="W557" s="19">
        <f t="shared" si="8"/>
        <v>0.5</v>
      </c>
      <c r="X557" s="20">
        <f t="shared" si="9"/>
        <v>130</v>
      </c>
      <c r="Y557" s="27"/>
      <c r="Z557" s="17"/>
      <c r="AA557" s="28"/>
      <c r="AB557" s="17"/>
      <c r="AC557" s="28"/>
      <c r="AD557" s="27"/>
    </row>
    <row r="558" ht="15.75" customHeight="1">
      <c r="A558" s="16" t="s">
        <v>1638</v>
      </c>
      <c r="B558" s="16" t="s">
        <v>1754</v>
      </c>
      <c r="C558" s="16" t="s">
        <v>1755</v>
      </c>
      <c r="D558" s="17" t="s">
        <v>247</v>
      </c>
      <c r="E558" s="18" t="s">
        <v>34</v>
      </c>
      <c r="F558" s="18">
        <v>1.0</v>
      </c>
      <c r="G558" s="19">
        <f t="shared" si="1"/>
        <v>1.093493712</v>
      </c>
      <c r="H558" s="17">
        <v>31.0</v>
      </c>
      <c r="I558" s="10">
        <v>130.0</v>
      </c>
      <c r="J558" s="17">
        <v>8.0</v>
      </c>
      <c r="K558" s="17">
        <v>190.0</v>
      </c>
      <c r="L558" s="17"/>
      <c r="M558" s="20">
        <v>10.0</v>
      </c>
      <c r="N558" s="20">
        <v>2.0</v>
      </c>
      <c r="O558" s="20">
        <v>7.0</v>
      </c>
      <c r="P558" s="20">
        <f t="shared" si="2"/>
        <v>1</v>
      </c>
      <c r="Q558" s="21">
        <v>7.0</v>
      </c>
      <c r="R558" s="22">
        <f t="shared" si="3"/>
        <v>118.885</v>
      </c>
      <c r="S558" s="23">
        <f t="shared" si="4"/>
        <v>4.193548387</v>
      </c>
      <c r="T558" s="24">
        <f t="shared" si="5"/>
        <v>1.428571429</v>
      </c>
      <c r="U558" s="26">
        <f t="shared" si="6"/>
        <v>0.5142857143</v>
      </c>
      <c r="V558" s="26">
        <f t="shared" si="7"/>
        <v>0.2</v>
      </c>
      <c r="W558" s="19">
        <f t="shared" si="8"/>
        <v>1.461538462</v>
      </c>
      <c r="X558" s="20">
        <f t="shared" si="9"/>
        <v>130</v>
      </c>
      <c r="Y558" s="27"/>
      <c r="Z558" s="17"/>
      <c r="AA558" s="28"/>
      <c r="AB558" s="17"/>
      <c r="AC558" s="28"/>
      <c r="AD558" s="16"/>
    </row>
    <row r="559" ht="15.75" customHeight="1">
      <c r="A559" s="27" t="s">
        <v>1638</v>
      </c>
      <c r="B559" s="27" t="s">
        <v>1756</v>
      </c>
      <c r="C559" s="16" t="s">
        <v>1757</v>
      </c>
      <c r="D559" s="17" t="s">
        <v>247</v>
      </c>
      <c r="E559" s="18" t="s">
        <v>34</v>
      </c>
      <c r="F559" s="18">
        <v>1.0</v>
      </c>
      <c r="G559" s="19">
        <f t="shared" si="1"/>
        <v>1.093493712</v>
      </c>
      <c r="H559" s="17">
        <v>31.0</v>
      </c>
      <c r="I559" s="10">
        <v>130.0</v>
      </c>
      <c r="J559" s="17">
        <v>8.0</v>
      </c>
      <c r="K559" s="17">
        <v>200.0</v>
      </c>
      <c r="L559" s="17"/>
      <c r="M559" s="20">
        <v>9.0</v>
      </c>
      <c r="N559" s="20">
        <v>1.0</v>
      </c>
      <c r="O559" s="20">
        <v>7.0</v>
      </c>
      <c r="P559" s="20">
        <f t="shared" si="2"/>
        <v>1</v>
      </c>
      <c r="Q559" s="21">
        <v>7.0</v>
      </c>
      <c r="R559" s="22">
        <f t="shared" si="3"/>
        <v>118.885</v>
      </c>
      <c r="S559" s="23">
        <f t="shared" si="4"/>
        <v>4.193548387</v>
      </c>
      <c r="T559" s="24">
        <f t="shared" si="5"/>
        <v>1.285714286</v>
      </c>
      <c r="U559" s="26">
        <f t="shared" si="6"/>
        <v>0.5294117647</v>
      </c>
      <c r="V559" s="26">
        <f t="shared" si="7"/>
        <v>0.2058823529</v>
      </c>
      <c r="W559" s="19">
        <f t="shared" si="8"/>
        <v>1.538461538</v>
      </c>
      <c r="X559" s="20">
        <f t="shared" si="9"/>
        <v>130</v>
      </c>
      <c r="Y559" s="27"/>
      <c r="Z559" s="17"/>
      <c r="AA559" s="28"/>
      <c r="AB559" s="17"/>
      <c r="AC559" s="28"/>
      <c r="AD559" s="27"/>
    </row>
    <row r="560" ht="15.75" customHeight="1">
      <c r="A560" s="27" t="s">
        <v>760</v>
      </c>
      <c r="B560" s="27" t="s">
        <v>1758</v>
      </c>
      <c r="C560" s="16" t="s">
        <v>1759</v>
      </c>
      <c r="D560" s="17" t="s">
        <v>212</v>
      </c>
      <c r="E560" s="18" t="s">
        <v>34</v>
      </c>
      <c r="F560" s="18">
        <v>1.0</v>
      </c>
      <c r="G560" s="19">
        <f t="shared" si="1"/>
        <v>1.516781601</v>
      </c>
      <c r="H560" s="17">
        <v>43.0</v>
      </c>
      <c r="I560" s="10">
        <v>180.0</v>
      </c>
      <c r="J560" s="17">
        <v>6.0</v>
      </c>
      <c r="K560" s="17">
        <v>30.0</v>
      </c>
      <c r="L560" s="17"/>
      <c r="M560" s="20">
        <v>28.0</v>
      </c>
      <c r="N560" s="20">
        <v>2.0</v>
      </c>
      <c r="O560" s="20">
        <v>10.0</v>
      </c>
      <c r="P560" s="20">
        <f t="shared" si="2"/>
        <v>16</v>
      </c>
      <c r="Q560" s="21">
        <v>3.0</v>
      </c>
      <c r="R560" s="22">
        <f t="shared" si="3"/>
        <v>118.6723256</v>
      </c>
      <c r="S560" s="23">
        <f t="shared" si="4"/>
        <v>4.186046512</v>
      </c>
      <c r="T560" s="24">
        <f t="shared" si="5"/>
        <v>9.333333333</v>
      </c>
      <c r="U560" s="26">
        <f t="shared" si="6"/>
        <v>0.3033707865</v>
      </c>
      <c r="V560" s="26">
        <f t="shared" si="7"/>
        <v>0.2247191011</v>
      </c>
      <c r="W560" s="19">
        <f t="shared" si="8"/>
        <v>0.1666666667</v>
      </c>
      <c r="X560" s="20">
        <f t="shared" si="9"/>
        <v>180</v>
      </c>
      <c r="Y560" s="27"/>
      <c r="Z560" s="17"/>
      <c r="AA560" s="28"/>
      <c r="AB560" s="17"/>
      <c r="AC560" s="28"/>
      <c r="AD560" s="27"/>
    </row>
    <row r="561" ht="15.75" customHeight="1">
      <c r="A561" s="16" t="s">
        <v>1760</v>
      </c>
      <c r="B561" s="16" t="s">
        <v>1761</v>
      </c>
      <c r="C561" s="16" t="s">
        <v>1762</v>
      </c>
      <c r="D561" s="17" t="s">
        <v>240</v>
      </c>
      <c r="E561" s="18" t="s">
        <v>34</v>
      </c>
      <c r="F561" s="18">
        <v>1.0</v>
      </c>
      <c r="G561" s="19">
        <f t="shared" si="1"/>
        <v>1.516781601</v>
      </c>
      <c r="H561" s="17">
        <v>43.0</v>
      </c>
      <c r="I561" s="10">
        <v>180.0</v>
      </c>
      <c r="J561" s="17">
        <v>11.0</v>
      </c>
      <c r="K561" s="17">
        <v>190.0</v>
      </c>
      <c r="L561" s="17"/>
      <c r="M561" s="20">
        <v>12.0</v>
      </c>
      <c r="N561" s="20">
        <v>2.0</v>
      </c>
      <c r="O561" s="20">
        <v>8.0</v>
      </c>
      <c r="P561" s="20">
        <f t="shared" si="2"/>
        <v>2</v>
      </c>
      <c r="Q561" s="21">
        <v>7.0</v>
      </c>
      <c r="R561" s="22">
        <f t="shared" si="3"/>
        <v>118.6723256</v>
      </c>
      <c r="S561" s="23">
        <f t="shared" si="4"/>
        <v>4.186046512</v>
      </c>
      <c r="T561" s="24">
        <f t="shared" si="5"/>
        <v>1.714285714</v>
      </c>
      <c r="U561" s="26">
        <f t="shared" si="6"/>
        <v>0.5657142857</v>
      </c>
      <c r="V561" s="26">
        <f t="shared" si="7"/>
        <v>0.1828571429</v>
      </c>
      <c r="W561" s="19">
        <f t="shared" si="8"/>
        <v>1.055555556</v>
      </c>
      <c r="X561" s="20">
        <f t="shared" si="9"/>
        <v>180</v>
      </c>
      <c r="Y561" s="27"/>
      <c r="Z561" s="17"/>
      <c r="AA561" s="28"/>
      <c r="AB561" s="17"/>
      <c r="AC561" s="28"/>
      <c r="AD561" s="27"/>
    </row>
    <row r="562" ht="15.75" customHeight="1">
      <c r="A562" s="27" t="s">
        <v>64</v>
      </c>
      <c r="B562" s="27" t="s">
        <v>1763</v>
      </c>
      <c r="C562" s="16" t="s">
        <v>1764</v>
      </c>
      <c r="D562" s="17" t="s">
        <v>212</v>
      </c>
      <c r="E562" s="18" t="s">
        <v>34</v>
      </c>
      <c r="F562" s="18">
        <v>1.0</v>
      </c>
      <c r="G562" s="19">
        <f t="shared" si="1"/>
        <v>0.8465757774</v>
      </c>
      <c r="H562" s="17">
        <v>24.0</v>
      </c>
      <c r="I562" s="10">
        <v>100.0</v>
      </c>
      <c r="J562" s="17">
        <v>2.5</v>
      </c>
      <c r="K562" s="17">
        <v>40.0</v>
      </c>
      <c r="L562" s="17"/>
      <c r="M562" s="20">
        <v>18.0</v>
      </c>
      <c r="N562" s="20">
        <v>1.0</v>
      </c>
      <c r="O562" s="20">
        <v>6.0</v>
      </c>
      <c r="P562" s="20">
        <f t="shared" si="2"/>
        <v>11</v>
      </c>
      <c r="Q562" s="21">
        <v>1.0</v>
      </c>
      <c r="R562" s="22">
        <f t="shared" si="3"/>
        <v>118.1229167</v>
      </c>
      <c r="S562" s="23">
        <f t="shared" si="4"/>
        <v>4.166666667</v>
      </c>
      <c r="T562" s="24">
        <f t="shared" si="5"/>
        <v>18</v>
      </c>
      <c r="U562" s="26">
        <f t="shared" si="6"/>
        <v>0.2284263959</v>
      </c>
      <c r="V562" s="26">
        <f t="shared" si="7"/>
        <v>0.2436548223</v>
      </c>
      <c r="W562" s="19">
        <f t="shared" si="8"/>
        <v>0.4</v>
      </c>
      <c r="X562" s="20">
        <f t="shared" si="9"/>
        <v>100</v>
      </c>
      <c r="Y562" s="27"/>
      <c r="Z562" s="17"/>
      <c r="AA562" s="28"/>
      <c r="AB562" s="17"/>
      <c r="AC562" s="28"/>
      <c r="AD562" s="27"/>
    </row>
    <row r="563" ht="15.75" customHeight="1">
      <c r="A563" s="27" t="s">
        <v>1765</v>
      </c>
      <c r="B563" s="27" t="s">
        <v>1766</v>
      </c>
      <c r="C563" s="16" t="s">
        <v>1767</v>
      </c>
      <c r="D563" s="17" t="s">
        <v>1768</v>
      </c>
      <c r="E563" s="18" t="s">
        <v>34</v>
      </c>
      <c r="F563" s="18">
        <v>1.0</v>
      </c>
      <c r="G563" s="19">
        <f t="shared" si="1"/>
        <v>1.269863666</v>
      </c>
      <c r="H563" s="17">
        <v>36.0</v>
      </c>
      <c r="I563" s="10">
        <v>150.0</v>
      </c>
      <c r="J563" s="17">
        <v>6.0</v>
      </c>
      <c r="K563" s="17">
        <v>890.0</v>
      </c>
      <c r="L563" s="17"/>
      <c r="M563" s="20">
        <v>22.0</v>
      </c>
      <c r="N563" s="20">
        <v>0.0</v>
      </c>
      <c r="O563" s="20">
        <v>7.0</v>
      </c>
      <c r="P563" s="20">
        <f t="shared" si="2"/>
        <v>15</v>
      </c>
      <c r="Q563" s="21">
        <v>2.0</v>
      </c>
      <c r="R563" s="22">
        <f t="shared" si="3"/>
        <v>118.1229167</v>
      </c>
      <c r="S563" s="23">
        <f t="shared" si="4"/>
        <v>4.166666667</v>
      </c>
      <c r="T563" s="24">
        <f t="shared" si="5"/>
        <v>11</v>
      </c>
      <c r="U563" s="26">
        <f t="shared" si="6"/>
        <v>0.36</v>
      </c>
      <c r="V563" s="26">
        <f t="shared" si="7"/>
        <v>0.1866666667</v>
      </c>
      <c r="W563" s="19">
        <f t="shared" si="8"/>
        <v>5.933333333</v>
      </c>
      <c r="X563" s="20">
        <f t="shared" si="9"/>
        <v>150</v>
      </c>
      <c r="Y563" s="27"/>
      <c r="Z563" s="17"/>
      <c r="AA563" s="28"/>
      <c r="AB563" s="17"/>
      <c r="AC563" s="28"/>
      <c r="AD563" s="27"/>
    </row>
    <row r="564" ht="15.75" customHeight="1">
      <c r="A564" s="27" t="s">
        <v>1181</v>
      </c>
      <c r="B564" s="27" t="s">
        <v>1769</v>
      </c>
      <c r="C564" s="16" t="s">
        <v>1770</v>
      </c>
      <c r="D564" s="17" t="s">
        <v>212</v>
      </c>
      <c r="E564" s="18" t="s">
        <v>34</v>
      </c>
      <c r="F564" s="18">
        <v>1.0</v>
      </c>
      <c r="G564" s="19">
        <f t="shared" si="1"/>
        <v>1.693151555</v>
      </c>
      <c r="H564" s="17">
        <v>48.0</v>
      </c>
      <c r="I564" s="10">
        <v>200.0</v>
      </c>
      <c r="J564" s="17">
        <v>8.0</v>
      </c>
      <c r="K564" s="17">
        <v>0.0</v>
      </c>
      <c r="L564" s="17">
        <v>330.0</v>
      </c>
      <c r="M564" s="20">
        <v>28.0</v>
      </c>
      <c r="N564" s="20">
        <v>4.0</v>
      </c>
      <c r="O564" s="20">
        <v>20.0</v>
      </c>
      <c r="P564" s="20">
        <f t="shared" si="2"/>
        <v>4</v>
      </c>
      <c r="Q564" s="21">
        <v>4.0</v>
      </c>
      <c r="R564" s="22">
        <f t="shared" si="3"/>
        <v>118.1229167</v>
      </c>
      <c r="S564" s="23">
        <f t="shared" si="4"/>
        <v>4.166666667</v>
      </c>
      <c r="T564" s="24">
        <f t="shared" si="5"/>
        <v>7</v>
      </c>
      <c r="U564" s="26">
        <f t="shared" si="6"/>
        <v>0.36</v>
      </c>
      <c r="V564" s="26">
        <f t="shared" si="7"/>
        <v>0.4</v>
      </c>
      <c r="W564" s="19">
        <f t="shared" si="8"/>
        <v>0</v>
      </c>
      <c r="X564" s="20">
        <f t="shared" si="9"/>
        <v>200</v>
      </c>
      <c r="Y564" s="27"/>
      <c r="Z564" s="17"/>
      <c r="AA564" s="17"/>
      <c r="AB564" s="17"/>
      <c r="AC564" s="17"/>
      <c r="AD564" s="27"/>
    </row>
    <row r="565" ht="15.75" customHeight="1">
      <c r="A565" s="16" t="s">
        <v>1771</v>
      </c>
      <c r="B565" s="16" t="s">
        <v>1772</v>
      </c>
      <c r="C565" s="16" t="s">
        <v>1773</v>
      </c>
      <c r="D565" s="17" t="s">
        <v>563</v>
      </c>
      <c r="E565" s="18" t="s">
        <v>34</v>
      </c>
      <c r="F565" s="18">
        <v>1.0</v>
      </c>
      <c r="G565" s="19">
        <f t="shared" si="1"/>
        <v>1.693151555</v>
      </c>
      <c r="H565" s="17">
        <v>48.0</v>
      </c>
      <c r="I565" s="10">
        <v>200.0</v>
      </c>
      <c r="J565" s="17">
        <v>6.0</v>
      </c>
      <c r="K565" s="17">
        <v>25.0</v>
      </c>
      <c r="L565" s="17">
        <v>230.0</v>
      </c>
      <c r="M565" s="20">
        <v>35.0</v>
      </c>
      <c r="N565" s="20">
        <v>5.0</v>
      </c>
      <c r="O565" s="20">
        <v>10.0</v>
      </c>
      <c r="P565" s="20">
        <f t="shared" si="2"/>
        <v>20</v>
      </c>
      <c r="Q565" s="21">
        <v>5.0</v>
      </c>
      <c r="R565" s="22">
        <f t="shared" si="3"/>
        <v>118.1229167</v>
      </c>
      <c r="S565" s="23">
        <f t="shared" si="4"/>
        <v>4.166666667</v>
      </c>
      <c r="T565" s="24">
        <f t="shared" si="5"/>
        <v>7</v>
      </c>
      <c r="U565" s="26">
        <f t="shared" si="6"/>
        <v>0.2523364486</v>
      </c>
      <c r="V565" s="26">
        <f t="shared" si="7"/>
        <v>0.1869158879</v>
      </c>
      <c r="W565" s="19">
        <f t="shared" si="8"/>
        <v>0.125</v>
      </c>
      <c r="X565" s="20">
        <f t="shared" si="9"/>
        <v>200</v>
      </c>
      <c r="Y565" s="27"/>
      <c r="Z565" s="17"/>
      <c r="AA565" s="28"/>
      <c r="AB565" s="17"/>
      <c r="AC565" s="28"/>
      <c r="AD565" s="27"/>
    </row>
    <row r="566" ht="15.75" customHeight="1">
      <c r="A566" s="16" t="s">
        <v>1774</v>
      </c>
      <c r="B566" s="16" t="s">
        <v>1775</v>
      </c>
      <c r="C566" s="16" t="s">
        <v>1776</v>
      </c>
      <c r="D566" s="17" t="s">
        <v>847</v>
      </c>
      <c r="E566" s="18" t="s">
        <v>34</v>
      </c>
      <c r="F566" s="18">
        <v>1.0</v>
      </c>
      <c r="G566" s="19">
        <f t="shared" si="1"/>
        <v>1.269863666</v>
      </c>
      <c r="H566" s="17">
        <v>36.0</v>
      </c>
      <c r="I566" s="10">
        <v>150.0</v>
      </c>
      <c r="J566" s="17">
        <v>6.0</v>
      </c>
      <c r="K566" s="17">
        <v>100.0</v>
      </c>
      <c r="L566" s="17"/>
      <c r="M566" s="20">
        <v>23.0</v>
      </c>
      <c r="N566" s="20">
        <v>7.0</v>
      </c>
      <c r="O566" s="20">
        <v>0.0</v>
      </c>
      <c r="P566" s="20">
        <f t="shared" si="2"/>
        <v>16</v>
      </c>
      <c r="Q566" s="21">
        <v>4.0</v>
      </c>
      <c r="R566" s="22">
        <f t="shared" si="3"/>
        <v>118.1229167</v>
      </c>
      <c r="S566" s="23">
        <f t="shared" si="4"/>
        <v>4.166666667</v>
      </c>
      <c r="T566" s="24">
        <f t="shared" si="5"/>
        <v>5.75</v>
      </c>
      <c r="U566" s="26">
        <f t="shared" si="6"/>
        <v>0.3333333333</v>
      </c>
      <c r="V566" s="26" t="str">
        <f t="shared" si="7"/>
        <v>0%</v>
      </c>
      <c r="W566" s="19">
        <f t="shared" si="8"/>
        <v>0.6666666667</v>
      </c>
      <c r="X566" s="20">
        <f t="shared" si="9"/>
        <v>150</v>
      </c>
      <c r="Y566" s="27"/>
      <c r="Z566" s="17"/>
      <c r="AA566" s="28"/>
      <c r="AB566" s="17"/>
      <c r="AC566" s="28"/>
      <c r="AD566" s="27"/>
    </row>
    <row r="567" ht="15.75" customHeight="1">
      <c r="A567" s="16" t="s">
        <v>1774</v>
      </c>
      <c r="B567" s="16" t="s">
        <v>1777</v>
      </c>
      <c r="C567" s="16" t="s">
        <v>1778</v>
      </c>
      <c r="D567" s="17" t="s">
        <v>847</v>
      </c>
      <c r="E567" s="18" t="s">
        <v>34</v>
      </c>
      <c r="F567" s="18">
        <v>1.0</v>
      </c>
      <c r="G567" s="19">
        <f t="shared" si="1"/>
        <v>1.269863666</v>
      </c>
      <c r="H567" s="17">
        <v>36.0</v>
      </c>
      <c r="I567" s="10">
        <v>150.0</v>
      </c>
      <c r="J567" s="17">
        <v>6.0</v>
      </c>
      <c r="K567" s="17">
        <v>105.0</v>
      </c>
      <c r="L567" s="17"/>
      <c r="M567" s="20">
        <v>23.0</v>
      </c>
      <c r="N567" s="20">
        <v>7.0</v>
      </c>
      <c r="O567" s="20">
        <v>0.0</v>
      </c>
      <c r="P567" s="20">
        <f t="shared" si="2"/>
        <v>16</v>
      </c>
      <c r="Q567" s="21">
        <v>4.0</v>
      </c>
      <c r="R567" s="22">
        <f t="shared" si="3"/>
        <v>118.1229167</v>
      </c>
      <c r="S567" s="23">
        <f t="shared" si="4"/>
        <v>4.166666667</v>
      </c>
      <c r="T567" s="24">
        <f t="shared" si="5"/>
        <v>5.75</v>
      </c>
      <c r="U567" s="26">
        <f t="shared" si="6"/>
        <v>0.3333333333</v>
      </c>
      <c r="V567" s="26" t="str">
        <f t="shared" si="7"/>
        <v>0%</v>
      </c>
      <c r="W567" s="19">
        <f t="shared" si="8"/>
        <v>0.7</v>
      </c>
      <c r="X567" s="20">
        <f t="shared" si="9"/>
        <v>150</v>
      </c>
      <c r="Y567" s="27"/>
      <c r="Z567" s="17"/>
      <c r="AA567" s="28"/>
      <c r="AB567" s="17"/>
      <c r="AC567" s="28"/>
      <c r="AD567" s="16"/>
    </row>
    <row r="568" ht="15.75" customHeight="1">
      <c r="A568" s="16" t="s">
        <v>104</v>
      </c>
      <c r="B568" s="16" t="s">
        <v>1779</v>
      </c>
      <c r="C568" s="16" t="s">
        <v>1780</v>
      </c>
      <c r="D568" s="17" t="s">
        <v>96</v>
      </c>
      <c r="E568" s="18" t="s">
        <v>34</v>
      </c>
      <c r="F568" s="18">
        <v>1.0</v>
      </c>
      <c r="G568" s="19">
        <f t="shared" si="1"/>
        <v>1.058219722</v>
      </c>
      <c r="H568" s="17">
        <v>30.0</v>
      </c>
      <c r="I568" s="10">
        <v>125.0</v>
      </c>
      <c r="J568" s="17">
        <v>1.0</v>
      </c>
      <c r="K568" s="17">
        <v>180.0</v>
      </c>
      <c r="L568" s="17"/>
      <c r="M568" s="20">
        <v>20.0</v>
      </c>
      <c r="N568" s="20">
        <v>2.0</v>
      </c>
      <c r="O568" s="20">
        <v>5.0</v>
      </c>
      <c r="P568" s="20">
        <f t="shared" si="2"/>
        <v>13</v>
      </c>
      <c r="Q568" s="21">
        <v>7.0</v>
      </c>
      <c r="R568" s="22">
        <f t="shared" si="3"/>
        <v>118.1229167</v>
      </c>
      <c r="S568" s="23">
        <f t="shared" si="4"/>
        <v>4.166666667</v>
      </c>
      <c r="T568" s="24">
        <f t="shared" si="5"/>
        <v>2.857142857</v>
      </c>
      <c r="U568" s="26">
        <f t="shared" si="6"/>
        <v>0.07692307692</v>
      </c>
      <c r="V568" s="26">
        <f t="shared" si="7"/>
        <v>0.1709401709</v>
      </c>
      <c r="W568" s="19">
        <f t="shared" si="8"/>
        <v>1.44</v>
      </c>
      <c r="X568" s="20">
        <f t="shared" si="9"/>
        <v>125</v>
      </c>
      <c r="Y568" s="27"/>
      <c r="Z568" s="17"/>
      <c r="AA568" s="28"/>
      <c r="AB568" s="17"/>
      <c r="AC568" s="28"/>
      <c r="AD568" s="27"/>
    </row>
    <row r="569" ht="15.75" customHeight="1">
      <c r="A569" s="27" t="s">
        <v>1781</v>
      </c>
      <c r="B569" s="27" t="s">
        <v>1782</v>
      </c>
      <c r="C569" s="16" t="s">
        <v>1783</v>
      </c>
      <c r="D569" s="17" t="s">
        <v>212</v>
      </c>
      <c r="E569" s="18" t="s">
        <v>34</v>
      </c>
      <c r="F569" s="18">
        <v>1.0</v>
      </c>
      <c r="G569" s="19">
        <f t="shared" si="1"/>
        <v>1.693151555</v>
      </c>
      <c r="H569" s="17">
        <v>48.0</v>
      </c>
      <c r="I569" s="10">
        <v>200.0</v>
      </c>
      <c r="J569" s="17">
        <v>8.0</v>
      </c>
      <c r="K569" s="17">
        <v>190.0</v>
      </c>
      <c r="L569" s="17">
        <v>110.0</v>
      </c>
      <c r="M569" s="20">
        <v>24.0</v>
      </c>
      <c r="N569" s="20">
        <v>3.0</v>
      </c>
      <c r="O569" s="20">
        <v>8.0</v>
      </c>
      <c r="P569" s="20">
        <f t="shared" si="2"/>
        <v>13</v>
      </c>
      <c r="Q569" s="21">
        <v>9.0</v>
      </c>
      <c r="R569" s="22">
        <f t="shared" si="3"/>
        <v>118.1229167</v>
      </c>
      <c r="S569" s="23">
        <f t="shared" si="4"/>
        <v>4.166666667</v>
      </c>
      <c r="T569" s="24">
        <f t="shared" si="5"/>
        <v>2.666666667</v>
      </c>
      <c r="U569" s="26">
        <f t="shared" si="6"/>
        <v>0.3529411765</v>
      </c>
      <c r="V569" s="26">
        <f t="shared" si="7"/>
        <v>0.1568627451</v>
      </c>
      <c r="W569" s="19">
        <f t="shared" si="8"/>
        <v>0.95</v>
      </c>
      <c r="X569" s="20">
        <f t="shared" si="9"/>
        <v>200</v>
      </c>
      <c r="Y569" s="27"/>
      <c r="Z569" s="17"/>
      <c r="AA569" s="28"/>
      <c r="AB569" s="17"/>
      <c r="AC569" s="28"/>
      <c r="AD569" s="27"/>
    </row>
    <row r="570" ht="15.75" customHeight="1">
      <c r="A570" s="16" t="s">
        <v>1548</v>
      </c>
      <c r="B570" s="16" t="s">
        <v>312</v>
      </c>
      <c r="C570" s="16" t="s">
        <v>1784</v>
      </c>
      <c r="D570" s="17" t="s">
        <v>212</v>
      </c>
      <c r="E570" s="18" t="s">
        <v>34</v>
      </c>
      <c r="F570" s="18">
        <v>1.0</v>
      </c>
      <c r="G570" s="19">
        <f t="shared" si="1"/>
        <v>2.116439443</v>
      </c>
      <c r="H570" s="17">
        <v>60.0</v>
      </c>
      <c r="I570" s="10">
        <v>250.0</v>
      </c>
      <c r="J570" s="17">
        <v>14.0</v>
      </c>
      <c r="K570" s="17">
        <v>250.0</v>
      </c>
      <c r="L570" s="17">
        <v>210.0</v>
      </c>
      <c r="M570" s="20">
        <v>23.0</v>
      </c>
      <c r="N570" s="20">
        <v>12.0</v>
      </c>
      <c r="O570" s="20">
        <v>2.0</v>
      </c>
      <c r="P570" s="20">
        <f t="shared" si="2"/>
        <v>9</v>
      </c>
      <c r="Q570" s="21">
        <v>16.0</v>
      </c>
      <c r="R570" s="22">
        <f t="shared" si="3"/>
        <v>118.1229167</v>
      </c>
      <c r="S570" s="23">
        <f t="shared" si="4"/>
        <v>4.166666667</v>
      </c>
      <c r="T570" s="24">
        <f t="shared" si="5"/>
        <v>1.4375</v>
      </c>
      <c r="U570" s="26">
        <f t="shared" si="6"/>
        <v>0.4468085106</v>
      </c>
      <c r="V570" s="26">
        <f t="shared" si="7"/>
        <v>0.02836879433</v>
      </c>
      <c r="W570" s="19">
        <f t="shared" si="8"/>
        <v>1</v>
      </c>
      <c r="X570" s="20">
        <f t="shared" si="9"/>
        <v>250</v>
      </c>
      <c r="Y570" s="27"/>
      <c r="Z570" s="17"/>
      <c r="AA570" s="28"/>
      <c r="AB570" s="17"/>
      <c r="AC570" s="28"/>
      <c r="AD570" s="27"/>
    </row>
    <row r="571" ht="15.75" customHeight="1">
      <c r="A571" s="27" t="s">
        <v>1785</v>
      </c>
      <c r="B571" s="27" t="s">
        <v>1786</v>
      </c>
      <c r="C571" s="16" t="s">
        <v>1787</v>
      </c>
      <c r="D571" s="17" t="s">
        <v>212</v>
      </c>
      <c r="E571" s="18" t="s">
        <v>34</v>
      </c>
      <c r="F571" s="18">
        <v>1.0</v>
      </c>
      <c r="G571" s="19">
        <f t="shared" si="1"/>
        <v>2.292809397</v>
      </c>
      <c r="H571" s="17">
        <v>65.0</v>
      </c>
      <c r="I571" s="10">
        <v>270.0</v>
      </c>
      <c r="J571" s="17">
        <v>8.0</v>
      </c>
      <c r="K571" s="17">
        <v>135.0</v>
      </c>
      <c r="L571" s="17">
        <v>210.0</v>
      </c>
      <c r="M571" s="20">
        <v>41.0</v>
      </c>
      <c r="N571" s="20">
        <v>2.0</v>
      </c>
      <c r="O571" s="20">
        <v>15.0</v>
      </c>
      <c r="P571" s="20">
        <f t="shared" si="2"/>
        <v>24</v>
      </c>
      <c r="Q571" s="21">
        <v>10.0</v>
      </c>
      <c r="R571" s="22">
        <f t="shared" si="3"/>
        <v>117.7594615</v>
      </c>
      <c r="S571" s="23">
        <f t="shared" si="4"/>
        <v>4.153846154</v>
      </c>
      <c r="T571" s="24">
        <f t="shared" si="5"/>
        <v>4.1</v>
      </c>
      <c r="U571" s="26">
        <f t="shared" si="6"/>
        <v>0.2608695652</v>
      </c>
      <c r="V571" s="26">
        <f t="shared" si="7"/>
        <v>0.2173913043</v>
      </c>
      <c r="W571" s="19">
        <f t="shared" si="8"/>
        <v>0.5</v>
      </c>
      <c r="X571" s="20">
        <f t="shared" si="9"/>
        <v>270</v>
      </c>
      <c r="Y571" s="27"/>
      <c r="Z571" s="17"/>
      <c r="AA571" s="28"/>
      <c r="AB571" s="17"/>
      <c r="AC571" s="28"/>
      <c r="AD571" s="27"/>
    </row>
    <row r="572" ht="15.75" customHeight="1">
      <c r="A572" s="27" t="s">
        <v>1271</v>
      </c>
      <c r="B572" s="27" t="s">
        <v>1788</v>
      </c>
      <c r="C572" s="16" t="s">
        <v>1789</v>
      </c>
      <c r="D572" s="17" t="s">
        <v>456</v>
      </c>
      <c r="E572" s="18" t="s">
        <v>34</v>
      </c>
      <c r="F572" s="18">
        <v>1.0</v>
      </c>
      <c r="G572" s="19">
        <f t="shared" si="1"/>
        <v>4.761988748</v>
      </c>
      <c r="H572" s="17">
        <v>135.0</v>
      </c>
      <c r="I572" s="10">
        <v>560.0</v>
      </c>
      <c r="J572" s="17">
        <v>31.0</v>
      </c>
      <c r="K572" s="17">
        <v>450.0</v>
      </c>
      <c r="L572" s="17"/>
      <c r="M572" s="20">
        <v>66.0</v>
      </c>
      <c r="N572" s="20">
        <v>2.0</v>
      </c>
      <c r="O572" s="20">
        <v>33.0</v>
      </c>
      <c r="P572" s="20">
        <f t="shared" si="2"/>
        <v>31</v>
      </c>
      <c r="Q572" s="21">
        <v>5.0</v>
      </c>
      <c r="R572" s="22">
        <f t="shared" si="3"/>
        <v>117.5979259</v>
      </c>
      <c r="S572" s="23">
        <f t="shared" si="4"/>
        <v>4.148148148</v>
      </c>
      <c r="T572" s="24">
        <f t="shared" si="5"/>
        <v>13.2</v>
      </c>
      <c r="U572" s="26">
        <f t="shared" si="6"/>
        <v>0.4955595027</v>
      </c>
      <c r="V572" s="26">
        <f t="shared" si="7"/>
        <v>0.2344582593</v>
      </c>
      <c r="W572" s="19">
        <f t="shared" si="8"/>
        <v>0.8035714286</v>
      </c>
      <c r="X572" s="20">
        <f t="shared" si="9"/>
        <v>560</v>
      </c>
      <c r="Y572" s="27"/>
      <c r="Z572" s="17"/>
      <c r="AA572" s="28"/>
      <c r="AB572" s="17"/>
      <c r="AC572" s="28"/>
      <c r="AD572" s="16"/>
    </row>
    <row r="573" ht="15.75" customHeight="1">
      <c r="A573" s="16" t="s">
        <v>1790</v>
      </c>
      <c r="B573" s="27" t="s">
        <v>530</v>
      </c>
      <c r="C573" s="16" t="s">
        <v>1791</v>
      </c>
      <c r="D573" s="17" t="s">
        <v>212</v>
      </c>
      <c r="E573" s="18" t="s">
        <v>34</v>
      </c>
      <c r="F573" s="18">
        <v>1.0</v>
      </c>
      <c r="G573" s="19">
        <f t="shared" si="1"/>
        <v>2.469179351</v>
      </c>
      <c r="H573" s="17">
        <v>70.0</v>
      </c>
      <c r="I573" s="10">
        <v>290.0</v>
      </c>
      <c r="J573" s="17">
        <v>9.0</v>
      </c>
      <c r="K573" s="17">
        <v>380.0</v>
      </c>
      <c r="L573" s="17">
        <v>180.0</v>
      </c>
      <c r="M573" s="20">
        <v>32.0</v>
      </c>
      <c r="N573" s="20">
        <v>3.0</v>
      </c>
      <c r="O573" s="20">
        <v>14.0</v>
      </c>
      <c r="P573" s="20">
        <f t="shared" si="2"/>
        <v>15</v>
      </c>
      <c r="Q573" s="21">
        <v>20.0</v>
      </c>
      <c r="R573" s="22">
        <f t="shared" si="3"/>
        <v>117.4479286</v>
      </c>
      <c r="S573" s="23">
        <f t="shared" si="4"/>
        <v>4.142857143</v>
      </c>
      <c r="T573" s="24">
        <f t="shared" si="5"/>
        <v>1.6</v>
      </c>
      <c r="U573" s="26">
        <f t="shared" si="6"/>
        <v>0.2802768166</v>
      </c>
      <c r="V573" s="26">
        <f t="shared" si="7"/>
        <v>0.1937716263</v>
      </c>
      <c r="W573" s="19">
        <f t="shared" si="8"/>
        <v>1.310344828</v>
      </c>
      <c r="X573" s="20">
        <f t="shared" si="9"/>
        <v>290</v>
      </c>
      <c r="Y573" s="27"/>
      <c r="Z573" s="17"/>
      <c r="AA573" s="28"/>
      <c r="AB573" s="17"/>
      <c r="AC573" s="28"/>
      <c r="AD573" s="27"/>
    </row>
    <row r="574" ht="15.75" customHeight="1">
      <c r="A574" s="16" t="s">
        <v>1790</v>
      </c>
      <c r="B574" s="27" t="s">
        <v>1792</v>
      </c>
      <c r="C574" s="16" t="s">
        <v>1793</v>
      </c>
      <c r="D574" s="17" t="s">
        <v>212</v>
      </c>
      <c r="E574" s="18" t="s">
        <v>34</v>
      </c>
      <c r="F574" s="18">
        <v>1.0</v>
      </c>
      <c r="G574" s="19">
        <f t="shared" si="1"/>
        <v>2.469179351</v>
      </c>
      <c r="H574" s="17">
        <v>70.0</v>
      </c>
      <c r="I574" s="10">
        <v>290.0</v>
      </c>
      <c r="J574" s="17">
        <v>10.0</v>
      </c>
      <c r="K574" s="17">
        <v>370.0</v>
      </c>
      <c r="L574" s="17">
        <v>170.0</v>
      </c>
      <c r="M574" s="20">
        <v>31.0</v>
      </c>
      <c r="N574" s="20">
        <v>2.0</v>
      </c>
      <c r="O574" s="20">
        <v>14.0</v>
      </c>
      <c r="P574" s="20">
        <f t="shared" si="2"/>
        <v>15</v>
      </c>
      <c r="Q574" s="21">
        <v>20.0</v>
      </c>
      <c r="R574" s="22">
        <f t="shared" si="3"/>
        <v>117.4479286</v>
      </c>
      <c r="S574" s="23">
        <f t="shared" si="4"/>
        <v>4.142857143</v>
      </c>
      <c r="T574" s="24">
        <f t="shared" si="5"/>
        <v>1.55</v>
      </c>
      <c r="U574" s="26">
        <f t="shared" si="6"/>
        <v>0.306122449</v>
      </c>
      <c r="V574" s="26">
        <f t="shared" si="7"/>
        <v>0.1904761905</v>
      </c>
      <c r="W574" s="19">
        <f t="shared" si="8"/>
        <v>1.275862069</v>
      </c>
      <c r="X574" s="20">
        <f t="shared" si="9"/>
        <v>290</v>
      </c>
      <c r="Y574" s="27"/>
      <c r="Z574" s="17"/>
      <c r="AA574" s="28"/>
      <c r="AB574" s="17"/>
      <c r="AC574" s="28"/>
      <c r="AD574" s="16"/>
    </row>
    <row r="575" ht="15.75" customHeight="1">
      <c r="A575" s="16" t="s">
        <v>1744</v>
      </c>
      <c r="B575" s="16" t="s">
        <v>1794</v>
      </c>
      <c r="C575" s="16" t="s">
        <v>1795</v>
      </c>
      <c r="D575" s="17" t="s">
        <v>563</v>
      </c>
      <c r="E575" s="18" t="s">
        <v>34</v>
      </c>
      <c r="F575" s="18">
        <v>1.0</v>
      </c>
      <c r="G575" s="19">
        <f t="shared" si="1"/>
        <v>1.022945731</v>
      </c>
      <c r="H575" s="17">
        <v>29.0</v>
      </c>
      <c r="I575" s="10">
        <v>120.0</v>
      </c>
      <c r="J575" s="17">
        <v>3.0</v>
      </c>
      <c r="K575" s="17">
        <v>160.0</v>
      </c>
      <c r="L575" s="17">
        <v>70.0</v>
      </c>
      <c r="M575" s="20">
        <v>22.0</v>
      </c>
      <c r="N575" s="20">
        <v>1.0</v>
      </c>
      <c r="O575" s="20">
        <v>9.0</v>
      </c>
      <c r="P575" s="20">
        <f t="shared" si="2"/>
        <v>12</v>
      </c>
      <c r="Q575" s="21">
        <v>2.0</v>
      </c>
      <c r="R575" s="22">
        <f t="shared" si="3"/>
        <v>117.3082759</v>
      </c>
      <c r="S575" s="23">
        <f t="shared" si="4"/>
        <v>4.137931034</v>
      </c>
      <c r="T575" s="24">
        <f t="shared" si="5"/>
        <v>11</v>
      </c>
      <c r="U575" s="26">
        <f t="shared" si="6"/>
        <v>0.2195121951</v>
      </c>
      <c r="V575" s="26">
        <f t="shared" si="7"/>
        <v>0.2926829268</v>
      </c>
      <c r="W575" s="19">
        <f t="shared" si="8"/>
        <v>1.333333333</v>
      </c>
      <c r="X575" s="20">
        <f t="shared" si="9"/>
        <v>120</v>
      </c>
      <c r="Y575" s="27"/>
      <c r="Z575" s="17"/>
      <c r="AA575" s="28"/>
      <c r="AB575" s="17"/>
      <c r="AC575" s="28"/>
      <c r="AD575" s="16"/>
    </row>
    <row r="576" ht="15.75" customHeight="1">
      <c r="A576" s="16" t="s">
        <v>1796</v>
      </c>
      <c r="B576" s="16" t="s">
        <v>1797</v>
      </c>
      <c r="C576" s="16" t="s">
        <v>1798</v>
      </c>
      <c r="D576" s="17" t="s">
        <v>212</v>
      </c>
      <c r="E576" s="18" t="s">
        <v>34</v>
      </c>
      <c r="F576" s="18">
        <v>1.0</v>
      </c>
      <c r="G576" s="19">
        <f t="shared" si="1"/>
        <v>1.876576306</v>
      </c>
      <c r="H576" s="17">
        <v>53.2</v>
      </c>
      <c r="I576" s="10">
        <v>220.0</v>
      </c>
      <c r="J576" s="17">
        <v>6.0</v>
      </c>
      <c r="K576" s="17">
        <v>40.0</v>
      </c>
      <c r="L576" s="17"/>
      <c r="M576" s="20">
        <v>34.0</v>
      </c>
      <c r="N576" s="20">
        <v>3.0</v>
      </c>
      <c r="O576" s="20">
        <v>12.0</v>
      </c>
      <c r="P576" s="20">
        <f t="shared" si="2"/>
        <v>19</v>
      </c>
      <c r="Q576" s="21">
        <v>8.0</v>
      </c>
      <c r="R576" s="22">
        <f t="shared" si="3"/>
        <v>117.2347744</v>
      </c>
      <c r="S576" s="23">
        <f t="shared" si="4"/>
        <v>4.135338346</v>
      </c>
      <c r="T576" s="24">
        <f t="shared" si="5"/>
        <v>4.25</v>
      </c>
      <c r="U576" s="26">
        <f t="shared" si="6"/>
        <v>0.2432432432</v>
      </c>
      <c r="V576" s="26">
        <f t="shared" si="7"/>
        <v>0.2162162162</v>
      </c>
      <c r="W576" s="19">
        <f t="shared" si="8"/>
        <v>0.1818181818</v>
      </c>
      <c r="X576" s="20">
        <f t="shared" si="9"/>
        <v>220</v>
      </c>
      <c r="Y576" s="27"/>
      <c r="Z576" s="17"/>
      <c r="AA576" s="28"/>
      <c r="AB576" s="17"/>
      <c r="AC576" s="28"/>
      <c r="AD576" s="27"/>
    </row>
    <row r="577" ht="15.75" customHeight="1">
      <c r="A577" s="27" t="s">
        <v>1544</v>
      </c>
      <c r="B577" s="27" t="s">
        <v>1799</v>
      </c>
      <c r="C577" s="16" t="s">
        <v>1800</v>
      </c>
      <c r="D577" s="17" t="s">
        <v>212</v>
      </c>
      <c r="E577" s="18" t="s">
        <v>34</v>
      </c>
      <c r="F577" s="18">
        <v>1.0</v>
      </c>
      <c r="G577" s="19">
        <f t="shared" si="1"/>
        <v>2.821919258</v>
      </c>
      <c r="H577" s="17">
        <v>80.0</v>
      </c>
      <c r="I577" s="10">
        <v>330.0</v>
      </c>
      <c r="J577" s="17">
        <v>10.0</v>
      </c>
      <c r="K577" s="17">
        <v>190.0</v>
      </c>
      <c r="L577" s="17"/>
      <c r="M577" s="20">
        <v>43.0</v>
      </c>
      <c r="N577" s="20">
        <v>0.0</v>
      </c>
      <c r="O577" s="20">
        <v>28.0</v>
      </c>
      <c r="P577" s="20">
        <f t="shared" si="2"/>
        <v>15</v>
      </c>
      <c r="Q577" s="21">
        <v>20.0</v>
      </c>
      <c r="R577" s="22">
        <f t="shared" si="3"/>
        <v>116.9416875</v>
      </c>
      <c r="S577" s="23">
        <f t="shared" si="4"/>
        <v>4.125</v>
      </c>
      <c r="T577" s="24">
        <f t="shared" si="5"/>
        <v>2.15</v>
      </c>
      <c r="U577" s="26">
        <f t="shared" si="6"/>
        <v>0.2631578947</v>
      </c>
      <c r="V577" s="26">
        <f t="shared" si="7"/>
        <v>0.3274853801</v>
      </c>
      <c r="W577" s="19">
        <f t="shared" si="8"/>
        <v>0.5757575758</v>
      </c>
      <c r="X577" s="20">
        <f t="shared" si="9"/>
        <v>330</v>
      </c>
      <c r="Y577" s="27"/>
      <c r="Z577" s="17"/>
      <c r="AA577" s="28"/>
      <c r="AB577" s="17"/>
      <c r="AC577" s="28"/>
      <c r="AD577" s="27"/>
    </row>
    <row r="578" ht="15.75" customHeight="1">
      <c r="A578" s="27" t="s">
        <v>1801</v>
      </c>
      <c r="B578" s="27" t="s">
        <v>1802</v>
      </c>
      <c r="C578" s="16" t="s">
        <v>1803</v>
      </c>
      <c r="D578" s="17" t="s">
        <v>99</v>
      </c>
      <c r="E578" s="18" t="s">
        <v>34</v>
      </c>
      <c r="F578" s="18">
        <v>1.0</v>
      </c>
      <c r="G578" s="19">
        <f t="shared" si="1"/>
        <v>0.5996578423</v>
      </c>
      <c r="H578" s="17">
        <v>17.0</v>
      </c>
      <c r="I578" s="10">
        <v>70.0</v>
      </c>
      <c r="J578" s="17">
        <v>0.0</v>
      </c>
      <c r="K578" s="17">
        <v>15.0</v>
      </c>
      <c r="L578" s="17"/>
      <c r="M578" s="20">
        <v>16.0</v>
      </c>
      <c r="N578" s="20">
        <v>0.0</v>
      </c>
      <c r="O578" s="20">
        <v>16.0</v>
      </c>
      <c r="P578" s="20">
        <f t="shared" si="2"/>
        <v>0</v>
      </c>
      <c r="Q578" s="21">
        <v>0.0</v>
      </c>
      <c r="R578" s="22">
        <f t="shared" si="3"/>
        <v>116.7332353</v>
      </c>
      <c r="S578" s="23">
        <f t="shared" si="4"/>
        <v>4.117647059</v>
      </c>
      <c r="T578" s="24" t="str">
        <f t="shared" si="5"/>
        <v>N/A</v>
      </c>
      <c r="U578" s="26" t="str">
        <f t="shared" si="6"/>
        <v>0%</v>
      </c>
      <c r="V578" s="26">
        <f t="shared" si="7"/>
        <v>1</v>
      </c>
      <c r="W578" s="19">
        <f t="shared" si="8"/>
        <v>0.2142857143</v>
      </c>
      <c r="X578" s="20">
        <f t="shared" si="9"/>
        <v>70</v>
      </c>
      <c r="Y578" s="27"/>
      <c r="Z578" s="17"/>
      <c r="AA578" s="28"/>
      <c r="AB578" s="17"/>
      <c r="AC578" s="28"/>
      <c r="AD578" s="16"/>
    </row>
    <row r="579" ht="15.75" customHeight="1">
      <c r="A579" s="16" t="s">
        <v>1804</v>
      </c>
      <c r="B579" s="16" t="s">
        <v>1805</v>
      </c>
      <c r="C579" s="16" t="s">
        <v>1806</v>
      </c>
      <c r="D579" s="17" t="s">
        <v>212</v>
      </c>
      <c r="E579" s="18" t="s">
        <v>34</v>
      </c>
      <c r="F579" s="18">
        <v>1.0</v>
      </c>
      <c r="G579" s="19">
        <f t="shared" si="1"/>
        <v>1.798973527</v>
      </c>
      <c r="H579" s="17">
        <v>51.0</v>
      </c>
      <c r="I579" s="10">
        <v>210.0</v>
      </c>
      <c r="J579" s="17">
        <v>15.0</v>
      </c>
      <c r="K579" s="17">
        <v>58.0</v>
      </c>
      <c r="L579" s="17"/>
      <c r="M579" s="20">
        <v>18.0</v>
      </c>
      <c r="N579" s="20">
        <v>4.0</v>
      </c>
      <c r="O579" s="20">
        <v>12.0</v>
      </c>
      <c r="P579" s="20">
        <f t="shared" si="2"/>
        <v>2</v>
      </c>
      <c r="Q579" s="21">
        <v>7.0</v>
      </c>
      <c r="R579" s="22">
        <f t="shared" si="3"/>
        <v>116.7332353</v>
      </c>
      <c r="S579" s="23">
        <f t="shared" si="4"/>
        <v>4.117647059</v>
      </c>
      <c r="T579" s="24">
        <f t="shared" si="5"/>
        <v>2.571428571</v>
      </c>
      <c r="U579" s="26">
        <f t="shared" si="6"/>
        <v>0.5744680851</v>
      </c>
      <c r="V579" s="26">
        <f t="shared" si="7"/>
        <v>0.2042553191</v>
      </c>
      <c r="W579" s="19">
        <f t="shared" si="8"/>
        <v>0.2761904762</v>
      </c>
      <c r="X579" s="20">
        <f t="shared" si="9"/>
        <v>210</v>
      </c>
      <c r="Y579" s="27"/>
      <c r="Z579" s="17"/>
      <c r="AA579" s="28"/>
      <c r="AB579" s="17"/>
      <c r="AC579" s="28"/>
      <c r="AD579" s="16"/>
    </row>
    <row r="580" ht="15.75" customHeight="1">
      <c r="A580" s="27" t="s">
        <v>1804</v>
      </c>
      <c r="B580" s="27" t="s">
        <v>1807</v>
      </c>
      <c r="C580" s="16" t="s">
        <v>1808</v>
      </c>
      <c r="D580" s="17" t="s">
        <v>212</v>
      </c>
      <c r="E580" s="18" t="s">
        <v>34</v>
      </c>
      <c r="F580" s="18">
        <v>1.0</v>
      </c>
      <c r="G580" s="19">
        <f t="shared" si="1"/>
        <v>1.798973527</v>
      </c>
      <c r="H580" s="17">
        <v>51.0</v>
      </c>
      <c r="I580" s="10">
        <v>210.0</v>
      </c>
      <c r="J580" s="17">
        <v>15.0</v>
      </c>
      <c r="K580" s="17">
        <v>54.0</v>
      </c>
      <c r="L580" s="17"/>
      <c r="M580" s="20">
        <v>17.0</v>
      </c>
      <c r="N580" s="20">
        <v>4.0</v>
      </c>
      <c r="O580" s="20">
        <v>11.0</v>
      </c>
      <c r="P580" s="20">
        <f t="shared" si="2"/>
        <v>2</v>
      </c>
      <c r="Q580" s="21">
        <v>9.0</v>
      </c>
      <c r="R580" s="22">
        <f t="shared" si="3"/>
        <v>116.7332353</v>
      </c>
      <c r="S580" s="23">
        <f t="shared" si="4"/>
        <v>4.117647059</v>
      </c>
      <c r="T580" s="24">
        <f t="shared" si="5"/>
        <v>1.888888889</v>
      </c>
      <c r="U580" s="26">
        <f t="shared" si="6"/>
        <v>0.5648535565</v>
      </c>
      <c r="V580" s="26">
        <f t="shared" si="7"/>
        <v>0.1841004184</v>
      </c>
      <c r="W580" s="19">
        <f t="shared" si="8"/>
        <v>0.2571428571</v>
      </c>
      <c r="X580" s="20">
        <f t="shared" si="9"/>
        <v>210</v>
      </c>
      <c r="Y580" s="27"/>
      <c r="Z580" s="17"/>
      <c r="AA580" s="28"/>
      <c r="AB580" s="17"/>
      <c r="AC580" s="28"/>
      <c r="AD580" s="27"/>
    </row>
    <row r="581" ht="15.75" customHeight="1">
      <c r="A581" s="27" t="s">
        <v>1548</v>
      </c>
      <c r="B581" s="27" t="s">
        <v>1809</v>
      </c>
      <c r="C581" s="16" t="s">
        <v>1810</v>
      </c>
      <c r="D581" s="17" t="s">
        <v>212</v>
      </c>
      <c r="E581" s="18" t="s">
        <v>34</v>
      </c>
      <c r="F581" s="18">
        <v>1.0</v>
      </c>
      <c r="G581" s="19">
        <f t="shared" si="1"/>
        <v>1.199315685</v>
      </c>
      <c r="H581" s="17">
        <v>34.0</v>
      </c>
      <c r="I581" s="10">
        <v>140.0</v>
      </c>
      <c r="J581" s="17">
        <v>10.0</v>
      </c>
      <c r="K581" s="17">
        <v>180.0</v>
      </c>
      <c r="L581" s="17">
        <v>110.0</v>
      </c>
      <c r="M581" s="20">
        <v>13.0</v>
      </c>
      <c r="N581" s="20">
        <v>6.0</v>
      </c>
      <c r="O581" s="20">
        <v>1.0</v>
      </c>
      <c r="P581" s="20">
        <f t="shared" si="2"/>
        <v>6</v>
      </c>
      <c r="Q581" s="21">
        <v>7.0</v>
      </c>
      <c r="R581" s="22">
        <f t="shared" si="3"/>
        <v>116.7332353</v>
      </c>
      <c r="S581" s="23">
        <f t="shared" si="4"/>
        <v>4.117647059</v>
      </c>
      <c r="T581" s="24">
        <f t="shared" si="5"/>
        <v>1.857142857</v>
      </c>
      <c r="U581" s="26">
        <f t="shared" si="6"/>
        <v>0.5294117647</v>
      </c>
      <c r="V581" s="26">
        <f t="shared" si="7"/>
        <v>0.02352941176</v>
      </c>
      <c r="W581" s="19">
        <f t="shared" si="8"/>
        <v>1.285714286</v>
      </c>
      <c r="X581" s="20">
        <f t="shared" si="9"/>
        <v>140</v>
      </c>
      <c r="Y581" s="27"/>
      <c r="Z581" s="17"/>
      <c r="AA581" s="28"/>
      <c r="AB581" s="17"/>
      <c r="AC581" s="28"/>
      <c r="AD581" s="27"/>
    </row>
    <row r="582" ht="15.75" customHeight="1">
      <c r="A582" s="27" t="s">
        <v>1514</v>
      </c>
      <c r="B582" s="27" t="s">
        <v>369</v>
      </c>
      <c r="C582" s="16" t="s">
        <v>1811</v>
      </c>
      <c r="D582" s="17" t="s">
        <v>212</v>
      </c>
      <c r="E582" s="18" t="s">
        <v>34</v>
      </c>
      <c r="F582" s="18">
        <v>1.0</v>
      </c>
      <c r="G582" s="19">
        <f t="shared" si="1"/>
        <v>2.398631369</v>
      </c>
      <c r="H582" s="17">
        <v>68.0</v>
      </c>
      <c r="I582" s="10">
        <v>280.0</v>
      </c>
      <c r="J582" s="17">
        <v>9.0</v>
      </c>
      <c r="K582" s="17">
        <v>200.0</v>
      </c>
      <c r="L582" s="17">
        <v>234.0</v>
      </c>
      <c r="M582" s="20">
        <v>31.0</v>
      </c>
      <c r="N582" s="20">
        <v>3.0</v>
      </c>
      <c r="O582" s="20">
        <v>17.0</v>
      </c>
      <c r="P582" s="20">
        <f t="shared" si="2"/>
        <v>11</v>
      </c>
      <c r="Q582" s="21">
        <v>20.0</v>
      </c>
      <c r="R582" s="22">
        <f t="shared" si="3"/>
        <v>116.7332353</v>
      </c>
      <c r="S582" s="23">
        <f t="shared" si="4"/>
        <v>4.117647059</v>
      </c>
      <c r="T582" s="24">
        <f t="shared" si="5"/>
        <v>1.55</v>
      </c>
      <c r="U582" s="26">
        <f t="shared" si="6"/>
        <v>0.2842105263</v>
      </c>
      <c r="V582" s="26">
        <f t="shared" si="7"/>
        <v>0.2385964912</v>
      </c>
      <c r="W582" s="19">
        <f t="shared" si="8"/>
        <v>0.7142857143</v>
      </c>
      <c r="X582" s="20">
        <f t="shared" si="9"/>
        <v>280</v>
      </c>
      <c r="Y582" s="27"/>
      <c r="Z582" s="17"/>
      <c r="AA582" s="28"/>
      <c r="AB582" s="17"/>
      <c r="AC582" s="28"/>
      <c r="AD582" s="16"/>
    </row>
    <row r="583" ht="15.75" customHeight="1">
      <c r="A583" s="27" t="s">
        <v>1514</v>
      </c>
      <c r="B583" s="27" t="s">
        <v>1812</v>
      </c>
      <c r="C583" s="16" t="s">
        <v>1813</v>
      </c>
      <c r="D583" s="17" t="s">
        <v>212</v>
      </c>
      <c r="E583" s="18" t="s">
        <v>34</v>
      </c>
      <c r="F583" s="18">
        <v>1.0</v>
      </c>
      <c r="G583" s="19">
        <f t="shared" si="1"/>
        <v>2.398631369</v>
      </c>
      <c r="H583" s="17">
        <v>68.0</v>
      </c>
      <c r="I583" s="10">
        <v>280.0</v>
      </c>
      <c r="J583" s="17">
        <v>10.0</v>
      </c>
      <c r="K583" s="17">
        <v>210.0</v>
      </c>
      <c r="L583" s="17">
        <v>229.0</v>
      </c>
      <c r="M583" s="20">
        <v>30.0</v>
      </c>
      <c r="N583" s="20">
        <v>3.0</v>
      </c>
      <c r="O583" s="20">
        <v>17.0</v>
      </c>
      <c r="P583" s="20">
        <f t="shared" si="2"/>
        <v>10</v>
      </c>
      <c r="Q583" s="21">
        <v>20.0</v>
      </c>
      <c r="R583" s="22">
        <f t="shared" si="3"/>
        <v>116.7332353</v>
      </c>
      <c r="S583" s="23">
        <f t="shared" si="4"/>
        <v>4.117647059</v>
      </c>
      <c r="T583" s="24">
        <f t="shared" si="5"/>
        <v>1.5</v>
      </c>
      <c r="U583" s="26">
        <f t="shared" si="6"/>
        <v>0.3103448276</v>
      </c>
      <c r="V583" s="26">
        <f t="shared" si="7"/>
        <v>0.2344827586</v>
      </c>
      <c r="W583" s="19">
        <f t="shared" si="8"/>
        <v>0.75</v>
      </c>
      <c r="X583" s="20">
        <f t="shared" si="9"/>
        <v>280</v>
      </c>
      <c r="Y583" s="27"/>
      <c r="Z583" s="17"/>
      <c r="AA583" s="28"/>
      <c r="AB583" s="17"/>
      <c r="AC583" s="28"/>
      <c r="AD583" s="27"/>
    </row>
    <row r="584" ht="15.75" customHeight="1">
      <c r="A584" s="27" t="s">
        <v>1560</v>
      </c>
      <c r="B584" s="27" t="s">
        <v>1814</v>
      </c>
      <c r="C584" s="16" t="s">
        <v>1815</v>
      </c>
      <c r="D584" s="17" t="s">
        <v>212</v>
      </c>
      <c r="E584" s="18" t="s">
        <v>34</v>
      </c>
      <c r="F584" s="18">
        <v>1.0</v>
      </c>
      <c r="G584" s="19">
        <f t="shared" si="1"/>
        <v>2.186987425</v>
      </c>
      <c r="H584" s="17">
        <v>62.0</v>
      </c>
      <c r="I584" s="10">
        <v>255.0</v>
      </c>
      <c r="J584" s="17">
        <v>10.0</v>
      </c>
      <c r="K584" s="17">
        <v>55.0</v>
      </c>
      <c r="L584" s="17">
        <v>220.0</v>
      </c>
      <c r="M584" s="20">
        <v>33.0</v>
      </c>
      <c r="N584" s="20">
        <v>5.0</v>
      </c>
      <c r="O584" s="20">
        <v>15.0</v>
      </c>
      <c r="P584" s="20">
        <f t="shared" si="2"/>
        <v>13</v>
      </c>
      <c r="Q584" s="21">
        <v>13.0</v>
      </c>
      <c r="R584" s="22">
        <f t="shared" si="3"/>
        <v>116.59875</v>
      </c>
      <c r="S584" s="23">
        <f t="shared" si="4"/>
        <v>4.112903226</v>
      </c>
      <c r="T584" s="24">
        <f t="shared" si="5"/>
        <v>2.538461538</v>
      </c>
      <c r="U584" s="26">
        <f t="shared" si="6"/>
        <v>0.3284671533</v>
      </c>
      <c r="V584" s="26">
        <f t="shared" si="7"/>
        <v>0.2189781022</v>
      </c>
      <c r="W584" s="19">
        <f t="shared" si="8"/>
        <v>0.2156862745</v>
      </c>
      <c r="X584" s="20">
        <f t="shared" si="9"/>
        <v>255</v>
      </c>
      <c r="Y584" s="27"/>
      <c r="Z584" s="17"/>
      <c r="AA584" s="28"/>
      <c r="AB584" s="17"/>
      <c r="AC584" s="28"/>
      <c r="AD584" s="27"/>
    </row>
    <row r="585" ht="15.75" customHeight="1">
      <c r="A585" s="27" t="s">
        <v>1741</v>
      </c>
      <c r="B585" s="27" t="s">
        <v>1816</v>
      </c>
      <c r="C585" s="16" t="s">
        <v>1817</v>
      </c>
      <c r="D585" s="17" t="s">
        <v>212</v>
      </c>
      <c r="E585" s="18" t="s">
        <v>34</v>
      </c>
      <c r="F585" s="18">
        <v>1.0</v>
      </c>
      <c r="G585" s="19">
        <f t="shared" si="1"/>
        <v>3.527399072</v>
      </c>
      <c r="H585" s="17">
        <v>100.0</v>
      </c>
      <c r="I585" s="10">
        <v>410.0</v>
      </c>
      <c r="J585" s="17">
        <v>12.0</v>
      </c>
      <c r="K585" s="17">
        <v>510.0</v>
      </c>
      <c r="L585" s="17">
        <v>210.0</v>
      </c>
      <c r="M585" s="20">
        <v>47.0</v>
      </c>
      <c r="N585" s="20">
        <v>3.0</v>
      </c>
      <c r="O585" s="20">
        <v>28.0</v>
      </c>
      <c r="P585" s="20">
        <f t="shared" si="2"/>
        <v>16</v>
      </c>
      <c r="Q585" s="21">
        <v>30.0</v>
      </c>
      <c r="R585" s="22">
        <f t="shared" si="3"/>
        <v>116.23295</v>
      </c>
      <c r="S585" s="23">
        <f t="shared" si="4"/>
        <v>4.1</v>
      </c>
      <c r="T585" s="24">
        <f t="shared" si="5"/>
        <v>1.566666667</v>
      </c>
      <c r="U585" s="26">
        <f t="shared" si="6"/>
        <v>0.2596153846</v>
      </c>
      <c r="V585" s="26">
        <f t="shared" si="7"/>
        <v>0.2692307692</v>
      </c>
      <c r="W585" s="19">
        <f t="shared" si="8"/>
        <v>1.243902439</v>
      </c>
      <c r="X585" s="20">
        <f t="shared" si="9"/>
        <v>410</v>
      </c>
      <c r="Y585" s="27"/>
      <c r="Z585" s="17"/>
      <c r="AA585" s="28"/>
      <c r="AB585" s="17"/>
      <c r="AC585" s="28"/>
      <c r="AD585" s="27"/>
    </row>
    <row r="586" ht="15.75" customHeight="1">
      <c r="A586" s="27" t="s">
        <v>1818</v>
      </c>
      <c r="B586" s="27" t="s">
        <v>1819</v>
      </c>
      <c r="C586" s="16" t="s">
        <v>1820</v>
      </c>
      <c r="D586" s="17" t="s">
        <v>456</v>
      </c>
      <c r="E586" s="18" t="s">
        <v>34</v>
      </c>
      <c r="F586" s="18">
        <v>1.0</v>
      </c>
      <c r="G586" s="19">
        <f t="shared" si="1"/>
        <v>0.7760277959</v>
      </c>
      <c r="H586" s="17">
        <v>22.0</v>
      </c>
      <c r="I586" s="10">
        <v>90.0</v>
      </c>
      <c r="J586" s="17">
        <v>2.0</v>
      </c>
      <c r="K586" s="17">
        <v>105.0</v>
      </c>
      <c r="L586" s="17"/>
      <c r="M586" s="20">
        <v>17.0</v>
      </c>
      <c r="N586" s="20">
        <v>0.0</v>
      </c>
      <c r="O586" s="20">
        <v>8.0</v>
      </c>
      <c r="P586" s="20">
        <f t="shared" si="2"/>
        <v>9</v>
      </c>
      <c r="Q586" s="21">
        <v>1.0</v>
      </c>
      <c r="R586" s="22">
        <f t="shared" si="3"/>
        <v>115.9752273</v>
      </c>
      <c r="S586" s="23">
        <f t="shared" si="4"/>
        <v>4.090909091</v>
      </c>
      <c r="T586" s="24">
        <f t="shared" si="5"/>
        <v>17</v>
      </c>
      <c r="U586" s="26">
        <f t="shared" si="6"/>
        <v>0.2</v>
      </c>
      <c r="V586" s="26">
        <f t="shared" si="7"/>
        <v>0.3555555556</v>
      </c>
      <c r="W586" s="19">
        <f t="shared" si="8"/>
        <v>1.166666667</v>
      </c>
      <c r="X586" s="20">
        <f t="shared" si="9"/>
        <v>90</v>
      </c>
      <c r="Y586" s="27"/>
      <c r="Z586" s="17"/>
      <c r="AA586" s="28"/>
      <c r="AB586" s="17"/>
      <c r="AC586" s="28"/>
      <c r="AD586" s="27"/>
    </row>
    <row r="587" ht="15.75" customHeight="1">
      <c r="A587" s="16" t="s">
        <v>1271</v>
      </c>
      <c r="B587" s="16" t="s">
        <v>1821</v>
      </c>
      <c r="C587" s="16" t="s">
        <v>1822</v>
      </c>
      <c r="D587" s="17" t="s">
        <v>456</v>
      </c>
      <c r="E587" s="18" t="s">
        <v>34</v>
      </c>
      <c r="F587" s="18">
        <v>1.0</v>
      </c>
      <c r="G587" s="19">
        <f t="shared" si="1"/>
        <v>5.008906683</v>
      </c>
      <c r="H587" s="17">
        <v>142.0</v>
      </c>
      <c r="I587" s="10">
        <v>580.0</v>
      </c>
      <c r="J587" s="17">
        <v>28.0</v>
      </c>
      <c r="K587" s="17">
        <v>570.0</v>
      </c>
      <c r="L587" s="17"/>
      <c r="M587" s="20">
        <v>72.0</v>
      </c>
      <c r="N587" s="20">
        <v>2.0</v>
      </c>
      <c r="O587" s="20">
        <v>27.0</v>
      </c>
      <c r="P587" s="20">
        <f t="shared" si="2"/>
        <v>43</v>
      </c>
      <c r="Q587" s="21">
        <v>10.0</v>
      </c>
      <c r="R587" s="22">
        <f t="shared" si="3"/>
        <v>115.7937324</v>
      </c>
      <c r="S587" s="23">
        <f t="shared" si="4"/>
        <v>4.084507042</v>
      </c>
      <c r="T587" s="24">
        <f t="shared" si="5"/>
        <v>7.2</v>
      </c>
      <c r="U587" s="26">
        <f t="shared" si="6"/>
        <v>0.4344827586</v>
      </c>
      <c r="V587" s="26">
        <f t="shared" si="7"/>
        <v>0.1862068966</v>
      </c>
      <c r="W587" s="19">
        <f t="shared" si="8"/>
        <v>0.9827586207</v>
      </c>
      <c r="X587" s="20">
        <f t="shared" si="9"/>
        <v>580</v>
      </c>
      <c r="Y587" s="27"/>
      <c r="Z587" s="17"/>
      <c r="AA587" s="28"/>
      <c r="AB587" s="17"/>
      <c r="AC587" s="28"/>
      <c r="AD587" s="16"/>
    </row>
    <row r="588" ht="15.75" customHeight="1">
      <c r="A588" s="27" t="s">
        <v>1765</v>
      </c>
      <c r="B588" s="27" t="s">
        <v>1823</v>
      </c>
      <c r="C588" s="16" t="s">
        <v>1824</v>
      </c>
      <c r="D588" s="17" t="s">
        <v>119</v>
      </c>
      <c r="E588" s="18" t="s">
        <v>34</v>
      </c>
      <c r="F588" s="18">
        <v>1.0</v>
      </c>
      <c r="G588" s="19">
        <f t="shared" si="1"/>
        <v>2.504453341</v>
      </c>
      <c r="H588" s="17">
        <v>71.0</v>
      </c>
      <c r="I588" s="10">
        <v>290.0</v>
      </c>
      <c r="J588" s="17">
        <v>8.0</v>
      </c>
      <c r="K588" s="17">
        <v>1020.0</v>
      </c>
      <c r="L588" s="17"/>
      <c r="M588" s="20">
        <v>44.0</v>
      </c>
      <c r="N588" s="20">
        <v>2.0</v>
      </c>
      <c r="O588" s="20">
        <v>6.0</v>
      </c>
      <c r="P588" s="20">
        <f t="shared" si="2"/>
        <v>36</v>
      </c>
      <c r="Q588" s="21">
        <v>8.0</v>
      </c>
      <c r="R588" s="22">
        <f t="shared" si="3"/>
        <v>115.7937324</v>
      </c>
      <c r="S588" s="23">
        <f t="shared" si="4"/>
        <v>4.084507042</v>
      </c>
      <c r="T588" s="24">
        <f t="shared" si="5"/>
        <v>5.5</v>
      </c>
      <c r="U588" s="26">
        <f t="shared" si="6"/>
        <v>0.2571428571</v>
      </c>
      <c r="V588" s="26">
        <f t="shared" si="7"/>
        <v>0.08571428571</v>
      </c>
      <c r="W588" s="19">
        <f t="shared" si="8"/>
        <v>3.517241379</v>
      </c>
      <c r="X588" s="20">
        <f t="shared" si="9"/>
        <v>290</v>
      </c>
      <c r="Y588" s="27"/>
      <c r="Z588" s="17"/>
      <c r="AA588" s="28"/>
      <c r="AB588" s="17"/>
      <c r="AC588" s="28"/>
      <c r="AD588" s="27"/>
    </row>
    <row r="589" ht="15.75" customHeight="1">
      <c r="A589" s="16" t="s">
        <v>1771</v>
      </c>
      <c r="B589" s="16" t="s">
        <v>1825</v>
      </c>
      <c r="C589" s="16" t="s">
        <v>1826</v>
      </c>
      <c r="D589" s="17" t="s">
        <v>563</v>
      </c>
      <c r="E589" s="18" t="s">
        <v>34</v>
      </c>
      <c r="F589" s="18">
        <v>1.0</v>
      </c>
      <c r="G589" s="19">
        <f t="shared" si="1"/>
        <v>0.9523977495</v>
      </c>
      <c r="H589" s="17">
        <v>27.0</v>
      </c>
      <c r="I589" s="10">
        <v>110.0</v>
      </c>
      <c r="J589" s="17">
        <v>1.5</v>
      </c>
      <c r="K589" s="17">
        <v>210.0</v>
      </c>
      <c r="L589" s="17">
        <v>50.0</v>
      </c>
      <c r="M589" s="20">
        <v>23.0</v>
      </c>
      <c r="N589" s="20">
        <v>1.0</v>
      </c>
      <c r="O589" s="20">
        <v>12.0</v>
      </c>
      <c r="P589" s="20">
        <f t="shared" si="2"/>
        <v>10</v>
      </c>
      <c r="Q589" s="21">
        <v>1.0</v>
      </c>
      <c r="R589" s="22">
        <f t="shared" si="3"/>
        <v>115.497963</v>
      </c>
      <c r="S589" s="23">
        <f t="shared" si="4"/>
        <v>4.074074074</v>
      </c>
      <c r="T589" s="24">
        <f t="shared" si="5"/>
        <v>23</v>
      </c>
      <c r="U589" s="26">
        <f t="shared" si="6"/>
        <v>0.1232876712</v>
      </c>
      <c r="V589" s="26">
        <f t="shared" si="7"/>
        <v>0.4383561644</v>
      </c>
      <c r="W589" s="19">
        <f t="shared" si="8"/>
        <v>1.909090909</v>
      </c>
      <c r="X589" s="20">
        <f t="shared" si="9"/>
        <v>110</v>
      </c>
      <c r="Y589" s="27"/>
      <c r="Z589" s="17"/>
      <c r="AA589" s="28"/>
      <c r="AB589" s="17"/>
      <c r="AC589" s="28"/>
      <c r="AD589" s="27"/>
    </row>
    <row r="590" ht="15.75" customHeight="1">
      <c r="A590" s="27" t="s">
        <v>1744</v>
      </c>
      <c r="B590" s="27" t="s">
        <v>1827</v>
      </c>
      <c r="C590" s="16" t="s">
        <v>1828</v>
      </c>
      <c r="D590" s="17" t="s">
        <v>563</v>
      </c>
      <c r="E590" s="18" t="s">
        <v>34</v>
      </c>
      <c r="F590" s="18">
        <v>1.0</v>
      </c>
      <c r="G590" s="19">
        <f t="shared" si="1"/>
        <v>0.9523977495</v>
      </c>
      <c r="H590" s="17">
        <v>27.0</v>
      </c>
      <c r="I590" s="10">
        <v>110.0</v>
      </c>
      <c r="J590" s="17">
        <v>1.0</v>
      </c>
      <c r="K590" s="17">
        <v>170.0</v>
      </c>
      <c r="L590" s="17">
        <v>50.0</v>
      </c>
      <c r="M590" s="20">
        <v>22.0</v>
      </c>
      <c r="N590" s="20">
        <v>2.0</v>
      </c>
      <c r="O590" s="20">
        <v>10.0</v>
      </c>
      <c r="P590" s="20">
        <f t="shared" si="2"/>
        <v>10</v>
      </c>
      <c r="Q590" s="21">
        <v>2.0</v>
      </c>
      <c r="R590" s="22">
        <f t="shared" si="3"/>
        <v>115.497963</v>
      </c>
      <c r="S590" s="23">
        <f t="shared" si="4"/>
        <v>4.074074074</v>
      </c>
      <c r="T590" s="24">
        <f t="shared" si="5"/>
        <v>11</v>
      </c>
      <c r="U590" s="26">
        <f t="shared" si="6"/>
        <v>0.08571428571</v>
      </c>
      <c r="V590" s="26">
        <f t="shared" si="7"/>
        <v>0.380952381</v>
      </c>
      <c r="W590" s="19">
        <f t="shared" si="8"/>
        <v>1.545454545</v>
      </c>
      <c r="X590" s="20">
        <f t="shared" si="9"/>
        <v>110</v>
      </c>
      <c r="Y590" s="27"/>
      <c r="Z590" s="17"/>
      <c r="AA590" s="28"/>
      <c r="AB590" s="17"/>
      <c r="AC590" s="28"/>
      <c r="AD590" s="27"/>
    </row>
    <row r="591" ht="15.75" customHeight="1">
      <c r="A591" s="27" t="s">
        <v>1765</v>
      </c>
      <c r="B591" s="27" t="s">
        <v>1829</v>
      </c>
      <c r="C591" s="16" t="s">
        <v>1830</v>
      </c>
      <c r="D591" s="17" t="s">
        <v>119</v>
      </c>
      <c r="E591" s="18" t="s">
        <v>34</v>
      </c>
      <c r="F591" s="18">
        <v>1.0</v>
      </c>
      <c r="G591" s="19">
        <f t="shared" si="1"/>
        <v>2.857193249</v>
      </c>
      <c r="H591" s="17">
        <v>81.0</v>
      </c>
      <c r="I591" s="10">
        <v>330.0</v>
      </c>
      <c r="J591" s="17">
        <v>9.0</v>
      </c>
      <c r="K591" s="17">
        <v>810.0</v>
      </c>
      <c r="L591" s="17"/>
      <c r="M591" s="20">
        <v>55.0</v>
      </c>
      <c r="N591" s="20">
        <v>5.0</v>
      </c>
      <c r="O591" s="20">
        <v>10.0</v>
      </c>
      <c r="P591" s="20">
        <f t="shared" si="2"/>
        <v>40</v>
      </c>
      <c r="Q591" s="21">
        <v>9.0</v>
      </c>
      <c r="R591" s="22">
        <f t="shared" si="3"/>
        <v>115.497963</v>
      </c>
      <c r="S591" s="23">
        <f t="shared" si="4"/>
        <v>4.074074074</v>
      </c>
      <c r="T591" s="24">
        <f t="shared" si="5"/>
        <v>6.111111111</v>
      </c>
      <c r="U591" s="26">
        <f t="shared" si="6"/>
        <v>0.2403560831</v>
      </c>
      <c r="V591" s="26">
        <f t="shared" si="7"/>
        <v>0.118694362</v>
      </c>
      <c r="W591" s="19">
        <f t="shared" si="8"/>
        <v>2.454545455</v>
      </c>
      <c r="X591" s="20">
        <f t="shared" si="9"/>
        <v>330</v>
      </c>
      <c r="Y591" s="27"/>
      <c r="Z591" s="17"/>
      <c r="AA591" s="28"/>
      <c r="AB591" s="17"/>
      <c r="AC591" s="28"/>
      <c r="AD591" s="16"/>
    </row>
    <row r="592" ht="15.75" customHeight="1">
      <c r="A592" s="16" t="s">
        <v>1831</v>
      </c>
      <c r="B592" s="16" t="s">
        <v>1832</v>
      </c>
      <c r="C592" s="16" t="s">
        <v>1833</v>
      </c>
      <c r="D592" s="17" t="s">
        <v>318</v>
      </c>
      <c r="E592" s="18" t="s">
        <v>34</v>
      </c>
      <c r="F592" s="18">
        <v>1.0</v>
      </c>
      <c r="G592" s="19">
        <f t="shared" si="1"/>
        <v>3.985960952</v>
      </c>
      <c r="H592" s="17">
        <v>113.0</v>
      </c>
      <c r="I592" s="10">
        <v>460.0</v>
      </c>
      <c r="J592" s="17">
        <v>17.0</v>
      </c>
      <c r="K592" s="17">
        <v>510.0</v>
      </c>
      <c r="L592" s="17">
        <v>298.0</v>
      </c>
      <c r="M592" s="20">
        <v>56.0</v>
      </c>
      <c r="N592" s="20">
        <v>10.0</v>
      </c>
      <c r="O592" s="20">
        <v>26.0</v>
      </c>
      <c r="P592" s="20">
        <f t="shared" si="2"/>
        <v>20</v>
      </c>
      <c r="Q592" s="21">
        <v>16.0</v>
      </c>
      <c r="R592" s="22">
        <f t="shared" si="3"/>
        <v>115.4050442</v>
      </c>
      <c r="S592" s="23">
        <f t="shared" si="4"/>
        <v>4.07079646</v>
      </c>
      <c r="T592" s="24">
        <f t="shared" si="5"/>
        <v>3.5</v>
      </c>
      <c r="U592" s="26">
        <f t="shared" si="6"/>
        <v>0.3469387755</v>
      </c>
      <c r="V592" s="26">
        <f t="shared" si="7"/>
        <v>0.2358276644</v>
      </c>
      <c r="W592" s="19">
        <f t="shared" si="8"/>
        <v>1.108695652</v>
      </c>
      <c r="X592" s="20">
        <f t="shared" si="9"/>
        <v>460</v>
      </c>
      <c r="Y592" s="27"/>
      <c r="Z592" s="17"/>
      <c r="AA592" s="28"/>
      <c r="AB592" s="17"/>
      <c r="AC592" s="28"/>
      <c r="AD592" s="27"/>
    </row>
    <row r="593" ht="15.75" customHeight="1">
      <c r="A593" s="27" t="s">
        <v>1729</v>
      </c>
      <c r="B593" s="27" t="s">
        <v>1834</v>
      </c>
      <c r="C593" s="16" t="s">
        <v>1835</v>
      </c>
      <c r="D593" s="17" t="s">
        <v>456</v>
      </c>
      <c r="E593" s="18" t="s">
        <v>34</v>
      </c>
      <c r="F593" s="18">
        <v>1.0</v>
      </c>
      <c r="G593" s="19">
        <f t="shared" si="1"/>
        <v>3.386303109</v>
      </c>
      <c r="H593" s="17">
        <v>96.0</v>
      </c>
      <c r="I593" s="10">
        <v>390.0</v>
      </c>
      <c r="J593" s="17">
        <v>13.0</v>
      </c>
      <c r="K593" s="17">
        <v>560.0</v>
      </c>
      <c r="L593" s="17">
        <v>50.0</v>
      </c>
      <c r="M593" s="20">
        <v>65.0</v>
      </c>
      <c r="N593" s="20">
        <v>1.0</v>
      </c>
      <c r="O593" s="20">
        <v>27.0</v>
      </c>
      <c r="P593" s="20">
        <f t="shared" si="2"/>
        <v>37</v>
      </c>
      <c r="Q593" s="21">
        <v>4.0</v>
      </c>
      <c r="R593" s="22">
        <f t="shared" si="3"/>
        <v>115.1698438</v>
      </c>
      <c r="S593" s="23">
        <f t="shared" si="4"/>
        <v>4.0625</v>
      </c>
      <c r="T593" s="24">
        <f t="shared" si="5"/>
        <v>16.25</v>
      </c>
      <c r="U593" s="26">
        <f t="shared" si="6"/>
        <v>0.2977099237</v>
      </c>
      <c r="V593" s="26">
        <f t="shared" si="7"/>
        <v>0.2748091603</v>
      </c>
      <c r="W593" s="19">
        <f t="shared" si="8"/>
        <v>1.435897436</v>
      </c>
      <c r="X593" s="20">
        <f t="shared" si="9"/>
        <v>390</v>
      </c>
      <c r="Y593" s="27"/>
      <c r="Z593" s="17"/>
      <c r="AA593" s="28"/>
      <c r="AB593" s="17"/>
      <c r="AC593" s="28"/>
      <c r="AD593" s="27"/>
    </row>
    <row r="594" ht="15.75" customHeight="1">
      <c r="A594" s="27" t="s">
        <v>1836</v>
      </c>
      <c r="B594" s="27" t="s">
        <v>1837</v>
      </c>
      <c r="C594" s="16" t="s">
        <v>1838</v>
      </c>
      <c r="D594" s="17" t="s">
        <v>212</v>
      </c>
      <c r="E594" s="18" t="s">
        <v>34</v>
      </c>
      <c r="F594" s="18">
        <v>1.0</v>
      </c>
      <c r="G594" s="19">
        <f t="shared" si="1"/>
        <v>3.386303109</v>
      </c>
      <c r="H594" s="17">
        <v>96.0</v>
      </c>
      <c r="I594" s="10">
        <v>390.0</v>
      </c>
      <c r="J594" s="17">
        <v>15.0</v>
      </c>
      <c r="K594" s="17">
        <v>220.0</v>
      </c>
      <c r="L594" s="17">
        <v>260.0</v>
      </c>
      <c r="M594" s="20">
        <v>36.0</v>
      </c>
      <c r="N594" s="20">
        <v>2.0</v>
      </c>
      <c r="O594" s="20">
        <v>8.0</v>
      </c>
      <c r="P594" s="20">
        <f t="shared" si="2"/>
        <v>26</v>
      </c>
      <c r="Q594" s="21">
        <v>30.0</v>
      </c>
      <c r="R594" s="22">
        <f t="shared" si="3"/>
        <v>115.1698438</v>
      </c>
      <c r="S594" s="23">
        <f t="shared" si="4"/>
        <v>4.0625</v>
      </c>
      <c r="T594" s="24">
        <f t="shared" si="5"/>
        <v>1.2</v>
      </c>
      <c r="U594" s="26">
        <f t="shared" si="6"/>
        <v>0.3383458647</v>
      </c>
      <c r="V594" s="26">
        <f t="shared" si="7"/>
        <v>0.08020050125</v>
      </c>
      <c r="W594" s="19">
        <f t="shared" si="8"/>
        <v>0.5641025641</v>
      </c>
      <c r="X594" s="20">
        <f t="shared" si="9"/>
        <v>390</v>
      </c>
      <c r="Y594" s="27"/>
      <c r="Z594" s="17"/>
      <c r="AA594" s="28"/>
      <c r="AB594" s="17"/>
      <c r="AC594" s="28"/>
      <c r="AD594" s="16"/>
    </row>
    <row r="595" ht="15.75" customHeight="1">
      <c r="A595" s="16" t="s">
        <v>1839</v>
      </c>
      <c r="B595" s="16" t="s">
        <v>1840</v>
      </c>
      <c r="C595" s="16" t="s">
        <v>1841</v>
      </c>
      <c r="D595" s="17" t="s">
        <v>282</v>
      </c>
      <c r="E595" s="18" t="s">
        <v>34</v>
      </c>
      <c r="F595" s="18">
        <v>1.0</v>
      </c>
      <c r="G595" s="19">
        <f t="shared" si="1"/>
        <v>1.128767703</v>
      </c>
      <c r="H595" s="17">
        <v>32.0</v>
      </c>
      <c r="I595" s="10">
        <v>130.0</v>
      </c>
      <c r="J595" s="17">
        <v>4.0</v>
      </c>
      <c r="K595" s="17">
        <v>210.0</v>
      </c>
      <c r="L595" s="17">
        <v>50.0</v>
      </c>
      <c r="M595" s="20">
        <v>4.0</v>
      </c>
      <c r="N595" s="20">
        <v>1.0</v>
      </c>
      <c r="O595" s="20">
        <v>0.0</v>
      </c>
      <c r="P595" s="20">
        <f t="shared" si="2"/>
        <v>3</v>
      </c>
      <c r="Q595" s="21">
        <v>21.0</v>
      </c>
      <c r="R595" s="22">
        <f t="shared" si="3"/>
        <v>115.1698438</v>
      </c>
      <c r="S595" s="23">
        <f t="shared" si="4"/>
        <v>4.0625</v>
      </c>
      <c r="T595" s="24">
        <f t="shared" si="5"/>
        <v>0.1904761905</v>
      </c>
      <c r="U595" s="26">
        <f t="shared" si="6"/>
        <v>0.2647058824</v>
      </c>
      <c r="V595" s="26" t="str">
        <f t="shared" si="7"/>
        <v>0%</v>
      </c>
      <c r="W595" s="19">
        <f t="shared" si="8"/>
        <v>1.615384615</v>
      </c>
      <c r="X595" s="20">
        <f t="shared" si="9"/>
        <v>130</v>
      </c>
      <c r="Y595" s="27"/>
      <c r="Z595" s="17"/>
      <c r="AA595" s="28"/>
      <c r="AB595" s="17"/>
      <c r="AC595" s="28"/>
      <c r="AD595" s="27"/>
    </row>
    <row r="596" ht="15.75" customHeight="1">
      <c r="A596" s="27" t="s">
        <v>1591</v>
      </c>
      <c r="B596" s="27" t="s">
        <v>530</v>
      </c>
      <c r="C596" s="16" t="s">
        <v>1842</v>
      </c>
      <c r="D596" s="17" t="s">
        <v>212</v>
      </c>
      <c r="E596" s="18" t="s">
        <v>34</v>
      </c>
      <c r="F596" s="18">
        <v>1.0</v>
      </c>
      <c r="G596" s="19">
        <f t="shared" si="1"/>
        <v>1.305137657</v>
      </c>
      <c r="H596" s="17">
        <v>37.0</v>
      </c>
      <c r="I596" s="10">
        <v>150.0</v>
      </c>
      <c r="J596" s="17">
        <v>6.0</v>
      </c>
      <c r="K596" s="17">
        <v>70.0</v>
      </c>
      <c r="L596" s="17">
        <v>100.0</v>
      </c>
      <c r="M596" s="20">
        <v>21.0</v>
      </c>
      <c r="N596" s="20">
        <v>7.0</v>
      </c>
      <c r="O596" s="20">
        <v>4.0</v>
      </c>
      <c r="P596" s="20">
        <f t="shared" si="2"/>
        <v>10</v>
      </c>
      <c r="Q596" s="21">
        <v>5.0</v>
      </c>
      <c r="R596" s="22">
        <f t="shared" si="3"/>
        <v>114.9304054</v>
      </c>
      <c r="S596" s="23">
        <f t="shared" si="4"/>
        <v>4.054054054</v>
      </c>
      <c r="T596" s="24">
        <f t="shared" si="5"/>
        <v>4.2</v>
      </c>
      <c r="U596" s="26">
        <f t="shared" si="6"/>
        <v>0.3417721519</v>
      </c>
      <c r="V596" s="26">
        <f t="shared" si="7"/>
        <v>0.1012658228</v>
      </c>
      <c r="W596" s="19">
        <f t="shared" si="8"/>
        <v>0.4666666667</v>
      </c>
      <c r="X596" s="20">
        <f t="shared" si="9"/>
        <v>150</v>
      </c>
      <c r="Y596" s="27"/>
      <c r="Z596" s="17"/>
      <c r="AA596" s="28"/>
      <c r="AB596" s="17"/>
      <c r="AC596" s="28"/>
      <c r="AD596" s="16"/>
    </row>
    <row r="597" ht="15.75" customHeight="1">
      <c r="A597" s="27" t="s">
        <v>1537</v>
      </c>
      <c r="B597" s="27" t="s">
        <v>1843</v>
      </c>
      <c r="C597" s="16" t="s">
        <v>1844</v>
      </c>
      <c r="D597" s="17" t="s">
        <v>99</v>
      </c>
      <c r="E597" s="18" t="s">
        <v>34</v>
      </c>
      <c r="F597" s="18">
        <v>1.0</v>
      </c>
      <c r="G597" s="19">
        <f t="shared" si="1"/>
        <v>1.305137657</v>
      </c>
      <c r="H597" s="17">
        <v>37.0</v>
      </c>
      <c r="I597" s="10">
        <v>150.0</v>
      </c>
      <c r="J597" s="17">
        <v>4.5</v>
      </c>
      <c r="K597" s="17">
        <v>105.0</v>
      </c>
      <c r="L597" s="17"/>
      <c r="M597" s="20">
        <v>24.0</v>
      </c>
      <c r="N597" s="20">
        <v>2.0</v>
      </c>
      <c r="O597" s="20">
        <v>20.0</v>
      </c>
      <c r="P597" s="20">
        <f t="shared" si="2"/>
        <v>2</v>
      </c>
      <c r="Q597" s="21">
        <v>6.0</v>
      </c>
      <c r="R597" s="22">
        <f t="shared" si="3"/>
        <v>114.9304054</v>
      </c>
      <c r="S597" s="23">
        <f t="shared" si="4"/>
        <v>4.054054054</v>
      </c>
      <c r="T597" s="24">
        <f t="shared" si="5"/>
        <v>4</v>
      </c>
      <c r="U597" s="26">
        <f t="shared" si="6"/>
        <v>0.2523364486</v>
      </c>
      <c r="V597" s="26">
        <f t="shared" si="7"/>
        <v>0.4984423676</v>
      </c>
      <c r="W597" s="19">
        <f t="shared" si="8"/>
        <v>0.7</v>
      </c>
      <c r="X597" s="20">
        <f t="shared" si="9"/>
        <v>150</v>
      </c>
      <c r="Y597" s="27"/>
      <c r="Z597" s="17"/>
      <c r="AA597" s="28"/>
      <c r="AB597" s="17"/>
      <c r="AC597" s="28"/>
      <c r="AD597" s="27"/>
    </row>
    <row r="598" ht="15.75" customHeight="1">
      <c r="A598" s="27" t="s">
        <v>1845</v>
      </c>
      <c r="B598" s="27" t="s">
        <v>1846</v>
      </c>
      <c r="C598" s="16" t="s">
        <v>1847</v>
      </c>
      <c r="D598" s="17" t="s">
        <v>212</v>
      </c>
      <c r="E598" s="18" t="s">
        <v>34</v>
      </c>
      <c r="F598" s="18">
        <v>1.0</v>
      </c>
      <c r="G598" s="19">
        <f t="shared" si="1"/>
        <v>1.48150761</v>
      </c>
      <c r="H598" s="17">
        <v>42.0</v>
      </c>
      <c r="I598" s="10">
        <v>170.0</v>
      </c>
      <c r="J598" s="17">
        <v>7.0</v>
      </c>
      <c r="K598" s="17">
        <v>135.0</v>
      </c>
      <c r="L598" s="17"/>
      <c r="M598" s="20">
        <v>20.0</v>
      </c>
      <c r="N598" s="20">
        <v>3.0</v>
      </c>
      <c r="O598" s="20">
        <v>9.0</v>
      </c>
      <c r="P598" s="20">
        <f t="shared" si="2"/>
        <v>8</v>
      </c>
      <c r="Q598" s="21">
        <v>10.0</v>
      </c>
      <c r="R598" s="22">
        <f t="shared" si="3"/>
        <v>114.7479762</v>
      </c>
      <c r="S598" s="23">
        <f t="shared" si="4"/>
        <v>4.047619048</v>
      </c>
      <c r="T598" s="24">
        <f t="shared" si="5"/>
        <v>2</v>
      </c>
      <c r="U598" s="26">
        <f t="shared" si="6"/>
        <v>0.3442622951</v>
      </c>
      <c r="V598" s="26">
        <f t="shared" si="7"/>
        <v>0.1967213115</v>
      </c>
      <c r="W598" s="19">
        <f t="shared" si="8"/>
        <v>0.7941176471</v>
      </c>
      <c r="X598" s="20">
        <f t="shared" si="9"/>
        <v>170</v>
      </c>
      <c r="Y598" s="27"/>
      <c r="Z598" s="17"/>
      <c r="AA598" s="28"/>
      <c r="AB598" s="17"/>
      <c r="AC598" s="28"/>
      <c r="AD598" s="16"/>
    </row>
    <row r="599" ht="15.75" customHeight="1">
      <c r="A599" s="27" t="s">
        <v>1729</v>
      </c>
      <c r="B599" s="27" t="s">
        <v>1848</v>
      </c>
      <c r="C599" s="16" t="s">
        <v>1849</v>
      </c>
      <c r="D599" s="17" t="s">
        <v>456</v>
      </c>
      <c r="E599" s="18" t="s">
        <v>34</v>
      </c>
      <c r="F599" s="18">
        <v>1.0</v>
      </c>
      <c r="G599" s="19">
        <f t="shared" si="1"/>
        <v>1.834247518</v>
      </c>
      <c r="H599" s="17">
        <v>52.0</v>
      </c>
      <c r="I599" s="10">
        <v>210.0</v>
      </c>
      <c r="J599" s="17">
        <v>6.0</v>
      </c>
      <c r="K599" s="17">
        <v>240.0</v>
      </c>
      <c r="L599" s="17"/>
      <c r="M599" s="20">
        <v>36.0</v>
      </c>
      <c r="N599" s="20">
        <v>1.0</v>
      </c>
      <c r="O599" s="20">
        <v>18.0</v>
      </c>
      <c r="P599" s="20">
        <f t="shared" si="2"/>
        <v>17</v>
      </c>
      <c r="Q599" s="21">
        <v>2.0</v>
      </c>
      <c r="R599" s="22">
        <f t="shared" si="3"/>
        <v>114.4883654</v>
      </c>
      <c r="S599" s="23">
        <f t="shared" si="4"/>
        <v>4.038461538</v>
      </c>
      <c r="T599" s="24">
        <f t="shared" si="5"/>
        <v>18</v>
      </c>
      <c r="U599" s="26">
        <f t="shared" si="6"/>
        <v>0.2621359223</v>
      </c>
      <c r="V599" s="26">
        <f t="shared" si="7"/>
        <v>0.3495145631</v>
      </c>
      <c r="W599" s="19">
        <f t="shared" si="8"/>
        <v>1.142857143</v>
      </c>
      <c r="X599" s="20">
        <f t="shared" si="9"/>
        <v>210</v>
      </c>
      <c r="Y599" s="27"/>
      <c r="Z599" s="17"/>
      <c r="AA599" s="28"/>
      <c r="AB599" s="17"/>
      <c r="AC599" s="28"/>
      <c r="AD599" s="27"/>
    </row>
    <row r="600" ht="15.75" customHeight="1">
      <c r="A600" s="27" t="s">
        <v>1259</v>
      </c>
      <c r="B600" s="27" t="s">
        <v>1850</v>
      </c>
      <c r="C600" s="16" t="s">
        <v>1851</v>
      </c>
      <c r="D600" s="17" t="s">
        <v>456</v>
      </c>
      <c r="E600" s="18" t="s">
        <v>34</v>
      </c>
      <c r="F600" s="18">
        <v>1.0</v>
      </c>
      <c r="G600" s="19">
        <f t="shared" si="1"/>
        <v>1.834247518</v>
      </c>
      <c r="H600" s="17">
        <v>52.0</v>
      </c>
      <c r="I600" s="10">
        <v>210.0</v>
      </c>
      <c r="J600" s="17">
        <v>5.0</v>
      </c>
      <c r="K600" s="17">
        <v>130.0</v>
      </c>
      <c r="L600" s="17"/>
      <c r="M600" s="20">
        <v>38.0</v>
      </c>
      <c r="N600" s="20">
        <v>1.0</v>
      </c>
      <c r="O600" s="20">
        <v>18.0</v>
      </c>
      <c r="P600" s="20">
        <f t="shared" si="2"/>
        <v>19</v>
      </c>
      <c r="Q600" s="21">
        <v>3.0</v>
      </c>
      <c r="R600" s="22">
        <f t="shared" si="3"/>
        <v>114.4883654</v>
      </c>
      <c r="S600" s="23">
        <f t="shared" si="4"/>
        <v>4.038461538</v>
      </c>
      <c r="T600" s="24">
        <f t="shared" si="5"/>
        <v>12.66666667</v>
      </c>
      <c r="U600" s="26">
        <f t="shared" si="6"/>
        <v>0.2153110048</v>
      </c>
      <c r="V600" s="26">
        <f t="shared" si="7"/>
        <v>0.3444976077</v>
      </c>
      <c r="W600" s="19">
        <f t="shared" si="8"/>
        <v>0.619047619</v>
      </c>
      <c r="X600" s="20">
        <f t="shared" si="9"/>
        <v>210</v>
      </c>
      <c r="Y600" s="27"/>
      <c r="Z600" s="17"/>
      <c r="AA600" s="28"/>
      <c r="AB600" s="17"/>
      <c r="AC600" s="28"/>
      <c r="AD600" s="27"/>
    </row>
    <row r="601" ht="15.75" customHeight="1">
      <c r="A601" s="27" t="s">
        <v>1708</v>
      </c>
      <c r="B601" s="27" t="s">
        <v>1852</v>
      </c>
      <c r="C601" s="16" t="s">
        <v>1853</v>
      </c>
      <c r="D601" s="17" t="s">
        <v>212</v>
      </c>
      <c r="E601" s="18" t="s">
        <v>34</v>
      </c>
      <c r="F601" s="18">
        <v>1.0</v>
      </c>
      <c r="G601" s="19">
        <f t="shared" si="1"/>
        <v>1.834247518</v>
      </c>
      <c r="H601" s="17">
        <v>52.0</v>
      </c>
      <c r="I601" s="10">
        <v>210.0</v>
      </c>
      <c r="J601" s="17">
        <v>7.0</v>
      </c>
      <c r="K601" s="17">
        <v>115.0</v>
      </c>
      <c r="L601" s="17"/>
      <c r="M601" s="20">
        <v>24.0</v>
      </c>
      <c r="N601" s="20">
        <v>4.0</v>
      </c>
      <c r="O601" s="20">
        <v>15.0</v>
      </c>
      <c r="P601" s="20">
        <f t="shared" si="2"/>
        <v>5</v>
      </c>
      <c r="Q601" s="21">
        <v>12.0</v>
      </c>
      <c r="R601" s="22">
        <f t="shared" si="3"/>
        <v>114.4883654</v>
      </c>
      <c r="S601" s="23">
        <f t="shared" si="4"/>
        <v>4.038461538</v>
      </c>
      <c r="T601" s="24">
        <f t="shared" si="5"/>
        <v>2</v>
      </c>
      <c r="U601" s="26">
        <f t="shared" si="6"/>
        <v>0.3043478261</v>
      </c>
      <c r="V601" s="26">
        <f t="shared" si="7"/>
        <v>0.2898550725</v>
      </c>
      <c r="W601" s="19">
        <f t="shared" si="8"/>
        <v>0.5476190476</v>
      </c>
      <c r="X601" s="20">
        <f t="shared" si="9"/>
        <v>210</v>
      </c>
      <c r="Y601" s="27"/>
      <c r="Z601" s="17"/>
      <c r="AA601" s="28"/>
      <c r="AB601" s="17"/>
      <c r="AC601" s="28"/>
      <c r="AD601" s="27"/>
    </row>
    <row r="602" ht="15.75" customHeight="1">
      <c r="A602" s="27" t="s">
        <v>1708</v>
      </c>
      <c r="B602" s="27" t="s">
        <v>1854</v>
      </c>
      <c r="C602" s="16" t="s">
        <v>1855</v>
      </c>
      <c r="D602" s="17" t="s">
        <v>212</v>
      </c>
      <c r="E602" s="18" t="s">
        <v>34</v>
      </c>
      <c r="F602" s="18">
        <v>1.0</v>
      </c>
      <c r="G602" s="19">
        <f t="shared" si="1"/>
        <v>1.834247518</v>
      </c>
      <c r="H602" s="17">
        <v>52.0</v>
      </c>
      <c r="I602" s="10">
        <v>210.0</v>
      </c>
      <c r="J602" s="17">
        <v>9.0</v>
      </c>
      <c r="K602" s="17">
        <v>270.0</v>
      </c>
      <c r="L602" s="17">
        <v>330.0</v>
      </c>
      <c r="M602" s="20">
        <v>24.0</v>
      </c>
      <c r="N602" s="20">
        <v>6.0</v>
      </c>
      <c r="O602" s="20">
        <v>15.0</v>
      </c>
      <c r="P602" s="20">
        <f t="shared" si="2"/>
        <v>3</v>
      </c>
      <c r="Q602" s="21">
        <v>12.0</v>
      </c>
      <c r="R602" s="22">
        <f t="shared" si="3"/>
        <v>114.4883654</v>
      </c>
      <c r="S602" s="23">
        <f t="shared" si="4"/>
        <v>4.038461538</v>
      </c>
      <c r="T602" s="24">
        <f t="shared" si="5"/>
        <v>2</v>
      </c>
      <c r="U602" s="26">
        <f t="shared" si="6"/>
        <v>0.36</v>
      </c>
      <c r="V602" s="26">
        <f t="shared" si="7"/>
        <v>0.2666666667</v>
      </c>
      <c r="W602" s="19">
        <f t="shared" si="8"/>
        <v>1.285714286</v>
      </c>
      <c r="X602" s="20">
        <f t="shared" si="9"/>
        <v>210</v>
      </c>
      <c r="Y602" s="27"/>
      <c r="Z602" s="17"/>
      <c r="AA602" s="28"/>
      <c r="AB602" s="17"/>
      <c r="AC602" s="28"/>
      <c r="AD602" s="16"/>
    </row>
    <row r="603" ht="15.75" customHeight="1">
      <c r="A603" s="27" t="s">
        <v>1708</v>
      </c>
      <c r="B603" s="27" t="s">
        <v>530</v>
      </c>
      <c r="C603" s="16" t="s">
        <v>1856</v>
      </c>
      <c r="D603" s="17" t="s">
        <v>212</v>
      </c>
      <c r="E603" s="18" t="s">
        <v>34</v>
      </c>
      <c r="F603" s="18">
        <v>1.0</v>
      </c>
      <c r="G603" s="19">
        <f t="shared" si="1"/>
        <v>1.834247518</v>
      </c>
      <c r="H603" s="17">
        <v>52.0</v>
      </c>
      <c r="I603" s="10">
        <v>210.0</v>
      </c>
      <c r="J603" s="17">
        <v>10.0</v>
      </c>
      <c r="K603" s="17">
        <v>240.0</v>
      </c>
      <c r="L603" s="17"/>
      <c r="M603" s="20">
        <v>22.0</v>
      </c>
      <c r="N603" s="20">
        <v>4.0</v>
      </c>
      <c r="O603" s="20">
        <v>13.0</v>
      </c>
      <c r="P603" s="20">
        <f t="shared" si="2"/>
        <v>5</v>
      </c>
      <c r="Q603" s="21">
        <v>12.0</v>
      </c>
      <c r="R603" s="22">
        <f t="shared" si="3"/>
        <v>114.4883654</v>
      </c>
      <c r="S603" s="23">
        <f t="shared" si="4"/>
        <v>4.038461538</v>
      </c>
      <c r="T603" s="24">
        <f t="shared" si="5"/>
        <v>1.833333333</v>
      </c>
      <c r="U603" s="26">
        <f t="shared" si="6"/>
        <v>0.3982300885</v>
      </c>
      <c r="V603" s="26">
        <f t="shared" si="7"/>
        <v>0.2300884956</v>
      </c>
      <c r="W603" s="19">
        <f t="shared" si="8"/>
        <v>1.142857143</v>
      </c>
      <c r="X603" s="20">
        <f t="shared" si="9"/>
        <v>210</v>
      </c>
      <c r="Y603" s="27"/>
      <c r="Z603" s="17"/>
      <c r="AA603" s="28"/>
      <c r="AB603" s="17"/>
      <c r="AC603" s="28"/>
      <c r="AD603" s="27"/>
    </row>
    <row r="604" ht="15.75" customHeight="1">
      <c r="A604" s="16" t="s">
        <v>1721</v>
      </c>
      <c r="B604" s="16" t="s">
        <v>1857</v>
      </c>
      <c r="C604" s="16" t="s">
        <v>1858</v>
      </c>
      <c r="D604" s="17" t="s">
        <v>456</v>
      </c>
      <c r="E604" s="18" t="s">
        <v>34</v>
      </c>
      <c r="F604" s="18">
        <v>1.0</v>
      </c>
      <c r="G604" s="19">
        <f t="shared" si="1"/>
        <v>2.010617471</v>
      </c>
      <c r="H604" s="17">
        <v>57.0</v>
      </c>
      <c r="I604" s="10">
        <v>230.0</v>
      </c>
      <c r="J604" s="17">
        <v>10.0</v>
      </c>
      <c r="K604" s="17">
        <v>190.0</v>
      </c>
      <c r="L604" s="17"/>
      <c r="M604" s="20">
        <v>34.0</v>
      </c>
      <c r="N604" s="20">
        <v>1.0</v>
      </c>
      <c r="O604" s="20">
        <v>21.0</v>
      </c>
      <c r="P604" s="20">
        <f t="shared" si="2"/>
        <v>12</v>
      </c>
      <c r="Q604" s="21">
        <v>3.0</v>
      </c>
      <c r="R604" s="22">
        <f t="shared" si="3"/>
        <v>114.3927193</v>
      </c>
      <c r="S604" s="23">
        <f t="shared" si="4"/>
        <v>4.035087719</v>
      </c>
      <c r="T604" s="24">
        <f t="shared" si="5"/>
        <v>11.33333333</v>
      </c>
      <c r="U604" s="26">
        <f t="shared" si="6"/>
        <v>0.3781512605</v>
      </c>
      <c r="V604" s="26">
        <f t="shared" si="7"/>
        <v>0.3529411765</v>
      </c>
      <c r="W604" s="19">
        <f t="shared" si="8"/>
        <v>0.8260869565</v>
      </c>
      <c r="X604" s="20">
        <f t="shared" si="9"/>
        <v>230</v>
      </c>
      <c r="Y604" s="27"/>
      <c r="Z604" s="17"/>
      <c r="AA604" s="28"/>
      <c r="AB604" s="17"/>
      <c r="AC604" s="28"/>
      <c r="AD604" s="27"/>
    </row>
    <row r="605" ht="15.75" customHeight="1">
      <c r="A605" s="27" t="s">
        <v>1588</v>
      </c>
      <c r="B605" s="27" t="s">
        <v>1859</v>
      </c>
      <c r="C605" s="16" t="s">
        <v>1860</v>
      </c>
      <c r="D605" s="17" t="s">
        <v>212</v>
      </c>
      <c r="E605" s="18" t="s">
        <v>34</v>
      </c>
      <c r="F605" s="18">
        <v>1.0</v>
      </c>
      <c r="G605" s="19">
        <f t="shared" si="1"/>
        <v>2.010617471</v>
      </c>
      <c r="H605" s="17">
        <v>57.0</v>
      </c>
      <c r="I605" s="10">
        <v>230.0</v>
      </c>
      <c r="J605" s="17">
        <v>9.0</v>
      </c>
      <c r="K605" s="17">
        <v>20.0</v>
      </c>
      <c r="L605" s="17"/>
      <c r="M605" s="20">
        <v>34.0</v>
      </c>
      <c r="N605" s="20">
        <v>3.0</v>
      </c>
      <c r="O605" s="20">
        <v>12.0</v>
      </c>
      <c r="P605" s="20">
        <f t="shared" si="2"/>
        <v>19</v>
      </c>
      <c r="Q605" s="21">
        <v>5.0</v>
      </c>
      <c r="R605" s="22">
        <f t="shared" si="3"/>
        <v>114.3927193</v>
      </c>
      <c r="S605" s="23">
        <f t="shared" si="4"/>
        <v>4.035087719</v>
      </c>
      <c r="T605" s="24">
        <f t="shared" si="5"/>
        <v>6.8</v>
      </c>
      <c r="U605" s="26">
        <f t="shared" si="6"/>
        <v>0.3417721519</v>
      </c>
      <c r="V605" s="26">
        <f t="shared" si="7"/>
        <v>0.2025316456</v>
      </c>
      <c r="W605" s="19">
        <f t="shared" si="8"/>
        <v>0.08695652174</v>
      </c>
      <c r="X605" s="20">
        <f t="shared" si="9"/>
        <v>230</v>
      </c>
      <c r="Y605" s="27"/>
      <c r="Z605" s="17"/>
      <c r="AA605" s="28"/>
      <c r="AB605" s="17"/>
      <c r="AC605" s="28"/>
      <c r="AD605" s="27"/>
    </row>
    <row r="606" ht="15.75" customHeight="1">
      <c r="A606" s="27" t="s">
        <v>1861</v>
      </c>
      <c r="B606" s="27" t="s">
        <v>312</v>
      </c>
      <c r="C606" s="16" t="s">
        <v>1862</v>
      </c>
      <c r="D606" s="17" t="s">
        <v>212</v>
      </c>
      <c r="E606" s="18" t="s">
        <v>34</v>
      </c>
      <c r="F606" s="18">
        <v>1.0</v>
      </c>
      <c r="G606" s="19">
        <f t="shared" si="1"/>
        <v>2.539727332</v>
      </c>
      <c r="H606" s="17">
        <v>72.0</v>
      </c>
      <c r="I606" s="10">
        <v>290.0</v>
      </c>
      <c r="J606" s="17">
        <v>8.0</v>
      </c>
      <c r="K606" s="17">
        <v>440.0</v>
      </c>
      <c r="L606" s="17">
        <v>240.0</v>
      </c>
      <c r="M606" s="20">
        <v>25.0</v>
      </c>
      <c r="N606" s="20">
        <v>3.0</v>
      </c>
      <c r="O606" s="20">
        <v>8.0</v>
      </c>
      <c r="P606" s="20">
        <f t="shared" si="2"/>
        <v>14</v>
      </c>
      <c r="Q606" s="21">
        <v>30.0</v>
      </c>
      <c r="R606" s="22">
        <f t="shared" si="3"/>
        <v>114.1854861</v>
      </c>
      <c r="S606" s="23">
        <f t="shared" si="4"/>
        <v>4.027777778</v>
      </c>
      <c r="T606" s="24">
        <f t="shared" si="5"/>
        <v>0.8333333333</v>
      </c>
      <c r="U606" s="26">
        <f t="shared" si="6"/>
        <v>0.2465753425</v>
      </c>
      <c r="V606" s="26">
        <f t="shared" si="7"/>
        <v>0.1095890411</v>
      </c>
      <c r="W606" s="19">
        <f t="shared" si="8"/>
        <v>1.517241379</v>
      </c>
      <c r="X606" s="20">
        <f t="shared" si="9"/>
        <v>290</v>
      </c>
      <c r="Y606" s="27"/>
      <c r="Z606" s="17"/>
      <c r="AA606" s="28"/>
      <c r="AB606" s="17"/>
      <c r="AC606" s="28"/>
      <c r="AD606" s="27"/>
    </row>
    <row r="607" ht="15.75" customHeight="1">
      <c r="A607" s="27" t="s">
        <v>1863</v>
      </c>
      <c r="B607" s="27" t="s">
        <v>1864</v>
      </c>
      <c r="C607" s="16" t="s">
        <v>1865</v>
      </c>
      <c r="D607" s="17" t="s">
        <v>130</v>
      </c>
      <c r="E607" s="18" t="s">
        <v>34</v>
      </c>
      <c r="F607" s="18">
        <v>1.0</v>
      </c>
      <c r="G607" s="19">
        <f t="shared" si="1"/>
        <v>0.5291098608</v>
      </c>
      <c r="H607" s="17">
        <v>15.0</v>
      </c>
      <c r="I607" s="10">
        <v>60.0</v>
      </c>
      <c r="J607" s="17">
        <v>0.0</v>
      </c>
      <c r="K607" s="17">
        <v>0.0</v>
      </c>
      <c r="L607" s="17"/>
      <c r="M607" s="20">
        <v>14.0</v>
      </c>
      <c r="N607" s="20">
        <v>0.0</v>
      </c>
      <c r="O607" s="20">
        <v>12.0</v>
      </c>
      <c r="P607" s="20">
        <f t="shared" si="2"/>
        <v>2</v>
      </c>
      <c r="Q607" s="21">
        <v>0.0</v>
      </c>
      <c r="R607" s="22">
        <f t="shared" si="3"/>
        <v>113.398</v>
      </c>
      <c r="S607" s="23">
        <f t="shared" si="4"/>
        <v>4</v>
      </c>
      <c r="T607" s="24" t="str">
        <f t="shared" si="5"/>
        <v>N/A</v>
      </c>
      <c r="U607" s="26" t="str">
        <f t="shared" si="6"/>
        <v>0%</v>
      </c>
      <c r="V607" s="26">
        <f t="shared" si="7"/>
        <v>0.8571428571</v>
      </c>
      <c r="W607" s="19">
        <f t="shared" si="8"/>
        <v>0</v>
      </c>
      <c r="X607" s="20">
        <f t="shared" si="9"/>
        <v>60</v>
      </c>
      <c r="Y607" s="27"/>
      <c r="Z607" s="17"/>
      <c r="AA607" s="28"/>
      <c r="AB607" s="17"/>
      <c r="AC607" s="28"/>
      <c r="AD607" s="27"/>
    </row>
    <row r="608" ht="15.75" customHeight="1">
      <c r="A608" s="27" t="s">
        <v>1866</v>
      </c>
      <c r="B608" s="27" t="s">
        <v>1867</v>
      </c>
      <c r="C608" s="16" t="s">
        <v>1868</v>
      </c>
      <c r="D608" s="17" t="s">
        <v>130</v>
      </c>
      <c r="E608" s="18" t="s">
        <v>34</v>
      </c>
      <c r="F608" s="18">
        <v>1.0</v>
      </c>
      <c r="G608" s="19">
        <f t="shared" si="1"/>
        <v>1.410959629</v>
      </c>
      <c r="H608" s="17">
        <v>40.0</v>
      </c>
      <c r="I608" s="10">
        <v>160.0</v>
      </c>
      <c r="J608" s="17">
        <v>1.5</v>
      </c>
      <c r="K608" s="17">
        <v>10.0</v>
      </c>
      <c r="L608" s="17"/>
      <c r="M608" s="20">
        <v>37.0</v>
      </c>
      <c r="N608" s="20">
        <v>0.0</v>
      </c>
      <c r="O608" s="20">
        <v>29.0</v>
      </c>
      <c r="P608" s="20">
        <f t="shared" si="2"/>
        <v>8</v>
      </c>
      <c r="Q608" s="21">
        <v>0.0</v>
      </c>
      <c r="R608" s="22">
        <f t="shared" si="3"/>
        <v>113.398</v>
      </c>
      <c r="S608" s="23">
        <f t="shared" si="4"/>
        <v>4</v>
      </c>
      <c r="T608" s="24" t="str">
        <f t="shared" si="5"/>
        <v>N/A</v>
      </c>
      <c r="U608" s="26">
        <f t="shared" si="6"/>
        <v>0.08359133127</v>
      </c>
      <c r="V608" s="26">
        <f t="shared" si="7"/>
        <v>0.7182662539</v>
      </c>
      <c r="W608" s="19">
        <f t="shared" si="8"/>
        <v>0.0625</v>
      </c>
      <c r="X608" s="20">
        <f t="shared" si="9"/>
        <v>160</v>
      </c>
      <c r="Y608" s="27"/>
      <c r="Z608" s="17"/>
      <c r="AA608" s="28"/>
      <c r="AB608" s="17"/>
      <c r="AC608" s="28"/>
      <c r="AD608" s="27"/>
    </row>
    <row r="609" ht="15.75" customHeight="1">
      <c r="A609" s="16" t="s">
        <v>1869</v>
      </c>
      <c r="B609" s="16" t="s">
        <v>1870</v>
      </c>
      <c r="C609" s="16" t="s">
        <v>1871</v>
      </c>
      <c r="D609" s="17" t="s">
        <v>130</v>
      </c>
      <c r="E609" s="18" t="s">
        <v>34</v>
      </c>
      <c r="F609" s="18">
        <v>1.0</v>
      </c>
      <c r="G609" s="19">
        <f t="shared" si="1"/>
        <v>1.410959629</v>
      </c>
      <c r="H609" s="17">
        <v>40.0</v>
      </c>
      <c r="I609" s="10">
        <v>160.0</v>
      </c>
      <c r="J609" s="17">
        <v>3.0</v>
      </c>
      <c r="K609" s="17">
        <v>0.0</v>
      </c>
      <c r="L609" s="17"/>
      <c r="M609" s="20">
        <v>32.0</v>
      </c>
      <c r="N609" s="20">
        <v>0.0</v>
      </c>
      <c r="O609" s="20">
        <v>21.0</v>
      </c>
      <c r="P609" s="20">
        <f t="shared" si="2"/>
        <v>11</v>
      </c>
      <c r="Q609" s="21">
        <v>0.0</v>
      </c>
      <c r="R609" s="22">
        <f t="shared" si="3"/>
        <v>113.398</v>
      </c>
      <c r="S609" s="23">
        <f t="shared" si="4"/>
        <v>4</v>
      </c>
      <c r="T609" s="24" t="str">
        <f t="shared" si="5"/>
        <v>N/A</v>
      </c>
      <c r="U609" s="26">
        <f t="shared" si="6"/>
        <v>0.1741935484</v>
      </c>
      <c r="V609" s="26">
        <f t="shared" si="7"/>
        <v>0.5419354839</v>
      </c>
      <c r="W609" s="19">
        <f t="shared" si="8"/>
        <v>0</v>
      </c>
      <c r="X609" s="20">
        <f t="shared" si="9"/>
        <v>160</v>
      </c>
      <c r="Y609" s="27"/>
      <c r="Z609" s="17"/>
      <c r="AA609" s="28"/>
      <c r="AB609" s="17"/>
      <c r="AC609" s="28"/>
      <c r="AD609" s="27"/>
    </row>
    <row r="610" ht="15.75" customHeight="1">
      <c r="A610" s="16" t="s">
        <v>1872</v>
      </c>
      <c r="B610" s="16" t="s">
        <v>1873</v>
      </c>
      <c r="C610" s="16" t="s">
        <v>1874</v>
      </c>
      <c r="D610" s="17" t="s">
        <v>81</v>
      </c>
      <c r="E610" s="18" t="s">
        <v>34</v>
      </c>
      <c r="F610" s="18">
        <v>1.0</v>
      </c>
      <c r="G610" s="19">
        <f t="shared" si="1"/>
        <v>0.3527399072</v>
      </c>
      <c r="H610" s="17">
        <v>10.0</v>
      </c>
      <c r="I610" s="10">
        <v>40.0</v>
      </c>
      <c r="J610" s="17">
        <v>0.0</v>
      </c>
      <c r="K610" s="17">
        <v>10.0</v>
      </c>
      <c r="L610" s="17"/>
      <c r="M610" s="20">
        <v>8.0</v>
      </c>
      <c r="N610" s="20">
        <v>1.0</v>
      </c>
      <c r="O610" s="20">
        <v>7.0</v>
      </c>
      <c r="P610" s="20">
        <f t="shared" si="2"/>
        <v>0</v>
      </c>
      <c r="Q610" s="21">
        <v>0.0</v>
      </c>
      <c r="R610" s="22">
        <f t="shared" si="3"/>
        <v>113.398</v>
      </c>
      <c r="S610" s="23">
        <f t="shared" si="4"/>
        <v>4</v>
      </c>
      <c r="T610" s="24" t="str">
        <f t="shared" si="5"/>
        <v>N/A</v>
      </c>
      <c r="U610" s="26" t="str">
        <f t="shared" si="6"/>
        <v>0%</v>
      </c>
      <c r="V610" s="26">
        <f t="shared" si="7"/>
        <v>0.875</v>
      </c>
      <c r="W610" s="19">
        <f t="shared" si="8"/>
        <v>0.25</v>
      </c>
      <c r="X610" s="20">
        <f t="shared" si="9"/>
        <v>40</v>
      </c>
      <c r="Y610" s="27"/>
      <c r="Z610" s="17"/>
      <c r="AA610" s="28"/>
      <c r="AB610" s="17"/>
      <c r="AC610" s="28"/>
      <c r="AD610" s="27"/>
    </row>
    <row r="611" ht="15.75" customHeight="1">
      <c r="A611" s="16" t="s">
        <v>1872</v>
      </c>
      <c r="B611" s="16" t="s">
        <v>1875</v>
      </c>
      <c r="C611" s="16" t="s">
        <v>1876</v>
      </c>
      <c r="D611" s="17" t="s">
        <v>81</v>
      </c>
      <c r="E611" s="18" t="s">
        <v>34</v>
      </c>
      <c r="F611" s="18">
        <v>1.0</v>
      </c>
      <c r="G611" s="19">
        <f t="shared" si="1"/>
        <v>0.3527399072</v>
      </c>
      <c r="H611" s="17">
        <v>10.0</v>
      </c>
      <c r="I611" s="10">
        <v>40.0</v>
      </c>
      <c r="J611" s="17">
        <v>0.0</v>
      </c>
      <c r="K611" s="17">
        <v>4.0</v>
      </c>
      <c r="L611" s="17"/>
      <c r="M611" s="20">
        <v>8.0</v>
      </c>
      <c r="N611" s="20">
        <v>1.0</v>
      </c>
      <c r="O611" s="20">
        <v>7.0</v>
      </c>
      <c r="P611" s="20">
        <f t="shared" si="2"/>
        <v>0</v>
      </c>
      <c r="Q611" s="21">
        <v>0.0</v>
      </c>
      <c r="R611" s="22">
        <f t="shared" si="3"/>
        <v>113.398</v>
      </c>
      <c r="S611" s="23">
        <f t="shared" si="4"/>
        <v>4</v>
      </c>
      <c r="T611" s="24" t="str">
        <f t="shared" si="5"/>
        <v>N/A</v>
      </c>
      <c r="U611" s="26" t="str">
        <f t="shared" si="6"/>
        <v>0%</v>
      </c>
      <c r="V611" s="26">
        <f t="shared" si="7"/>
        <v>0.875</v>
      </c>
      <c r="W611" s="19">
        <f t="shared" si="8"/>
        <v>0.1</v>
      </c>
      <c r="X611" s="20">
        <f t="shared" si="9"/>
        <v>40</v>
      </c>
      <c r="Y611" s="27"/>
      <c r="Z611" s="17"/>
      <c r="AA611" s="28"/>
      <c r="AB611" s="17"/>
      <c r="AC611" s="28"/>
      <c r="AD611" s="27"/>
    </row>
    <row r="612" ht="15.75" customHeight="1">
      <c r="A612" s="16" t="s">
        <v>1872</v>
      </c>
      <c r="B612" s="16" t="s">
        <v>1877</v>
      </c>
      <c r="C612" s="16" t="s">
        <v>1878</v>
      </c>
      <c r="D612" s="17" t="s">
        <v>81</v>
      </c>
      <c r="E612" s="18" t="s">
        <v>34</v>
      </c>
      <c r="F612" s="18">
        <v>1.0</v>
      </c>
      <c r="G612" s="19">
        <f t="shared" si="1"/>
        <v>0.3527399072</v>
      </c>
      <c r="H612" s="17">
        <v>10.0</v>
      </c>
      <c r="I612" s="10">
        <v>40.0</v>
      </c>
      <c r="J612" s="17">
        <v>0.0</v>
      </c>
      <c r="K612" s="17">
        <v>10.0</v>
      </c>
      <c r="L612" s="17"/>
      <c r="M612" s="20">
        <v>9.0</v>
      </c>
      <c r="N612" s="20">
        <v>1.0</v>
      </c>
      <c r="O612" s="20">
        <v>6.0</v>
      </c>
      <c r="P612" s="20">
        <f t="shared" si="2"/>
        <v>2</v>
      </c>
      <c r="Q612" s="21">
        <v>0.0</v>
      </c>
      <c r="R612" s="22">
        <f t="shared" si="3"/>
        <v>113.398</v>
      </c>
      <c r="S612" s="23">
        <f t="shared" si="4"/>
        <v>4</v>
      </c>
      <c r="T612" s="24" t="str">
        <f t="shared" si="5"/>
        <v>N/A</v>
      </c>
      <c r="U612" s="26" t="str">
        <f t="shared" si="6"/>
        <v>0%</v>
      </c>
      <c r="V612" s="26">
        <f t="shared" si="7"/>
        <v>0.6666666667</v>
      </c>
      <c r="W612" s="19">
        <f t="shared" si="8"/>
        <v>0.25</v>
      </c>
      <c r="X612" s="20">
        <f t="shared" si="9"/>
        <v>40</v>
      </c>
      <c r="Y612" s="27"/>
      <c r="Z612" s="17"/>
      <c r="AA612" s="28"/>
      <c r="AB612" s="17"/>
      <c r="AC612" s="28"/>
      <c r="AD612" s="27"/>
    </row>
    <row r="613" ht="15.75" customHeight="1">
      <c r="A613" s="27" t="s">
        <v>172</v>
      </c>
      <c r="B613" s="27" t="s">
        <v>1879</v>
      </c>
      <c r="C613" s="16" t="s">
        <v>1880</v>
      </c>
      <c r="D613" s="17" t="s">
        <v>81</v>
      </c>
      <c r="E613" s="18" t="s">
        <v>34</v>
      </c>
      <c r="F613" s="18">
        <v>1.0</v>
      </c>
      <c r="G613" s="19">
        <f t="shared" si="1"/>
        <v>1.058219722</v>
      </c>
      <c r="H613" s="17">
        <v>30.0</v>
      </c>
      <c r="I613" s="10">
        <v>120.0</v>
      </c>
      <c r="J613" s="17">
        <v>0.0</v>
      </c>
      <c r="K613" s="17">
        <v>0.0</v>
      </c>
      <c r="L613" s="17"/>
      <c r="M613" s="20">
        <v>28.0</v>
      </c>
      <c r="N613" s="20">
        <v>3.0</v>
      </c>
      <c r="O613" s="20">
        <v>23.0</v>
      </c>
      <c r="P613" s="20">
        <f t="shared" si="2"/>
        <v>2</v>
      </c>
      <c r="Q613" s="21">
        <v>1.0</v>
      </c>
      <c r="R613" s="22">
        <f t="shared" si="3"/>
        <v>113.398</v>
      </c>
      <c r="S613" s="23">
        <f t="shared" si="4"/>
        <v>4</v>
      </c>
      <c r="T613" s="24">
        <f t="shared" si="5"/>
        <v>28</v>
      </c>
      <c r="U613" s="26" t="str">
        <f t="shared" si="6"/>
        <v>0%</v>
      </c>
      <c r="V613" s="26">
        <f t="shared" si="7"/>
        <v>0.7931034483</v>
      </c>
      <c r="W613" s="19">
        <f t="shared" si="8"/>
        <v>0</v>
      </c>
      <c r="X613" s="20">
        <f t="shared" si="9"/>
        <v>120</v>
      </c>
      <c r="Y613" s="27"/>
      <c r="Z613" s="17"/>
      <c r="AA613" s="28"/>
      <c r="AB613" s="17"/>
      <c r="AC613" s="28"/>
      <c r="AD613" s="27"/>
    </row>
    <row r="614" ht="15.75" customHeight="1">
      <c r="A614" s="27" t="s">
        <v>1271</v>
      </c>
      <c r="B614" s="27" t="s">
        <v>1881</v>
      </c>
      <c r="C614" s="16" t="s">
        <v>1882</v>
      </c>
      <c r="D614" s="17" t="s">
        <v>456</v>
      </c>
      <c r="E614" s="18" t="s">
        <v>34</v>
      </c>
      <c r="F614" s="18">
        <v>1.0</v>
      </c>
      <c r="G614" s="19">
        <f t="shared" si="1"/>
        <v>3.703769026</v>
      </c>
      <c r="H614" s="17">
        <v>105.0</v>
      </c>
      <c r="I614" s="10">
        <v>420.0</v>
      </c>
      <c r="J614" s="17">
        <v>19.0</v>
      </c>
      <c r="K614" s="17">
        <v>350.0</v>
      </c>
      <c r="L614" s="17"/>
      <c r="M614" s="20">
        <v>60.0</v>
      </c>
      <c r="N614" s="20">
        <v>1.0</v>
      </c>
      <c r="O614" s="20">
        <v>36.0</v>
      </c>
      <c r="P614" s="20">
        <f t="shared" si="2"/>
        <v>23</v>
      </c>
      <c r="Q614" s="21">
        <v>3.0</v>
      </c>
      <c r="R614" s="22">
        <f t="shared" si="3"/>
        <v>113.398</v>
      </c>
      <c r="S614" s="23">
        <f t="shared" si="4"/>
        <v>4</v>
      </c>
      <c r="T614" s="24">
        <f t="shared" si="5"/>
        <v>20</v>
      </c>
      <c r="U614" s="26">
        <f t="shared" si="6"/>
        <v>0.4042553191</v>
      </c>
      <c r="V614" s="26">
        <f t="shared" si="7"/>
        <v>0.3404255319</v>
      </c>
      <c r="W614" s="19">
        <f t="shared" si="8"/>
        <v>0.8333333333</v>
      </c>
      <c r="X614" s="20">
        <f t="shared" si="9"/>
        <v>420</v>
      </c>
      <c r="Y614" s="27"/>
      <c r="Z614" s="17"/>
      <c r="AA614" s="28"/>
      <c r="AB614" s="17"/>
      <c r="AC614" s="28"/>
      <c r="AD614" s="27"/>
    </row>
    <row r="615" ht="15.75" customHeight="1">
      <c r="A615" s="27" t="s">
        <v>1729</v>
      </c>
      <c r="B615" s="27" t="s">
        <v>1883</v>
      </c>
      <c r="C615" s="16" t="s">
        <v>1884</v>
      </c>
      <c r="D615" s="17" t="s">
        <v>456</v>
      </c>
      <c r="E615" s="18" t="s">
        <v>34</v>
      </c>
      <c r="F615" s="18">
        <v>1.0</v>
      </c>
      <c r="G615" s="19">
        <f t="shared" si="1"/>
        <v>1.763699536</v>
      </c>
      <c r="H615" s="17">
        <v>50.0</v>
      </c>
      <c r="I615" s="10">
        <v>200.0</v>
      </c>
      <c r="J615" s="17">
        <v>6.0</v>
      </c>
      <c r="K615" s="17">
        <v>200.0</v>
      </c>
      <c r="L615" s="17"/>
      <c r="M615" s="20">
        <v>36.0</v>
      </c>
      <c r="N615" s="20">
        <v>1.0</v>
      </c>
      <c r="O615" s="20">
        <v>15.0</v>
      </c>
      <c r="P615" s="20">
        <f t="shared" si="2"/>
        <v>20</v>
      </c>
      <c r="Q615" s="21">
        <v>2.0</v>
      </c>
      <c r="R615" s="22">
        <f t="shared" si="3"/>
        <v>113.398</v>
      </c>
      <c r="S615" s="23">
        <f t="shared" si="4"/>
        <v>4</v>
      </c>
      <c r="T615" s="24">
        <f t="shared" si="5"/>
        <v>18</v>
      </c>
      <c r="U615" s="26">
        <f t="shared" si="6"/>
        <v>0.2621359223</v>
      </c>
      <c r="V615" s="26">
        <f t="shared" si="7"/>
        <v>0.2912621359</v>
      </c>
      <c r="W615" s="19">
        <f t="shared" si="8"/>
        <v>1</v>
      </c>
      <c r="X615" s="20">
        <f t="shared" si="9"/>
        <v>200</v>
      </c>
      <c r="Y615" s="27"/>
      <c r="Z615" s="17"/>
      <c r="AA615" s="28"/>
      <c r="AB615" s="17"/>
      <c r="AC615" s="28"/>
      <c r="AD615" s="27"/>
    </row>
    <row r="616" ht="15.75" customHeight="1">
      <c r="A616" s="16" t="s">
        <v>483</v>
      </c>
      <c r="B616" s="16" t="s">
        <v>1885</v>
      </c>
      <c r="C616" s="16" t="s">
        <v>1886</v>
      </c>
      <c r="D616" s="17" t="s">
        <v>99</v>
      </c>
      <c r="E616" s="18" t="s">
        <v>34</v>
      </c>
      <c r="F616" s="18">
        <v>1.0</v>
      </c>
      <c r="G616" s="19">
        <f t="shared" si="1"/>
        <v>0.7054798145</v>
      </c>
      <c r="H616" s="17">
        <v>20.0</v>
      </c>
      <c r="I616" s="10">
        <v>80.0</v>
      </c>
      <c r="J616" s="17">
        <v>2.5</v>
      </c>
      <c r="K616" s="17">
        <v>180.0</v>
      </c>
      <c r="L616" s="17"/>
      <c r="M616" s="20">
        <v>16.0</v>
      </c>
      <c r="N616" s="20">
        <v>1.0</v>
      </c>
      <c r="O616" s="20">
        <v>12.0</v>
      </c>
      <c r="P616" s="20">
        <f t="shared" si="2"/>
        <v>3</v>
      </c>
      <c r="Q616" s="21">
        <v>1.0</v>
      </c>
      <c r="R616" s="22">
        <f t="shared" si="3"/>
        <v>113.398</v>
      </c>
      <c r="S616" s="23">
        <f t="shared" si="4"/>
        <v>4</v>
      </c>
      <c r="T616" s="24">
        <f t="shared" si="5"/>
        <v>16</v>
      </c>
      <c r="U616" s="26">
        <f t="shared" si="6"/>
        <v>0.2486187845</v>
      </c>
      <c r="V616" s="26">
        <f t="shared" si="7"/>
        <v>0.5303867403</v>
      </c>
      <c r="W616" s="19">
        <f t="shared" si="8"/>
        <v>2.25</v>
      </c>
      <c r="X616" s="20">
        <f t="shared" si="9"/>
        <v>80</v>
      </c>
      <c r="Y616" s="27"/>
      <c r="Z616" s="17"/>
      <c r="AA616" s="28"/>
      <c r="AB616" s="17"/>
      <c r="AC616" s="28"/>
      <c r="AD616" s="27"/>
    </row>
    <row r="617" ht="15.75" customHeight="1">
      <c r="A617" s="16" t="s">
        <v>1271</v>
      </c>
      <c r="B617" s="16" t="s">
        <v>1887</v>
      </c>
      <c r="C617" s="16" t="s">
        <v>1888</v>
      </c>
      <c r="D617" s="17" t="s">
        <v>456</v>
      </c>
      <c r="E617" s="18" t="s">
        <v>34</v>
      </c>
      <c r="F617" s="18">
        <v>1.0</v>
      </c>
      <c r="G617" s="19">
        <f t="shared" si="1"/>
        <v>2.998289211</v>
      </c>
      <c r="H617" s="17">
        <v>85.0</v>
      </c>
      <c r="I617" s="10">
        <v>340.0</v>
      </c>
      <c r="J617" s="17">
        <v>16.0</v>
      </c>
      <c r="K617" s="17">
        <v>330.0</v>
      </c>
      <c r="L617" s="17"/>
      <c r="M617" s="20">
        <v>44.0</v>
      </c>
      <c r="N617" s="20">
        <v>1.0</v>
      </c>
      <c r="O617" s="20">
        <v>21.0</v>
      </c>
      <c r="P617" s="20">
        <f t="shared" si="2"/>
        <v>22</v>
      </c>
      <c r="Q617" s="21">
        <v>3.0</v>
      </c>
      <c r="R617" s="22">
        <f t="shared" si="3"/>
        <v>113.398</v>
      </c>
      <c r="S617" s="23">
        <f t="shared" si="4"/>
        <v>4</v>
      </c>
      <c r="T617" s="24">
        <f t="shared" si="5"/>
        <v>14.66666667</v>
      </c>
      <c r="U617" s="26">
        <f t="shared" si="6"/>
        <v>0.4337349398</v>
      </c>
      <c r="V617" s="26">
        <f t="shared" si="7"/>
        <v>0.2530120482</v>
      </c>
      <c r="W617" s="19">
        <f t="shared" si="8"/>
        <v>0.9705882353</v>
      </c>
      <c r="X617" s="20">
        <f t="shared" si="9"/>
        <v>340</v>
      </c>
      <c r="Y617" s="16"/>
      <c r="Z617" s="17"/>
      <c r="AA617" s="28"/>
      <c r="AB617" s="17"/>
      <c r="AC617" s="28"/>
      <c r="AD617" s="16"/>
    </row>
    <row r="618" ht="15.75" customHeight="1">
      <c r="A618" s="27" t="s">
        <v>1624</v>
      </c>
      <c r="B618" s="27" t="s">
        <v>1889</v>
      </c>
      <c r="C618" s="16" t="s">
        <v>1890</v>
      </c>
      <c r="D618" s="17" t="s">
        <v>212</v>
      </c>
      <c r="E618" s="18" t="s">
        <v>34</v>
      </c>
      <c r="F618" s="18">
        <v>1.0</v>
      </c>
      <c r="G618" s="19">
        <f t="shared" si="1"/>
        <v>1.234589675</v>
      </c>
      <c r="H618" s="17">
        <v>35.0</v>
      </c>
      <c r="I618" s="10">
        <v>140.0</v>
      </c>
      <c r="J618" s="17">
        <v>4.0</v>
      </c>
      <c r="K618" s="17">
        <v>75.0</v>
      </c>
      <c r="L618" s="17"/>
      <c r="M618" s="20">
        <v>24.0</v>
      </c>
      <c r="N618" s="20">
        <v>2.5</v>
      </c>
      <c r="O618" s="20">
        <v>7.0</v>
      </c>
      <c r="P618" s="20">
        <f t="shared" si="2"/>
        <v>14.5</v>
      </c>
      <c r="Q618" s="21">
        <v>2.0</v>
      </c>
      <c r="R618" s="22">
        <f t="shared" si="3"/>
        <v>113.398</v>
      </c>
      <c r="S618" s="23">
        <f t="shared" si="4"/>
        <v>4</v>
      </c>
      <c r="T618" s="24">
        <f t="shared" si="5"/>
        <v>12</v>
      </c>
      <c r="U618" s="26">
        <f t="shared" si="6"/>
        <v>0.2571428571</v>
      </c>
      <c r="V618" s="26">
        <f t="shared" si="7"/>
        <v>0.2</v>
      </c>
      <c r="W618" s="19">
        <f t="shared" si="8"/>
        <v>0.5357142857</v>
      </c>
      <c r="X618" s="20">
        <f t="shared" si="9"/>
        <v>140</v>
      </c>
      <c r="Y618" s="27"/>
      <c r="Z618" s="17"/>
      <c r="AA618" s="28"/>
      <c r="AB618" s="17"/>
      <c r="AC618" s="28"/>
      <c r="AD618" s="27"/>
    </row>
    <row r="619" ht="15.75" customHeight="1">
      <c r="A619" s="16" t="s">
        <v>1891</v>
      </c>
      <c r="B619" s="16" t="s">
        <v>1892</v>
      </c>
      <c r="C619" s="16" t="s">
        <v>1893</v>
      </c>
      <c r="D619" s="17" t="s">
        <v>212</v>
      </c>
      <c r="E619" s="18" t="s">
        <v>34</v>
      </c>
      <c r="F619" s="18">
        <v>1.0</v>
      </c>
      <c r="G619" s="19">
        <f t="shared" si="1"/>
        <v>1.763699536</v>
      </c>
      <c r="H619" s="17">
        <v>50.0</v>
      </c>
      <c r="I619" s="10">
        <v>200.0</v>
      </c>
      <c r="J619" s="17">
        <v>9.0</v>
      </c>
      <c r="K619" s="17">
        <v>100.0</v>
      </c>
      <c r="L619" s="17">
        <v>270.0</v>
      </c>
      <c r="M619" s="20">
        <v>29.0</v>
      </c>
      <c r="N619" s="20">
        <v>5.0</v>
      </c>
      <c r="O619" s="20">
        <v>18.0</v>
      </c>
      <c r="P619" s="20">
        <f t="shared" si="2"/>
        <v>6</v>
      </c>
      <c r="Q619" s="21">
        <v>3.0</v>
      </c>
      <c r="R619" s="22">
        <f t="shared" si="3"/>
        <v>113.398</v>
      </c>
      <c r="S619" s="23">
        <f t="shared" si="4"/>
        <v>4</v>
      </c>
      <c r="T619" s="24">
        <f t="shared" si="5"/>
        <v>9.666666667</v>
      </c>
      <c r="U619" s="26">
        <f t="shared" si="6"/>
        <v>0.3875598086</v>
      </c>
      <c r="V619" s="26">
        <f t="shared" si="7"/>
        <v>0.3444976077</v>
      </c>
      <c r="W619" s="19">
        <f t="shared" si="8"/>
        <v>0.5</v>
      </c>
      <c r="X619" s="20">
        <f t="shared" si="9"/>
        <v>200</v>
      </c>
      <c r="Y619" s="27"/>
      <c r="Z619" s="17"/>
      <c r="AA619" s="28"/>
      <c r="AB619" s="17"/>
      <c r="AC619" s="28"/>
      <c r="AD619" s="16"/>
    </row>
    <row r="620" ht="15.75" customHeight="1">
      <c r="A620" s="16" t="s">
        <v>1894</v>
      </c>
      <c r="B620" s="16" t="s">
        <v>1895</v>
      </c>
      <c r="C620" s="16" t="s">
        <v>1896</v>
      </c>
      <c r="D620" s="17" t="s">
        <v>99</v>
      </c>
      <c r="E620" s="18" t="s">
        <v>34</v>
      </c>
      <c r="F620" s="18">
        <v>1.0</v>
      </c>
      <c r="G620" s="19">
        <f t="shared" si="1"/>
        <v>1.234589675</v>
      </c>
      <c r="H620" s="17">
        <v>35.0</v>
      </c>
      <c r="I620" s="10">
        <v>140.0</v>
      </c>
      <c r="J620" s="17">
        <v>3.0</v>
      </c>
      <c r="K620" s="17">
        <v>270.0</v>
      </c>
      <c r="L620" s="17"/>
      <c r="M620" s="20">
        <v>26.0</v>
      </c>
      <c r="N620" s="20">
        <v>1.0</v>
      </c>
      <c r="O620" s="20">
        <v>24.0</v>
      </c>
      <c r="P620" s="20">
        <f t="shared" si="2"/>
        <v>1</v>
      </c>
      <c r="Q620" s="21">
        <v>3.0</v>
      </c>
      <c r="R620" s="22">
        <f t="shared" si="3"/>
        <v>113.398</v>
      </c>
      <c r="S620" s="23">
        <f t="shared" si="4"/>
        <v>4</v>
      </c>
      <c r="T620" s="24">
        <f t="shared" si="5"/>
        <v>8.666666667</v>
      </c>
      <c r="U620" s="26">
        <f t="shared" si="6"/>
        <v>0.1888111888</v>
      </c>
      <c r="V620" s="26">
        <f t="shared" si="7"/>
        <v>0.6713286713</v>
      </c>
      <c r="W620" s="19">
        <f t="shared" si="8"/>
        <v>1.928571429</v>
      </c>
      <c r="X620" s="20">
        <f t="shared" si="9"/>
        <v>140</v>
      </c>
      <c r="Y620" s="27"/>
      <c r="Z620" s="17"/>
      <c r="AA620" s="28"/>
      <c r="AB620" s="17"/>
      <c r="AC620" s="28"/>
      <c r="AD620" s="27"/>
    </row>
    <row r="621" ht="15.75" customHeight="1">
      <c r="A621" s="27" t="s">
        <v>1624</v>
      </c>
      <c r="B621" s="27" t="s">
        <v>1897</v>
      </c>
      <c r="C621" s="16" t="s">
        <v>1898</v>
      </c>
      <c r="D621" s="17" t="s">
        <v>212</v>
      </c>
      <c r="E621" s="18" t="s">
        <v>34</v>
      </c>
      <c r="F621" s="18">
        <v>1.0</v>
      </c>
      <c r="G621" s="19">
        <f t="shared" si="1"/>
        <v>1.234589675</v>
      </c>
      <c r="H621" s="17">
        <v>35.0</v>
      </c>
      <c r="I621" s="10">
        <v>140.0</v>
      </c>
      <c r="J621" s="17">
        <v>4.5</v>
      </c>
      <c r="K621" s="17">
        <v>95.0</v>
      </c>
      <c r="L621" s="17"/>
      <c r="M621" s="20">
        <v>24.0</v>
      </c>
      <c r="N621" s="20">
        <v>2.0</v>
      </c>
      <c r="O621" s="20">
        <v>5.0</v>
      </c>
      <c r="P621" s="20">
        <f t="shared" si="2"/>
        <v>17</v>
      </c>
      <c r="Q621" s="21">
        <v>3.0</v>
      </c>
      <c r="R621" s="22">
        <f t="shared" si="3"/>
        <v>113.398</v>
      </c>
      <c r="S621" s="23">
        <f t="shared" si="4"/>
        <v>4</v>
      </c>
      <c r="T621" s="24">
        <f t="shared" si="5"/>
        <v>8</v>
      </c>
      <c r="U621" s="26">
        <f t="shared" si="6"/>
        <v>0.2727272727</v>
      </c>
      <c r="V621" s="26">
        <f t="shared" si="7"/>
        <v>0.1346801347</v>
      </c>
      <c r="W621" s="19">
        <f t="shared" si="8"/>
        <v>0.6785714286</v>
      </c>
      <c r="X621" s="20">
        <f t="shared" si="9"/>
        <v>140</v>
      </c>
      <c r="Y621" s="27"/>
      <c r="Z621" s="17"/>
      <c r="AA621" s="28"/>
      <c r="AB621" s="17"/>
      <c r="AC621" s="28"/>
      <c r="AD621" s="16"/>
    </row>
    <row r="622" ht="15.75" customHeight="1">
      <c r="A622" s="27" t="s">
        <v>1624</v>
      </c>
      <c r="B622" s="27" t="s">
        <v>1899</v>
      </c>
      <c r="C622" s="16" t="s">
        <v>1900</v>
      </c>
      <c r="D622" s="17" t="s">
        <v>212</v>
      </c>
      <c r="E622" s="18" t="s">
        <v>34</v>
      </c>
      <c r="F622" s="18">
        <v>1.0</v>
      </c>
      <c r="G622" s="19">
        <f t="shared" si="1"/>
        <v>1.234589675</v>
      </c>
      <c r="H622" s="17">
        <v>35.0</v>
      </c>
      <c r="I622" s="10">
        <v>140.0</v>
      </c>
      <c r="J622" s="17">
        <v>4.5</v>
      </c>
      <c r="K622" s="17">
        <v>75.0</v>
      </c>
      <c r="L622" s="17"/>
      <c r="M622" s="20">
        <v>24.0</v>
      </c>
      <c r="N622" s="20">
        <v>2.0</v>
      </c>
      <c r="O622" s="20">
        <v>7.0</v>
      </c>
      <c r="P622" s="20">
        <f t="shared" si="2"/>
        <v>15</v>
      </c>
      <c r="Q622" s="21">
        <v>3.0</v>
      </c>
      <c r="R622" s="22">
        <f t="shared" si="3"/>
        <v>113.398</v>
      </c>
      <c r="S622" s="23">
        <f t="shared" si="4"/>
        <v>4</v>
      </c>
      <c r="T622" s="24">
        <f t="shared" si="5"/>
        <v>8</v>
      </c>
      <c r="U622" s="26">
        <f t="shared" si="6"/>
        <v>0.2727272727</v>
      </c>
      <c r="V622" s="26">
        <f t="shared" si="7"/>
        <v>0.1885521886</v>
      </c>
      <c r="W622" s="19">
        <f t="shared" si="8"/>
        <v>0.5357142857</v>
      </c>
      <c r="X622" s="20">
        <f t="shared" si="9"/>
        <v>140</v>
      </c>
      <c r="Y622" s="16"/>
      <c r="Z622" s="17"/>
      <c r="AA622" s="28"/>
      <c r="AB622" s="17"/>
      <c r="AC622" s="28"/>
      <c r="AD622" s="16"/>
    </row>
    <row r="623" ht="15.75" customHeight="1">
      <c r="A623" s="27" t="s">
        <v>1624</v>
      </c>
      <c r="B623" s="27" t="s">
        <v>1901</v>
      </c>
      <c r="C623" s="16" t="s">
        <v>1902</v>
      </c>
      <c r="D623" s="17" t="s">
        <v>212</v>
      </c>
      <c r="E623" s="18" t="s">
        <v>34</v>
      </c>
      <c r="F623" s="18">
        <v>1.0</v>
      </c>
      <c r="G623" s="19">
        <f t="shared" si="1"/>
        <v>1.234589675</v>
      </c>
      <c r="H623" s="17">
        <v>35.0</v>
      </c>
      <c r="I623" s="10">
        <v>140.0</v>
      </c>
      <c r="J623" s="17">
        <v>4.5</v>
      </c>
      <c r="K623" s="17">
        <v>110.0</v>
      </c>
      <c r="L623" s="17"/>
      <c r="M623" s="20">
        <v>24.0</v>
      </c>
      <c r="N623" s="20">
        <v>2.0</v>
      </c>
      <c r="O623" s="20">
        <v>7.0</v>
      </c>
      <c r="P623" s="20">
        <f t="shared" si="2"/>
        <v>15</v>
      </c>
      <c r="Q623" s="21">
        <v>3.0</v>
      </c>
      <c r="R623" s="22">
        <f t="shared" si="3"/>
        <v>113.398</v>
      </c>
      <c r="S623" s="23">
        <f t="shared" si="4"/>
        <v>4</v>
      </c>
      <c r="T623" s="24">
        <f t="shared" si="5"/>
        <v>8</v>
      </c>
      <c r="U623" s="26">
        <f t="shared" si="6"/>
        <v>0.2727272727</v>
      </c>
      <c r="V623" s="26">
        <f t="shared" si="7"/>
        <v>0.1885521886</v>
      </c>
      <c r="W623" s="19">
        <f t="shared" si="8"/>
        <v>0.7857142857</v>
      </c>
      <c r="X623" s="20">
        <f t="shared" si="9"/>
        <v>140</v>
      </c>
      <c r="Y623" s="27"/>
      <c r="Z623" s="17"/>
      <c r="AA623" s="28"/>
      <c r="AB623" s="17"/>
      <c r="AC623" s="28"/>
      <c r="AD623" s="16"/>
    </row>
    <row r="624" ht="15.75" customHeight="1">
      <c r="A624" s="27" t="s">
        <v>1624</v>
      </c>
      <c r="B624" s="27" t="s">
        <v>1903</v>
      </c>
      <c r="C624" s="16" t="s">
        <v>1904</v>
      </c>
      <c r="D624" s="17" t="s">
        <v>212</v>
      </c>
      <c r="E624" s="18" t="s">
        <v>34</v>
      </c>
      <c r="F624" s="18">
        <v>1.0</v>
      </c>
      <c r="G624" s="19">
        <f t="shared" si="1"/>
        <v>1.234589675</v>
      </c>
      <c r="H624" s="17">
        <v>35.0</v>
      </c>
      <c r="I624" s="10">
        <v>140.0</v>
      </c>
      <c r="J624" s="17">
        <v>4.5</v>
      </c>
      <c r="K624" s="17">
        <v>85.0</v>
      </c>
      <c r="L624" s="17"/>
      <c r="M624" s="20">
        <v>24.0</v>
      </c>
      <c r="N624" s="20">
        <v>2.0</v>
      </c>
      <c r="O624" s="20">
        <v>7.0</v>
      </c>
      <c r="P624" s="20">
        <f t="shared" si="2"/>
        <v>15</v>
      </c>
      <c r="Q624" s="21">
        <v>3.0</v>
      </c>
      <c r="R624" s="22">
        <f t="shared" si="3"/>
        <v>113.398</v>
      </c>
      <c r="S624" s="23">
        <f t="shared" si="4"/>
        <v>4</v>
      </c>
      <c r="T624" s="24">
        <f t="shared" si="5"/>
        <v>8</v>
      </c>
      <c r="U624" s="26">
        <f t="shared" si="6"/>
        <v>0.2727272727</v>
      </c>
      <c r="V624" s="26">
        <f t="shared" si="7"/>
        <v>0.1885521886</v>
      </c>
      <c r="W624" s="19">
        <f t="shared" si="8"/>
        <v>0.6071428571</v>
      </c>
      <c r="X624" s="20">
        <f t="shared" si="9"/>
        <v>140</v>
      </c>
      <c r="Y624" s="27"/>
      <c r="Z624" s="17"/>
      <c r="AA624" s="28"/>
      <c r="AB624" s="17"/>
      <c r="AC624" s="28"/>
      <c r="AD624" s="27"/>
    </row>
    <row r="625" ht="15.75" customHeight="1">
      <c r="A625" s="16" t="s">
        <v>1905</v>
      </c>
      <c r="B625" s="16" t="s">
        <v>1906</v>
      </c>
      <c r="C625" s="16" t="s">
        <v>1907</v>
      </c>
      <c r="D625" s="17" t="s">
        <v>563</v>
      </c>
      <c r="E625" s="18" t="s">
        <v>34</v>
      </c>
      <c r="F625" s="18">
        <v>1.0</v>
      </c>
      <c r="G625" s="19">
        <f t="shared" si="1"/>
        <v>1.410959629</v>
      </c>
      <c r="H625" s="17">
        <v>40.0</v>
      </c>
      <c r="I625" s="10">
        <v>160.0</v>
      </c>
      <c r="J625" s="17">
        <v>5.0</v>
      </c>
      <c r="K625" s="17">
        <v>140.0</v>
      </c>
      <c r="L625" s="17"/>
      <c r="M625" s="20">
        <v>29.0</v>
      </c>
      <c r="N625" s="20">
        <v>5.0</v>
      </c>
      <c r="O625" s="20">
        <v>5.0</v>
      </c>
      <c r="P625" s="20">
        <f t="shared" si="2"/>
        <v>19</v>
      </c>
      <c r="Q625" s="21">
        <v>4.0</v>
      </c>
      <c r="R625" s="22">
        <f t="shared" si="3"/>
        <v>113.398</v>
      </c>
      <c r="S625" s="23">
        <f t="shared" si="4"/>
        <v>4</v>
      </c>
      <c r="T625" s="24">
        <f t="shared" si="5"/>
        <v>7.25</v>
      </c>
      <c r="U625" s="26">
        <f t="shared" si="6"/>
        <v>0.2542372881</v>
      </c>
      <c r="V625" s="26">
        <f t="shared" si="7"/>
        <v>0.1129943503</v>
      </c>
      <c r="W625" s="19">
        <f t="shared" si="8"/>
        <v>0.875</v>
      </c>
      <c r="X625" s="20">
        <f t="shared" si="9"/>
        <v>160</v>
      </c>
      <c r="Y625" s="27"/>
      <c r="Z625" s="17"/>
      <c r="AA625" s="28"/>
      <c r="AB625" s="17"/>
      <c r="AC625" s="28"/>
      <c r="AD625" s="27"/>
    </row>
    <row r="626" ht="15.75" customHeight="1">
      <c r="A626" s="27" t="s">
        <v>1537</v>
      </c>
      <c r="B626" s="27" t="s">
        <v>1908</v>
      </c>
      <c r="C626" s="16" t="s">
        <v>1909</v>
      </c>
      <c r="D626" s="17" t="s">
        <v>99</v>
      </c>
      <c r="E626" s="18" t="s">
        <v>34</v>
      </c>
      <c r="F626" s="18">
        <v>1.0</v>
      </c>
      <c r="G626" s="19">
        <f t="shared" si="1"/>
        <v>1.234589675</v>
      </c>
      <c r="H626" s="17">
        <v>35.0</v>
      </c>
      <c r="I626" s="10">
        <v>140.0</v>
      </c>
      <c r="J626" s="17">
        <v>3.5</v>
      </c>
      <c r="K626" s="17">
        <v>170.0</v>
      </c>
      <c r="L626" s="17"/>
      <c r="M626" s="20">
        <v>25.0</v>
      </c>
      <c r="N626" s="20">
        <v>0.0</v>
      </c>
      <c r="O626" s="20">
        <v>23.0</v>
      </c>
      <c r="P626" s="20">
        <f t="shared" si="2"/>
        <v>2</v>
      </c>
      <c r="Q626" s="21">
        <v>4.0</v>
      </c>
      <c r="R626" s="22">
        <f t="shared" si="3"/>
        <v>113.398</v>
      </c>
      <c r="S626" s="23">
        <f t="shared" si="4"/>
        <v>4</v>
      </c>
      <c r="T626" s="24">
        <f t="shared" si="5"/>
        <v>6.25</v>
      </c>
      <c r="U626" s="26">
        <f t="shared" si="6"/>
        <v>0.213559322</v>
      </c>
      <c r="V626" s="26">
        <f t="shared" si="7"/>
        <v>0.6237288136</v>
      </c>
      <c r="W626" s="19">
        <f t="shared" si="8"/>
        <v>1.214285714</v>
      </c>
      <c r="X626" s="20">
        <f t="shared" si="9"/>
        <v>140</v>
      </c>
      <c r="Y626" s="27"/>
      <c r="Z626" s="17"/>
      <c r="AA626" s="28"/>
      <c r="AB626" s="17"/>
      <c r="AC626" s="28"/>
      <c r="AD626" s="27"/>
    </row>
    <row r="627" ht="15.75" customHeight="1">
      <c r="A627" s="27" t="s">
        <v>1117</v>
      </c>
      <c r="B627" s="27" t="s">
        <v>1910</v>
      </c>
      <c r="C627" s="16" t="s">
        <v>1911</v>
      </c>
      <c r="D627" s="17" t="s">
        <v>212</v>
      </c>
      <c r="E627" s="18" t="s">
        <v>34</v>
      </c>
      <c r="F627" s="18">
        <v>1.0</v>
      </c>
      <c r="G627" s="19">
        <f t="shared" si="1"/>
        <v>1.410959629</v>
      </c>
      <c r="H627" s="17">
        <v>40.0</v>
      </c>
      <c r="I627" s="10">
        <v>160.0</v>
      </c>
      <c r="J627" s="17">
        <v>10.0</v>
      </c>
      <c r="K627" s="17">
        <v>20.0</v>
      </c>
      <c r="L627" s="17">
        <v>150.0</v>
      </c>
      <c r="M627" s="20">
        <v>22.0</v>
      </c>
      <c r="N627" s="20">
        <v>6.0</v>
      </c>
      <c r="O627" s="20">
        <v>11.0</v>
      </c>
      <c r="P627" s="20">
        <f t="shared" si="2"/>
        <v>5</v>
      </c>
      <c r="Q627" s="21">
        <v>4.0</v>
      </c>
      <c r="R627" s="22">
        <f t="shared" si="3"/>
        <v>113.398</v>
      </c>
      <c r="S627" s="23">
        <f t="shared" si="4"/>
        <v>4</v>
      </c>
      <c r="T627" s="24">
        <f t="shared" si="5"/>
        <v>5.5</v>
      </c>
      <c r="U627" s="26">
        <f t="shared" si="6"/>
        <v>0.4639175258</v>
      </c>
      <c r="V627" s="26">
        <f t="shared" si="7"/>
        <v>0.2268041237</v>
      </c>
      <c r="W627" s="19">
        <f t="shared" si="8"/>
        <v>0.125</v>
      </c>
      <c r="X627" s="20">
        <f t="shared" si="9"/>
        <v>160</v>
      </c>
      <c r="Y627" s="27"/>
      <c r="Z627" s="17"/>
      <c r="AA627" s="28"/>
      <c r="AB627" s="17"/>
      <c r="AC627" s="28"/>
      <c r="AD627" s="27"/>
    </row>
    <row r="628" ht="15.75" customHeight="1">
      <c r="A628" s="27" t="s">
        <v>1912</v>
      </c>
      <c r="B628" s="27" t="s">
        <v>1913</v>
      </c>
      <c r="C628" s="16" t="s">
        <v>1914</v>
      </c>
      <c r="D628" s="17" t="s">
        <v>119</v>
      </c>
      <c r="E628" s="18" t="s">
        <v>34</v>
      </c>
      <c r="F628" s="18">
        <v>1.0</v>
      </c>
      <c r="G628" s="19">
        <f t="shared" si="1"/>
        <v>2.116439443</v>
      </c>
      <c r="H628" s="17">
        <v>60.0</v>
      </c>
      <c r="I628" s="10">
        <v>240.0</v>
      </c>
      <c r="J628" s="17">
        <v>4.0</v>
      </c>
      <c r="K628" s="17">
        <v>540.0</v>
      </c>
      <c r="L628" s="17"/>
      <c r="M628" s="20">
        <v>41.0</v>
      </c>
      <c r="N628" s="20">
        <v>2.0</v>
      </c>
      <c r="O628" s="20">
        <v>1.0</v>
      </c>
      <c r="P628" s="20">
        <f t="shared" si="2"/>
        <v>38</v>
      </c>
      <c r="Q628" s="21">
        <v>9.0</v>
      </c>
      <c r="R628" s="22">
        <f t="shared" si="3"/>
        <v>113.398</v>
      </c>
      <c r="S628" s="23">
        <f t="shared" si="4"/>
        <v>4</v>
      </c>
      <c r="T628" s="24">
        <f t="shared" si="5"/>
        <v>4.555555556</v>
      </c>
      <c r="U628" s="26">
        <f t="shared" si="6"/>
        <v>0.1525423729</v>
      </c>
      <c r="V628" s="26">
        <f t="shared" si="7"/>
        <v>0.01694915254</v>
      </c>
      <c r="W628" s="19">
        <f t="shared" si="8"/>
        <v>2.25</v>
      </c>
      <c r="X628" s="20">
        <f t="shared" si="9"/>
        <v>240</v>
      </c>
      <c r="Y628" s="27"/>
      <c r="Z628" s="17"/>
      <c r="AA628" s="28"/>
      <c r="AB628" s="17"/>
      <c r="AC628" s="28"/>
      <c r="AD628" s="27"/>
    </row>
    <row r="629" ht="15.75" customHeight="1">
      <c r="A629" s="27" t="s">
        <v>1537</v>
      </c>
      <c r="B629" s="27" t="s">
        <v>1915</v>
      </c>
      <c r="C629" s="16" t="s">
        <v>1916</v>
      </c>
      <c r="D629" s="17" t="s">
        <v>99</v>
      </c>
      <c r="E629" s="18" t="s">
        <v>34</v>
      </c>
      <c r="F629" s="18">
        <v>1.0</v>
      </c>
      <c r="G629" s="19">
        <f t="shared" si="1"/>
        <v>1.410959629</v>
      </c>
      <c r="H629" s="17">
        <v>40.0</v>
      </c>
      <c r="I629" s="10">
        <v>160.0</v>
      </c>
      <c r="J629" s="17">
        <v>4.0</v>
      </c>
      <c r="K629" s="17">
        <v>65.0</v>
      </c>
      <c r="L629" s="17"/>
      <c r="M629" s="20">
        <v>27.0</v>
      </c>
      <c r="N629" s="20">
        <v>2.0</v>
      </c>
      <c r="O629" s="20">
        <v>22.0</v>
      </c>
      <c r="P629" s="20">
        <f t="shared" si="2"/>
        <v>3</v>
      </c>
      <c r="Q629" s="21">
        <v>6.0</v>
      </c>
      <c r="R629" s="22">
        <f t="shared" si="3"/>
        <v>113.398</v>
      </c>
      <c r="S629" s="23">
        <f t="shared" si="4"/>
        <v>4</v>
      </c>
      <c r="T629" s="24">
        <f t="shared" si="5"/>
        <v>4.5</v>
      </c>
      <c r="U629" s="26">
        <f t="shared" si="6"/>
        <v>0.2142857143</v>
      </c>
      <c r="V629" s="26">
        <f t="shared" si="7"/>
        <v>0.5238095238</v>
      </c>
      <c r="W629" s="19">
        <f t="shared" si="8"/>
        <v>0.40625</v>
      </c>
      <c r="X629" s="20">
        <f t="shared" si="9"/>
        <v>160</v>
      </c>
      <c r="Y629" s="27"/>
      <c r="Z629" s="17"/>
      <c r="AA629" s="28"/>
      <c r="AB629" s="17"/>
      <c r="AC629" s="28"/>
      <c r="AD629" s="27"/>
    </row>
    <row r="630" ht="15.75" customHeight="1">
      <c r="A630" s="27" t="s">
        <v>1117</v>
      </c>
      <c r="B630" s="27" t="s">
        <v>1917</v>
      </c>
      <c r="C630" s="16" t="s">
        <v>1918</v>
      </c>
      <c r="D630" s="17" t="s">
        <v>212</v>
      </c>
      <c r="E630" s="18" t="s">
        <v>34</v>
      </c>
      <c r="F630" s="18">
        <v>1.0</v>
      </c>
      <c r="G630" s="19">
        <f t="shared" si="1"/>
        <v>1.410959629</v>
      </c>
      <c r="H630" s="17">
        <v>40.0</v>
      </c>
      <c r="I630" s="10">
        <v>160.0</v>
      </c>
      <c r="J630" s="17">
        <v>12.0</v>
      </c>
      <c r="K630" s="17">
        <v>20.0</v>
      </c>
      <c r="L630" s="17"/>
      <c r="M630" s="20">
        <v>20.0</v>
      </c>
      <c r="N630" s="20">
        <v>5.0</v>
      </c>
      <c r="O630" s="20">
        <v>8.0</v>
      </c>
      <c r="P630" s="20">
        <f t="shared" si="2"/>
        <v>7</v>
      </c>
      <c r="Q630" s="21">
        <v>5.0</v>
      </c>
      <c r="R630" s="22">
        <f t="shared" si="3"/>
        <v>113.398</v>
      </c>
      <c r="S630" s="23">
        <f t="shared" si="4"/>
        <v>4</v>
      </c>
      <c r="T630" s="24">
        <f t="shared" si="5"/>
        <v>4</v>
      </c>
      <c r="U630" s="26">
        <f t="shared" si="6"/>
        <v>0.5192307692</v>
      </c>
      <c r="V630" s="26">
        <f t="shared" si="7"/>
        <v>0.1538461538</v>
      </c>
      <c r="W630" s="19">
        <f t="shared" si="8"/>
        <v>0.125</v>
      </c>
      <c r="X630" s="20">
        <f t="shared" si="9"/>
        <v>160</v>
      </c>
      <c r="Y630" s="27"/>
      <c r="Z630" s="17"/>
      <c r="AA630" s="28"/>
      <c r="AB630" s="17"/>
      <c r="AC630" s="28"/>
      <c r="AD630" s="16"/>
    </row>
    <row r="631" ht="15.75" customHeight="1">
      <c r="A631" s="16" t="s">
        <v>1117</v>
      </c>
      <c r="B631" s="16" t="s">
        <v>1919</v>
      </c>
      <c r="C631" s="16" t="s">
        <v>1920</v>
      </c>
      <c r="D631" s="17" t="s">
        <v>212</v>
      </c>
      <c r="E631" s="18" t="s">
        <v>34</v>
      </c>
      <c r="F631" s="18">
        <v>1.0</v>
      </c>
      <c r="G631" s="19">
        <f t="shared" si="1"/>
        <v>1.410959629</v>
      </c>
      <c r="H631" s="17">
        <v>40.0</v>
      </c>
      <c r="I631" s="10">
        <v>160.0</v>
      </c>
      <c r="J631" s="17">
        <v>12.0</v>
      </c>
      <c r="K631" s="17">
        <v>20.0</v>
      </c>
      <c r="L631" s="17"/>
      <c r="M631" s="20">
        <v>19.0</v>
      </c>
      <c r="N631" s="20">
        <v>5.0</v>
      </c>
      <c r="O631" s="20">
        <v>7.0</v>
      </c>
      <c r="P631" s="20">
        <f t="shared" si="2"/>
        <v>7</v>
      </c>
      <c r="Q631" s="21">
        <v>5.0</v>
      </c>
      <c r="R631" s="22">
        <f t="shared" si="3"/>
        <v>113.398</v>
      </c>
      <c r="S631" s="23">
        <f t="shared" si="4"/>
        <v>4</v>
      </c>
      <c r="T631" s="24">
        <f t="shared" si="5"/>
        <v>3.8</v>
      </c>
      <c r="U631" s="26">
        <f t="shared" si="6"/>
        <v>0.5294117647</v>
      </c>
      <c r="V631" s="26">
        <f t="shared" si="7"/>
        <v>0.137254902</v>
      </c>
      <c r="W631" s="19">
        <f t="shared" si="8"/>
        <v>0.125</v>
      </c>
      <c r="X631" s="20">
        <f t="shared" si="9"/>
        <v>160</v>
      </c>
      <c r="Y631" s="27"/>
      <c r="Z631" s="17"/>
      <c r="AA631" s="28"/>
      <c r="AB631" s="17"/>
      <c r="AC631" s="28"/>
      <c r="AD631" s="27"/>
    </row>
    <row r="632" ht="15.75" customHeight="1">
      <c r="A632" s="27" t="s">
        <v>1117</v>
      </c>
      <c r="B632" s="27" t="s">
        <v>1921</v>
      </c>
      <c r="C632" s="16" t="s">
        <v>1922</v>
      </c>
      <c r="D632" s="17" t="s">
        <v>212</v>
      </c>
      <c r="E632" s="18" t="s">
        <v>34</v>
      </c>
      <c r="F632" s="18">
        <v>1.0</v>
      </c>
      <c r="G632" s="19">
        <f t="shared" si="1"/>
        <v>1.410959629</v>
      </c>
      <c r="H632" s="17">
        <v>40.0</v>
      </c>
      <c r="I632" s="10">
        <v>160.0</v>
      </c>
      <c r="J632" s="17">
        <v>12.0</v>
      </c>
      <c r="K632" s="17">
        <v>20.0</v>
      </c>
      <c r="L632" s="17"/>
      <c r="M632" s="20">
        <v>19.0</v>
      </c>
      <c r="N632" s="20">
        <v>5.0</v>
      </c>
      <c r="O632" s="20">
        <v>8.0</v>
      </c>
      <c r="P632" s="20">
        <f t="shared" si="2"/>
        <v>6</v>
      </c>
      <c r="Q632" s="21">
        <v>5.0</v>
      </c>
      <c r="R632" s="22">
        <f t="shared" si="3"/>
        <v>113.398</v>
      </c>
      <c r="S632" s="23">
        <f t="shared" si="4"/>
        <v>4</v>
      </c>
      <c r="T632" s="24">
        <f t="shared" si="5"/>
        <v>3.8</v>
      </c>
      <c r="U632" s="26">
        <f t="shared" si="6"/>
        <v>0.5294117647</v>
      </c>
      <c r="V632" s="26">
        <f t="shared" si="7"/>
        <v>0.1568627451</v>
      </c>
      <c r="W632" s="19">
        <f t="shared" si="8"/>
        <v>0.125</v>
      </c>
      <c r="X632" s="20">
        <f t="shared" si="9"/>
        <v>160</v>
      </c>
      <c r="Y632" s="27"/>
      <c r="Z632" s="17"/>
      <c r="AA632" s="28"/>
      <c r="AB632" s="17"/>
      <c r="AC632" s="28"/>
      <c r="AD632" s="27"/>
    </row>
    <row r="633" ht="15.75" customHeight="1">
      <c r="A633" s="27" t="s">
        <v>1502</v>
      </c>
      <c r="B633" s="27" t="s">
        <v>1923</v>
      </c>
      <c r="C633" s="16" t="s">
        <v>1924</v>
      </c>
      <c r="D633" s="17" t="s">
        <v>212</v>
      </c>
      <c r="E633" s="18" t="s">
        <v>34</v>
      </c>
      <c r="F633" s="18">
        <v>1.0</v>
      </c>
      <c r="G633" s="19">
        <f t="shared" si="1"/>
        <v>1.234589675</v>
      </c>
      <c r="H633" s="17">
        <v>35.0</v>
      </c>
      <c r="I633" s="10">
        <v>140.0</v>
      </c>
      <c r="J633" s="17">
        <v>4.0</v>
      </c>
      <c r="K633" s="17">
        <v>120.0</v>
      </c>
      <c r="L633" s="17"/>
      <c r="M633" s="20">
        <v>21.0</v>
      </c>
      <c r="N633" s="20">
        <v>4.0</v>
      </c>
      <c r="O633" s="20">
        <v>7.0</v>
      </c>
      <c r="P633" s="20">
        <f t="shared" si="2"/>
        <v>10</v>
      </c>
      <c r="Q633" s="21">
        <v>6.0</v>
      </c>
      <c r="R633" s="22">
        <f t="shared" si="3"/>
        <v>113.398</v>
      </c>
      <c r="S633" s="23">
        <f t="shared" si="4"/>
        <v>4</v>
      </c>
      <c r="T633" s="24">
        <f t="shared" si="5"/>
        <v>3.5</v>
      </c>
      <c r="U633" s="26">
        <f t="shared" si="6"/>
        <v>0.25</v>
      </c>
      <c r="V633" s="26">
        <f t="shared" si="7"/>
        <v>0.1944444444</v>
      </c>
      <c r="W633" s="19">
        <f t="shared" si="8"/>
        <v>0.8571428571</v>
      </c>
      <c r="X633" s="20">
        <f t="shared" si="9"/>
        <v>140</v>
      </c>
      <c r="Y633" s="27"/>
      <c r="Z633" s="17"/>
      <c r="AA633" s="28"/>
      <c r="AB633" s="17"/>
      <c r="AC633" s="28"/>
      <c r="AD633" s="27"/>
    </row>
    <row r="634" ht="15.75" customHeight="1">
      <c r="A634" s="27" t="s">
        <v>1925</v>
      </c>
      <c r="B634" s="27" t="s">
        <v>1926</v>
      </c>
      <c r="C634" s="16" t="s">
        <v>1927</v>
      </c>
      <c r="D634" s="17" t="s">
        <v>847</v>
      </c>
      <c r="E634" s="18" t="s">
        <v>34</v>
      </c>
      <c r="F634" s="18">
        <v>1.0</v>
      </c>
      <c r="G634" s="19">
        <f t="shared" si="1"/>
        <v>1.234589675</v>
      </c>
      <c r="H634" s="17">
        <v>35.0</v>
      </c>
      <c r="I634" s="10">
        <v>140.0</v>
      </c>
      <c r="J634" s="17">
        <v>8.0</v>
      </c>
      <c r="K634" s="17">
        <v>150.0</v>
      </c>
      <c r="L634" s="17"/>
      <c r="M634" s="20">
        <v>16.0</v>
      </c>
      <c r="N634" s="20">
        <v>6.0</v>
      </c>
      <c r="O634" s="20">
        <v>2.0</v>
      </c>
      <c r="P634" s="20">
        <f t="shared" si="2"/>
        <v>8</v>
      </c>
      <c r="Q634" s="21">
        <v>5.0</v>
      </c>
      <c r="R634" s="22">
        <f t="shared" si="3"/>
        <v>113.398</v>
      </c>
      <c r="S634" s="23">
        <f t="shared" si="4"/>
        <v>4</v>
      </c>
      <c r="T634" s="24">
        <f t="shared" si="5"/>
        <v>3.2</v>
      </c>
      <c r="U634" s="26">
        <f t="shared" si="6"/>
        <v>0.4615384615</v>
      </c>
      <c r="V634" s="26">
        <f t="shared" si="7"/>
        <v>0.05128205128</v>
      </c>
      <c r="W634" s="19">
        <f t="shared" si="8"/>
        <v>1.071428571</v>
      </c>
      <c r="X634" s="20">
        <f t="shared" si="9"/>
        <v>140</v>
      </c>
      <c r="Y634" s="27"/>
      <c r="Z634" s="17"/>
      <c r="AA634" s="28"/>
      <c r="AB634" s="17"/>
      <c r="AC634" s="28"/>
      <c r="AD634" s="27"/>
    </row>
    <row r="635" ht="15.75" customHeight="1">
      <c r="A635" s="16" t="s">
        <v>1925</v>
      </c>
      <c r="B635" s="16" t="s">
        <v>1928</v>
      </c>
      <c r="C635" s="16" t="s">
        <v>1929</v>
      </c>
      <c r="D635" s="17" t="s">
        <v>847</v>
      </c>
      <c r="E635" s="18" t="s">
        <v>34</v>
      </c>
      <c r="F635" s="18">
        <v>1.0</v>
      </c>
      <c r="G635" s="19">
        <f t="shared" si="1"/>
        <v>1.234589675</v>
      </c>
      <c r="H635" s="17">
        <v>35.0</v>
      </c>
      <c r="I635" s="10">
        <v>140.0</v>
      </c>
      <c r="J635" s="17">
        <v>8.0</v>
      </c>
      <c r="K635" s="17">
        <v>170.0</v>
      </c>
      <c r="L635" s="17"/>
      <c r="M635" s="20">
        <v>15.0</v>
      </c>
      <c r="N635" s="20">
        <v>5.0</v>
      </c>
      <c r="O635" s="20">
        <v>2.0</v>
      </c>
      <c r="P635" s="20">
        <f t="shared" si="2"/>
        <v>8</v>
      </c>
      <c r="Q635" s="21">
        <v>5.0</v>
      </c>
      <c r="R635" s="22">
        <f t="shared" si="3"/>
        <v>113.398</v>
      </c>
      <c r="S635" s="23">
        <f t="shared" si="4"/>
        <v>4</v>
      </c>
      <c r="T635" s="24">
        <f t="shared" si="5"/>
        <v>3</v>
      </c>
      <c r="U635" s="26">
        <f t="shared" si="6"/>
        <v>0.4736842105</v>
      </c>
      <c r="V635" s="26">
        <f t="shared" si="7"/>
        <v>0.05263157895</v>
      </c>
      <c r="W635" s="19">
        <f t="shared" si="8"/>
        <v>1.214285714</v>
      </c>
      <c r="X635" s="20">
        <f t="shared" si="9"/>
        <v>140</v>
      </c>
      <c r="Y635" s="27"/>
      <c r="Z635" s="17"/>
      <c r="AA635" s="28"/>
      <c r="AB635" s="17"/>
      <c r="AC635" s="28"/>
      <c r="AD635" s="16"/>
    </row>
    <row r="636" ht="15.75" customHeight="1">
      <c r="A636" s="16" t="s">
        <v>1925</v>
      </c>
      <c r="B636" s="16" t="s">
        <v>1930</v>
      </c>
      <c r="C636" s="16" t="s">
        <v>1931</v>
      </c>
      <c r="D636" s="17" t="s">
        <v>847</v>
      </c>
      <c r="E636" s="18" t="s">
        <v>34</v>
      </c>
      <c r="F636" s="18">
        <v>1.0</v>
      </c>
      <c r="G636" s="19">
        <f t="shared" si="1"/>
        <v>1.410959629</v>
      </c>
      <c r="H636" s="17">
        <v>40.0</v>
      </c>
      <c r="I636" s="10">
        <v>160.0</v>
      </c>
      <c r="J636" s="17">
        <v>6.0</v>
      </c>
      <c r="K636" s="17">
        <v>220.0</v>
      </c>
      <c r="L636" s="17"/>
      <c r="M636" s="20">
        <v>17.0</v>
      </c>
      <c r="N636" s="20">
        <v>6.0</v>
      </c>
      <c r="O636" s="20">
        <v>4.0</v>
      </c>
      <c r="P636" s="20">
        <f t="shared" si="2"/>
        <v>7</v>
      </c>
      <c r="Q636" s="21">
        <v>6.0</v>
      </c>
      <c r="R636" s="22">
        <f t="shared" si="3"/>
        <v>113.398</v>
      </c>
      <c r="S636" s="23">
        <f t="shared" si="4"/>
        <v>4</v>
      </c>
      <c r="T636" s="24">
        <f t="shared" si="5"/>
        <v>2.833333333</v>
      </c>
      <c r="U636" s="26">
        <f t="shared" si="6"/>
        <v>0.3698630137</v>
      </c>
      <c r="V636" s="26">
        <f t="shared" si="7"/>
        <v>0.1095890411</v>
      </c>
      <c r="W636" s="19">
        <f t="shared" si="8"/>
        <v>1.375</v>
      </c>
      <c r="X636" s="20">
        <f t="shared" si="9"/>
        <v>160</v>
      </c>
      <c r="Y636" s="27"/>
      <c r="Z636" s="17"/>
      <c r="AA636" s="28"/>
      <c r="AB636" s="17"/>
      <c r="AC636" s="28"/>
      <c r="AD636" s="27"/>
    </row>
    <row r="637" ht="15.75" customHeight="1">
      <c r="A637" s="27" t="s">
        <v>1932</v>
      </c>
      <c r="B637" s="27" t="s">
        <v>1075</v>
      </c>
      <c r="C637" s="16" t="s">
        <v>1933</v>
      </c>
      <c r="D637" s="17" t="s">
        <v>212</v>
      </c>
      <c r="E637" s="18" t="s">
        <v>34</v>
      </c>
      <c r="F637" s="18">
        <v>1.0</v>
      </c>
      <c r="G637" s="19">
        <f t="shared" si="1"/>
        <v>1.763699536</v>
      </c>
      <c r="H637" s="17">
        <v>50.0</v>
      </c>
      <c r="I637" s="10">
        <v>200.0</v>
      </c>
      <c r="J637" s="17">
        <v>5.0</v>
      </c>
      <c r="K637" s="17">
        <v>350.0</v>
      </c>
      <c r="L637" s="17"/>
      <c r="M637" s="20">
        <v>28.0</v>
      </c>
      <c r="N637" s="20">
        <v>2.0</v>
      </c>
      <c r="O637" s="20">
        <v>15.0</v>
      </c>
      <c r="P637" s="20">
        <f t="shared" si="2"/>
        <v>11</v>
      </c>
      <c r="Q637" s="21">
        <v>10.0</v>
      </c>
      <c r="R637" s="22">
        <f t="shared" si="3"/>
        <v>113.398</v>
      </c>
      <c r="S637" s="23">
        <f t="shared" si="4"/>
        <v>4</v>
      </c>
      <c r="T637" s="24">
        <f t="shared" si="5"/>
        <v>2.8</v>
      </c>
      <c r="U637" s="26">
        <f t="shared" si="6"/>
        <v>0.2284263959</v>
      </c>
      <c r="V637" s="26">
        <f t="shared" si="7"/>
        <v>0.3045685279</v>
      </c>
      <c r="W637" s="19">
        <f t="shared" si="8"/>
        <v>1.75</v>
      </c>
      <c r="X637" s="20">
        <f t="shared" si="9"/>
        <v>200</v>
      </c>
      <c r="Y637" s="27"/>
      <c r="Z637" s="17"/>
      <c r="AA637" s="28"/>
      <c r="AB637" s="17"/>
      <c r="AC637" s="28"/>
      <c r="AD637" s="16"/>
    </row>
    <row r="638" ht="15.75" customHeight="1">
      <c r="A638" s="27" t="s">
        <v>1934</v>
      </c>
      <c r="B638" s="27" t="s">
        <v>1097</v>
      </c>
      <c r="C638" s="16" t="s">
        <v>1935</v>
      </c>
      <c r="D638" s="17" t="s">
        <v>212</v>
      </c>
      <c r="E638" s="18" t="s">
        <v>34</v>
      </c>
      <c r="F638" s="18">
        <v>1.0</v>
      </c>
      <c r="G638" s="19">
        <f t="shared" si="1"/>
        <v>1.94006949</v>
      </c>
      <c r="H638" s="17">
        <v>55.0</v>
      </c>
      <c r="I638" s="10">
        <v>220.0</v>
      </c>
      <c r="J638" s="17">
        <v>8.0</v>
      </c>
      <c r="K638" s="17">
        <v>100.0</v>
      </c>
      <c r="L638" s="17">
        <v>220.0</v>
      </c>
      <c r="M638" s="20">
        <v>28.0</v>
      </c>
      <c r="N638" s="20">
        <v>1.0</v>
      </c>
      <c r="O638" s="20">
        <v>22.0</v>
      </c>
      <c r="P638" s="20">
        <f t="shared" si="2"/>
        <v>5</v>
      </c>
      <c r="Q638" s="21">
        <v>10.0</v>
      </c>
      <c r="R638" s="22">
        <f t="shared" si="3"/>
        <v>113.398</v>
      </c>
      <c r="S638" s="23">
        <f t="shared" si="4"/>
        <v>4</v>
      </c>
      <c r="T638" s="24">
        <f t="shared" si="5"/>
        <v>2.8</v>
      </c>
      <c r="U638" s="26">
        <f t="shared" si="6"/>
        <v>0.3214285714</v>
      </c>
      <c r="V638" s="26">
        <f t="shared" si="7"/>
        <v>0.3928571429</v>
      </c>
      <c r="W638" s="19">
        <f t="shared" si="8"/>
        <v>0.4545454545</v>
      </c>
      <c r="X638" s="20">
        <f t="shared" si="9"/>
        <v>220</v>
      </c>
      <c r="Y638" s="27"/>
      <c r="Z638" s="17"/>
      <c r="AA638" s="28"/>
      <c r="AB638" s="17"/>
      <c r="AC638" s="28"/>
      <c r="AD638" s="27"/>
    </row>
    <row r="639" ht="15.75" customHeight="1">
      <c r="A639" s="27" t="s">
        <v>1845</v>
      </c>
      <c r="B639" s="27" t="s">
        <v>1936</v>
      </c>
      <c r="C639" s="16" t="s">
        <v>1937</v>
      </c>
      <c r="D639" s="17" t="s">
        <v>212</v>
      </c>
      <c r="E639" s="18" t="s">
        <v>34</v>
      </c>
      <c r="F639" s="18">
        <v>1.0</v>
      </c>
      <c r="G639" s="19">
        <f t="shared" si="1"/>
        <v>1.410959629</v>
      </c>
      <c r="H639" s="17">
        <v>40.0</v>
      </c>
      <c r="I639" s="10">
        <v>160.0</v>
      </c>
      <c r="J639" s="17">
        <v>7.0</v>
      </c>
      <c r="K639" s="17">
        <v>85.0</v>
      </c>
      <c r="L639" s="17"/>
      <c r="M639" s="20">
        <v>20.0</v>
      </c>
      <c r="N639" s="20">
        <v>6.0</v>
      </c>
      <c r="O639" s="20">
        <v>9.0</v>
      </c>
      <c r="P639" s="20">
        <f t="shared" si="2"/>
        <v>5</v>
      </c>
      <c r="Q639" s="21">
        <v>8.0</v>
      </c>
      <c r="R639" s="22">
        <f t="shared" si="3"/>
        <v>113.398</v>
      </c>
      <c r="S639" s="23">
        <f t="shared" si="4"/>
        <v>4</v>
      </c>
      <c r="T639" s="24">
        <f t="shared" si="5"/>
        <v>2.5</v>
      </c>
      <c r="U639" s="26">
        <f t="shared" si="6"/>
        <v>0.36</v>
      </c>
      <c r="V639" s="26">
        <f t="shared" si="7"/>
        <v>0.2057142857</v>
      </c>
      <c r="W639" s="19">
        <f t="shared" si="8"/>
        <v>0.53125</v>
      </c>
      <c r="X639" s="20">
        <f t="shared" si="9"/>
        <v>160</v>
      </c>
      <c r="Y639" s="27"/>
      <c r="Z639" s="17"/>
      <c r="AA639" s="28"/>
      <c r="AB639" s="17"/>
      <c r="AC639" s="28"/>
      <c r="AD639" s="27"/>
    </row>
    <row r="640" ht="15.75" customHeight="1">
      <c r="A640" s="27" t="s">
        <v>1505</v>
      </c>
      <c r="B640" s="27" t="s">
        <v>1318</v>
      </c>
      <c r="C640" s="16" t="s">
        <v>1938</v>
      </c>
      <c r="D640" s="17" t="s">
        <v>212</v>
      </c>
      <c r="E640" s="18" t="s">
        <v>34</v>
      </c>
      <c r="F640" s="18">
        <v>1.0</v>
      </c>
      <c r="G640" s="19">
        <f t="shared" si="1"/>
        <v>1.587329583</v>
      </c>
      <c r="H640" s="17">
        <v>45.0</v>
      </c>
      <c r="I640" s="10">
        <v>180.0</v>
      </c>
      <c r="J640" s="17">
        <v>5.0</v>
      </c>
      <c r="K640" s="17">
        <v>170.0</v>
      </c>
      <c r="L640" s="17">
        <v>85.0</v>
      </c>
      <c r="M640" s="20">
        <v>24.0</v>
      </c>
      <c r="N640" s="20">
        <v>1.0</v>
      </c>
      <c r="O640" s="20">
        <v>18.0</v>
      </c>
      <c r="P640" s="20">
        <f t="shared" si="2"/>
        <v>5</v>
      </c>
      <c r="Q640" s="21">
        <v>10.0</v>
      </c>
      <c r="R640" s="22">
        <f t="shared" si="3"/>
        <v>113.398</v>
      </c>
      <c r="S640" s="23">
        <f t="shared" si="4"/>
        <v>4</v>
      </c>
      <c r="T640" s="24">
        <f t="shared" si="5"/>
        <v>2.4</v>
      </c>
      <c r="U640" s="26">
        <f t="shared" si="6"/>
        <v>0.2486187845</v>
      </c>
      <c r="V640" s="26">
        <f t="shared" si="7"/>
        <v>0.3977900552</v>
      </c>
      <c r="W640" s="19">
        <f t="shared" si="8"/>
        <v>0.9444444444</v>
      </c>
      <c r="X640" s="20">
        <f t="shared" si="9"/>
        <v>180</v>
      </c>
      <c r="Y640" s="27"/>
      <c r="Z640" s="17"/>
      <c r="AA640" s="28"/>
      <c r="AB640" s="17"/>
      <c r="AC640" s="28"/>
      <c r="AD640" s="27"/>
    </row>
    <row r="641" ht="15.75" customHeight="1">
      <c r="A641" s="16" t="s">
        <v>1925</v>
      </c>
      <c r="B641" s="16" t="s">
        <v>1939</v>
      </c>
      <c r="C641" s="16" t="s">
        <v>1940</v>
      </c>
      <c r="D641" s="17" t="s">
        <v>847</v>
      </c>
      <c r="E641" s="18" t="s">
        <v>34</v>
      </c>
      <c r="F641" s="18">
        <v>1.0</v>
      </c>
      <c r="G641" s="19">
        <f t="shared" si="1"/>
        <v>1.234589675</v>
      </c>
      <c r="H641" s="17">
        <v>35.0</v>
      </c>
      <c r="I641" s="10">
        <v>140.0</v>
      </c>
      <c r="J641" s="17">
        <v>8.0</v>
      </c>
      <c r="K641" s="17">
        <v>130.0</v>
      </c>
      <c r="L641" s="17"/>
      <c r="M641" s="20">
        <v>14.0</v>
      </c>
      <c r="N641" s="20">
        <v>5.0</v>
      </c>
      <c r="O641" s="20">
        <v>1.0</v>
      </c>
      <c r="P641" s="20">
        <f t="shared" si="2"/>
        <v>8</v>
      </c>
      <c r="Q641" s="21">
        <v>6.0</v>
      </c>
      <c r="R641" s="22">
        <f t="shared" si="3"/>
        <v>113.398</v>
      </c>
      <c r="S641" s="23">
        <f t="shared" si="4"/>
        <v>4</v>
      </c>
      <c r="T641" s="24">
        <f t="shared" si="5"/>
        <v>2.333333333</v>
      </c>
      <c r="U641" s="26">
        <f t="shared" si="6"/>
        <v>0.4736842105</v>
      </c>
      <c r="V641" s="26">
        <f t="shared" si="7"/>
        <v>0.02631578947</v>
      </c>
      <c r="W641" s="19">
        <f t="shared" si="8"/>
        <v>0.9285714286</v>
      </c>
      <c r="X641" s="20">
        <f t="shared" si="9"/>
        <v>140</v>
      </c>
      <c r="Y641" s="27"/>
      <c r="Z641" s="17"/>
      <c r="AA641" s="28"/>
      <c r="AB641" s="17"/>
      <c r="AC641" s="28"/>
      <c r="AD641" s="27"/>
    </row>
    <row r="642" ht="15.75" customHeight="1">
      <c r="A642" s="27" t="s">
        <v>518</v>
      </c>
      <c r="B642" s="27" t="s">
        <v>1941</v>
      </c>
      <c r="C642" s="16" t="s">
        <v>1942</v>
      </c>
      <c r="D642" s="17" t="s">
        <v>318</v>
      </c>
      <c r="E642" s="18" t="s">
        <v>34</v>
      </c>
      <c r="F642" s="18">
        <v>1.0</v>
      </c>
      <c r="G642" s="19">
        <f t="shared" si="1"/>
        <v>2.821919258</v>
      </c>
      <c r="H642" s="17">
        <v>80.0</v>
      </c>
      <c r="I642" s="10">
        <v>320.0</v>
      </c>
      <c r="J642" s="17">
        <v>15.0</v>
      </c>
      <c r="K642" s="17">
        <v>140.0</v>
      </c>
      <c r="L642" s="17"/>
      <c r="M642" s="20">
        <v>37.0</v>
      </c>
      <c r="N642" s="20">
        <v>13.0</v>
      </c>
      <c r="O642" s="20">
        <v>16.0</v>
      </c>
      <c r="P642" s="20">
        <f t="shared" si="2"/>
        <v>8</v>
      </c>
      <c r="Q642" s="21">
        <v>16.0</v>
      </c>
      <c r="R642" s="22">
        <f t="shared" si="3"/>
        <v>113.398</v>
      </c>
      <c r="S642" s="23">
        <f t="shared" si="4"/>
        <v>4</v>
      </c>
      <c r="T642" s="24">
        <f t="shared" si="5"/>
        <v>2.3125</v>
      </c>
      <c r="U642" s="26">
        <f t="shared" si="6"/>
        <v>0.3890489914</v>
      </c>
      <c r="V642" s="26">
        <f t="shared" si="7"/>
        <v>0.1844380403</v>
      </c>
      <c r="W642" s="19">
        <f t="shared" si="8"/>
        <v>0.4375</v>
      </c>
      <c r="X642" s="20">
        <f t="shared" si="9"/>
        <v>320</v>
      </c>
      <c r="Y642" s="27"/>
      <c r="Z642" s="17"/>
      <c r="AA642" s="28"/>
      <c r="AB642" s="17"/>
      <c r="AC642" s="28"/>
      <c r="AD642" s="27"/>
    </row>
    <row r="643" ht="15.75" customHeight="1">
      <c r="A643" s="27" t="s">
        <v>518</v>
      </c>
      <c r="B643" s="27" t="s">
        <v>1943</v>
      </c>
      <c r="C643" s="16" t="s">
        <v>1944</v>
      </c>
      <c r="D643" s="17" t="s">
        <v>318</v>
      </c>
      <c r="E643" s="18" t="s">
        <v>34</v>
      </c>
      <c r="F643" s="18">
        <v>1.0</v>
      </c>
      <c r="G643" s="19">
        <f t="shared" si="1"/>
        <v>2.821919258</v>
      </c>
      <c r="H643" s="17">
        <v>80.0</v>
      </c>
      <c r="I643" s="10">
        <v>320.0</v>
      </c>
      <c r="J643" s="17">
        <v>14.0</v>
      </c>
      <c r="K643" s="17">
        <v>135.0</v>
      </c>
      <c r="L643" s="17"/>
      <c r="M643" s="20">
        <v>37.0</v>
      </c>
      <c r="N643" s="20">
        <v>12.0</v>
      </c>
      <c r="O643" s="20">
        <v>17.0</v>
      </c>
      <c r="P643" s="20">
        <f t="shared" si="2"/>
        <v>8</v>
      </c>
      <c r="Q643" s="21">
        <v>16.0</v>
      </c>
      <c r="R643" s="22">
        <f t="shared" si="3"/>
        <v>113.398</v>
      </c>
      <c r="S643" s="23">
        <f t="shared" si="4"/>
        <v>4</v>
      </c>
      <c r="T643" s="24">
        <f t="shared" si="5"/>
        <v>2.3125</v>
      </c>
      <c r="U643" s="26">
        <f t="shared" si="6"/>
        <v>0.3727810651</v>
      </c>
      <c r="V643" s="26">
        <f t="shared" si="7"/>
        <v>0.201183432</v>
      </c>
      <c r="W643" s="19">
        <f t="shared" si="8"/>
        <v>0.421875</v>
      </c>
      <c r="X643" s="20">
        <f t="shared" si="9"/>
        <v>320</v>
      </c>
      <c r="Y643" s="27"/>
      <c r="Z643" s="17"/>
      <c r="AA643" s="28"/>
      <c r="AB643" s="17"/>
      <c r="AC643" s="28"/>
      <c r="AD643" s="27"/>
    </row>
    <row r="644" ht="15.75" customHeight="1">
      <c r="A644" s="16" t="s">
        <v>1945</v>
      </c>
      <c r="B644" s="16" t="s">
        <v>1946</v>
      </c>
      <c r="C644" s="16" t="s">
        <v>1947</v>
      </c>
      <c r="D644" s="17" t="s">
        <v>212</v>
      </c>
      <c r="E644" s="18" t="s">
        <v>34</v>
      </c>
      <c r="F644" s="18">
        <v>1.0</v>
      </c>
      <c r="G644" s="19">
        <f t="shared" si="1"/>
        <v>1.763699536</v>
      </c>
      <c r="H644" s="17">
        <v>50.0</v>
      </c>
      <c r="I644" s="10">
        <v>200.0</v>
      </c>
      <c r="J644" s="17">
        <v>9.0</v>
      </c>
      <c r="K644" s="17">
        <v>180.0</v>
      </c>
      <c r="L644" s="17">
        <v>80.0</v>
      </c>
      <c r="M644" s="20">
        <v>23.0</v>
      </c>
      <c r="N644" s="20">
        <v>3.0</v>
      </c>
      <c r="O644" s="20">
        <v>12.0</v>
      </c>
      <c r="P644" s="20">
        <f t="shared" si="2"/>
        <v>8</v>
      </c>
      <c r="Q644" s="21">
        <v>12.0</v>
      </c>
      <c r="R644" s="22">
        <f t="shared" si="3"/>
        <v>113.398</v>
      </c>
      <c r="S644" s="23">
        <f t="shared" si="4"/>
        <v>4</v>
      </c>
      <c r="T644" s="24">
        <f t="shared" si="5"/>
        <v>1.916666667</v>
      </c>
      <c r="U644" s="26">
        <f t="shared" si="6"/>
        <v>0.3665158371</v>
      </c>
      <c r="V644" s="26">
        <f t="shared" si="7"/>
        <v>0.2171945701</v>
      </c>
      <c r="W644" s="19">
        <f t="shared" si="8"/>
        <v>0.9</v>
      </c>
      <c r="X644" s="20">
        <f t="shared" si="9"/>
        <v>200</v>
      </c>
      <c r="Y644" s="27"/>
      <c r="Z644" s="17"/>
      <c r="AA644" s="28"/>
      <c r="AB644" s="17"/>
      <c r="AC644" s="28"/>
      <c r="AD644" s="16"/>
    </row>
    <row r="645" ht="15.75" customHeight="1">
      <c r="A645" s="16" t="s">
        <v>1948</v>
      </c>
      <c r="B645" s="16" t="s">
        <v>1949</v>
      </c>
      <c r="C645" s="16" t="s">
        <v>1950</v>
      </c>
      <c r="D645" s="17" t="s">
        <v>212</v>
      </c>
      <c r="E645" s="18" t="s">
        <v>34</v>
      </c>
      <c r="F645" s="18">
        <v>1.0</v>
      </c>
      <c r="G645" s="19">
        <f t="shared" si="1"/>
        <v>1.587329583</v>
      </c>
      <c r="H645" s="17">
        <v>45.0</v>
      </c>
      <c r="I645" s="10">
        <v>180.0</v>
      </c>
      <c r="J645" s="17">
        <v>6.0</v>
      </c>
      <c r="K645" s="17">
        <v>210.0</v>
      </c>
      <c r="L645" s="17"/>
      <c r="M645" s="20">
        <v>22.0</v>
      </c>
      <c r="N645" s="20">
        <v>5.0</v>
      </c>
      <c r="O645" s="20">
        <v>13.0</v>
      </c>
      <c r="P645" s="20">
        <f t="shared" si="2"/>
        <v>4</v>
      </c>
      <c r="Q645" s="21">
        <v>12.0</v>
      </c>
      <c r="R645" s="22">
        <f t="shared" si="3"/>
        <v>113.398</v>
      </c>
      <c r="S645" s="23">
        <f t="shared" si="4"/>
        <v>4</v>
      </c>
      <c r="T645" s="24">
        <f t="shared" si="5"/>
        <v>1.833333333</v>
      </c>
      <c r="U645" s="26">
        <f t="shared" si="6"/>
        <v>0.2842105263</v>
      </c>
      <c r="V645" s="26">
        <f t="shared" si="7"/>
        <v>0.2736842105</v>
      </c>
      <c r="W645" s="19">
        <f t="shared" si="8"/>
        <v>1.166666667</v>
      </c>
      <c r="X645" s="20">
        <f t="shared" si="9"/>
        <v>180</v>
      </c>
      <c r="Y645" s="27"/>
      <c r="Z645" s="17"/>
      <c r="AA645" s="28"/>
      <c r="AB645" s="17"/>
      <c r="AC645" s="28"/>
      <c r="AD645" s="27"/>
    </row>
    <row r="646" ht="15.75" customHeight="1">
      <c r="A646" s="27" t="s">
        <v>1948</v>
      </c>
      <c r="B646" s="27" t="s">
        <v>1951</v>
      </c>
      <c r="C646" s="16" t="s">
        <v>1952</v>
      </c>
      <c r="D646" s="17" t="s">
        <v>212</v>
      </c>
      <c r="E646" s="18" t="s">
        <v>34</v>
      </c>
      <c r="F646" s="18">
        <v>1.0</v>
      </c>
      <c r="G646" s="19">
        <f t="shared" si="1"/>
        <v>1.587329583</v>
      </c>
      <c r="H646" s="17">
        <v>45.0</v>
      </c>
      <c r="I646" s="10">
        <v>180.0</v>
      </c>
      <c r="J646" s="17">
        <v>6.0</v>
      </c>
      <c r="K646" s="17">
        <v>210.0</v>
      </c>
      <c r="L646" s="17"/>
      <c r="M646" s="20">
        <v>22.0</v>
      </c>
      <c r="N646" s="20">
        <v>5.0</v>
      </c>
      <c r="O646" s="20">
        <v>13.0</v>
      </c>
      <c r="P646" s="20">
        <f t="shared" si="2"/>
        <v>4</v>
      </c>
      <c r="Q646" s="21">
        <v>12.0</v>
      </c>
      <c r="R646" s="22">
        <f t="shared" si="3"/>
        <v>113.398</v>
      </c>
      <c r="S646" s="23">
        <f t="shared" si="4"/>
        <v>4</v>
      </c>
      <c r="T646" s="24">
        <f t="shared" si="5"/>
        <v>1.833333333</v>
      </c>
      <c r="U646" s="26">
        <f t="shared" si="6"/>
        <v>0.2842105263</v>
      </c>
      <c r="V646" s="26">
        <f t="shared" si="7"/>
        <v>0.2736842105</v>
      </c>
      <c r="W646" s="19">
        <f t="shared" si="8"/>
        <v>1.166666667</v>
      </c>
      <c r="X646" s="20">
        <f t="shared" si="9"/>
        <v>180</v>
      </c>
      <c r="Y646" s="27"/>
      <c r="Z646" s="17"/>
      <c r="AA646" s="28"/>
      <c r="AB646" s="17"/>
      <c r="AC646" s="28"/>
      <c r="AD646" s="27"/>
    </row>
    <row r="647" ht="15.75" customHeight="1">
      <c r="A647" s="27" t="s">
        <v>139</v>
      </c>
      <c r="B647" s="27" t="s">
        <v>1953</v>
      </c>
      <c r="C647" s="16" t="s">
        <v>1954</v>
      </c>
      <c r="D647" s="17" t="s">
        <v>203</v>
      </c>
      <c r="E647" s="18" t="s">
        <v>34</v>
      </c>
      <c r="F647" s="18">
        <v>1.0</v>
      </c>
      <c r="G647" s="19">
        <f t="shared" si="1"/>
        <v>1.058219722</v>
      </c>
      <c r="H647" s="17">
        <v>30.0</v>
      </c>
      <c r="I647" s="10">
        <v>120.0</v>
      </c>
      <c r="J647" s="17">
        <v>11.0</v>
      </c>
      <c r="K647" s="17">
        <v>160.0</v>
      </c>
      <c r="L647" s="17"/>
      <c r="M647" s="20">
        <v>11.0</v>
      </c>
      <c r="N647" s="20">
        <v>2.0</v>
      </c>
      <c r="O647" s="20">
        <v>2.0</v>
      </c>
      <c r="P647" s="20">
        <f t="shared" si="2"/>
        <v>7</v>
      </c>
      <c r="Q647" s="21">
        <v>6.0</v>
      </c>
      <c r="R647" s="22">
        <f t="shared" si="3"/>
        <v>113.398</v>
      </c>
      <c r="S647" s="23">
        <f t="shared" si="4"/>
        <v>4</v>
      </c>
      <c r="T647" s="24">
        <f t="shared" si="5"/>
        <v>1.833333333</v>
      </c>
      <c r="U647" s="26">
        <f t="shared" si="6"/>
        <v>0.5928143713</v>
      </c>
      <c r="V647" s="26">
        <f t="shared" si="7"/>
        <v>0.04790419162</v>
      </c>
      <c r="W647" s="19">
        <f t="shared" si="8"/>
        <v>1.333333333</v>
      </c>
      <c r="X647" s="20">
        <f t="shared" si="9"/>
        <v>120</v>
      </c>
      <c r="Y647" s="27"/>
      <c r="Z647" s="17"/>
      <c r="AA647" s="28"/>
      <c r="AB647" s="17"/>
      <c r="AC647" s="28"/>
      <c r="AD647" s="27"/>
    </row>
    <row r="648" ht="15.75" customHeight="1">
      <c r="A648" s="16" t="s">
        <v>1505</v>
      </c>
      <c r="B648" s="16" t="s">
        <v>1955</v>
      </c>
      <c r="C648" s="16" t="s">
        <v>1956</v>
      </c>
      <c r="D648" s="17" t="s">
        <v>212</v>
      </c>
      <c r="E648" s="18" t="s">
        <v>34</v>
      </c>
      <c r="F648" s="18">
        <v>1.0</v>
      </c>
      <c r="G648" s="19">
        <f t="shared" si="1"/>
        <v>1.763699536</v>
      </c>
      <c r="H648" s="17">
        <v>50.0</v>
      </c>
      <c r="I648" s="10">
        <v>200.0</v>
      </c>
      <c r="J648" s="17">
        <v>6.0</v>
      </c>
      <c r="K648" s="17">
        <v>200.0</v>
      </c>
      <c r="L648" s="17">
        <v>75.0</v>
      </c>
      <c r="M648" s="20">
        <v>25.0</v>
      </c>
      <c r="N648" s="20">
        <v>3.0</v>
      </c>
      <c r="O648" s="20">
        <v>16.0</v>
      </c>
      <c r="P648" s="20">
        <f t="shared" si="2"/>
        <v>6</v>
      </c>
      <c r="Q648" s="21">
        <v>14.0</v>
      </c>
      <c r="R648" s="22">
        <f t="shared" si="3"/>
        <v>113.398</v>
      </c>
      <c r="S648" s="23">
        <f t="shared" si="4"/>
        <v>4</v>
      </c>
      <c r="T648" s="24">
        <f t="shared" si="5"/>
        <v>1.785714286</v>
      </c>
      <c r="U648" s="26">
        <f t="shared" si="6"/>
        <v>0.2571428571</v>
      </c>
      <c r="V648" s="26">
        <f t="shared" si="7"/>
        <v>0.3047619048</v>
      </c>
      <c r="W648" s="19">
        <f t="shared" si="8"/>
        <v>1</v>
      </c>
      <c r="X648" s="20">
        <f t="shared" si="9"/>
        <v>200</v>
      </c>
      <c r="Y648" s="27"/>
      <c r="Z648" s="17"/>
      <c r="AA648" s="17"/>
      <c r="AB648" s="17"/>
      <c r="AC648" s="17"/>
      <c r="AD648" s="27"/>
    </row>
    <row r="649" ht="15.75" customHeight="1">
      <c r="A649" s="16" t="s">
        <v>1790</v>
      </c>
      <c r="B649" s="16" t="s">
        <v>1957</v>
      </c>
      <c r="C649" s="16" t="s">
        <v>1958</v>
      </c>
      <c r="D649" s="17" t="s">
        <v>212</v>
      </c>
      <c r="E649" s="18" t="s">
        <v>34</v>
      </c>
      <c r="F649" s="18">
        <v>1.0</v>
      </c>
      <c r="G649" s="19">
        <f t="shared" si="1"/>
        <v>2.469179351</v>
      </c>
      <c r="H649" s="17">
        <v>70.0</v>
      </c>
      <c r="I649" s="10">
        <v>280.0</v>
      </c>
      <c r="J649" s="17">
        <v>7.0</v>
      </c>
      <c r="K649" s="17">
        <v>320.0</v>
      </c>
      <c r="L649" s="17">
        <v>130.0</v>
      </c>
      <c r="M649" s="20">
        <v>34.0</v>
      </c>
      <c r="N649" s="20">
        <v>2.0</v>
      </c>
      <c r="O649" s="20">
        <v>14.0</v>
      </c>
      <c r="P649" s="20">
        <f t="shared" si="2"/>
        <v>18</v>
      </c>
      <c r="Q649" s="21">
        <v>20.0</v>
      </c>
      <c r="R649" s="22">
        <f t="shared" si="3"/>
        <v>113.398</v>
      </c>
      <c r="S649" s="23">
        <f t="shared" si="4"/>
        <v>4</v>
      </c>
      <c r="T649" s="24">
        <f t="shared" si="5"/>
        <v>1.7</v>
      </c>
      <c r="U649" s="26">
        <f t="shared" si="6"/>
        <v>0.2258064516</v>
      </c>
      <c r="V649" s="26">
        <f t="shared" si="7"/>
        <v>0.2007168459</v>
      </c>
      <c r="W649" s="19">
        <f t="shared" si="8"/>
        <v>1.142857143</v>
      </c>
      <c r="X649" s="20">
        <f t="shared" si="9"/>
        <v>280</v>
      </c>
      <c r="Y649" s="27"/>
      <c r="Z649" s="17"/>
      <c r="AA649" s="28"/>
      <c r="AB649" s="17"/>
      <c r="AC649" s="28"/>
      <c r="AD649" s="27"/>
    </row>
    <row r="650" ht="15.75" customHeight="1">
      <c r="A650" s="16" t="s">
        <v>1790</v>
      </c>
      <c r="B650" s="16" t="s">
        <v>1959</v>
      </c>
      <c r="C650" s="16" t="s">
        <v>1960</v>
      </c>
      <c r="D650" s="17" t="s">
        <v>212</v>
      </c>
      <c r="E650" s="18" t="s">
        <v>34</v>
      </c>
      <c r="F650" s="18">
        <v>1.0</v>
      </c>
      <c r="G650" s="19">
        <f t="shared" si="1"/>
        <v>2.469179351</v>
      </c>
      <c r="H650" s="17">
        <v>70.0</v>
      </c>
      <c r="I650" s="10">
        <v>280.0</v>
      </c>
      <c r="J650" s="17">
        <v>8.0</v>
      </c>
      <c r="K650" s="17">
        <v>440.0</v>
      </c>
      <c r="L650" s="17">
        <v>120.0</v>
      </c>
      <c r="M650" s="20">
        <v>33.0</v>
      </c>
      <c r="N650" s="20">
        <v>4.0</v>
      </c>
      <c r="O650" s="20">
        <v>15.0</v>
      </c>
      <c r="P650" s="20">
        <f t="shared" si="2"/>
        <v>14</v>
      </c>
      <c r="Q650" s="21">
        <v>20.0</v>
      </c>
      <c r="R650" s="22">
        <f t="shared" si="3"/>
        <v>113.398</v>
      </c>
      <c r="S650" s="23">
        <f t="shared" si="4"/>
        <v>4</v>
      </c>
      <c r="T650" s="24">
        <f t="shared" si="5"/>
        <v>1.65</v>
      </c>
      <c r="U650" s="26">
        <f t="shared" si="6"/>
        <v>0.2535211268</v>
      </c>
      <c r="V650" s="26">
        <f t="shared" si="7"/>
        <v>0.2112676056</v>
      </c>
      <c r="W650" s="19">
        <f t="shared" si="8"/>
        <v>1.571428571</v>
      </c>
      <c r="X650" s="20">
        <f t="shared" si="9"/>
        <v>280</v>
      </c>
      <c r="Y650" s="27"/>
      <c r="Z650" s="17"/>
      <c r="AA650" s="28"/>
      <c r="AB650" s="17"/>
      <c r="AC650" s="28"/>
      <c r="AD650" s="27"/>
    </row>
    <row r="651" ht="15.75" customHeight="1">
      <c r="A651" s="27" t="s">
        <v>1961</v>
      </c>
      <c r="B651" s="27" t="s">
        <v>1962</v>
      </c>
      <c r="C651" s="16" t="s">
        <v>1963</v>
      </c>
      <c r="D651" s="17" t="s">
        <v>212</v>
      </c>
      <c r="E651" s="18" t="s">
        <v>34</v>
      </c>
      <c r="F651" s="18">
        <v>1.0</v>
      </c>
      <c r="G651" s="19">
        <f t="shared" si="1"/>
        <v>1.763699536</v>
      </c>
      <c r="H651" s="17">
        <v>50.0</v>
      </c>
      <c r="I651" s="10">
        <v>200.0</v>
      </c>
      <c r="J651" s="17">
        <v>7.0</v>
      </c>
      <c r="K651" s="17">
        <v>190.0</v>
      </c>
      <c r="L651" s="17">
        <v>200.0</v>
      </c>
      <c r="M651" s="20">
        <v>23.0</v>
      </c>
      <c r="N651" s="20">
        <v>2.0</v>
      </c>
      <c r="O651" s="20">
        <v>16.0</v>
      </c>
      <c r="P651" s="20">
        <f t="shared" si="2"/>
        <v>5</v>
      </c>
      <c r="Q651" s="21">
        <v>14.0</v>
      </c>
      <c r="R651" s="22">
        <f t="shared" si="3"/>
        <v>113.398</v>
      </c>
      <c r="S651" s="23">
        <f t="shared" si="4"/>
        <v>4</v>
      </c>
      <c r="T651" s="24">
        <f t="shared" si="5"/>
        <v>1.642857143</v>
      </c>
      <c r="U651" s="26">
        <f t="shared" si="6"/>
        <v>0.2985781991</v>
      </c>
      <c r="V651" s="26">
        <f t="shared" si="7"/>
        <v>0.3033175355</v>
      </c>
      <c r="W651" s="19">
        <f t="shared" si="8"/>
        <v>0.95</v>
      </c>
      <c r="X651" s="20">
        <f t="shared" si="9"/>
        <v>200</v>
      </c>
      <c r="Y651" s="27"/>
      <c r="Z651" s="17"/>
      <c r="AA651" s="28"/>
      <c r="AB651" s="17"/>
      <c r="AC651" s="28"/>
      <c r="AD651" s="27"/>
    </row>
    <row r="652" ht="15.75" customHeight="1">
      <c r="A652" s="27" t="s">
        <v>1741</v>
      </c>
      <c r="B652" s="27" t="s">
        <v>1964</v>
      </c>
      <c r="C652" s="16" t="s">
        <v>1965</v>
      </c>
      <c r="D652" s="17" t="s">
        <v>212</v>
      </c>
      <c r="E652" s="18" t="s">
        <v>34</v>
      </c>
      <c r="F652" s="18">
        <v>1.0</v>
      </c>
      <c r="G652" s="19">
        <f t="shared" si="1"/>
        <v>3.527399072</v>
      </c>
      <c r="H652" s="17">
        <v>100.0</v>
      </c>
      <c r="I652" s="10">
        <v>400.0</v>
      </c>
      <c r="J652" s="17">
        <v>10.0</v>
      </c>
      <c r="K652" s="17">
        <v>330.0</v>
      </c>
      <c r="L652" s="17">
        <v>160.0</v>
      </c>
      <c r="M652" s="20">
        <v>46.0</v>
      </c>
      <c r="N652" s="20">
        <v>2.0</v>
      </c>
      <c r="O652" s="20">
        <v>32.0</v>
      </c>
      <c r="P652" s="20">
        <f t="shared" si="2"/>
        <v>12</v>
      </c>
      <c r="Q652" s="21">
        <v>30.0</v>
      </c>
      <c r="R652" s="22">
        <f t="shared" si="3"/>
        <v>113.398</v>
      </c>
      <c r="S652" s="23">
        <f t="shared" si="4"/>
        <v>4</v>
      </c>
      <c r="T652" s="24">
        <f t="shared" si="5"/>
        <v>1.533333333</v>
      </c>
      <c r="U652" s="26">
        <f t="shared" si="6"/>
        <v>0.2284263959</v>
      </c>
      <c r="V652" s="26">
        <f t="shared" si="7"/>
        <v>0.3248730964</v>
      </c>
      <c r="W652" s="19">
        <f t="shared" si="8"/>
        <v>0.825</v>
      </c>
      <c r="X652" s="20">
        <f t="shared" si="9"/>
        <v>400</v>
      </c>
      <c r="Y652" s="27"/>
      <c r="Z652" s="17"/>
      <c r="AA652" s="28"/>
      <c r="AB652" s="17"/>
      <c r="AC652" s="28"/>
      <c r="AD652" s="27"/>
    </row>
    <row r="653" ht="15.75" customHeight="1">
      <c r="A653" s="16" t="s">
        <v>1966</v>
      </c>
      <c r="B653" s="16" t="s">
        <v>1967</v>
      </c>
      <c r="C653" s="16" t="s">
        <v>1968</v>
      </c>
      <c r="D653" s="17" t="s">
        <v>212</v>
      </c>
      <c r="E653" s="18" t="s">
        <v>34</v>
      </c>
      <c r="F653" s="18">
        <v>1.0</v>
      </c>
      <c r="G653" s="19">
        <f t="shared" si="1"/>
        <v>2.116439443</v>
      </c>
      <c r="H653" s="17">
        <v>60.0</v>
      </c>
      <c r="I653" s="10">
        <v>240.0</v>
      </c>
      <c r="J653" s="17">
        <v>9.0</v>
      </c>
      <c r="K653" s="17">
        <v>320.0</v>
      </c>
      <c r="L653" s="17"/>
      <c r="M653" s="20">
        <v>23.0</v>
      </c>
      <c r="N653" s="20">
        <v>1.0</v>
      </c>
      <c r="O653" s="20">
        <v>0.0</v>
      </c>
      <c r="P653" s="20">
        <f t="shared" si="2"/>
        <v>22</v>
      </c>
      <c r="Q653" s="21">
        <v>20.0</v>
      </c>
      <c r="R653" s="22">
        <f t="shared" si="3"/>
        <v>113.398</v>
      </c>
      <c r="S653" s="23">
        <f t="shared" si="4"/>
        <v>4</v>
      </c>
      <c r="T653" s="24">
        <f t="shared" si="5"/>
        <v>1.15</v>
      </c>
      <c r="U653" s="26">
        <f t="shared" si="6"/>
        <v>0.3201581028</v>
      </c>
      <c r="V653" s="26" t="str">
        <f t="shared" si="7"/>
        <v>0%</v>
      </c>
      <c r="W653" s="19">
        <f t="shared" si="8"/>
        <v>1.333333333</v>
      </c>
      <c r="X653" s="20">
        <f t="shared" si="9"/>
        <v>240</v>
      </c>
      <c r="Y653" s="27"/>
      <c r="Z653" s="17"/>
      <c r="AA653" s="28"/>
      <c r="AB653" s="17"/>
      <c r="AC653" s="28"/>
      <c r="AD653" s="16"/>
    </row>
    <row r="654" ht="15.75" customHeight="1">
      <c r="A654" s="16" t="s">
        <v>1969</v>
      </c>
      <c r="B654" s="16" t="s">
        <v>1970</v>
      </c>
      <c r="C654" s="16" t="s">
        <v>1971</v>
      </c>
      <c r="D654" s="17" t="s">
        <v>212</v>
      </c>
      <c r="E654" s="18" t="s">
        <v>34</v>
      </c>
      <c r="F654" s="18">
        <v>1.0</v>
      </c>
      <c r="G654" s="19">
        <f t="shared" si="1"/>
        <v>1.763699536</v>
      </c>
      <c r="H654" s="17">
        <v>50.0</v>
      </c>
      <c r="I654" s="10">
        <v>200.0</v>
      </c>
      <c r="J654" s="17">
        <v>5.0</v>
      </c>
      <c r="K654" s="17">
        <v>210.0</v>
      </c>
      <c r="L654" s="17"/>
      <c r="M654" s="20">
        <v>20.0</v>
      </c>
      <c r="N654" s="20">
        <v>0.0</v>
      </c>
      <c r="O654" s="20">
        <v>3.0</v>
      </c>
      <c r="P654" s="20">
        <f t="shared" si="2"/>
        <v>17</v>
      </c>
      <c r="Q654" s="21">
        <v>19.0</v>
      </c>
      <c r="R654" s="22">
        <f t="shared" si="3"/>
        <v>113.398</v>
      </c>
      <c r="S654" s="23">
        <f t="shared" si="4"/>
        <v>4</v>
      </c>
      <c r="T654" s="24">
        <f t="shared" si="5"/>
        <v>1.052631579</v>
      </c>
      <c r="U654" s="26">
        <f t="shared" si="6"/>
        <v>0.223880597</v>
      </c>
      <c r="V654" s="26">
        <f t="shared" si="7"/>
        <v>0.05970149254</v>
      </c>
      <c r="W654" s="19">
        <f t="shared" si="8"/>
        <v>1.05</v>
      </c>
      <c r="X654" s="20">
        <f t="shared" si="9"/>
        <v>200</v>
      </c>
      <c r="Y654" s="27"/>
      <c r="Z654" s="17"/>
      <c r="AA654" s="28"/>
      <c r="AB654" s="17"/>
      <c r="AC654" s="28"/>
      <c r="AD654" s="27"/>
    </row>
    <row r="655" ht="15.75" customHeight="1">
      <c r="A655" s="27" t="s">
        <v>88</v>
      </c>
      <c r="B655" s="27" t="s">
        <v>1972</v>
      </c>
      <c r="C655" s="16" t="s">
        <v>1973</v>
      </c>
      <c r="D655" s="17" t="s">
        <v>240</v>
      </c>
      <c r="E655" s="18" t="s">
        <v>34</v>
      </c>
      <c r="F655" s="18">
        <v>1.0</v>
      </c>
      <c r="G655" s="19">
        <f t="shared" si="1"/>
        <v>0.1763699536</v>
      </c>
      <c r="H655" s="17">
        <v>5.0</v>
      </c>
      <c r="I655" s="10">
        <v>20.0</v>
      </c>
      <c r="J655" s="17">
        <v>1.5</v>
      </c>
      <c r="K655" s="17">
        <v>75.0</v>
      </c>
      <c r="L655" s="17"/>
      <c r="M655" s="20">
        <v>0.0</v>
      </c>
      <c r="N655" s="20">
        <v>0.0</v>
      </c>
      <c r="O655" s="20">
        <v>0.0</v>
      </c>
      <c r="P655" s="20">
        <f t="shared" si="2"/>
        <v>0</v>
      </c>
      <c r="Q655" s="21">
        <v>2.0</v>
      </c>
      <c r="R655" s="22">
        <f t="shared" si="3"/>
        <v>113.398</v>
      </c>
      <c r="S655" s="23">
        <f t="shared" si="4"/>
        <v>4</v>
      </c>
      <c r="T655" s="24">
        <f t="shared" si="5"/>
        <v>0</v>
      </c>
      <c r="U655" s="26">
        <f t="shared" si="6"/>
        <v>0.6279069767</v>
      </c>
      <c r="V655" s="26" t="str">
        <f t="shared" si="7"/>
        <v>0%</v>
      </c>
      <c r="W655" s="19">
        <f t="shared" si="8"/>
        <v>3.75</v>
      </c>
      <c r="X655" s="20">
        <f t="shared" si="9"/>
        <v>20</v>
      </c>
      <c r="Y655" s="27"/>
      <c r="Z655" s="17"/>
      <c r="AA655" s="28"/>
      <c r="AB655" s="17"/>
      <c r="AC655" s="28"/>
      <c r="AD655" s="27"/>
    </row>
    <row r="656" ht="15.75" customHeight="1">
      <c r="A656" s="27" t="s">
        <v>1804</v>
      </c>
      <c r="B656" s="27" t="s">
        <v>1974</v>
      </c>
      <c r="C656" s="16" t="s">
        <v>1975</v>
      </c>
      <c r="D656" s="17" t="s">
        <v>212</v>
      </c>
      <c r="E656" s="18" t="s">
        <v>34</v>
      </c>
      <c r="F656" s="18">
        <v>1.0</v>
      </c>
      <c r="G656" s="19">
        <f t="shared" si="1"/>
        <v>2.398631369</v>
      </c>
      <c r="H656" s="17">
        <v>68.0</v>
      </c>
      <c r="I656" s="10">
        <v>270.0</v>
      </c>
      <c r="J656" s="17">
        <v>12.0</v>
      </c>
      <c r="K656" s="17">
        <v>132.0</v>
      </c>
      <c r="L656" s="17"/>
      <c r="M656" s="20">
        <v>34.0</v>
      </c>
      <c r="N656" s="20">
        <v>7.0</v>
      </c>
      <c r="O656" s="20">
        <v>23.0</v>
      </c>
      <c r="P656" s="20">
        <f t="shared" si="2"/>
        <v>4</v>
      </c>
      <c r="Q656" s="21">
        <v>8.0</v>
      </c>
      <c r="R656" s="22">
        <f t="shared" si="3"/>
        <v>112.5641912</v>
      </c>
      <c r="S656" s="23">
        <f t="shared" si="4"/>
        <v>3.970588235</v>
      </c>
      <c r="T656" s="24">
        <f t="shared" si="5"/>
        <v>4.25</v>
      </c>
      <c r="U656" s="26">
        <f t="shared" si="6"/>
        <v>0.3913043478</v>
      </c>
      <c r="V656" s="26">
        <f t="shared" si="7"/>
        <v>0.3333333333</v>
      </c>
      <c r="W656" s="19">
        <f t="shared" si="8"/>
        <v>0.4888888889</v>
      </c>
      <c r="X656" s="20">
        <f t="shared" si="9"/>
        <v>270</v>
      </c>
      <c r="Y656" s="16"/>
      <c r="Z656" s="17"/>
      <c r="AA656" s="28"/>
      <c r="AB656" s="17"/>
      <c r="AC656" s="28"/>
      <c r="AD656" s="16"/>
    </row>
    <row r="657" ht="15.75" customHeight="1">
      <c r="A657" s="27" t="s">
        <v>1976</v>
      </c>
      <c r="B657" s="27" t="s">
        <v>1977</v>
      </c>
      <c r="C657" s="16" t="s">
        <v>1978</v>
      </c>
      <c r="D657" s="17" t="s">
        <v>212</v>
      </c>
      <c r="E657" s="18" t="s">
        <v>34</v>
      </c>
      <c r="F657" s="18">
        <v>1.0</v>
      </c>
      <c r="G657" s="19">
        <f t="shared" si="1"/>
        <v>2.398631369</v>
      </c>
      <c r="H657" s="17">
        <v>68.0</v>
      </c>
      <c r="I657" s="10">
        <v>270.0</v>
      </c>
      <c r="J657" s="17">
        <v>10.0</v>
      </c>
      <c r="K657" s="17">
        <v>250.0</v>
      </c>
      <c r="L657" s="17">
        <v>230.0</v>
      </c>
      <c r="M657" s="20">
        <v>38.0</v>
      </c>
      <c r="N657" s="20">
        <v>4.0</v>
      </c>
      <c r="O657" s="20">
        <v>17.0</v>
      </c>
      <c r="P657" s="20">
        <f t="shared" si="2"/>
        <v>17</v>
      </c>
      <c r="Q657" s="21">
        <v>11.0</v>
      </c>
      <c r="R657" s="22">
        <f t="shared" si="3"/>
        <v>112.5641912</v>
      </c>
      <c r="S657" s="23">
        <f t="shared" si="4"/>
        <v>3.970588235</v>
      </c>
      <c r="T657" s="24">
        <f t="shared" si="5"/>
        <v>3.454545455</v>
      </c>
      <c r="U657" s="26">
        <f t="shared" si="6"/>
        <v>0.3146853147</v>
      </c>
      <c r="V657" s="26">
        <f t="shared" si="7"/>
        <v>0.2377622378</v>
      </c>
      <c r="W657" s="19">
        <f t="shared" si="8"/>
        <v>0.9259259259</v>
      </c>
      <c r="X657" s="20">
        <f t="shared" si="9"/>
        <v>270</v>
      </c>
      <c r="Y657" s="27"/>
      <c r="Z657" s="17"/>
      <c r="AA657" s="28"/>
      <c r="AB657" s="17"/>
      <c r="AC657" s="28"/>
      <c r="AD657" s="27"/>
    </row>
    <row r="658" ht="15.75" customHeight="1">
      <c r="A658" s="27" t="s">
        <v>1979</v>
      </c>
      <c r="B658" s="27" t="s">
        <v>530</v>
      </c>
      <c r="C658" s="16" t="s">
        <v>1980</v>
      </c>
      <c r="D658" s="17" t="s">
        <v>212</v>
      </c>
      <c r="E658" s="18" t="s">
        <v>34</v>
      </c>
      <c r="F658" s="18">
        <v>1.0</v>
      </c>
      <c r="G658" s="19">
        <f t="shared" si="1"/>
        <v>1.693151555</v>
      </c>
      <c r="H658" s="17">
        <v>48.0</v>
      </c>
      <c r="I658" s="10">
        <v>190.0</v>
      </c>
      <c r="J658" s="17">
        <v>8.0</v>
      </c>
      <c r="K658" s="17">
        <v>190.0</v>
      </c>
      <c r="L658" s="17"/>
      <c r="M658" s="20">
        <v>15.0</v>
      </c>
      <c r="N658" s="20">
        <v>1.0</v>
      </c>
      <c r="O658" s="20">
        <v>6.0</v>
      </c>
      <c r="P658" s="20">
        <f t="shared" si="2"/>
        <v>8</v>
      </c>
      <c r="Q658" s="21">
        <v>20.0</v>
      </c>
      <c r="R658" s="22">
        <f t="shared" si="3"/>
        <v>112.2167708</v>
      </c>
      <c r="S658" s="23">
        <f t="shared" si="4"/>
        <v>3.958333333</v>
      </c>
      <c r="T658" s="24">
        <f t="shared" si="5"/>
        <v>0.75</v>
      </c>
      <c r="U658" s="26">
        <f t="shared" si="6"/>
        <v>0.3396226415</v>
      </c>
      <c r="V658" s="26">
        <f t="shared" si="7"/>
        <v>0.1132075472</v>
      </c>
      <c r="W658" s="19">
        <f t="shared" si="8"/>
        <v>1</v>
      </c>
      <c r="X658" s="20">
        <f t="shared" si="9"/>
        <v>190</v>
      </c>
      <c r="Y658" s="27"/>
      <c r="Z658" s="17"/>
      <c r="AA658" s="28"/>
      <c r="AB658" s="17"/>
      <c r="AC658" s="28"/>
      <c r="AD658" s="27"/>
    </row>
    <row r="659" ht="15.75" customHeight="1">
      <c r="A659" s="27" t="s">
        <v>1981</v>
      </c>
      <c r="B659" s="27" t="s">
        <v>1982</v>
      </c>
      <c r="C659" s="16" t="s">
        <v>1983</v>
      </c>
      <c r="D659" s="17" t="s">
        <v>119</v>
      </c>
      <c r="E659" s="18" t="s">
        <v>34</v>
      </c>
      <c r="F659" s="18">
        <v>1.0</v>
      </c>
      <c r="G659" s="19">
        <f t="shared" si="1"/>
        <v>1.516781601</v>
      </c>
      <c r="H659" s="17">
        <v>43.0</v>
      </c>
      <c r="I659" s="10">
        <v>170.0</v>
      </c>
      <c r="J659" s="17">
        <v>2.5</v>
      </c>
      <c r="K659" s="17">
        <v>230.0</v>
      </c>
      <c r="L659" s="17"/>
      <c r="M659" s="20">
        <v>24.0</v>
      </c>
      <c r="N659" s="20">
        <v>3.0</v>
      </c>
      <c r="O659" s="20">
        <v>0.0</v>
      </c>
      <c r="P659" s="20">
        <f t="shared" si="2"/>
        <v>21</v>
      </c>
      <c r="Q659" s="21">
        <v>7.0</v>
      </c>
      <c r="R659" s="22">
        <f t="shared" si="3"/>
        <v>112.0794186</v>
      </c>
      <c r="S659" s="23">
        <f t="shared" si="4"/>
        <v>3.953488372</v>
      </c>
      <c r="T659" s="24">
        <f t="shared" si="5"/>
        <v>3.428571429</v>
      </c>
      <c r="U659" s="26">
        <f t="shared" si="6"/>
        <v>0.1535836177</v>
      </c>
      <c r="V659" s="26" t="str">
        <f t="shared" si="7"/>
        <v>0%</v>
      </c>
      <c r="W659" s="19">
        <f t="shared" si="8"/>
        <v>1.352941176</v>
      </c>
      <c r="X659" s="20">
        <f t="shared" si="9"/>
        <v>170</v>
      </c>
      <c r="Y659" s="16"/>
      <c r="Z659" s="17"/>
      <c r="AA659" s="28"/>
      <c r="AB659" s="17"/>
      <c r="AC659" s="28"/>
      <c r="AD659" s="16"/>
    </row>
    <row r="660" ht="15.75" customHeight="1">
      <c r="A660" s="27" t="s">
        <v>1984</v>
      </c>
      <c r="B660" s="27" t="s">
        <v>1985</v>
      </c>
      <c r="C660" s="16" t="s">
        <v>1986</v>
      </c>
      <c r="D660" s="17" t="s">
        <v>247</v>
      </c>
      <c r="E660" s="18" t="s">
        <v>34</v>
      </c>
      <c r="F660" s="18">
        <v>1.0</v>
      </c>
      <c r="G660" s="19">
        <f t="shared" si="1"/>
        <v>1.516781601</v>
      </c>
      <c r="H660" s="17">
        <v>43.0</v>
      </c>
      <c r="I660" s="10">
        <v>170.0</v>
      </c>
      <c r="J660" s="17">
        <v>11.0</v>
      </c>
      <c r="K660" s="17">
        <v>670.0</v>
      </c>
      <c r="L660" s="17"/>
      <c r="M660" s="20">
        <v>6.0</v>
      </c>
      <c r="N660" s="20">
        <v>0.0</v>
      </c>
      <c r="O660" s="20">
        <v>6.0</v>
      </c>
      <c r="P660" s="20">
        <f t="shared" si="2"/>
        <v>0</v>
      </c>
      <c r="Q660" s="21">
        <v>8.0</v>
      </c>
      <c r="R660" s="22">
        <f t="shared" si="3"/>
        <v>112.0794186</v>
      </c>
      <c r="S660" s="23">
        <f t="shared" si="4"/>
        <v>3.953488372</v>
      </c>
      <c r="T660" s="24">
        <f t="shared" si="5"/>
        <v>0.75</v>
      </c>
      <c r="U660" s="26">
        <f t="shared" si="6"/>
        <v>0.6387096774</v>
      </c>
      <c r="V660" s="26">
        <f t="shared" si="7"/>
        <v>0.1548387097</v>
      </c>
      <c r="W660" s="19">
        <f t="shared" si="8"/>
        <v>3.941176471</v>
      </c>
      <c r="X660" s="20">
        <f t="shared" si="9"/>
        <v>170</v>
      </c>
      <c r="Y660" s="27"/>
      <c r="Z660" s="17"/>
      <c r="AA660" s="28"/>
      <c r="AB660" s="17"/>
      <c r="AC660" s="28"/>
      <c r="AD660" s="27"/>
    </row>
    <row r="661" ht="15.75" customHeight="1">
      <c r="A661" s="16" t="s">
        <v>1984</v>
      </c>
      <c r="B661" s="16" t="s">
        <v>1987</v>
      </c>
      <c r="C661" s="16" t="s">
        <v>1988</v>
      </c>
      <c r="D661" s="17" t="s">
        <v>247</v>
      </c>
      <c r="E661" s="18" t="s">
        <v>34</v>
      </c>
      <c r="F661" s="18">
        <v>1.0</v>
      </c>
      <c r="G661" s="19">
        <f t="shared" si="1"/>
        <v>1.516781601</v>
      </c>
      <c r="H661" s="17">
        <v>43.0</v>
      </c>
      <c r="I661" s="10">
        <v>170.0</v>
      </c>
      <c r="J661" s="17">
        <v>12.0</v>
      </c>
      <c r="K661" s="17">
        <v>500.0</v>
      </c>
      <c r="L661" s="17"/>
      <c r="M661" s="20">
        <v>6.0</v>
      </c>
      <c r="N661" s="20">
        <v>0.0</v>
      </c>
      <c r="O661" s="20">
        <v>4.0</v>
      </c>
      <c r="P661" s="20">
        <f t="shared" si="2"/>
        <v>2</v>
      </c>
      <c r="Q661" s="21">
        <v>9.0</v>
      </c>
      <c r="R661" s="22">
        <f t="shared" si="3"/>
        <v>112.0794186</v>
      </c>
      <c r="S661" s="23">
        <f t="shared" si="4"/>
        <v>3.953488372</v>
      </c>
      <c r="T661" s="24">
        <f t="shared" si="5"/>
        <v>0.6666666667</v>
      </c>
      <c r="U661" s="26">
        <f t="shared" si="6"/>
        <v>0.6428571429</v>
      </c>
      <c r="V661" s="26">
        <f t="shared" si="7"/>
        <v>0.09523809524</v>
      </c>
      <c r="W661" s="19">
        <f t="shared" si="8"/>
        <v>2.941176471</v>
      </c>
      <c r="X661" s="20">
        <f t="shared" si="9"/>
        <v>170</v>
      </c>
      <c r="Y661" s="27"/>
      <c r="Z661" s="17"/>
      <c r="AA661" s="28"/>
      <c r="AB661" s="17"/>
      <c r="AC661" s="28"/>
      <c r="AD661" s="27"/>
    </row>
    <row r="662" ht="15.75" customHeight="1">
      <c r="A662" s="16" t="s">
        <v>1984</v>
      </c>
      <c r="B662" s="16" t="s">
        <v>1989</v>
      </c>
      <c r="C662" s="16" t="s">
        <v>1990</v>
      </c>
      <c r="D662" s="17" t="s">
        <v>247</v>
      </c>
      <c r="E662" s="18" t="s">
        <v>34</v>
      </c>
      <c r="F662" s="18">
        <v>1.0</v>
      </c>
      <c r="G662" s="19">
        <f t="shared" si="1"/>
        <v>1.516781601</v>
      </c>
      <c r="H662" s="17">
        <v>43.0</v>
      </c>
      <c r="I662" s="10">
        <v>170.0</v>
      </c>
      <c r="J662" s="17">
        <v>13.0</v>
      </c>
      <c r="K662" s="17">
        <v>450.0</v>
      </c>
      <c r="L662" s="17"/>
      <c r="M662" s="20">
        <v>6.0</v>
      </c>
      <c r="N662" s="20">
        <v>2.0</v>
      </c>
      <c r="O662" s="20">
        <v>4.0</v>
      </c>
      <c r="P662" s="20">
        <f t="shared" si="2"/>
        <v>0</v>
      </c>
      <c r="Q662" s="21">
        <v>9.0</v>
      </c>
      <c r="R662" s="22">
        <f t="shared" si="3"/>
        <v>112.0794186</v>
      </c>
      <c r="S662" s="23">
        <f t="shared" si="4"/>
        <v>3.953488372</v>
      </c>
      <c r="T662" s="24">
        <f t="shared" si="5"/>
        <v>0.6666666667</v>
      </c>
      <c r="U662" s="26">
        <f t="shared" si="6"/>
        <v>0.6610169492</v>
      </c>
      <c r="V662" s="26">
        <f t="shared" si="7"/>
        <v>0.09039548023</v>
      </c>
      <c r="W662" s="19">
        <f t="shared" si="8"/>
        <v>2.647058824</v>
      </c>
      <c r="X662" s="20">
        <f t="shared" si="9"/>
        <v>170</v>
      </c>
      <c r="Y662" s="27"/>
      <c r="Z662" s="17"/>
      <c r="AA662" s="28"/>
      <c r="AB662" s="17"/>
      <c r="AC662" s="28"/>
      <c r="AD662" s="16"/>
    </row>
    <row r="663" ht="15.75" customHeight="1">
      <c r="A663" s="16" t="s">
        <v>1991</v>
      </c>
      <c r="B663" s="16" t="s">
        <v>1992</v>
      </c>
      <c r="C663" s="16" t="s">
        <v>1993</v>
      </c>
      <c r="D663" s="17" t="s">
        <v>119</v>
      </c>
      <c r="E663" s="18" t="s">
        <v>34</v>
      </c>
      <c r="F663" s="18">
        <v>1.0</v>
      </c>
      <c r="G663" s="19">
        <f t="shared" si="1"/>
        <v>2.504453341</v>
      </c>
      <c r="H663" s="17">
        <v>71.0</v>
      </c>
      <c r="I663" s="10">
        <v>280.0</v>
      </c>
      <c r="J663" s="17">
        <v>5.0</v>
      </c>
      <c r="K663" s="17">
        <v>750.0</v>
      </c>
      <c r="L663" s="17"/>
      <c r="M663" s="20">
        <v>51.0</v>
      </c>
      <c r="N663" s="20">
        <v>1.0</v>
      </c>
      <c r="O663" s="20">
        <v>2.0</v>
      </c>
      <c r="P663" s="20">
        <f t="shared" si="2"/>
        <v>48</v>
      </c>
      <c r="Q663" s="21">
        <v>8.0</v>
      </c>
      <c r="R663" s="22">
        <f t="shared" si="3"/>
        <v>111.8008451</v>
      </c>
      <c r="S663" s="23">
        <f t="shared" si="4"/>
        <v>3.943661972</v>
      </c>
      <c r="T663" s="24">
        <f t="shared" si="5"/>
        <v>6.375</v>
      </c>
      <c r="U663" s="26">
        <f t="shared" si="6"/>
        <v>0.1601423488</v>
      </c>
      <c r="V663" s="26">
        <f t="shared" si="7"/>
        <v>0.02846975089</v>
      </c>
      <c r="W663" s="19">
        <f t="shared" si="8"/>
        <v>2.678571429</v>
      </c>
      <c r="X663" s="20">
        <f t="shared" si="9"/>
        <v>280</v>
      </c>
      <c r="Y663" s="27"/>
      <c r="Z663" s="17"/>
      <c r="AA663" s="28"/>
      <c r="AB663" s="17"/>
      <c r="AC663" s="28"/>
      <c r="AD663" s="16"/>
    </row>
    <row r="664" ht="15.75" customHeight="1">
      <c r="A664" s="27" t="s">
        <v>1765</v>
      </c>
      <c r="B664" s="27" t="s">
        <v>1994</v>
      </c>
      <c r="C664" s="16" t="s">
        <v>1995</v>
      </c>
      <c r="D664" s="17" t="s">
        <v>119</v>
      </c>
      <c r="E664" s="18" t="s">
        <v>34</v>
      </c>
      <c r="F664" s="18">
        <v>1.0</v>
      </c>
      <c r="G664" s="19">
        <f t="shared" si="1"/>
        <v>2.504453341</v>
      </c>
      <c r="H664" s="17">
        <v>71.0</v>
      </c>
      <c r="I664" s="10">
        <v>280.0</v>
      </c>
      <c r="J664" s="17">
        <v>6.0</v>
      </c>
      <c r="K664" s="17">
        <v>850.0</v>
      </c>
      <c r="L664" s="17"/>
      <c r="M664" s="20">
        <v>47.0</v>
      </c>
      <c r="N664" s="20">
        <v>2.0</v>
      </c>
      <c r="O664" s="20">
        <v>7.0</v>
      </c>
      <c r="P664" s="20">
        <f t="shared" si="2"/>
        <v>38</v>
      </c>
      <c r="Q664" s="21">
        <v>9.0</v>
      </c>
      <c r="R664" s="22">
        <f t="shared" si="3"/>
        <v>111.8008451</v>
      </c>
      <c r="S664" s="23">
        <f t="shared" si="4"/>
        <v>3.943661972</v>
      </c>
      <c r="T664" s="24">
        <f t="shared" si="5"/>
        <v>5.222222222</v>
      </c>
      <c r="U664" s="26">
        <f t="shared" si="6"/>
        <v>0.1942446043</v>
      </c>
      <c r="V664" s="26">
        <f t="shared" si="7"/>
        <v>0.1007194245</v>
      </c>
      <c r="W664" s="19">
        <f t="shared" si="8"/>
        <v>3.035714286</v>
      </c>
      <c r="X664" s="20">
        <f t="shared" si="9"/>
        <v>280</v>
      </c>
      <c r="Y664" s="27"/>
      <c r="Z664" s="17"/>
      <c r="AA664" s="28"/>
      <c r="AB664" s="17"/>
      <c r="AC664" s="28"/>
      <c r="AD664" s="27"/>
    </row>
    <row r="665" ht="15.75" customHeight="1">
      <c r="A665" s="27" t="s">
        <v>1996</v>
      </c>
      <c r="B665" s="27" t="s">
        <v>1997</v>
      </c>
      <c r="C665" s="16" t="s">
        <v>1998</v>
      </c>
      <c r="D665" s="17" t="s">
        <v>212</v>
      </c>
      <c r="E665" s="18" t="s">
        <v>34</v>
      </c>
      <c r="F665" s="18">
        <v>1.0</v>
      </c>
      <c r="G665" s="19">
        <f t="shared" si="1"/>
        <v>0.9876717402</v>
      </c>
      <c r="H665" s="17">
        <v>28.0</v>
      </c>
      <c r="I665" s="10">
        <v>110.0</v>
      </c>
      <c r="J665" s="17">
        <v>2.5</v>
      </c>
      <c r="K665" s="17">
        <v>45.0</v>
      </c>
      <c r="L665" s="17"/>
      <c r="M665" s="20">
        <v>20.0</v>
      </c>
      <c r="N665" s="20">
        <v>2.0</v>
      </c>
      <c r="O665" s="20">
        <v>10.0</v>
      </c>
      <c r="P665" s="20">
        <f t="shared" si="2"/>
        <v>8</v>
      </c>
      <c r="Q665" s="21">
        <v>1.0</v>
      </c>
      <c r="R665" s="22">
        <f t="shared" si="3"/>
        <v>111.3730357</v>
      </c>
      <c r="S665" s="23">
        <f t="shared" si="4"/>
        <v>3.928571429</v>
      </c>
      <c r="T665" s="24">
        <f t="shared" si="5"/>
        <v>20</v>
      </c>
      <c r="U665" s="26">
        <f t="shared" si="6"/>
        <v>0.2112676056</v>
      </c>
      <c r="V665" s="26">
        <f t="shared" si="7"/>
        <v>0.3755868545</v>
      </c>
      <c r="W665" s="19">
        <f t="shared" si="8"/>
        <v>0.4090909091</v>
      </c>
      <c r="X665" s="20">
        <f t="shared" si="9"/>
        <v>110</v>
      </c>
      <c r="Y665" s="27"/>
      <c r="Z665" s="17"/>
      <c r="AA665" s="28"/>
      <c r="AB665" s="17"/>
      <c r="AC665" s="28"/>
      <c r="AD665" s="16"/>
    </row>
    <row r="666" ht="15.75" customHeight="1">
      <c r="A666" s="27" t="s">
        <v>1999</v>
      </c>
      <c r="B666" s="27" t="s">
        <v>2000</v>
      </c>
      <c r="C666" s="16" t="s">
        <v>2001</v>
      </c>
      <c r="D666" s="17" t="s">
        <v>282</v>
      </c>
      <c r="E666" s="18" t="s">
        <v>34</v>
      </c>
      <c r="F666" s="18">
        <v>1.0</v>
      </c>
      <c r="G666" s="19">
        <f t="shared" si="1"/>
        <v>0.9876717402</v>
      </c>
      <c r="H666" s="17">
        <v>28.0</v>
      </c>
      <c r="I666" s="10">
        <v>110.0</v>
      </c>
      <c r="J666" s="17">
        <v>1.0</v>
      </c>
      <c r="K666" s="17">
        <v>450.0</v>
      </c>
      <c r="L666" s="17">
        <v>80.0</v>
      </c>
      <c r="M666" s="20">
        <v>23.0</v>
      </c>
      <c r="N666" s="20">
        <v>1.0</v>
      </c>
      <c r="O666" s="20">
        <v>1.0</v>
      </c>
      <c r="P666" s="20">
        <f t="shared" si="2"/>
        <v>21</v>
      </c>
      <c r="Q666" s="21">
        <v>2.0</v>
      </c>
      <c r="R666" s="22">
        <f t="shared" si="3"/>
        <v>111.3730357</v>
      </c>
      <c r="S666" s="23">
        <f t="shared" si="4"/>
        <v>3.928571429</v>
      </c>
      <c r="T666" s="24">
        <f t="shared" si="5"/>
        <v>11.5</v>
      </c>
      <c r="U666" s="26">
        <f t="shared" si="6"/>
        <v>0.08256880734</v>
      </c>
      <c r="V666" s="26">
        <f t="shared" si="7"/>
        <v>0.03669724771</v>
      </c>
      <c r="W666" s="19">
        <f t="shared" si="8"/>
        <v>4.090909091</v>
      </c>
      <c r="X666" s="20">
        <f t="shared" si="9"/>
        <v>110</v>
      </c>
      <c r="Y666" s="27"/>
      <c r="Z666" s="17"/>
      <c r="AA666" s="28"/>
      <c r="AB666" s="17"/>
      <c r="AC666" s="28"/>
      <c r="AD666" s="27"/>
    </row>
    <row r="667" ht="15.75" customHeight="1">
      <c r="A667" s="16" t="s">
        <v>1617</v>
      </c>
      <c r="B667" s="16" t="s">
        <v>2002</v>
      </c>
      <c r="C667" s="16" t="s">
        <v>2003</v>
      </c>
      <c r="D667" s="17" t="s">
        <v>99</v>
      </c>
      <c r="E667" s="18" t="s">
        <v>34</v>
      </c>
      <c r="F667" s="18">
        <v>1.0</v>
      </c>
      <c r="G667" s="19">
        <f t="shared" si="1"/>
        <v>0.9876717402</v>
      </c>
      <c r="H667" s="17">
        <v>28.0</v>
      </c>
      <c r="I667" s="10">
        <v>110.0</v>
      </c>
      <c r="J667" s="17">
        <v>2.0</v>
      </c>
      <c r="K667" s="17">
        <v>0.0</v>
      </c>
      <c r="L667" s="17"/>
      <c r="M667" s="20">
        <v>23.0</v>
      </c>
      <c r="N667" s="20">
        <v>3.0</v>
      </c>
      <c r="O667" s="20">
        <v>17.0</v>
      </c>
      <c r="P667" s="20">
        <f t="shared" si="2"/>
        <v>3</v>
      </c>
      <c r="Q667" s="21">
        <v>2.0</v>
      </c>
      <c r="R667" s="22">
        <f t="shared" si="3"/>
        <v>111.3730357</v>
      </c>
      <c r="S667" s="23">
        <f t="shared" si="4"/>
        <v>3.928571429</v>
      </c>
      <c r="T667" s="24">
        <f t="shared" si="5"/>
        <v>11.5</v>
      </c>
      <c r="U667" s="26">
        <f t="shared" si="6"/>
        <v>0.1525423729</v>
      </c>
      <c r="V667" s="26">
        <f t="shared" si="7"/>
        <v>0.5762711864</v>
      </c>
      <c r="W667" s="19">
        <f t="shared" si="8"/>
        <v>0</v>
      </c>
      <c r="X667" s="20">
        <f t="shared" si="9"/>
        <v>110</v>
      </c>
      <c r="Y667" s="27"/>
      <c r="Z667" s="17"/>
      <c r="AA667" s="28"/>
      <c r="AB667" s="17"/>
      <c r="AC667" s="28"/>
      <c r="AD667" s="27"/>
    </row>
    <row r="668" ht="15.75" customHeight="1">
      <c r="A668" s="16" t="s">
        <v>2004</v>
      </c>
      <c r="B668" s="16" t="s">
        <v>2005</v>
      </c>
      <c r="C668" s="16" t="s">
        <v>2006</v>
      </c>
      <c r="D668" s="17" t="s">
        <v>282</v>
      </c>
      <c r="E668" s="18" t="s">
        <v>34</v>
      </c>
      <c r="F668" s="18">
        <v>1.0</v>
      </c>
      <c r="G668" s="19">
        <f t="shared" si="1"/>
        <v>0.9876717402</v>
      </c>
      <c r="H668" s="17">
        <v>28.0</v>
      </c>
      <c r="I668" s="10">
        <v>110.0</v>
      </c>
      <c r="J668" s="17">
        <v>1.5</v>
      </c>
      <c r="K668" s="17">
        <v>500.0</v>
      </c>
      <c r="L668" s="17"/>
      <c r="M668" s="20">
        <v>22.0</v>
      </c>
      <c r="N668" s="20">
        <v>1.0</v>
      </c>
      <c r="O668" s="20">
        <v>2.0</v>
      </c>
      <c r="P668" s="20">
        <f t="shared" si="2"/>
        <v>19</v>
      </c>
      <c r="Q668" s="21">
        <v>2.0</v>
      </c>
      <c r="R668" s="22">
        <f t="shared" si="3"/>
        <v>111.3730357</v>
      </c>
      <c r="S668" s="23">
        <f t="shared" si="4"/>
        <v>3.928571429</v>
      </c>
      <c r="T668" s="24">
        <f t="shared" si="5"/>
        <v>11</v>
      </c>
      <c r="U668" s="26">
        <f t="shared" si="6"/>
        <v>0.1232876712</v>
      </c>
      <c r="V668" s="26">
        <f t="shared" si="7"/>
        <v>0.07305936073</v>
      </c>
      <c r="W668" s="19">
        <f t="shared" si="8"/>
        <v>4.545454545</v>
      </c>
      <c r="X668" s="20">
        <f t="shared" si="9"/>
        <v>110</v>
      </c>
      <c r="Y668" s="27"/>
      <c r="Z668" s="17"/>
      <c r="AA668" s="28"/>
      <c r="AB668" s="17"/>
      <c r="AC668" s="28"/>
      <c r="AD668" s="16"/>
    </row>
    <row r="669" ht="15.75" customHeight="1">
      <c r="A669" s="16" t="s">
        <v>2007</v>
      </c>
      <c r="B669" s="16" t="s">
        <v>2008</v>
      </c>
      <c r="C669" s="16" t="s">
        <v>2009</v>
      </c>
      <c r="D669" s="17" t="s">
        <v>119</v>
      </c>
      <c r="E669" s="18" t="s">
        <v>34</v>
      </c>
      <c r="F669" s="18">
        <v>1.0</v>
      </c>
      <c r="G669" s="19">
        <f t="shared" si="1"/>
        <v>0.9876717402</v>
      </c>
      <c r="H669" s="17">
        <v>28.0</v>
      </c>
      <c r="I669" s="10">
        <v>110.0</v>
      </c>
      <c r="J669" s="17">
        <v>2.5</v>
      </c>
      <c r="K669" s="17">
        <v>510.0</v>
      </c>
      <c r="L669" s="17"/>
      <c r="M669" s="20">
        <v>20.0</v>
      </c>
      <c r="N669" s="20">
        <v>1.0</v>
      </c>
      <c r="O669" s="20">
        <v>2.0</v>
      </c>
      <c r="P669" s="20">
        <f t="shared" si="2"/>
        <v>17</v>
      </c>
      <c r="Q669" s="21">
        <v>2.0</v>
      </c>
      <c r="R669" s="22">
        <f t="shared" si="3"/>
        <v>111.3730357</v>
      </c>
      <c r="S669" s="23">
        <f t="shared" si="4"/>
        <v>3.928571429</v>
      </c>
      <c r="T669" s="24">
        <f t="shared" si="5"/>
        <v>10</v>
      </c>
      <c r="U669" s="26">
        <f t="shared" si="6"/>
        <v>0.2036199095</v>
      </c>
      <c r="V669" s="26">
        <f t="shared" si="7"/>
        <v>0.07239819005</v>
      </c>
      <c r="W669" s="19">
        <f t="shared" si="8"/>
        <v>4.636363636</v>
      </c>
      <c r="X669" s="20">
        <f t="shared" si="9"/>
        <v>110</v>
      </c>
      <c r="Y669" s="27"/>
      <c r="Z669" s="17"/>
      <c r="AA669" s="28"/>
      <c r="AB669" s="17"/>
      <c r="AC669" s="28"/>
      <c r="AD669" s="16"/>
    </row>
    <row r="670" ht="15.75" customHeight="1">
      <c r="A670" s="27" t="s">
        <v>2007</v>
      </c>
      <c r="B670" s="27" t="s">
        <v>2010</v>
      </c>
      <c r="C670" s="16" t="s">
        <v>2011</v>
      </c>
      <c r="D670" s="17" t="s">
        <v>119</v>
      </c>
      <c r="E670" s="18" t="s">
        <v>34</v>
      </c>
      <c r="F670" s="18">
        <v>1.0</v>
      </c>
      <c r="G670" s="19">
        <f t="shared" si="1"/>
        <v>0.9876717402</v>
      </c>
      <c r="H670" s="17">
        <v>28.0</v>
      </c>
      <c r="I670" s="10">
        <v>110.0</v>
      </c>
      <c r="J670" s="17">
        <v>2.5</v>
      </c>
      <c r="K670" s="17">
        <v>510.0</v>
      </c>
      <c r="L670" s="17"/>
      <c r="M670" s="20">
        <v>20.0</v>
      </c>
      <c r="N670" s="20">
        <v>1.0</v>
      </c>
      <c r="O670" s="20">
        <v>2.0</v>
      </c>
      <c r="P670" s="20">
        <f t="shared" si="2"/>
        <v>17</v>
      </c>
      <c r="Q670" s="21">
        <v>2.0</v>
      </c>
      <c r="R670" s="22">
        <f t="shared" si="3"/>
        <v>111.3730357</v>
      </c>
      <c r="S670" s="23">
        <f t="shared" si="4"/>
        <v>3.928571429</v>
      </c>
      <c r="T670" s="24">
        <f t="shared" si="5"/>
        <v>10</v>
      </c>
      <c r="U670" s="26">
        <f t="shared" si="6"/>
        <v>0.2036199095</v>
      </c>
      <c r="V670" s="26">
        <f t="shared" si="7"/>
        <v>0.07239819005</v>
      </c>
      <c r="W670" s="19">
        <f t="shared" si="8"/>
        <v>4.636363636</v>
      </c>
      <c r="X670" s="20">
        <f t="shared" si="9"/>
        <v>110</v>
      </c>
      <c r="Y670" s="27"/>
      <c r="Z670" s="17"/>
      <c r="AA670" s="28"/>
      <c r="AB670" s="17"/>
      <c r="AC670" s="28"/>
      <c r="AD670" s="27"/>
    </row>
    <row r="671" ht="15.75" customHeight="1">
      <c r="A671" s="27" t="s">
        <v>2007</v>
      </c>
      <c r="B671" s="27" t="s">
        <v>2012</v>
      </c>
      <c r="C671" s="16" t="s">
        <v>2013</v>
      </c>
      <c r="D671" s="17" t="s">
        <v>119</v>
      </c>
      <c r="E671" s="18" t="s">
        <v>34</v>
      </c>
      <c r="F671" s="18">
        <v>1.0</v>
      </c>
      <c r="G671" s="19">
        <f t="shared" si="1"/>
        <v>0.9876717402</v>
      </c>
      <c r="H671" s="17">
        <v>28.0</v>
      </c>
      <c r="I671" s="10">
        <v>110.0</v>
      </c>
      <c r="J671" s="17">
        <v>2.5</v>
      </c>
      <c r="K671" s="17">
        <v>570.0</v>
      </c>
      <c r="L671" s="17"/>
      <c r="M671" s="20">
        <v>20.0</v>
      </c>
      <c r="N671" s="20">
        <v>1.0</v>
      </c>
      <c r="O671" s="20">
        <v>2.0</v>
      </c>
      <c r="P671" s="20">
        <f t="shared" si="2"/>
        <v>17</v>
      </c>
      <c r="Q671" s="21">
        <v>2.0</v>
      </c>
      <c r="R671" s="22">
        <f t="shared" si="3"/>
        <v>111.3730357</v>
      </c>
      <c r="S671" s="23">
        <f t="shared" si="4"/>
        <v>3.928571429</v>
      </c>
      <c r="T671" s="24">
        <f t="shared" si="5"/>
        <v>10</v>
      </c>
      <c r="U671" s="26">
        <f t="shared" si="6"/>
        <v>0.2036199095</v>
      </c>
      <c r="V671" s="26">
        <f t="shared" si="7"/>
        <v>0.07239819005</v>
      </c>
      <c r="W671" s="19">
        <f t="shared" si="8"/>
        <v>5.181818182</v>
      </c>
      <c r="X671" s="20">
        <f t="shared" si="9"/>
        <v>110</v>
      </c>
      <c r="Y671" s="27"/>
      <c r="Z671" s="17"/>
      <c r="AA671" s="28"/>
      <c r="AB671" s="17"/>
      <c r="AC671" s="28"/>
      <c r="AD671" s="16"/>
    </row>
    <row r="672" ht="15.75" customHeight="1">
      <c r="A672" s="27" t="s">
        <v>2007</v>
      </c>
      <c r="B672" s="27" t="s">
        <v>2014</v>
      </c>
      <c r="C672" s="16" t="s">
        <v>2015</v>
      </c>
      <c r="D672" s="17" t="s">
        <v>119</v>
      </c>
      <c r="E672" s="18" t="s">
        <v>34</v>
      </c>
      <c r="F672" s="18">
        <v>1.0</v>
      </c>
      <c r="G672" s="19">
        <f t="shared" si="1"/>
        <v>0.9876717402</v>
      </c>
      <c r="H672" s="17">
        <v>28.0</v>
      </c>
      <c r="I672" s="10">
        <v>110.0</v>
      </c>
      <c r="J672" s="17">
        <v>2.5</v>
      </c>
      <c r="K672" s="17">
        <v>510.0</v>
      </c>
      <c r="L672" s="17"/>
      <c r="M672" s="20">
        <v>20.0</v>
      </c>
      <c r="N672" s="20">
        <v>1.0</v>
      </c>
      <c r="O672" s="20">
        <v>2.0</v>
      </c>
      <c r="P672" s="20">
        <f t="shared" si="2"/>
        <v>17</v>
      </c>
      <c r="Q672" s="21">
        <v>2.0</v>
      </c>
      <c r="R672" s="22">
        <f t="shared" si="3"/>
        <v>111.3730357</v>
      </c>
      <c r="S672" s="23">
        <f t="shared" si="4"/>
        <v>3.928571429</v>
      </c>
      <c r="T672" s="24">
        <f t="shared" si="5"/>
        <v>10</v>
      </c>
      <c r="U672" s="26">
        <f t="shared" si="6"/>
        <v>0.2036199095</v>
      </c>
      <c r="V672" s="26">
        <f t="shared" si="7"/>
        <v>0.07239819005</v>
      </c>
      <c r="W672" s="19">
        <f t="shared" si="8"/>
        <v>4.636363636</v>
      </c>
      <c r="X672" s="20">
        <f t="shared" si="9"/>
        <v>110</v>
      </c>
      <c r="Y672" s="27"/>
      <c r="Z672" s="17"/>
      <c r="AA672" s="28"/>
      <c r="AB672" s="17"/>
      <c r="AC672" s="28"/>
      <c r="AD672" s="16"/>
    </row>
    <row r="673" ht="15.75" customHeight="1">
      <c r="A673" s="16" t="s">
        <v>2007</v>
      </c>
      <c r="B673" s="16" t="s">
        <v>2016</v>
      </c>
      <c r="C673" s="16" t="s">
        <v>2017</v>
      </c>
      <c r="D673" s="17" t="s">
        <v>119</v>
      </c>
      <c r="E673" s="18" t="s">
        <v>34</v>
      </c>
      <c r="F673" s="18">
        <v>1.0</v>
      </c>
      <c r="G673" s="19">
        <f t="shared" si="1"/>
        <v>0.9876717402</v>
      </c>
      <c r="H673" s="17">
        <v>28.0</v>
      </c>
      <c r="I673" s="10">
        <v>110.0</v>
      </c>
      <c r="J673" s="17">
        <v>2.0</v>
      </c>
      <c r="K673" s="17">
        <v>590.0</v>
      </c>
      <c r="L673" s="17"/>
      <c r="M673" s="20">
        <v>20.0</v>
      </c>
      <c r="N673" s="20">
        <v>1.0</v>
      </c>
      <c r="O673" s="20">
        <v>2.0</v>
      </c>
      <c r="P673" s="20">
        <f t="shared" si="2"/>
        <v>17</v>
      </c>
      <c r="Q673" s="21">
        <v>2.0</v>
      </c>
      <c r="R673" s="22">
        <f t="shared" si="3"/>
        <v>111.3730357</v>
      </c>
      <c r="S673" s="23">
        <f t="shared" si="4"/>
        <v>3.928571429</v>
      </c>
      <c r="T673" s="24">
        <f t="shared" si="5"/>
        <v>10</v>
      </c>
      <c r="U673" s="26">
        <f t="shared" si="6"/>
        <v>0.1698113208</v>
      </c>
      <c r="V673" s="26">
        <f t="shared" si="7"/>
        <v>0.07547169811</v>
      </c>
      <c r="W673" s="19">
        <f t="shared" si="8"/>
        <v>5.363636364</v>
      </c>
      <c r="X673" s="20">
        <f t="shared" si="9"/>
        <v>110</v>
      </c>
      <c r="Y673" s="27"/>
      <c r="Z673" s="17"/>
      <c r="AA673" s="28"/>
      <c r="AB673" s="17"/>
      <c r="AC673" s="28"/>
      <c r="AD673" s="16"/>
    </row>
    <row r="674" ht="15.75" customHeight="1">
      <c r="A674" s="16" t="s">
        <v>1582</v>
      </c>
      <c r="B674" s="16" t="s">
        <v>2018</v>
      </c>
      <c r="C674" s="16" t="s">
        <v>2019</v>
      </c>
      <c r="D674" s="17" t="s">
        <v>282</v>
      </c>
      <c r="E674" s="18" t="s">
        <v>34</v>
      </c>
      <c r="F674" s="18">
        <v>1.0</v>
      </c>
      <c r="G674" s="19">
        <f t="shared" si="1"/>
        <v>0.9876717402</v>
      </c>
      <c r="H674" s="17">
        <v>28.0</v>
      </c>
      <c r="I674" s="10">
        <v>110.0</v>
      </c>
      <c r="J674" s="17">
        <v>2.5</v>
      </c>
      <c r="K674" s="17">
        <v>150.0</v>
      </c>
      <c r="L674" s="17">
        <v>125.0</v>
      </c>
      <c r="M674" s="20">
        <v>21.0</v>
      </c>
      <c r="N674" s="20">
        <v>3.0</v>
      </c>
      <c r="O674" s="20">
        <v>0.0</v>
      </c>
      <c r="P674" s="20">
        <f t="shared" si="2"/>
        <v>18</v>
      </c>
      <c r="Q674" s="21">
        <v>3.0</v>
      </c>
      <c r="R674" s="22">
        <f t="shared" si="3"/>
        <v>111.3730357</v>
      </c>
      <c r="S674" s="23">
        <f t="shared" si="4"/>
        <v>3.928571429</v>
      </c>
      <c r="T674" s="24">
        <f t="shared" si="5"/>
        <v>7</v>
      </c>
      <c r="U674" s="26">
        <f t="shared" si="6"/>
        <v>0.1898734177</v>
      </c>
      <c r="V674" s="26" t="str">
        <f t="shared" si="7"/>
        <v>0%</v>
      </c>
      <c r="W674" s="19">
        <f t="shared" si="8"/>
        <v>1.363636364</v>
      </c>
      <c r="X674" s="20">
        <f t="shared" si="9"/>
        <v>110</v>
      </c>
      <c r="Y674" s="16"/>
      <c r="Z674" s="17"/>
      <c r="AA674" s="28"/>
      <c r="AB674" s="17"/>
      <c r="AC674" s="28"/>
      <c r="AD674" s="16"/>
    </row>
    <row r="675" ht="15.75" customHeight="1">
      <c r="A675" s="16" t="s">
        <v>2020</v>
      </c>
      <c r="B675" s="16" t="s">
        <v>2021</v>
      </c>
      <c r="C675" s="16" t="s">
        <v>2022</v>
      </c>
      <c r="D675" s="17" t="s">
        <v>119</v>
      </c>
      <c r="E675" s="18" t="s">
        <v>34</v>
      </c>
      <c r="F675" s="18">
        <v>1.0</v>
      </c>
      <c r="G675" s="19">
        <f t="shared" si="1"/>
        <v>0.9876717402</v>
      </c>
      <c r="H675" s="17">
        <v>28.0</v>
      </c>
      <c r="I675" s="10">
        <v>110.0</v>
      </c>
      <c r="J675" s="17">
        <v>1.0</v>
      </c>
      <c r="K675" s="17">
        <v>390.0</v>
      </c>
      <c r="L675" s="17"/>
      <c r="M675" s="20">
        <v>21.0</v>
      </c>
      <c r="N675" s="20">
        <v>1.0</v>
      </c>
      <c r="O675" s="20">
        <v>2.0</v>
      </c>
      <c r="P675" s="20">
        <f t="shared" si="2"/>
        <v>18</v>
      </c>
      <c r="Q675" s="21">
        <v>4.0</v>
      </c>
      <c r="R675" s="22">
        <f t="shared" si="3"/>
        <v>111.3730357</v>
      </c>
      <c r="S675" s="23">
        <f t="shared" si="4"/>
        <v>3.928571429</v>
      </c>
      <c r="T675" s="24">
        <f t="shared" si="5"/>
        <v>5.25</v>
      </c>
      <c r="U675" s="26">
        <f t="shared" si="6"/>
        <v>0.08256880734</v>
      </c>
      <c r="V675" s="26">
        <f t="shared" si="7"/>
        <v>0.07339449541</v>
      </c>
      <c r="W675" s="19">
        <f t="shared" si="8"/>
        <v>3.545454545</v>
      </c>
      <c r="X675" s="20">
        <f t="shared" si="9"/>
        <v>110</v>
      </c>
      <c r="Y675" s="27"/>
      <c r="Z675" s="17"/>
      <c r="AA675" s="28"/>
      <c r="AB675" s="17"/>
      <c r="AC675" s="28"/>
      <c r="AD675" s="27"/>
    </row>
    <row r="676" ht="15.75" customHeight="1">
      <c r="A676" s="27" t="s">
        <v>1638</v>
      </c>
      <c r="B676" s="27" t="s">
        <v>2023</v>
      </c>
      <c r="C676" s="16" t="s">
        <v>2024</v>
      </c>
      <c r="D676" s="17" t="s">
        <v>247</v>
      </c>
      <c r="E676" s="18" t="s">
        <v>34</v>
      </c>
      <c r="F676" s="18">
        <v>1.0</v>
      </c>
      <c r="G676" s="19">
        <f t="shared" si="1"/>
        <v>0.9876717402</v>
      </c>
      <c r="H676" s="17">
        <v>28.0</v>
      </c>
      <c r="I676" s="10">
        <v>110.0</v>
      </c>
      <c r="J676" s="17">
        <v>5.0</v>
      </c>
      <c r="K676" s="17">
        <v>200.0</v>
      </c>
      <c r="L676" s="17"/>
      <c r="M676" s="20">
        <v>7.0</v>
      </c>
      <c r="N676" s="20">
        <v>1.0</v>
      </c>
      <c r="O676" s="20">
        <v>4.0</v>
      </c>
      <c r="P676" s="20">
        <f t="shared" si="2"/>
        <v>2</v>
      </c>
      <c r="Q676" s="21">
        <v>9.0</v>
      </c>
      <c r="R676" s="22">
        <f t="shared" si="3"/>
        <v>111.3730357</v>
      </c>
      <c r="S676" s="23">
        <f t="shared" si="4"/>
        <v>3.928571429</v>
      </c>
      <c r="T676" s="24">
        <f t="shared" si="5"/>
        <v>0.7777777778</v>
      </c>
      <c r="U676" s="26">
        <f t="shared" si="6"/>
        <v>0.4128440367</v>
      </c>
      <c r="V676" s="26">
        <f t="shared" si="7"/>
        <v>0.1467889908</v>
      </c>
      <c r="W676" s="19">
        <f t="shared" si="8"/>
        <v>1.818181818</v>
      </c>
      <c r="X676" s="20">
        <f t="shared" si="9"/>
        <v>110</v>
      </c>
      <c r="Y676" s="27"/>
      <c r="Z676" s="17"/>
      <c r="AA676" s="28"/>
      <c r="AB676" s="17"/>
      <c r="AC676" s="28"/>
      <c r="AD676" s="27"/>
    </row>
    <row r="677" ht="15.75" customHeight="1">
      <c r="A677" s="16" t="s">
        <v>1652</v>
      </c>
      <c r="B677" s="16" t="s">
        <v>2025</v>
      </c>
      <c r="C677" s="16" t="s">
        <v>2026</v>
      </c>
      <c r="D677" s="17" t="s">
        <v>240</v>
      </c>
      <c r="E677" s="18" t="s">
        <v>34</v>
      </c>
      <c r="F677" s="18">
        <v>1.0</v>
      </c>
      <c r="G677" s="19">
        <f t="shared" si="1"/>
        <v>0.9876717402</v>
      </c>
      <c r="H677" s="17">
        <v>28.0</v>
      </c>
      <c r="I677" s="10">
        <v>110.0</v>
      </c>
      <c r="J677" s="17">
        <v>9.0</v>
      </c>
      <c r="K677" s="17">
        <v>190.0</v>
      </c>
      <c r="L677" s="17"/>
      <c r="M677" s="20">
        <v>1.0</v>
      </c>
      <c r="N677" s="20">
        <v>0.0</v>
      </c>
      <c r="O677" s="20">
        <v>0.0</v>
      </c>
      <c r="P677" s="20">
        <f t="shared" si="2"/>
        <v>1</v>
      </c>
      <c r="Q677" s="21">
        <v>6.0</v>
      </c>
      <c r="R677" s="22">
        <f t="shared" si="3"/>
        <v>111.3730357</v>
      </c>
      <c r="S677" s="23">
        <f t="shared" si="4"/>
        <v>3.928571429</v>
      </c>
      <c r="T677" s="24">
        <f t="shared" si="5"/>
        <v>0.1666666667</v>
      </c>
      <c r="U677" s="26">
        <f t="shared" si="6"/>
        <v>0.7431192661</v>
      </c>
      <c r="V677" s="26" t="str">
        <f t="shared" si="7"/>
        <v>0%</v>
      </c>
      <c r="W677" s="19">
        <f t="shared" si="8"/>
        <v>1.727272727</v>
      </c>
      <c r="X677" s="20">
        <f t="shared" si="9"/>
        <v>110</v>
      </c>
      <c r="Y677" s="27"/>
      <c r="Z677" s="17"/>
      <c r="AA677" s="28"/>
      <c r="AB677" s="17"/>
      <c r="AC677" s="28"/>
      <c r="AD677" s="27"/>
    </row>
    <row r="678" ht="15.75" customHeight="1">
      <c r="A678" s="27" t="s">
        <v>2027</v>
      </c>
      <c r="B678" s="27" t="s">
        <v>2028</v>
      </c>
      <c r="C678" s="16" t="s">
        <v>2029</v>
      </c>
      <c r="D678" s="17" t="s">
        <v>247</v>
      </c>
      <c r="E678" s="18" t="s">
        <v>34</v>
      </c>
      <c r="F678" s="18">
        <v>1.0</v>
      </c>
      <c r="G678" s="19">
        <f t="shared" si="1"/>
        <v>0.9876717402</v>
      </c>
      <c r="H678" s="17">
        <v>28.0</v>
      </c>
      <c r="I678" s="10">
        <v>110.0</v>
      </c>
      <c r="J678" s="17">
        <v>9.0</v>
      </c>
      <c r="K678" s="17">
        <v>500.0</v>
      </c>
      <c r="L678" s="17"/>
      <c r="M678" s="20">
        <v>1.0</v>
      </c>
      <c r="N678" s="20">
        <v>0.0</v>
      </c>
      <c r="O678" s="20">
        <v>1.0</v>
      </c>
      <c r="P678" s="20">
        <f t="shared" si="2"/>
        <v>0</v>
      </c>
      <c r="Q678" s="21">
        <v>6.0</v>
      </c>
      <c r="R678" s="22">
        <f t="shared" si="3"/>
        <v>111.3730357</v>
      </c>
      <c r="S678" s="23">
        <f t="shared" si="4"/>
        <v>3.928571429</v>
      </c>
      <c r="T678" s="24">
        <f t="shared" si="5"/>
        <v>0.1666666667</v>
      </c>
      <c r="U678" s="26">
        <f t="shared" si="6"/>
        <v>0.7431192661</v>
      </c>
      <c r="V678" s="26">
        <f t="shared" si="7"/>
        <v>0.03669724771</v>
      </c>
      <c r="W678" s="19">
        <f t="shared" si="8"/>
        <v>4.545454545</v>
      </c>
      <c r="X678" s="20">
        <f t="shared" si="9"/>
        <v>110</v>
      </c>
      <c r="Y678" s="27"/>
      <c r="Z678" s="17"/>
      <c r="AA678" s="28"/>
      <c r="AB678" s="17"/>
      <c r="AC678" s="28"/>
      <c r="AD678" s="27"/>
    </row>
    <row r="679" ht="15.75" customHeight="1">
      <c r="A679" s="16" t="s">
        <v>2030</v>
      </c>
      <c r="B679" s="16" t="s">
        <v>2031</v>
      </c>
      <c r="C679" s="16" t="s">
        <v>52</v>
      </c>
      <c r="D679" s="17" t="s">
        <v>247</v>
      </c>
      <c r="E679" s="18" t="s">
        <v>34</v>
      </c>
      <c r="F679" s="18">
        <v>1.0</v>
      </c>
      <c r="G679" s="19">
        <f t="shared" si="1"/>
        <v>0.9876717402</v>
      </c>
      <c r="H679" s="17">
        <v>28.0</v>
      </c>
      <c r="I679" s="10">
        <v>110.0</v>
      </c>
      <c r="J679" s="17">
        <v>10.0</v>
      </c>
      <c r="K679" s="17">
        <v>440.0</v>
      </c>
      <c r="L679" s="17"/>
      <c r="M679" s="20">
        <v>1.0</v>
      </c>
      <c r="N679" s="20">
        <v>0.0</v>
      </c>
      <c r="O679" s="20">
        <v>0.0</v>
      </c>
      <c r="P679" s="20">
        <f t="shared" si="2"/>
        <v>1</v>
      </c>
      <c r="Q679" s="21">
        <v>6.0</v>
      </c>
      <c r="R679" s="22">
        <f t="shared" si="3"/>
        <v>111.3730357</v>
      </c>
      <c r="S679" s="23">
        <f t="shared" si="4"/>
        <v>3.928571429</v>
      </c>
      <c r="T679" s="24">
        <f t="shared" si="5"/>
        <v>0.1666666667</v>
      </c>
      <c r="U679" s="26">
        <f t="shared" si="6"/>
        <v>0.7627118644</v>
      </c>
      <c r="V679" s="26" t="str">
        <f t="shared" si="7"/>
        <v>0%</v>
      </c>
      <c r="W679" s="19">
        <f t="shared" si="8"/>
        <v>4</v>
      </c>
      <c r="X679" s="20">
        <f t="shared" si="9"/>
        <v>110</v>
      </c>
      <c r="Y679" s="27"/>
      <c r="Z679" s="17"/>
      <c r="AA679" s="28"/>
      <c r="AB679" s="17"/>
      <c r="AC679" s="28"/>
      <c r="AD679" s="27"/>
    </row>
    <row r="680" ht="15.75" customHeight="1">
      <c r="A680" s="27" t="s">
        <v>1668</v>
      </c>
      <c r="B680" s="27" t="s">
        <v>2032</v>
      </c>
      <c r="C680" s="16" t="s">
        <v>2033</v>
      </c>
      <c r="D680" s="17" t="s">
        <v>240</v>
      </c>
      <c r="E680" s="18" t="s">
        <v>34</v>
      </c>
      <c r="F680" s="18">
        <v>1.0</v>
      </c>
      <c r="G680" s="19">
        <f t="shared" si="1"/>
        <v>0.9876717402</v>
      </c>
      <c r="H680" s="17">
        <v>28.0</v>
      </c>
      <c r="I680" s="10">
        <v>110.0</v>
      </c>
      <c r="J680" s="17">
        <v>9.0</v>
      </c>
      <c r="K680" s="17">
        <v>180.0</v>
      </c>
      <c r="L680" s="17"/>
      <c r="M680" s="20">
        <v>1.0</v>
      </c>
      <c r="N680" s="20">
        <v>0.0</v>
      </c>
      <c r="O680" s="20">
        <v>0.0</v>
      </c>
      <c r="P680" s="20">
        <f t="shared" si="2"/>
        <v>1</v>
      </c>
      <c r="Q680" s="21">
        <v>7.0</v>
      </c>
      <c r="R680" s="22">
        <f t="shared" si="3"/>
        <v>111.3730357</v>
      </c>
      <c r="S680" s="23">
        <f t="shared" si="4"/>
        <v>3.928571429</v>
      </c>
      <c r="T680" s="24">
        <f t="shared" si="5"/>
        <v>0.1428571429</v>
      </c>
      <c r="U680" s="26">
        <f t="shared" si="6"/>
        <v>0.7168141593</v>
      </c>
      <c r="V680" s="26" t="str">
        <f t="shared" si="7"/>
        <v>0%</v>
      </c>
      <c r="W680" s="19">
        <f t="shared" si="8"/>
        <v>1.636363636</v>
      </c>
      <c r="X680" s="20">
        <f t="shared" si="9"/>
        <v>110</v>
      </c>
      <c r="Y680" s="27"/>
      <c r="Z680" s="17"/>
      <c r="AA680" s="28"/>
      <c r="AB680" s="17"/>
      <c r="AC680" s="28"/>
      <c r="AD680" s="16"/>
    </row>
    <row r="681" ht="15.75" customHeight="1">
      <c r="A681" s="27" t="s">
        <v>2034</v>
      </c>
      <c r="B681" s="27" t="s">
        <v>2035</v>
      </c>
      <c r="C681" s="16" t="s">
        <v>2036</v>
      </c>
      <c r="D681" s="17" t="s">
        <v>240</v>
      </c>
      <c r="E681" s="18" t="s">
        <v>34</v>
      </c>
      <c r="F681" s="18">
        <v>1.0</v>
      </c>
      <c r="G681" s="19">
        <f t="shared" si="1"/>
        <v>0.9876717402</v>
      </c>
      <c r="H681" s="17">
        <v>28.0</v>
      </c>
      <c r="I681" s="10">
        <v>110.0</v>
      </c>
      <c r="J681" s="17">
        <v>10.0</v>
      </c>
      <c r="K681" s="17">
        <v>190.0</v>
      </c>
      <c r="L681" s="17"/>
      <c r="M681" s="20">
        <v>0.0</v>
      </c>
      <c r="N681" s="20">
        <v>0.0</v>
      </c>
      <c r="O681" s="20">
        <v>0.0</v>
      </c>
      <c r="P681" s="20">
        <f t="shared" si="2"/>
        <v>0</v>
      </c>
      <c r="Q681" s="21">
        <v>7.0</v>
      </c>
      <c r="R681" s="22">
        <f t="shared" si="3"/>
        <v>111.3730357</v>
      </c>
      <c r="S681" s="23">
        <f t="shared" si="4"/>
        <v>3.928571429</v>
      </c>
      <c r="T681" s="24">
        <f t="shared" si="5"/>
        <v>0</v>
      </c>
      <c r="U681" s="26">
        <f t="shared" si="6"/>
        <v>0.7627118644</v>
      </c>
      <c r="V681" s="26" t="str">
        <f t="shared" si="7"/>
        <v>0%</v>
      </c>
      <c r="W681" s="19">
        <f t="shared" si="8"/>
        <v>1.727272727</v>
      </c>
      <c r="X681" s="20">
        <f t="shared" si="9"/>
        <v>110</v>
      </c>
      <c r="Y681" s="27"/>
      <c r="Z681" s="17"/>
      <c r="AA681" s="28"/>
      <c r="AB681" s="17"/>
      <c r="AC681" s="28"/>
      <c r="AD681" s="27"/>
    </row>
    <row r="682" ht="15.75" customHeight="1">
      <c r="A682" s="27" t="s">
        <v>1652</v>
      </c>
      <c r="B682" s="27" t="s">
        <v>2037</v>
      </c>
      <c r="C682" s="16" t="s">
        <v>2038</v>
      </c>
      <c r="D682" s="17" t="s">
        <v>240</v>
      </c>
      <c r="E682" s="18" t="s">
        <v>34</v>
      </c>
      <c r="F682" s="18">
        <v>1.0</v>
      </c>
      <c r="G682" s="19">
        <f t="shared" si="1"/>
        <v>0.9876717402</v>
      </c>
      <c r="H682" s="17">
        <v>28.0</v>
      </c>
      <c r="I682" s="10">
        <v>110.0</v>
      </c>
      <c r="J682" s="17">
        <v>9.0</v>
      </c>
      <c r="K682" s="17">
        <v>170.0</v>
      </c>
      <c r="L682" s="17"/>
      <c r="M682" s="20">
        <v>0.0</v>
      </c>
      <c r="N682" s="20">
        <v>0.0</v>
      </c>
      <c r="O682" s="20">
        <v>0.0</v>
      </c>
      <c r="P682" s="20">
        <f t="shared" si="2"/>
        <v>0</v>
      </c>
      <c r="Q682" s="21">
        <v>7.0</v>
      </c>
      <c r="R682" s="22">
        <f t="shared" si="3"/>
        <v>111.3730357</v>
      </c>
      <c r="S682" s="23">
        <f t="shared" si="4"/>
        <v>3.928571429</v>
      </c>
      <c r="T682" s="24">
        <f t="shared" si="5"/>
        <v>0</v>
      </c>
      <c r="U682" s="26">
        <f t="shared" si="6"/>
        <v>0.7431192661</v>
      </c>
      <c r="V682" s="26" t="str">
        <f t="shared" si="7"/>
        <v>0%</v>
      </c>
      <c r="W682" s="19">
        <f t="shared" si="8"/>
        <v>1.545454545</v>
      </c>
      <c r="X682" s="20">
        <f t="shared" si="9"/>
        <v>110</v>
      </c>
      <c r="Y682" s="27"/>
      <c r="Z682" s="17"/>
      <c r="AA682" s="28"/>
      <c r="AB682" s="17"/>
      <c r="AC682" s="28"/>
      <c r="AD682" s="27"/>
    </row>
    <row r="683" ht="15.75" customHeight="1">
      <c r="A683" s="16" t="s">
        <v>1652</v>
      </c>
      <c r="B683" s="16" t="s">
        <v>2039</v>
      </c>
      <c r="C683" s="16" t="s">
        <v>2040</v>
      </c>
      <c r="D683" s="17" t="s">
        <v>240</v>
      </c>
      <c r="E683" s="18" t="s">
        <v>34</v>
      </c>
      <c r="F683" s="18">
        <v>1.0</v>
      </c>
      <c r="G683" s="19">
        <f t="shared" si="1"/>
        <v>0.9876717402</v>
      </c>
      <c r="H683" s="17">
        <v>28.0</v>
      </c>
      <c r="I683" s="10">
        <v>110.0</v>
      </c>
      <c r="J683" s="17">
        <v>9.0</v>
      </c>
      <c r="K683" s="17">
        <v>170.0</v>
      </c>
      <c r="L683" s="17"/>
      <c r="M683" s="20">
        <v>0.0</v>
      </c>
      <c r="N683" s="20">
        <v>0.0</v>
      </c>
      <c r="O683" s="20">
        <v>0.0</v>
      </c>
      <c r="P683" s="20">
        <f t="shared" si="2"/>
        <v>0</v>
      </c>
      <c r="Q683" s="21">
        <v>7.0</v>
      </c>
      <c r="R683" s="22">
        <f t="shared" si="3"/>
        <v>111.3730357</v>
      </c>
      <c r="S683" s="23">
        <f t="shared" si="4"/>
        <v>3.928571429</v>
      </c>
      <c r="T683" s="24">
        <f t="shared" si="5"/>
        <v>0</v>
      </c>
      <c r="U683" s="26">
        <f t="shared" si="6"/>
        <v>0.7431192661</v>
      </c>
      <c r="V683" s="26" t="str">
        <f t="shared" si="7"/>
        <v>0%</v>
      </c>
      <c r="W683" s="19">
        <f t="shared" si="8"/>
        <v>1.545454545</v>
      </c>
      <c r="X683" s="20">
        <f t="shared" si="9"/>
        <v>110</v>
      </c>
      <c r="Y683" s="27"/>
      <c r="Z683" s="17"/>
      <c r="AA683" s="28"/>
      <c r="AB683" s="17"/>
      <c r="AC683" s="28"/>
      <c r="AD683" s="27"/>
    </row>
    <row r="684" ht="15.75" customHeight="1">
      <c r="A684" s="27" t="s">
        <v>2041</v>
      </c>
      <c r="B684" s="27" t="s">
        <v>2042</v>
      </c>
      <c r="C684" s="16" t="s">
        <v>2043</v>
      </c>
      <c r="D684" s="17" t="s">
        <v>247</v>
      </c>
      <c r="E684" s="18" t="s">
        <v>34</v>
      </c>
      <c r="F684" s="18">
        <v>1.0</v>
      </c>
      <c r="G684" s="19">
        <f t="shared" si="1"/>
        <v>0.9876717402</v>
      </c>
      <c r="H684" s="17">
        <v>28.0</v>
      </c>
      <c r="I684" s="10">
        <v>110.0</v>
      </c>
      <c r="J684" s="17">
        <v>8.0</v>
      </c>
      <c r="K684" s="17">
        <v>440.0</v>
      </c>
      <c r="L684" s="17"/>
      <c r="M684" s="20">
        <v>0.0</v>
      </c>
      <c r="N684" s="20">
        <v>0.0</v>
      </c>
      <c r="O684" s="20">
        <v>0.0</v>
      </c>
      <c r="P684" s="20">
        <f t="shared" si="2"/>
        <v>0</v>
      </c>
      <c r="Q684" s="21">
        <v>8.0</v>
      </c>
      <c r="R684" s="22">
        <f t="shared" si="3"/>
        <v>111.3730357</v>
      </c>
      <c r="S684" s="23">
        <f t="shared" si="4"/>
        <v>3.928571429</v>
      </c>
      <c r="T684" s="24">
        <f t="shared" si="5"/>
        <v>0</v>
      </c>
      <c r="U684" s="26">
        <f t="shared" si="6"/>
        <v>0.6923076923</v>
      </c>
      <c r="V684" s="26" t="str">
        <f t="shared" si="7"/>
        <v>0%</v>
      </c>
      <c r="W684" s="19">
        <f t="shared" si="8"/>
        <v>4</v>
      </c>
      <c r="X684" s="20">
        <f t="shared" si="9"/>
        <v>110</v>
      </c>
      <c r="Y684" s="27"/>
      <c r="Z684" s="17"/>
      <c r="AA684" s="28"/>
      <c r="AB684" s="17"/>
      <c r="AC684" s="28"/>
      <c r="AD684" s="27"/>
    </row>
    <row r="685" ht="15.75" customHeight="1">
      <c r="A685" s="27" t="s">
        <v>2044</v>
      </c>
      <c r="B685" s="27" t="s">
        <v>312</v>
      </c>
      <c r="C685" s="16" t="s">
        <v>2045</v>
      </c>
      <c r="D685" s="17" t="s">
        <v>212</v>
      </c>
      <c r="E685" s="18" t="s">
        <v>34</v>
      </c>
      <c r="F685" s="18">
        <v>1.0</v>
      </c>
      <c r="G685" s="19">
        <f t="shared" si="1"/>
        <v>0.8113017866</v>
      </c>
      <c r="H685" s="17">
        <v>23.0</v>
      </c>
      <c r="I685" s="10">
        <v>90.0</v>
      </c>
      <c r="J685" s="17">
        <v>2.5</v>
      </c>
      <c r="K685" s="17">
        <v>80.0</v>
      </c>
      <c r="L685" s="17"/>
      <c r="M685" s="20">
        <v>17.0</v>
      </c>
      <c r="N685" s="20">
        <v>5.0</v>
      </c>
      <c r="O685" s="20">
        <v>5.0</v>
      </c>
      <c r="P685" s="20">
        <f t="shared" si="2"/>
        <v>7</v>
      </c>
      <c r="Q685" s="21">
        <v>1.0</v>
      </c>
      <c r="R685" s="22">
        <f t="shared" si="3"/>
        <v>110.9328261</v>
      </c>
      <c r="S685" s="23">
        <f t="shared" si="4"/>
        <v>3.913043478</v>
      </c>
      <c r="T685" s="24">
        <f t="shared" si="5"/>
        <v>17</v>
      </c>
      <c r="U685" s="26">
        <f t="shared" si="6"/>
        <v>0.2380952381</v>
      </c>
      <c r="V685" s="26">
        <f t="shared" si="7"/>
        <v>0.2116402116</v>
      </c>
      <c r="W685" s="19">
        <f t="shared" si="8"/>
        <v>0.8888888889</v>
      </c>
      <c r="X685" s="20">
        <f t="shared" si="9"/>
        <v>90</v>
      </c>
      <c r="Y685" s="27"/>
      <c r="Z685" s="17"/>
      <c r="AA685" s="28"/>
      <c r="AB685" s="17"/>
      <c r="AC685" s="28"/>
      <c r="AD685" s="27"/>
    </row>
    <row r="686" ht="15.75" customHeight="1">
      <c r="A686" s="16" t="s">
        <v>2046</v>
      </c>
      <c r="B686" s="16" t="s">
        <v>2047</v>
      </c>
      <c r="C686" s="16" t="s">
        <v>2048</v>
      </c>
      <c r="D686" s="17" t="s">
        <v>247</v>
      </c>
      <c r="E686" s="18" t="s">
        <v>34</v>
      </c>
      <c r="F686" s="18">
        <v>1.0</v>
      </c>
      <c r="G686" s="19">
        <f t="shared" si="1"/>
        <v>0.8113017866</v>
      </c>
      <c r="H686" s="17">
        <v>23.0</v>
      </c>
      <c r="I686" s="10">
        <v>90.0</v>
      </c>
      <c r="J686" s="17">
        <v>6.0</v>
      </c>
      <c r="K686" s="17">
        <v>360.0</v>
      </c>
      <c r="L686" s="17"/>
      <c r="M686" s="20">
        <v>3.0</v>
      </c>
      <c r="N686" s="20">
        <v>1.0</v>
      </c>
      <c r="O686" s="20">
        <v>2.0</v>
      </c>
      <c r="P686" s="20">
        <f t="shared" si="2"/>
        <v>0</v>
      </c>
      <c r="Q686" s="21">
        <v>6.0</v>
      </c>
      <c r="R686" s="22">
        <f t="shared" si="3"/>
        <v>110.9328261</v>
      </c>
      <c r="S686" s="23">
        <f t="shared" si="4"/>
        <v>3.913043478</v>
      </c>
      <c r="T686" s="24">
        <f t="shared" si="5"/>
        <v>0.5</v>
      </c>
      <c r="U686" s="26">
        <f t="shared" si="6"/>
        <v>0.6</v>
      </c>
      <c r="V686" s="26">
        <f t="shared" si="7"/>
        <v>0.08888888889</v>
      </c>
      <c r="W686" s="19">
        <f t="shared" si="8"/>
        <v>4</v>
      </c>
      <c r="X686" s="20">
        <f t="shared" si="9"/>
        <v>90</v>
      </c>
      <c r="Y686" s="27"/>
      <c r="Z686" s="17"/>
      <c r="AA686" s="28"/>
      <c r="AB686" s="17"/>
      <c r="AC686" s="28"/>
      <c r="AD686" s="16"/>
    </row>
    <row r="687" ht="15.75" customHeight="1">
      <c r="A687" s="16" t="s">
        <v>1912</v>
      </c>
      <c r="B687" s="16" t="s">
        <v>2049</v>
      </c>
      <c r="C687" s="16" t="s">
        <v>2050</v>
      </c>
      <c r="D687" s="17" t="s">
        <v>119</v>
      </c>
      <c r="E687" s="18" t="s">
        <v>34</v>
      </c>
      <c r="F687" s="18">
        <v>1.0</v>
      </c>
      <c r="G687" s="19">
        <f t="shared" si="1"/>
        <v>2.257535406</v>
      </c>
      <c r="H687" s="17">
        <v>64.0</v>
      </c>
      <c r="I687" s="10">
        <v>250.0</v>
      </c>
      <c r="J687" s="17">
        <v>3.5</v>
      </c>
      <c r="K687" s="17">
        <v>660.0</v>
      </c>
      <c r="L687" s="17"/>
      <c r="M687" s="20">
        <v>44.0</v>
      </c>
      <c r="N687" s="20">
        <v>2.0</v>
      </c>
      <c r="O687" s="20">
        <v>3.0</v>
      </c>
      <c r="P687" s="20">
        <f t="shared" si="2"/>
        <v>39</v>
      </c>
      <c r="Q687" s="21">
        <v>9.0</v>
      </c>
      <c r="R687" s="22">
        <f t="shared" si="3"/>
        <v>110.7402344</v>
      </c>
      <c r="S687" s="23">
        <f t="shared" si="4"/>
        <v>3.90625</v>
      </c>
      <c r="T687" s="24">
        <f t="shared" si="5"/>
        <v>4.888888889</v>
      </c>
      <c r="U687" s="26">
        <f t="shared" si="6"/>
        <v>0.1293634497</v>
      </c>
      <c r="V687" s="26">
        <f t="shared" si="7"/>
        <v>0.04928131417</v>
      </c>
      <c r="W687" s="19">
        <f t="shared" si="8"/>
        <v>2.64</v>
      </c>
      <c r="X687" s="20">
        <f t="shared" si="9"/>
        <v>250</v>
      </c>
      <c r="Y687" s="27"/>
      <c r="Z687" s="17"/>
      <c r="AA687" s="28"/>
      <c r="AB687" s="17"/>
      <c r="AC687" s="28"/>
      <c r="AD687" s="27"/>
    </row>
    <row r="688" ht="15.75" customHeight="1">
      <c r="A688" s="27" t="s">
        <v>1741</v>
      </c>
      <c r="B688" s="27" t="s">
        <v>2051</v>
      </c>
      <c r="C688" s="16" t="s">
        <v>2052</v>
      </c>
      <c r="D688" s="17" t="s">
        <v>212</v>
      </c>
      <c r="E688" s="18" t="s">
        <v>34</v>
      </c>
      <c r="F688" s="18">
        <v>1.0</v>
      </c>
      <c r="G688" s="19">
        <f t="shared" si="1"/>
        <v>3.527399072</v>
      </c>
      <c r="H688" s="17">
        <v>100.0</v>
      </c>
      <c r="I688" s="10">
        <v>390.0</v>
      </c>
      <c r="J688" s="17">
        <v>12.0</v>
      </c>
      <c r="K688" s="17">
        <v>330.0</v>
      </c>
      <c r="L688" s="17">
        <v>290.0</v>
      </c>
      <c r="M688" s="20">
        <v>40.0</v>
      </c>
      <c r="N688" s="20">
        <v>3.0</v>
      </c>
      <c r="O688" s="20">
        <v>18.0</v>
      </c>
      <c r="P688" s="20">
        <f t="shared" si="2"/>
        <v>19</v>
      </c>
      <c r="Q688" s="21">
        <v>30.0</v>
      </c>
      <c r="R688" s="22">
        <f t="shared" si="3"/>
        <v>110.56305</v>
      </c>
      <c r="S688" s="23">
        <f t="shared" si="4"/>
        <v>3.9</v>
      </c>
      <c r="T688" s="24">
        <f t="shared" si="5"/>
        <v>1.333333333</v>
      </c>
      <c r="U688" s="26">
        <f t="shared" si="6"/>
        <v>0.2783505155</v>
      </c>
      <c r="V688" s="26">
        <f t="shared" si="7"/>
        <v>0.1855670103</v>
      </c>
      <c r="W688" s="19">
        <f t="shared" si="8"/>
        <v>0.8461538462</v>
      </c>
      <c r="X688" s="20">
        <f t="shared" si="9"/>
        <v>390</v>
      </c>
      <c r="Y688" s="27"/>
      <c r="Z688" s="17"/>
      <c r="AA688" s="28"/>
      <c r="AB688" s="17"/>
      <c r="AC688" s="28"/>
      <c r="AD688" s="16"/>
    </row>
    <row r="689" ht="15.75" customHeight="1">
      <c r="A689" s="16" t="s">
        <v>1831</v>
      </c>
      <c r="B689" s="16" t="s">
        <v>1478</v>
      </c>
      <c r="C689" s="16" t="s">
        <v>2053</v>
      </c>
      <c r="D689" s="17" t="s">
        <v>318</v>
      </c>
      <c r="E689" s="18" t="s">
        <v>34</v>
      </c>
      <c r="F689" s="18">
        <v>1.0</v>
      </c>
      <c r="G689" s="19">
        <f t="shared" si="1"/>
        <v>3.985960952</v>
      </c>
      <c r="H689" s="17">
        <v>113.0</v>
      </c>
      <c r="I689" s="10">
        <v>440.0</v>
      </c>
      <c r="J689" s="17">
        <v>14.0</v>
      </c>
      <c r="K689" s="17">
        <v>260.0</v>
      </c>
      <c r="L689" s="17">
        <v>284.0</v>
      </c>
      <c r="M689" s="20">
        <v>59.0</v>
      </c>
      <c r="N689" s="20">
        <v>10.0</v>
      </c>
      <c r="O689" s="20">
        <v>26.0</v>
      </c>
      <c r="P689" s="20">
        <f t="shared" si="2"/>
        <v>23</v>
      </c>
      <c r="Q689" s="21">
        <v>16.0</v>
      </c>
      <c r="R689" s="22">
        <f t="shared" si="3"/>
        <v>110.3874336</v>
      </c>
      <c r="S689" s="23">
        <f t="shared" si="4"/>
        <v>3.89380531</v>
      </c>
      <c r="T689" s="24">
        <f t="shared" si="5"/>
        <v>3.6875</v>
      </c>
      <c r="U689" s="26">
        <f t="shared" si="6"/>
        <v>0.2957746479</v>
      </c>
      <c r="V689" s="26">
        <f t="shared" si="7"/>
        <v>0.2441314554</v>
      </c>
      <c r="W689" s="19">
        <f t="shared" si="8"/>
        <v>0.5909090909</v>
      </c>
      <c r="X689" s="20">
        <f t="shared" si="9"/>
        <v>440</v>
      </c>
      <c r="Y689" s="27"/>
      <c r="Z689" s="17"/>
      <c r="AA689" s="28"/>
      <c r="AB689" s="17"/>
      <c r="AC689" s="28"/>
      <c r="AD689" s="27"/>
    </row>
    <row r="690" ht="15.75" customHeight="1">
      <c r="A690" s="27" t="s">
        <v>1831</v>
      </c>
      <c r="B690" s="27" t="s">
        <v>2054</v>
      </c>
      <c r="C690" s="16" t="s">
        <v>2055</v>
      </c>
      <c r="D690" s="17" t="s">
        <v>318</v>
      </c>
      <c r="E690" s="18" t="s">
        <v>34</v>
      </c>
      <c r="F690" s="18">
        <v>1.0</v>
      </c>
      <c r="G690" s="19">
        <f t="shared" si="1"/>
        <v>3.985960952</v>
      </c>
      <c r="H690" s="17">
        <v>113.0</v>
      </c>
      <c r="I690" s="10">
        <v>440.0</v>
      </c>
      <c r="J690" s="17">
        <v>14.0</v>
      </c>
      <c r="K690" s="17">
        <v>600.0</v>
      </c>
      <c r="L690" s="17">
        <v>269.0</v>
      </c>
      <c r="M690" s="20">
        <v>57.0</v>
      </c>
      <c r="N690" s="20">
        <v>10.0</v>
      </c>
      <c r="O690" s="20">
        <v>21.0</v>
      </c>
      <c r="P690" s="20">
        <f t="shared" si="2"/>
        <v>26</v>
      </c>
      <c r="Q690" s="21">
        <v>16.0</v>
      </c>
      <c r="R690" s="22">
        <f t="shared" si="3"/>
        <v>110.3874336</v>
      </c>
      <c r="S690" s="23">
        <f t="shared" si="4"/>
        <v>3.89380531</v>
      </c>
      <c r="T690" s="24">
        <f t="shared" si="5"/>
        <v>3.5625</v>
      </c>
      <c r="U690" s="26">
        <f t="shared" si="6"/>
        <v>0.3014354067</v>
      </c>
      <c r="V690" s="26">
        <f t="shared" si="7"/>
        <v>0.2009569378</v>
      </c>
      <c r="W690" s="19">
        <f t="shared" si="8"/>
        <v>1.363636364</v>
      </c>
      <c r="X690" s="20">
        <f t="shared" si="9"/>
        <v>440</v>
      </c>
      <c r="Y690" s="27"/>
      <c r="Z690" s="17"/>
      <c r="AA690" s="28"/>
      <c r="AB690" s="17"/>
      <c r="AC690" s="28"/>
      <c r="AD690" s="16"/>
    </row>
    <row r="691" ht="15.75" customHeight="1">
      <c r="A691" s="27" t="s">
        <v>1831</v>
      </c>
      <c r="B691" s="27" t="s">
        <v>2056</v>
      </c>
      <c r="C691" s="16" t="s">
        <v>2057</v>
      </c>
      <c r="D691" s="17" t="s">
        <v>318</v>
      </c>
      <c r="E691" s="18" t="s">
        <v>34</v>
      </c>
      <c r="F691" s="18">
        <v>1.0</v>
      </c>
      <c r="G691" s="19">
        <f t="shared" si="1"/>
        <v>3.985960952</v>
      </c>
      <c r="H691" s="17">
        <v>113.0</v>
      </c>
      <c r="I691" s="10">
        <v>440.0</v>
      </c>
      <c r="J691" s="17">
        <v>14.0</v>
      </c>
      <c r="K691" s="17">
        <v>480.0</v>
      </c>
      <c r="L691" s="17">
        <v>419.0</v>
      </c>
      <c r="M691" s="20">
        <v>55.0</v>
      </c>
      <c r="N691" s="20">
        <v>10.0</v>
      </c>
      <c r="O691" s="20">
        <v>29.0</v>
      </c>
      <c r="P691" s="20">
        <f t="shared" si="2"/>
        <v>16</v>
      </c>
      <c r="Q691" s="21">
        <v>16.0</v>
      </c>
      <c r="R691" s="22">
        <f t="shared" si="3"/>
        <v>110.3874336</v>
      </c>
      <c r="S691" s="23">
        <f t="shared" si="4"/>
        <v>3.89380531</v>
      </c>
      <c r="T691" s="24">
        <f t="shared" si="5"/>
        <v>3.4375</v>
      </c>
      <c r="U691" s="26">
        <f t="shared" si="6"/>
        <v>0.3073170732</v>
      </c>
      <c r="V691" s="26">
        <f t="shared" si="7"/>
        <v>0.2829268293</v>
      </c>
      <c r="W691" s="19">
        <f t="shared" si="8"/>
        <v>1.090909091</v>
      </c>
      <c r="X691" s="20">
        <f t="shared" si="9"/>
        <v>440</v>
      </c>
      <c r="Y691" s="16"/>
      <c r="Z691" s="17"/>
      <c r="AA691" s="28"/>
      <c r="AB691" s="17"/>
      <c r="AC691" s="28"/>
      <c r="AD691" s="16"/>
    </row>
    <row r="692" ht="15.75" customHeight="1">
      <c r="A692" s="27" t="s">
        <v>1831</v>
      </c>
      <c r="B692" s="27" t="s">
        <v>1288</v>
      </c>
      <c r="C692" s="16" t="s">
        <v>2058</v>
      </c>
      <c r="D692" s="17" t="s">
        <v>318</v>
      </c>
      <c r="E692" s="18" t="s">
        <v>34</v>
      </c>
      <c r="F692" s="18">
        <v>1.0</v>
      </c>
      <c r="G692" s="19">
        <f t="shared" si="1"/>
        <v>3.985960952</v>
      </c>
      <c r="H692" s="17">
        <v>113.0</v>
      </c>
      <c r="I692" s="10">
        <v>440.0</v>
      </c>
      <c r="J692" s="17">
        <v>16.0</v>
      </c>
      <c r="K692" s="17">
        <v>360.0</v>
      </c>
      <c r="L692" s="17">
        <v>141.0</v>
      </c>
      <c r="M692" s="20">
        <v>55.0</v>
      </c>
      <c r="N692" s="20">
        <v>10.0</v>
      </c>
      <c r="O692" s="20">
        <v>21.0</v>
      </c>
      <c r="P692" s="20">
        <f t="shared" si="2"/>
        <v>24</v>
      </c>
      <c r="Q692" s="21">
        <v>16.0</v>
      </c>
      <c r="R692" s="22">
        <f t="shared" si="3"/>
        <v>110.3874336</v>
      </c>
      <c r="S692" s="23">
        <f t="shared" si="4"/>
        <v>3.89380531</v>
      </c>
      <c r="T692" s="24">
        <f t="shared" si="5"/>
        <v>3.4375</v>
      </c>
      <c r="U692" s="26">
        <f t="shared" si="6"/>
        <v>0.3364485981</v>
      </c>
      <c r="V692" s="26">
        <f t="shared" si="7"/>
        <v>0.1962616822</v>
      </c>
      <c r="W692" s="19">
        <f t="shared" si="8"/>
        <v>0.8181818182</v>
      </c>
      <c r="X692" s="20">
        <f t="shared" si="9"/>
        <v>440</v>
      </c>
      <c r="Y692" s="27"/>
      <c r="Z692" s="17"/>
      <c r="AA692" s="28"/>
      <c r="AB692" s="17"/>
      <c r="AC692" s="28"/>
      <c r="AD692" s="27"/>
    </row>
    <row r="693" ht="15.75" customHeight="1">
      <c r="A693" s="27" t="s">
        <v>2059</v>
      </c>
      <c r="B693" s="27" t="s">
        <v>1864</v>
      </c>
      <c r="C693" s="16" t="s">
        <v>2060</v>
      </c>
      <c r="D693" s="17" t="s">
        <v>130</v>
      </c>
      <c r="E693" s="18" t="s">
        <v>34</v>
      </c>
      <c r="F693" s="18">
        <v>1.0</v>
      </c>
      <c r="G693" s="19">
        <f t="shared" si="1"/>
        <v>0.634931833</v>
      </c>
      <c r="H693" s="17">
        <v>18.0</v>
      </c>
      <c r="I693" s="10">
        <v>70.0</v>
      </c>
      <c r="J693" s="17">
        <v>0.0</v>
      </c>
      <c r="K693" s="17">
        <v>10.0</v>
      </c>
      <c r="L693" s="17"/>
      <c r="M693" s="20">
        <v>17.0</v>
      </c>
      <c r="N693" s="20">
        <v>0.0</v>
      </c>
      <c r="O693" s="20">
        <v>11.0</v>
      </c>
      <c r="P693" s="20">
        <f t="shared" si="2"/>
        <v>6</v>
      </c>
      <c r="Q693" s="21">
        <v>0.0</v>
      </c>
      <c r="R693" s="22">
        <f t="shared" si="3"/>
        <v>110.2480556</v>
      </c>
      <c r="S693" s="23">
        <f t="shared" si="4"/>
        <v>3.888888889</v>
      </c>
      <c r="T693" s="24" t="str">
        <f t="shared" si="5"/>
        <v>N/A</v>
      </c>
      <c r="U693" s="26" t="str">
        <f t="shared" si="6"/>
        <v>0%</v>
      </c>
      <c r="V693" s="26">
        <f t="shared" si="7"/>
        <v>0.6470588235</v>
      </c>
      <c r="W693" s="19">
        <f t="shared" si="8"/>
        <v>0.1428571429</v>
      </c>
      <c r="X693" s="20">
        <f t="shared" si="9"/>
        <v>70</v>
      </c>
      <c r="Y693" s="27"/>
      <c r="Z693" s="17"/>
      <c r="AA693" s="28"/>
      <c r="AB693" s="17"/>
      <c r="AC693" s="28"/>
      <c r="AD693" s="16"/>
    </row>
    <row r="694" ht="15.75" customHeight="1">
      <c r="A694" s="27" t="s">
        <v>104</v>
      </c>
      <c r="B694" s="27" t="s">
        <v>2061</v>
      </c>
      <c r="C694" s="16" t="s">
        <v>2062</v>
      </c>
      <c r="D694" s="17" t="s">
        <v>203</v>
      </c>
      <c r="E694" s="18" t="s">
        <v>34</v>
      </c>
      <c r="F694" s="18">
        <v>1.0</v>
      </c>
      <c r="G694" s="19">
        <f t="shared" si="1"/>
        <v>1.269863666</v>
      </c>
      <c r="H694" s="17">
        <v>36.0</v>
      </c>
      <c r="I694" s="10">
        <v>140.0</v>
      </c>
      <c r="J694" s="17">
        <v>3.0</v>
      </c>
      <c r="K694" s="17">
        <v>10.0</v>
      </c>
      <c r="L694" s="17">
        <v>90.0</v>
      </c>
      <c r="M694" s="20">
        <v>28.0</v>
      </c>
      <c r="N694" s="20">
        <v>1.0</v>
      </c>
      <c r="O694" s="20">
        <v>24.0</v>
      </c>
      <c r="P694" s="20">
        <f t="shared" si="2"/>
        <v>3</v>
      </c>
      <c r="Q694" s="21">
        <v>1.0</v>
      </c>
      <c r="R694" s="22">
        <f t="shared" si="3"/>
        <v>110.2480556</v>
      </c>
      <c r="S694" s="23">
        <f t="shared" si="4"/>
        <v>3.888888889</v>
      </c>
      <c r="T694" s="24">
        <f t="shared" si="5"/>
        <v>28</v>
      </c>
      <c r="U694" s="26">
        <f t="shared" si="6"/>
        <v>0.1888111888</v>
      </c>
      <c r="V694" s="26">
        <f t="shared" si="7"/>
        <v>0.6713286713</v>
      </c>
      <c r="W694" s="19">
        <f t="shared" si="8"/>
        <v>0.07142857143</v>
      </c>
      <c r="X694" s="20">
        <f t="shared" si="9"/>
        <v>140</v>
      </c>
      <c r="Y694" s="27"/>
      <c r="Z694" s="17"/>
      <c r="AA694" s="28"/>
      <c r="AB694" s="17"/>
      <c r="AC694" s="28"/>
      <c r="AD694" s="27"/>
    </row>
    <row r="695" ht="15.75" customHeight="1">
      <c r="A695" s="16" t="s">
        <v>1765</v>
      </c>
      <c r="B695" s="16" t="s">
        <v>2063</v>
      </c>
      <c r="C695" s="16" t="s">
        <v>2064</v>
      </c>
      <c r="D695" s="17" t="s">
        <v>1768</v>
      </c>
      <c r="E695" s="18" t="s">
        <v>34</v>
      </c>
      <c r="F695" s="18">
        <v>1.0</v>
      </c>
      <c r="G695" s="19">
        <f t="shared" si="1"/>
        <v>1.269863666</v>
      </c>
      <c r="H695" s="17">
        <v>36.0</v>
      </c>
      <c r="I695" s="10">
        <v>140.0</v>
      </c>
      <c r="J695" s="17">
        <v>3.5</v>
      </c>
      <c r="K695" s="17">
        <v>970.0</v>
      </c>
      <c r="L695" s="17"/>
      <c r="M695" s="20">
        <v>24.0</v>
      </c>
      <c r="N695" s="20">
        <v>1.0</v>
      </c>
      <c r="O695" s="20">
        <v>3.0</v>
      </c>
      <c r="P695" s="20">
        <f t="shared" si="2"/>
        <v>20</v>
      </c>
      <c r="Q695" s="21">
        <v>1.0</v>
      </c>
      <c r="R695" s="22">
        <f t="shared" si="3"/>
        <v>110.2480556</v>
      </c>
      <c r="S695" s="23">
        <f t="shared" si="4"/>
        <v>3.888888889</v>
      </c>
      <c r="T695" s="24">
        <f t="shared" si="5"/>
        <v>24</v>
      </c>
      <c r="U695" s="26">
        <f t="shared" si="6"/>
        <v>0.2395437262</v>
      </c>
      <c r="V695" s="26">
        <f t="shared" si="7"/>
        <v>0.09125475285</v>
      </c>
      <c r="W695" s="19">
        <f t="shared" si="8"/>
        <v>6.928571429</v>
      </c>
      <c r="X695" s="20">
        <f t="shared" si="9"/>
        <v>140</v>
      </c>
      <c r="Y695" s="27"/>
      <c r="Z695" s="17"/>
      <c r="AA695" s="17"/>
      <c r="AB695" s="17"/>
      <c r="AC695" s="17"/>
      <c r="AD695" s="27"/>
    </row>
    <row r="696" ht="15.75" customHeight="1">
      <c r="A696" s="16" t="s">
        <v>1729</v>
      </c>
      <c r="B696" s="16" t="s">
        <v>2065</v>
      </c>
      <c r="C696" s="16" t="s">
        <v>2066</v>
      </c>
      <c r="D696" s="17" t="s">
        <v>456</v>
      </c>
      <c r="E696" s="18" t="s">
        <v>34</v>
      </c>
      <c r="F696" s="18">
        <v>1.0</v>
      </c>
      <c r="G696" s="19">
        <f t="shared" si="1"/>
        <v>1.904795499</v>
      </c>
      <c r="H696" s="17">
        <v>54.0</v>
      </c>
      <c r="I696" s="10">
        <v>210.0</v>
      </c>
      <c r="J696" s="17">
        <v>5.0</v>
      </c>
      <c r="K696" s="17">
        <v>170.0</v>
      </c>
      <c r="L696" s="17"/>
      <c r="M696" s="20">
        <v>40.0</v>
      </c>
      <c r="N696" s="20">
        <v>1.0</v>
      </c>
      <c r="O696" s="20">
        <v>18.0</v>
      </c>
      <c r="P696" s="20">
        <f t="shared" si="2"/>
        <v>21</v>
      </c>
      <c r="Q696" s="21">
        <v>2.0</v>
      </c>
      <c r="R696" s="22">
        <f t="shared" si="3"/>
        <v>110.2480556</v>
      </c>
      <c r="S696" s="23">
        <f t="shared" si="4"/>
        <v>3.888888889</v>
      </c>
      <c r="T696" s="24">
        <f t="shared" si="5"/>
        <v>20</v>
      </c>
      <c r="U696" s="26">
        <f t="shared" si="6"/>
        <v>0.2112676056</v>
      </c>
      <c r="V696" s="26">
        <f t="shared" si="7"/>
        <v>0.338028169</v>
      </c>
      <c r="W696" s="19">
        <f t="shared" si="8"/>
        <v>0.8095238095</v>
      </c>
      <c r="X696" s="20">
        <f t="shared" si="9"/>
        <v>210</v>
      </c>
      <c r="Y696" s="27"/>
      <c r="Z696" s="17"/>
      <c r="AA696" s="17"/>
      <c r="AB696" s="17"/>
      <c r="AC696" s="17"/>
      <c r="AD696" s="27"/>
    </row>
    <row r="697" ht="15.75" customHeight="1">
      <c r="A697" s="27" t="s">
        <v>1774</v>
      </c>
      <c r="B697" s="27" t="s">
        <v>2067</v>
      </c>
      <c r="C697" s="16" t="s">
        <v>2068</v>
      </c>
      <c r="D697" s="17" t="s">
        <v>847</v>
      </c>
      <c r="E697" s="18" t="s">
        <v>34</v>
      </c>
      <c r="F697" s="18">
        <v>1.0</v>
      </c>
      <c r="G697" s="19">
        <f t="shared" si="1"/>
        <v>1.269863666</v>
      </c>
      <c r="H697" s="17">
        <v>36.0</v>
      </c>
      <c r="I697" s="10">
        <v>140.0</v>
      </c>
      <c r="J697" s="17">
        <v>5.0</v>
      </c>
      <c r="K697" s="17">
        <v>115.0</v>
      </c>
      <c r="L697" s="17"/>
      <c r="M697" s="20">
        <v>24.0</v>
      </c>
      <c r="N697" s="20">
        <v>8.0</v>
      </c>
      <c r="O697" s="20">
        <v>0.0</v>
      </c>
      <c r="P697" s="20">
        <f t="shared" si="2"/>
        <v>16</v>
      </c>
      <c r="Q697" s="21">
        <v>4.0</v>
      </c>
      <c r="R697" s="22">
        <f t="shared" si="3"/>
        <v>110.2480556</v>
      </c>
      <c r="S697" s="23">
        <f t="shared" si="4"/>
        <v>3.888888889</v>
      </c>
      <c r="T697" s="24">
        <f t="shared" si="5"/>
        <v>6</v>
      </c>
      <c r="U697" s="26">
        <f t="shared" si="6"/>
        <v>0.2866242038</v>
      </c>
      <c r="V697" s="26" t="str">
        <f t="shared" si="7"/>
        <v>0%</v>
      </c>
      <c r="W697" s="19">
        <f t="shared" si="8"/>
        <v>0.8214285714</v>
      </c>
      <c r="X697" s="20">
        <f t="shared" si="9"/>
        <v>140</v>
      </c>
      <c r="Y697" s="27"/>
      <c r="Z697" s="17"/>
      <c r="AA697" s="28"/>
      <c r="AB697" s="17"/>
      <c r="AC697" s="28"/>
      <c r="AD697" s="27"/>
    </row>
    <row r="698" ht="15.75" customHeight="1">
      <c r="A698" s="16" t="s">
        <v>1774</v>
      </c>
      <c r="B698" s="16" t="s">
        <v>2069</v>
      </c>
      <c r="C698" s="16" t="s">
        <v>2070</v>
      </c>
      <c r="D698" s="17" t="s">
        <v>847</v>
      </c>
      <c r="E698" s="18" t="s">
        <v>34</v>
      </c>
      <c r="F698" s="18">
        <v>1.0</v>
      </c>
      <c r="G698" s="19">
        <f t="shared" si="1"/>
        <v>1.269863666</v>
      </c>
      <c r="H698" s="17">
        <v>36.0</v>
      </c>
      <c r="I698" s="10">
        <v>140.0</v>
      </c>
      <c r="J698" s="17">
        <v>5.0</v>
      </c>
      <c r="K698" s="17">
        <v>115.0</v>
      </c>
      <c r="L698" s="17"/>
      <c r="M698" s="20">
        <v>24.0</v>
      </c>
      <c r="N698" s="20">
        <v>8.0</v>
      </c>
      <c r="O698" s="20">
        <v>0.0</v>
      </c>
      <c r="P698" s="20">
        <f t="shared" si="2"/>
        <v>16</v>
      </c>
      <c r="Q698" s="21">
        <v>4.0</v>
      </c>
      <c r="R698" s="22">
        <f t="shared" si="3"/>
        <v>110.2480556</v>
      </c>
      <c r="S698" s="23">
        <f t="shared" si="4"/>
        <v>3.888888889</v>
      </c>
      <c r="T698" s="24">
        <f t="shared" si="5"/>
        <v>6</v>
      </c>
      <c r="U698" s="26">
        <f t="shared" si="6"/>
        <v>0.2866242038</v>
      </c>
      <c r="V698" s="26" t="str">
        <f t="shared" si="7"/>
        <v>0%</v>
      </c>
      <c r="W698" s="19">
        <f t="shared" si="8"/>
        <v>0.8214285714</v>
      </c>
      <c r="X698" s="20">
        <f t="shared" si="9"/>
        <v>140</v>
      </c>
      <c r="Y698" s="27"/>
      <c r="Z698" s="17"/>
      <c r="AA698" s="28"/>
      <c r="AB698" s="17"/>
      <c r="AC698" s="28"/>
      <c r="AD698" s="16"/>
    </row>
    <row r="699" ht="15.75" customHeight="1">
      <c r="A699" s="27" t="s">
        <v>1861</v>
      </c>
      <c r="B699" s="27" t="s">
        <v>1238</v>
      </c>
      <c r="C699" s="16" t="s">
        <v>2071</v>
      </c>
      <c r="D699" s="17" t="s">
        <v>212</v>
      </c>
      <c r="E699" s="18" t="s">
        <v>34</v>
      </c>
      <c r="F699" s="18">
        <v>1.0</v>
      </c>
      <c r="G699" s="19">
        <f t="shared" si="1"/>
        <v>2.539727332</v>
      </c>
      <c r="H699" s="17">
        <v>72.0</v>
      </c>
      <c r="I699" s="10">
        <v>280.0</v>
      </c>
      <c r="J699" s="17">
        <v>7.0</v>
      </c>
      <c r="K699" s="17">
        <v>360.0</v>
      </c>
      <c r="L699" s="17">
        <v>290.0</v>
      </c>
      <c r="M699" s="20">
        <v>26.0</v>
      </c>
      <c r="N699" s="20">
        <v>3.0</v>
      </c>
      <c r="O699" s="20">
        <v>10.0</v>
      </c>
      <c r="P699" s="20">
        <f t="shared" si="2"/>
        <v>13</v>
      </c>
      <c r="Q699" s="21">
        <v>30.0</v>
      </c>
      <c r="R699" s="22">
        <f t="shared" si="3"/>
        <v>110.2480556</v>
      </c>
      <c r="S699" s="23">
        <f t="shared" si="4"/>
        <v>3.888888889</v>
      </c>
      <c r="T699" s="24">
        <f t="shared" si="5"/>
        <v>0.8666666667</v>
      </c>
      <c r="U699" s="26">
        <f t="shared" si="6"/>
        <v>0.2195121951</v>
      </c>
      <c r="V699" s="26">
        <f t="shared" si="7"/>
        <v>0.1393728223</v>
      </c>
      <c r="W699" s="19">
        <f t="shared" si="8"/>
        <v>1.285714286</v>
      </c>
      <c r="X699" s="20">
        <f t="shared" si="9"/>
        <v>280</v>
      </c>
      <c r="Y699" s="27"/>
      <c r="Z699" s="17"/>
      <c r="AA699" s="28"/>
      <c r="AB699" s="17"/>
      <c r="AC699" s="28"/>
      <c r="AD699" s="16"/>
    </row>
    <row r="700" ht="15.75" customHeight="1">
      <c r="A700" s="27" t="s">
        <v>1697</v>
      </c>
      <c r="B700" s="27" t="s">
        <v>2072</v>
      </c>
      <c r="C700" s="16" t="s">
        <v>2073</v>
      </c>
      <c r="D700" s="17" t="s">
        <v>1648</v>
      </c>
      <c r="E700" s="18" t="s">
        <v>34</v>
      </c>
      <c r="F700" s="18">
        <v>1.0</v>
      </c>
      <c r="G700" s="19">
        <f t="shared" si="1"/>
        <v>0.9982539375</v>
      </c>
      <c r="H700" s="17">
        <v>28.3</v>
      </c>
      <c r="I700" s="10">
        <v>110.0</v>
      </c>
      <c r="J700" s="17">
        <v>5.0</v>
      </c>
      <c r="K700" s="17">
        <v>450.0</v>
      </c>
      <c r="L700" s="17"/>
      <c r="M700" s="20">
        <v>11.0</v>
      </c>
      <c r="N700" s="20">
        <v>0.0</v>
      </c>
      <c r="O700" s="20">
        <v>10.0</v>
      </c>
      <c r="P700" s="20">
        <f t="shared" si="2"/>
        <v>1</v>
      </c>
      <c r="Q700" s="21">
        <v>5.0</v>
      </c>
      <c r="R700" s="22">
        <f t="shared" si="3"/>
        <v>110.1924028</v>
      </c>
      <c r="S700" s="23">
        <f t="shared" si="4"/>
        <v>3.886925795</v>
      </c>
      <c r="T700" s="24">
        <f t="shared" si="5"/>
        <v>2.2</v>
      </c>
      <c r="U700" s="26">
        <f t="shared" si="6"/>
        <v>0.4128440367</v>
      </c>
      <c r="V700" s="26">
        <f t="shared" si="7"/>
        <v>0.3669724771</v>
      </c>
      <c r="W700" s="19">
        <f t="shared" si="8"/>
        <v>4.090909091</v>
      </c>
      <c r="X700" s="20">
        <f t="shared" si="9"/>
        <v>110</v>
      </c>
      <c r="Y700" s="27"/>
      <c r="Z700" s="17"/>
      <c r="AA700" s="28"/>
      <c r="AB700" s="17"/>
      <c r="AC700" s="28"/>
      <c r="AD700" s="27"/>
    </row>
    <row r="701" ht="15.75" customHeight="1">
      <c r="A701" s="27" t="s">
        <v>1697</v>
      </c>
      <c r="B701" s="27" t="s">
        <v>2074</v>
      </c>
      <c r="C701" s="16" t="s">
        <v>2075</v>
      </c>
      <c r="D701" s="17" t="s">
        <v>1648</v>
      </c>
      <c r="E701" s="18" t="s">
        <v>34</v>
      </c>
      <c r="F701" s="18">
        <v>1.0</v>
      </c>
      <c r="G701" s="19">
        <f t="shared" si="1"/>
        <v>0.9982539375</v>
      </c>
      <c r="H701" s="17">
        <v>28.3</v>
      </c>
      <c r="I701" s="10">
        <v>110.0</v>
      </c>
      <c r="J701" s="17">
        <v>6.0</v>
      </c>
      <c r="K701" s="17">
        <v>480.0</v>
      </c>
      <c r="L701" s="17"/>
      <c r="M701" s="20">
        <v>10.0</v>
      </c>
      <c r="N701" s="20">
        <v>0.0</v>
      </c>
      <c r="O701" s="20">
        <v>8.0</v>
      </c>
      <c r="P701" s="20">
        <f t="shared" si="2"/>
        <v>2</v>
      </c>
      <c r="Q701" s="21">
        <v>6.0</v>
      </c>
      <c r="R701" s="22">
        <f t="shared" si="3"/>
        <v>110.1924028</v>
      </c>
      <c r="S701" s="23">
        <f t="shared" si="4"/>
        <v>3.886925795</v>
      </c>
      <c r="T701" s="24">
        <f t="shared" si="5"/>
        <v>1.666666667</v>
      </c>
      <c r="U701" s="26">
        <f t="shared" si="6"/>
        <v>0.4576271186</v>
      </c>
      <c r="V701" s="26">
        <f t="shared" si="7"/>
        <v>0.2711864407</v>
      </c>
      <c r="W701" s="19">
        <f t="shared" si="8"/>
        <v>4.363636364</v>
      </c>
      <c r="X701" s="20">
        <f t="shared" si="9"/>
        <v>110</v>
      </c>
      <c r="Y701" s="27"/>
      <c r="Z701" s="17"/>
      <c r="AA701" s="28"/>
      <c r="AB701" s="17"/>
      <c r="AC701" s="28"/>
      <c r="AD701" s="27"/>
    </row>
    <row r="702" ht="15.75" customHeight="1">
      <c r="A702" s="27" t="s">
        <v>1697</v>
      </c>
      <c r="B702" s="27" t="s">
        <v>2076</v>
      </c>
      <c r="C702" s="16" t="s">
        <v>2077</v>
      </c>
      <c r="D702" s="17" t="s">
        <v>1648</v>
      </c>
      <c r="E702" s="18" t="s">
        <v>34</v>
      </c>
      <c r="F702" s="18">
        <v>1.0</v>
      </c>
      <c r="G702" s="19">
        <f t="shared" si="1"/>
        <v>0.9982539375</v>
      </c>
      <c r="H702" s="17">
        <v>28.3</v>
      </c>
      <c r="I702" s="10">
        <v>110.0</v>
      </c>
      <c r="J702" s="17">
        <v>6.0</v>
      </c>
      <c r="K702" s="17">
        <v>510.0</v>
      </c>
      <c r="L702" s="17"/>
      <c r="M702" s="20">
        <v>8.0</v>
      </c>
      <c r="N702" s="20">
        <v>0.0</v>
      </c>
      <c r="O702" s="20">
        <v>8.0</v>
      </c>
      <c r="P702" s="20">
        <f t="shared" si="2"/>
        <v>0</v>
      </c>
      <c r="Q702" s="21">
        <v>6.0</v>
      </c>
      <c r="R702" s="22">
        <f t="shared" si="3"/>
        <v>110.1924028</v>
      </c>
      <c r="S702" s="23">
        <f t="shared" si="4"/>
        <v>3.886925795</v>
      </c>
      <c r="T702" s="24">
        <f t="shared" si="5"/>
        <v>1.333333333</v>
      </c>
      <c r="U702" s="26">
        <f t="shared" si="6"/>
        <v>0.4909090909</v>
      </c>
      <c r="V702" s="26">
        <f t="shared" si="7"/>
        <v>0.2909090909</v>
      </c>
      <c r="W702" s="19">
        <f t="shared" si="8"/>
        <v>4.636363636</v>
      </c>
      <c r="X702" s="20">
        <f t="shared" si="9"/>
        <v>110</v>
      </c>
      <c r="Y702" s="27"/>
      <c r="Z702" s="17"/>
      <c r="AA702" s="28"/>
      <c r="AB702" s="17"/>
      <c r="AC702" s="28"/>
      <c r="AD702" s="27"/>
    </row>
    <row r="703" ht="15.75" customHeight="1">
      <c r="A703" s="27" t="s">
        <v>1721</v>
      </c>
      <c r="B703" s="27" t="s">
        <v>2078</v>
      </c>
      <c r="C703" s="16" t="s">
        <v>2079</v>
      </c>
      <c r="D703" s="17" t="s">
        <v>456</v>
      </c>
      <c r="E703" s="18" t="s">
        <v>34</v>
      </c>
      <c r="F703" s="18">
        <v>1.0</v>
      </c>
      <c r="G703" s="19">
        <f t="shared" si="1"/>
        <v>2.010617471</v>
      </c>
      <c r="H703" s="17">
        <v>57.0</v>
      </c>
      <c r="I703" s="10">
        <v>220.0</v>
      </c>
      <c r="J703" s="17">
        <v>10.0</v>
      </c>
      <c r="K703" s="17">
        <v>200.0</v>
      </c>
      <c r="L703" s="17"/>
      <c r="M703" s="20">
        <v>29.0</v>
      </c>
      <c r="N703" s="20">
        <v>1.0</v>
      </c>
      <c r="O703" s="20">
        <v>17.0</v>
      </c>
      <c r="P703" s="20">
        <f t="shared" si="2"/>
        <v>11</v>
      </c>
      <c r="Q703" s="21">
        <v>2.0</v>
      </c>
      <c r="R703" s="22">
        <f t="shared" si="3"/>
        <v>109.4191228</v>
      </c>
      <c r="S703" s="23">
        <f t="shared" si="4"/>
        <v>3.859649123</v>
      </c>
      <c r="T703" s="24">
        <f t="shared" si="5"/>
        <v>14.5</v>
      </c>
      <c r="U703" s="26">
        <f t="shared" si="6"/>
        <v>0.4205607477</v>
      </c>
      <c r="V703" s="26">
        <f t="shared" si="7"/>
        <v>0.3177570093</v>
      </c>
      <c r="W703" s="19">
        <f t="shared" si="8"/>
        <v>0.9090909091</v>
      </c>
      <c r="X703" s="20">
        <f t="shared" si="9"/>
        <v>220</v>
      </c>
      <c r="Y703" s="27"/>
      <c r="Z703" s="17"/>
      <c r="AA703" s="28"/>
      <c r="AB703" s="17"/>
      <c r="AC703" s="28"/>
      <c r="AD703" s="27"/>
    </row>
    <row r="704" ht="15.75" customHeight="1">
      <c r="A704" s="16" t="s">
        <v>1721</v>
      </c>
      <c r="B704" s="16" t="s">
        <v>2080</v>
      </c>
      <c r="C704" s="16" t="s">
        <v>2081</v>
      </c>
      <c r="D704" s="17" t="s">
        <v>456</v>
      </c>
      <c r="E704" s="18" t="s">
        <v>34</v>
      </c>
      <c r="F704" s="18">
        <v>1.0</v>
      </c>
      <c r="G704" s="19">
        <f t="shared" si="1"/>
        <v>2.010617471</v>
      </c>
      <c r="H704" s="17">
        <v>57.0</v>
      </c>
      <c r="I704" s="10">
        <v>220.0</v>
      </c>
      <c r="J704" s="17">
        <v>11.0</v>
      </c>
      <c r="K704" s="17">
        <v>220.0</v>
      </c>
      <c r="L704" s="17"/>
      <c r="M704" s="20">
        <v>29.0</v>
      </c>
      <c r="N704" s="20">
        <v>0.0</v>
      </c>
      <c r="O704" s="20">
        <v>16.0</v>
      </c>
      <c r="P704" s="20">
        <f t="shared" si="2"/>
        <v>13</v>
      </c>
      <c r="Q704" s="21">
        <v>2.0</v>
      </c>
      <c r="R704" s="22">
        <f t="shared" si="3"/>
        <v>109.4191228</v>
      </c>
      <c r="S704" s="23">
        <f t="shared" si="4"/>
        <v>3.859649123</v>
      </c>
      <c r="T704" s="24">
        <f t="shared" si="5"/>
        <v>14.5</v>
      </c>
      <c r="U704" s="26">
        <f t="shared" si="6"/>
        <v>0.4439461883</v>
      </c>
      <c r="V704" s="26">
        <f t="shared" si="7"/>
        <v>0.2869955157</v>
      </c>
      <c r="W704" s="19">
        <f t="shared" si="8"/>
        <v>1</v>
      </c>
      <c r="X704" s="20">
        <f t="shared" si="9"/>
        <v>220</v>
      </c>
      <c r="Y704" s="27"/>
      <c r="Z704" s="17"/>
      <c r="AA704" s="28"/>
      <c r="AB704" s="17"/>
      <c r="AC704" s="28"/>
      <c r="AD704" s="27"/>
    </row>
    <row r="705" ht="15.75" customHeight="1">
      <c r="A705" s="16" t="s">
        <v>1790</v>
      </c>
      <c r="B705" s="27" t="s">
        <v>2082</v>
      </c>
      <c r="C705" s="16" t="s">
        <v>2083</v>
      </c>
      <c r="D705" s="17" t="s">
        <v>212</v>
      </c>
      <c r="E705" s="18" t="s">
        <v>34</v>
      </c>
      <c r="F705" s="18">
        <v>1.0</v>
      </c>
      <c r="G705" s="19">
        <f t="shared" si="1"/>
        <v>2.469179351</v>
      </c>
      <c r="H705" s="17">
        <v>70.0</v>
      </c>
      <c r="I705" s="10">
        <v>270.0</v>
      </c>
      <c r="J705" s="17">
        <v>8.0</v>
      </c>
      <c r="K705" s="17">
        <v>320.0</v>
      </c>
      <c r="L705" s="17">
        <v>170.0</v>
      </c>
      <c r="M705" s="20">
        <v>34.0</v>
      </c>
      <c r="N705" s="20">
        <v>4.0</v>
      </c>
      <c r="O705" s="20">
        <v>14.0</v>
      </c>
      <c r="P705" s="20">
        <f t="shared" si="2"/>
        <v>16</v>
      </c>
      <c r="Q705" s="21">
        <v>20.0</v>
      </c>
      <c r="R705" s="22">
        <f t="shared" si="3"/>
        <v>109.3480714</v>
      </c>
      <c r="S705" s="23">
        <f t="shared" si="4"/>
        <v>3.857142857</v>
      </c>
      <c r="T705" s="24">
        <f t="shared" si="5"/>
        <v>1.7</v>
      </c>
      <c r="U705" s="26">
        <f t="shared" si="6"/>
        <v>0.25</v>
      </c>
      <c r="V705" s="26">
        <f t="shared" si="7"/>
        <v>0.1944444444</v>
      </c>
      <c r="W705" s="19">
        <f t="shared" si="8"/>
        <v>1.185185185</v>
      </c>
      <c r="X705" s="20">
        <f t="shared" si="9"/>
        <v>270</v>
      </c>
      <c r="Y705" s="27"/>
      <c r="Z705" s="17"/>
      <c r="AA705" s="28"/>
      <c r="AB705" s="17"/>
      <c r="AC705" s="28"/>
      <c r="AD705" s="16"/>
    </row>
    <row r="706" ht="15.75" customHeight="1">
      <c r="A706" s="27" t="s">
        <v>2084</v>
      </c>
      <c r="B706" s="27" t="s">
        <v>312</v>
      </c>
      <c r="C706" s="16" t="s">
        <v>2085</v>
      </c>
      <c r="D706" s="17" t="s">
        <v>212</v>
      </c>
      <c r="E706" s="18" t="s">
        <v>34</v>
      </c>
      <c r="F706" s="18">
        <v>1.0</v>
      </c>
      <c r="G706" s="19">
        <f t="shared" si="1"/>
        <v>2.469179351</v>
      </c>
      <c r="H706" s="17">
        <v>70.0</v>
      </c>
      <c r="I706" s="10">
        <v>270.0</v>
      </c>
      <c r="J706" s="17">
        <v>9.0</v>
      </c>
      <c r="K706" s="17">
        <v>290.0</v>
      </c>
      <c r="L706" s="17"/>
      <c r="M706" s="20">
        <v>30.0</v>
      </c>
      <c r="N706" s="20">
        <v>1.0</v>
      </c>
      <c r="O706" s="20">
        <v>1.0</v>
      </c>
      <c r="P706" s="20">
        <f t="shared" si="2"/>
        <v>28</v>
      </c>
      <c r="Q706" s="21">
        <v>22.0</v>
      </c>
      <c r="R706" s="22">
        <f t="shared" si="3"/>
        <v>109.3480714</v>
      </c>
      <c r="S706" s="23">
        <f t="shared" si="4"/>
        <v>3.857142857</v>
      </c>
      <c r="T706" s="24">
        <f t="shared" si="5"/>
        <v>1.363636364</v>
      </c>
      <c r="U706" s="26">
        <f t="shared" si="6"/>
        <v>0.2802768166</v>
      </c>
      <c r="V706" s="26">
        <f t="shared" si="7"/>
        <v>0.01384083045</v>
      </c>
      <c r="W706" s="19">
        <f t="shared" si="8"/>
        <v>1.074074074</v>
      </c>
      <c r="X706" s="20">
        <f t="shared" si="9"/>
        <v>270</v>
      </c>
      <c r="Y706" s="27"/>
      <c r="Z706" s="17"/>
      <c r="AA706" s="28"/>
      <c r="AB706" s="17"/>
      <c r="AC706" s="28"/>
      <c r="AD706" s="27"/>
    </row>
    <row r="707" ht="15.75" customHeight="1">
      <c r="A707" s="16" t="s">
        <v>1729</v>
      </c>
      <c r="B707" s="16" t="s">
        <v>2086</v>
      </c>
      <c r="C707" s="16" t="s">
        <v>2087</v>
      </c>
      <c r="D707" s="17" t="s">
        <v>456</v>
      </c>
      <c r="E707" s="18" t="s">
        <v>34</v>
      </c>
      <c r="F707" s="18">
        <v>1.0</v>
      </c>
      <c r="G707" s="19">
        <f t="shared" si="1"/>
        <v>3.386303109</v>
      </c>
      <c r="H707" s="17">
        <v>96.0</v>
      </c>
      <c r="I707" s="10">
        <v>370.0</v>
      </c>
      <c r="J707" s="17">
        <v>9.0</v>
      </c>
      <c r="K707" s="17">
        <v>320.0</v>
      </c>
      <c r="L707" s="17">
        <v>50.0</v>
      </c>
      <c r="M707" s="20">
        <v>70.0</v>
      </c>
      <c r="N707" s="20">
        <v>1.0</v>
      </c>
      <c r="O707" s="20">
        <v>30.0</v>
      </c>
      <c r="P707" s="20">
        <f t="shared" si="2"/>
        <v>39</v>
      </c>
      <c r="Q707" s="21">
        <v>3.0</v>
      </c>
      <c r="R707" s="22">
        <f t="shared" si="3"/>
        <v>109.2636979</v>
      </c>
      <c r="S707" s="23">
        <f t="shared" si="4"/>
        <v>3.854166667</v>
      </c>
      <c r="T707" s="24">
        <f t="shared" si="5"/>
        <v>23.33333333</v>
      </c>
      <c r="U707" s="26">
        <f t="shared" si="6"/>
        <v>0.2171581769</v>
      </c>
      <c r="V707" s="26">
        <f t="shared" si="7"/>
        <v>0.3217158177</v>
      </c>
      <c r="W707" s="19">
        <f t="shared" si="8"/>
        <v>0.8648648649</v>
      </c>
      <c r="X707" s="20">
        <f t="shared" si="9"/>
        <v>370</v>
      </c>
      <c r="Y707" s="27"/>
      <c r="Z707" s="17"/>
      <c r="AA707" s="28"/>
      <c r="AB707" s="17"/>
      <c r="AC707" s="28"/>
      <c r="AD707" s="27"/>
    </row>
    <row r="708" ht="15.75" customHeight="1">
      <c r="A708" s="16" t="s">
        <v>1537</v>
      </c>
      <c r="B708" s="16" t="s">
        <v>2088</v>
      </c>
      <c r="C708" s="16" t="s">
        <v>2089</v>
      </c>
      <c r="D708" s="17" t="s">
        <v>99</v>
      </c>
      <c r="E708" s="18" t="s">
        <v>34</v>
      </c>
      <c r="F708" s="18">
        <v>1.0</v>
      </c>
      <c r="G708" s="19">
        <f t="shared" si="1"/>
        <v>0.4585618794</v>
      </c>
      <c r="H708" s="17">
        <v>13.0</v>
      </c>
      <c r="I708" s="10">
        <v>50.0</v>
      </c>
      <c r="J708" s="17">
        <v>0.0</v>
      </c>
      <c r="K708" s="17">
        <v>0.0</v>
      </c>
      <c r="L708" s="17"/>
      <c r="M708" s="20">
        <v>12.0</v>
      </c>
      <c r="N708" s="20">
        <v>0.0</v>
      </c>
      <c r="O708" s="20">
        <v>11.0</v>
      </c>
      <c r="P708" s="20">
        <f t="shared" si="2"/>
        <v>1</v>
      </c>
      <c r="Q708" s="21">
        <v>0.0</v>
      </c>
      <c r="R708" s="22">
        <f t="shared" si="3"/>
        <v>109.0365385</v>
      </c>
      <c r="S708" s="23">
        <f t="shared" si="4"/>
        <v>3.846153846</v>
      </c>
      <c r="T708" s="24" t="str">
        <f t="shared" si="5"/>
        <v>N/A</v>
      </c>
      <c r="U708" s="26" t="str">
        <f t="shared" si="6"/>
        <v>0%</v>
      </c>
      <c r="V708" s="26">
        <f t="shared" si="7"/>
        <v>0.9166666667</v>
      </c>
      <c r="W708" s="19">
        <f t="shared" si="8"/>
        <v>0</v>
      </c>
      <c r="X708" s="20">
        <f t="shared" si="9"/>
        <v>50</v>
      </c>
      <c r="Y708" s="27"/>
      <c r="Z708" s="17"/>
      <c r="AA708" s="28"/>
      <c r="AB708" s="17"/>
      <c r="AC708" s="28"/>
      <c r="AD708" s="27"/>
    </row>
    <row r="709" ht="15.75" customHeight="1">
      <c r="A709" s="27" t="s">
        <v>1744</v>
      </c>
      <c r="B709" s="27" t="s">
        <v>2090</v>
      </c>
      <c r="C709" s="16" t="s">
        <v>2091</v>
      </c>
      <c r="D709" s="17" t="s">
        <v>563</v>
      </c>
      <c r="E709" s="18" t="s">
        <v>34</v>
      </c>
      <c r="F709" s="18">
        <v>1.0</v>
      </c>
      <c r="G709" s="19">
        <f t="shared" si="1"/>
        <v>0.9171237588</v>
      </c>
      <c r="H709" s="17">
        <v>26.0</v>
      </c>
      <c r="I709" s="10">
        <v>100.0</v>
      </c>
      <c r="J709" s="17">
        <v>1.0</v>
      </c>
      <c r="K709" s="17">
        <v>120.0</v>
      </c>
      <c r="L709" s="17">
        <v>55.0</v>
      </c>
      <c r="M709" s="20">
        <v>22.0</v>
      </c>
      <c r="N709" s="20">
        <v>1.0</v>
      </c>
      <c r="O709" s="20">
        <v>9.0</v>
      </c>
      <c r="P709" s="20">
        <f t="shared" si="2"/>
        <v>12</v>
      </c>
      <c r="Q709" s="21">
        <v>1.0</v>
      </c>
      <c r="R709" s="22">
        <f t="shared" si="3"/>
        <v>109.0365385</v>
      </c>
      <c r="S709" s="23">
        <f t="shared" si="4"/>
        <v>3.846153846</v>
      </c>
      <c r="T709" s="24">
        <f t="shared" si="5"/>
        <v>22</v>
      </c>
      <c r="U709" s="26">
        <f t="shared" si="6"/>
        <v>0.08910891089</v>
      </c>
      <c r="V709" s="26">
        <f t="shared" si="7"/>
        <v>0.3564356436</v>
      </c>
      <c r="W709" s="19">
        <f t="shared" si="8"/>
        <v>1.2</v>
      </c>
      <c r="X709" s="20">
        <f t="shared" si="9"/>
        <v>100</v>
      </c>
      <c r="Y709" s="27"/>
      <c r="Z709" s="17"/>
      <c r="AA709" s="28"/>
      <c r="AB709" s="17"/>
      <c r="AC709" s="28"/>
      <c r="AD709" s="27"/>
    </row>
    <row r="710" ht="15.75" customHeight="1">
      <c r="A710" s="27" t="s">
        <v>1729</v>
      </c>
      <c r="B710" s="27" t="s">
        <v>2092</v>
      </c>
      <c r="C710" s="16" t="s">
        <v>2093</v>
      </c>
      <c r="D710" s="17" t="s">
        <v>456</v>
      </c>
      <c r="E710" s="18" t="s">
        <v>34</v>
      </c>
      <c r="F710" s="18">
        <v>1.0</v>
      </c>
      <c r="G710" s="19">
        <f t="shared" si="1"/>
        <v>1.834247518</v>
      </c>
      <c r="H710" s="17">
        <v>52.0</v>
      </c>
      <c r="I710" s="10">
        <v>200.0</v>
      </c>
      <c r="J710" s="17">
        <v>5.0</v>
      </c>
      <c r="K710" s="17">
        <v>170.0</v>
      </c>
      <c r="L710" s="17"/>
      <c r="M710" s="20">
        <v>38.0</v>
      </c>
      <c r="N710" s="20">
        <v>1.0</v>
      </c>
      <c r="O710" s="20">
        <v>16.0</v>
      </c>
      <c r="P710" s="20">
        <f t="shared" si="2"/>
        <v>21</v>
      </c>
      <c r="Q710" s="21">
        <v>2.0</v>
      </c>
      <c r="R710" s="22">
        <f t="shared" si="3"/>
        <v>109.0365385</v>
      </c>
      <c r="S710" s="23">
        <f t="shared" si="4"/>
        <v>3.846153846</v>
      </c>
      <c r="T710" s="24">
        <f t="shared" si="5"/>
        <v>19</v>
      </c>
      <c r="U710" s="26">
        <f t="shared" si="6"/>
        <v>0.2195121951</v>
      </c>
      <c r="V710" s="26">
        <f t="shared" si="7"/>
        <v>0.312195122</v>
      </c>
      <c r="W710" s="19">
        <f t="shared" si="8"/>
        <v>0.85</v>
      </c>
      <c r="X710" s="20">
        <f t="shared" si="9"/>
        <v>200</v>
      </c>
      <c r="Y710" s="27"/>
      <c r="Z710" s="17"/>
      <c r="AA710" s="28"/>
      <c r="AB710" s="17"/>
      <c r="AC710" s="28"/>
      <c r="AD710" s="27"/>
    </row>
    <row r="711" ht="15.75" customHeight="1">
      <c r="A711" s="27" t="s">
        <v>1729</v>
      </c>
      <c r="B711" s="27" t="s">
        <v>2094</v>
      </c>
      <c r="C711" s="16" t="s">
        <v>2095</v>
      </c>
      <c r="D711" s="17" t="s">
        <v>456</v>
      </c>
      <c r="E711" s="18" t="s">
        <v>34</v>
      </c>
      <c r="F711" s="18">
        <v>1.0</v>
      </c>
      <c r="G711" s="19">
        <f t="shared" si="1"/>
        <v>1.834247518</v>
      </c>
      <c r="H711" s="17">
        <v>52.0</v>
      </c>
      <c r="I711" s="10">
        <v>200.0</v>
      </c>
      <c r="J711" s="17">
        <v>5.0</v>
      </c>
      <c r="K711" s="17">
        <v>170.0</v>
      </c>
      <c r="L711" s="17"/>
      <c r="M711" s="20">
        <v>38.0</v>
      </c>
      <c r="N711" s="20">
        <v>1.0</v>
      </c>
      <c r="O711" s="20">
        <v>16.0</v>
      </c>
      <c r="P711" s="20">
        <f t="shared" si="2"/>
        <v>21</v>
      </c>
      <c r="Q711" s="21">
        <v>2.0</v>
      </c>
      <c r="R711" s="22">
        <f t="shared" si="3"/>
        <v>109.0365385</v>
      </c>
      <c r="S711" s="23">
        <f t="shared" si="4"/>
        <v>3.846153846</v>
      </c>
      <c r="T711" s="24">
        <f t="shared" si="5"/>
        <v>19</v>
      </c>
      <c r="U711" s="26">
        <f t="shared" si="6"/>
        <v>0.2195121951</v>
      </c>
      <c r="V711" s="26">
        <f t="shared" si="7"/>
        <v>0.312195122</v>
      </c>
      <c r="W711" s="19">
        <f t="shared" si="8"/>
        <v>0.85</v>
      </c>
      <c r="X711" s="20">
        <f t="shared" si="9"/>
        <v>200</v>
      </c>
      <c r="Y711" s="27"/>
      <c r="Z711" s="17"/>
      <c r="AA711" s="28"/>
      <c r="AB711" s="17"/>
      <c r="AC711" s="28"/>
      <c r="AD711" s="16"/>
    </row>
    <row r="712" ht="15.75" customHeight="1">
      <c r="A712" s="27" t="s">
        <v>1729</v>
      </c>
      <c r="B712" s="27" t="s">
        <v>2096</v>
      </c>
      <c r="C712" s="16" t="s">
        <v>2097</v>
      </c>
      <c r="D712" s="17" t="s">
        <v>456</v>
      </c>
      <c r="E712" s="18" t="s">
        <v>34</v>
      </c>
      <c r="F712" s="18">
        <v>1.0</v>
      </c>
      <c r="G712" s="19">
        <f t="shared" si="1"/>
        <v>1.834247518</v>
      </c>
      <c r="H712" s="17">
        <v>52.0</v>
      </c>
      <c r="I712" s="10">
        <v>200.0</v>
      </c>
      <c r="J712" s="17">
        <v>5.0</v>
      </c>
      <c r="K712" s="17">
        <v>220.0</v>
      </c>
      <c r="L712" s="17"/>
      <c r="M712" s="20">
        <v>37.0</v>
      </c>
      <c r="N712" s="20">
        <v>1.0</v>
      </c>
      <c r="O712" s="20">
        <v>19.0</v>
      </c>
      <c r="P712" s="20">
        <f t="shared" si="2"/>
        <v>17</v>
      </c>
      <c r="Q712" s="21">
        <v>2.0</v>
      </c>
      <c r="R712" s="22">
        <f t="shared" si="3"/>
        <v>109.0365385</v>
      </c>
      <c r="S712" s="23">
        <f t="shared" si="4"/>
        <v>3.846153846</v>
      </c>
      <c r="T712" s="24">
        <f t="shared" si="5"/>
        <v>18.5</v>
      </c>
      <c r="U712" s="26">
        <f t="shared" si="6"/>
        <v>0.223880597</v>
      </c>
      <c r="V712" s="26">
        <f t="shared" si="7"/>
        <v>0.3781094527</v>
      </c>
      <c r="W712" s="19">
        <f t="shared" si="8"/>
        <v>1.1</v>
      </c>
      <c r="X712" s="20">
        <f t="shared" si="9"/>
        <v>200</v>
      </c>
      <c r="Y712" s="27"/>
      <c r="Z712" s="17"/>
      <c r="AA712" s="28"/>
      <c r="AB712" s="17"/>
      <c r="AC712" s="28"/>
      <c r="AD712" s="16"/>
    </row>
    <row r="713" ht="15.75" customHeight="1">
      <c r="A713" s="27" t="s">
        <v>1259</v>
      </c>
      <c r="B713" s="27" t="s">
        <v>2098</v>
      </c>
      <c r="C713" s="16" t="s">
        <v>2099</v>
      </c>
      <c r="D713" s="17" t="s">
        <v>456</v>
      </c>
      <c r="E713" s="18" t="s">
        <v>34</v>
      </c>
      <c r="F713" s="18">
        <v>1.0</v>
      </c>
      <c r="G713" s="19">
        <f t="shared" si="1"/>
        <v>1.834247518</v>
      </c>
      <c r="H713" s="17">
        <v>52.0</v>
      </c>
      <c r="I713" s="10">
        <v>200.0</v>
      </c>
      <c r="J713" s="17">
        <v>4.5</v>
      </c>
      <c r="K713" s="17">
        <v>150.0</v>
      </c>
      <c r="L713" s="17"/>
      <c r="M713" s="20">
        <v>37.0</v>
      </c>
      <c r="N713" s="20">
        <v>1.0</v>
      </c>
      <c r="O713" s="20">
        <v>17.0</v>
      </c>
      <c r="P713" s="20">
        <f t="shared" si="2"/>
        <v>19</v>
      </c>
      <c r="Q713" s="21">
        <v>3.0</v>
      </c>
      <c r="R713" s="22">
        <f t="shared" si="3"/>
        <v>109.0365385</v>
      </c>
      <c r="S713" s="23">
        <f t="shared" si="4"/>
        <v>3.846153846</v>
      </c>
      <c r="T713" s="24">
        <f t="shared" si="5"/>
        <v>12.33333333</v>
      </c>
      <c r="U713" s="26">
        <f t="shared" si="6"/>
        <v>0.2019950125</v>
      </c>
      <c r="V713" s="26">
        <f t="shared" si="7"/>
        <v>0.3391521197</v>
      </c>
      <c r="W713" s="19">
        <f t="shared" si="8"/>
        <v>0.75</v>
      </c>
      <c r="X713" s="20">
        <f t="shared" si="9"/>
        <v>200</v>
      </c>
      <c r="Y713" s="27"/>
      <c r="Z713" s="17"/>
      <c r="AA713" s="28"/>
      <c r="AB713" s="17"/>
      <c r="AC713" s="28"/>
      <c r="AD713" s="16"/>
    </row>
    <row r="714" ht="15.75" customHeight="1">
      <c r="A714" s="27" t="s">
        <v>1729</v>
      </c>
      <c r="B714" s="27" t="s">
        <v>2100</v>
      </c>
      <c r="C714" s="16" t="s">
        <v>2101</v>
      </c>
      <c r="D714" s="17" t="s">
        <v>456</v>
      </c>
      <c r="E714" s="18" t="s">
        <v>34</v>
      </c>
      <c r="F714" s="18">
        <v>1.0</v>
      </c>
      <c r="G714" s="19">
        <f t="shared" si="1"/>
        <v>1.834247518</v>
      </c>
      <c r="H714" s="17">
        <v>52.0</v>
      </c>
      <c r="I714" s="10">
        <v>200.0</v>
      </c>
      <c r="J714" s="17">
        <v>5.0</v>
      </c>
      <c r="K714" s="17">
        <v>210.0</v>
      </c>
      <c r="L714" s="17"/>
      <c r="M714" s="20">
        <v>36.0</v>
      </c>
      <c r="N714" s="20">
        <v>1.0</v>
      </c>
      <c r="O714" s="20">
        <v>19.0</v>
      </c>
      <c r="P714" s="20">
        <f t="shared" si="2"/>
        <v>16</v>
      </c>
      <c r="Q714" s="21">
        <v>3.0</v>
      </c>
      <c r="R714" s="22">
        <f t="shared" si="3"/>
        <v>109.0365385</v>
      </c>
      <c r="S714" s="23">
        <f t="shared" si="4"/>
        <v>3.846153846</v>
      </c>
      <c r="T714" s="24">
        <f t="shared" si="5"/>
        <v>12</v>
      </c>
      <c r="U714" s="26">
        <f t="shared" si="6"/>
        <v>0.223880597</v>
      </c>
      <c r="V714" s="26">
        <f t="shared" si="7"/>
        <v>0.3781094527</v>
      </c>
      <c r="W714" s="19">
        <f t="shared" si="8"/>
        <v>1.05</v>
      </c>
      <c r="X714" s="20">
        <f t="shared" si="9"/>
        <v>200</v>
      </c>
      <c r="Y714" s="27"/>
      <c r="Z714" s="17"/>
      <c r="AA714" s="28"/>
      <c r="AB714" s="17"/>
      <c r="AC714" s="28"/>
      <c r="AD714" s="16"/>
    </row>
    <row r="715" ht="15.75" customHeight="1">
      <c r="A715" s="16" t="s">
        <v>1801</v>
      </c>
      <c r="B715" s="16" t="s">
        <v>2102</v>
      </c>
      <c r="C715" s="16" t="s">
        <v>2103</v>
      </c>
      <c r="D715" s="17" t="s">
        <v>1768</v>
      </c>
      <c r="E715" s="18" t="s">
        <v>34</v>
      </c>
      <c r="F715" s="18">
        <v>1.0</v>
      </c>
      <c r="G715" s="19">
        <f t="shared" si="1"/>
        <v>0.4585618794</v>
      </c>
      <c r="H715" s="17">
        <v>13.0</v>
      </c>
      <c r="I715" s="10">
        <v>50.0</v>
      </c>
      <c r="J715" s="17">
        <v>1.0</v>
      </c>
      <c r="K715" s="17">
        <v>520.0</v>
      </c>
      <c r="L715" s="17"/>
      <c r="M715" s="20">
        <v>8.0</v>
      </c>
      <c r="N715" s="20">
        <v>0.0</v>
      </c>
      <c r="O715" s="20">
        <v>0.0</v>
      </c>
      <c r="P715" s="20">
        <f t="shared" si="2"/>
        <v>8</v>
      </c>
      <c r="Q715" s="21">
        <v>2.0</v>
      </c>
      <c r="R715" s="22">
        <f t="shared" si="3"/>
        <v>109.0365385</v>
      </c>
      <c r="S715" s="23">
        <f t="shared" si="4"/>
        <v>3.846153846</v>
      </c>
      <c r="T715" s="24">
        <f t="shared" si="5"/>
        <v>4</v>
      </c>
      <c r="U715" s="26">
        <f t="shared" si="6"/>
        <v>0.1836734694</v>
      </c>
      <c r="V715" s="26" t="str">
        <f t="shared" si="7"/>
        <v>0%</v>
      </c>
      <c r="W715" s="19">
        <f t="shared" si="8"/>
        <v>10.4</v>
      </c>
      <c r="X715" s="20">
        <f t="shared" si="9"/>
        <v>50</v>
      </c>
      <c r="Y715" s="27"/>
      <c r="Z715" s="17"/>
      <c r="AA715" s="28"/>
      <c r="AB715" s="17"/>
      <c r="AC715" s="28"/>
      <c r="AD715" s="16"/>
    </row>
    <row r="716" ht="15.75" customHeight="1">
      <c r="A716" s="16" t="s">
        <v>1966</v>
      </c>
      <c r="B716" s="16" t="s">
        <v>2104</v>
      </c>
      <c r="C716" s="16" t="s">
        <v>2105</v>
      </c>
      <c r="D716" s="17" t="s">
        <v>212</v>
      </c>
      <c r="E716" s="18" t="s">
        <v>34</v>
      </c>
      <c r="F716" s="18">
        <v>1.0</v>
      </c>
      <c r="G716" s="19">
        <f t="shared" si="1"/>
        <v>2.116439443</v>
      </c>
      <c r="H716" s="17">
        <v>60.0</v>
      </c>
      <c r="I716" s="10">
        <v>230.0</v>
      </c>
      <c r="J716" s="17">
        <v>7.0</v>
      </c>
      <c r="K716" s="17">
        <v>180.0</v>
      </c>
      <c r="L716" s="17"/>
      <c r="M716" s="20">
        <v>25.0</v>
      </c>
      <c r="N716" s="20">
        <v>1.0</v>
      </c>
      <c r="O716" s="20">
        <v>0.0</v>
      </c>
      <c r="P716" s="20">
        <f t="shared" si="2"/>
        <v>24</v>
      </c>
      <c r="Q716" s="21">
        <v>20.0</v>
      </c>
      <c r="R716" s="22">
        <f t="shared" si="3"/>
        <v>108.6730833</v>
      </c>
      <c r="S716" s="23">
        <f t="shared" si="4"/>
        <v>3.833333333</v>
      </c>
      <c r="T716" s="24">
        <f t="shared" si="5"/>
        <v>1.25</v>
      </c>
      <c r="U716" s="26">
        <f t="shared" si="6"/>
        <v>0.2592592593</v>
      </c>
      <c r="V716" s="26" t="str">
        <f t="shared" si="7"/>
        <v>0%</v>
      </c>
      <c r="W716" s="19">
        <f t="shared" si="8"/>
        <v>0.7826086957</v>
      </c>
      <c r="X716" s="20">
        <f t="shared" si="9"/>
        <v>230</v>
      </c>
      <c r="Y716" s="27"/>
      <c r="Z716" s="17"/>
      <c r="AA716" s="17"/>
      <c r="AB716" s="17"/>
      <c r="AC716" s="17"/>
      <c r="AD716" s="27"/>
    </row>
    <row r="717" ht="15.75" customHeight="1">
      <c r="A717" s="16" t="s">
        <v>450</v>
      </c>
      <c r="B717" s="16" t="s">
        <v>2106</v>
      </c>
      <c r="C717" s="16" t="s">
        <v>2107</v>
      </c>
      <c r="D717" s="17" t="s">
        <v>81</v>
      </c>
      <c r="E717" s="18" t="s">
        <v>34</v>
      </c>
      <c r="F717" s="18">
        <v>1.0</v>
      </c>
      <c r="G717" s="19">
        <f t="shared" si="1"/>
        <v>1.199315685</v>
      </c>
      <c r="H717" s="17">
        <v>34.0</v>
      </c>
      <c r="I717" s="10">
        <v>130.0</v>
      </c>
      <c r="J717" s="17">
        <v>0.0</v>
      </c>
      <c r="K717" s="17">
        <v>0.0</v>
      </c>
      <c r="L717" s="17"/>
      <c r="M717" s="20">
        <v>31.0</v>
      </c>
      <c r="N717" s="20">
        <v>6.0</v>
      </c>
      <c r="O717" s="20">
        <v>25.0</v>
      </c>
      <c r="P717" s="20">
        <f t="shared" si="2"/>
        <v>0</v>
      </c>
      <c r="Q717" s="21">
        <v>1.0</v>
      </c>
      <c r="R717" s="22">
        <f t="shared" si="3"/>
        <v>108.3951471</v>
      </c>
      <c r="S717" s="23">
        <f t="shared" si="4"/>
        <v>3.823529412</v>
      </c>
      <c r="T717" s="24">
        <f t="shared" si="5"/>
        <v>31</v>
      </c>
      <c r="U717" s="26" t="str">
        <f t="shared" si="6"/>
        <v>0%</v>
      </c>
      <c r="V717" s="26">
        <f t="shared" si="7"/>
        <v>0.78125</v>
      </c>
      <c r="W717" s="19">
        <f t="shared" si="8"/>
        <v>0</v>
      </c>
      <c r="X717" s="20">
        <f t="shared" si="9"/>
        <v>130</v>
      </c>
      <c r="Y717" s="27"/>
      <c r="Z717" s="17"/>
      <c r="AA717" s="28"/>
      <c r="AB717" s="17"/>
      <c r="AC717" s="28"/>
      <c r="AD717" s="27"/>
    </row>
    <row r="718" ht="15.75" customHeight="1">
      <c r="A718" s="27" t="s">
        <v>450</v>
      </c>
      <c r="B718" s="27" t="s">
        <v>2108</v>
      </c>
      <c r="C718" s="16" t="s">
        <v>2109</v>
      </c>
      <c r="D718" s="17" t="s">
        <v>81</v>
      </c>
      <c r="E718" s="18" t="s">
        <v>34</v>
      </c>
      <c r="F718" s="18">
        <v>1.0</v>
      </c>
      <c r="G718" s="19">
        <f t="shared" si="1"/>
        <v>1.199315685</v>
      </c>
      <c r="H718" s="17">
        <v>34.0</v>
      </c>
      <c r="I718" s="10">
        <v>130.0</v>
      </c>
      <c r="J718" s="17">
        <v>0.5</v>
      </c>
      <c r="K718" s="17">
        <v>5.0</v>
      </c>
      <c r="L718" s="17"/>
      <c r="M718" s="20">
        <v>29.0</v>
      </c>
      <c r="N718" s="20">
        <v>11.0</v>
      </c>
      <c r="O718" s="20">
        <v>14.0</v>
      </c>
      <c r="P718" s="20">
        <f t="shared" si="2"/>
        <v>4</v>
      </c>
      <c r="Q718" s="21">
        <v>2.0</v>
      </c>
      <c r="R718" s="22">
        <f t="shared" si="3"/>
        <v>108.3951471</v>
      </c>
      <c r="S718" s="23">
        <f t="shared" si="4"/>
        <v>3.823529412</v>
      </c>
      <c r="T718" s="24">
        <f t="shared" si="5"/>
        <v>14.5</v>
      </c>
      <c r="U718" s="26">
        <f t="shared" si="6"/>
        <v>0.03501945525</v>
      </c>
      <c r="V718" s="26">
        <f t="shared" si="7"/>
        <v>0.4357976654</v>
      </c>
      <c r="W718" s="19">
        <f t="shared" si="8"/>
        <v>0.03846153846</v>
      </c>
      <c r="X718" s="20">
        <f t="shared" si="9"/>
        <v>130</v>
      </c>
      <c r="Y718" s="27"/>
      <c r="Z718" s="17"/>
      <c r="AA718" s="28"/>
      <c r="AB718" s="17"/>
      <c r="AC718" s="28"/>
      <c r="AD718" s="27"/>
    </row>
    <row r="719" ht="15.75" customHeight="1">
      <c r="A719" s="27" t="s">
        <v>450</v>
      </c>
      <c r="B719" s="27" t="s">
        <v>2110</v>
      </c>
      <c r="C719" s="16" t="s">
        <v>2111</v>
      </c>
      <c r="D719" s="17" t="s">
        <v>81</v>
      </c>
      <c r="E719" s="18" t="s">
        <v>34</v>
      </c>
      <c r="F719" s="18">
        <v>1.0</v>
      </c>
      <c r="G719" s="19">
        <f t="shared" si="1"/>
        <v>1.199315685</v>
      </c>
      <c r="H719" s="17">
        <v>34.0</v>
      </c>
      <c r="I719" s="10">
        <v>130.0</v>
      </c>
      <c r="J719" s="17">
        <v>0.5</v>
      </c>
      <c r="K719" s="17">
        <v>5.0</v>
      </c>
      <c r="L719" s="17"/>
      <c r="M719" s="20">
        <v>29.0</v>
      </c>
      <c r="N719" s="20">
        <v>5.0</v>
      </c>
      <c r="O719" s="20">
        <v>20.0</v>
      </c>
      <c r="P719" s="20">
        <f t="shared" si="2"/>
        <v>4</v>
      </c>
      <c r="Q719" s="21">
        <v>2.0</v>
      </c>
      <c r="R719" s="22">
        <f t="shared" si="3"/>
        <v>108.3951471</v>
      </c>
      <c r="S719" s="23">
        <f t="shared" si="4"/>
        <v>3.823529412</v>
      </c>
      <c r="T719" s="24">
        <f t="shared" si="5"/>
        <v>14.5</v>
      </c>
      <c r="U719" s="26">
        <f t="shared" si="6"/>
        <v>0.03501945525</v>
      </c>
      <c r="V719" s="26">
        <f t="shared" si="7"/>
        <v>0.6225680934</v>
      </c>
      <c r="W719" s="19">
        <f t="shared" si="8"/>
        <v>0.03846153846</v>
      </c>
      <c r="X719" s="20">
        <f t="shared" si="9"/>
        <v>130</v>
      </c>
      <c r="Y719" s="27"/>
      <c r="Z719" s="17"/>
      <c r="AA719" s="28"/>
      <c r="AB719" s="17"/>
      <c r="AC719" s="28"/>
      <c r="AD719" s="27"/>
    </row>
    <row r="720" ht="15.75" customHeight="1">
      <c r="A720" s="27" t="s">
        <v>1976</v>
      </c>
      <c r="B720" s="27" t="s">
        <v>342</v>
      </c>
      <c r="C720" s="16" t="s">
        <v>2112</v>
      </c>
      <c r="D720" s="17" t="s">
        <v>212</v>
      </c>
      <c r="E720" s="18" t="s">
        <v>34</v>
      </c>
      <c r="F720" s="18">
        <v>1.0</v>
      </c>
      <c r="G720" s="19">
        <f t="shared" si="1"/>
        <v>2.398631369</v>
      </c>
      <c r="H720" s="17">
        <v>68.0</v>
      </c>
      <c r="I720" s="10">
        <v>260.0</v>
      </c>
      <c r="J720" s="17">
        <v>7.0</v>
      </c>
      <c r="K720" s="17">
        <v>280.0</v>
      </c>
      <c r="L720" s="17">
        <v>249.0</v>
      </c>
      <c r="M720" s="20">
        <v>43.0</v>
      </c>
      <c r="N720" s="20">
        <v>4.0</v>
      </c>
      <c r="O720" s="20">
        <v>21.0</v>
      </c>
      <c r="P720" s="20">
        <f t="shared" si="2"/>
        <v>18</v>
      </c>
      <c r="Q720" s="21">
        <v>9.0</v>
      </c>
      <c r="R720" s="22">
        <f t="shared" si="3"/>
        <v>108.3951471</v>
      </c>
      <c r="S720" s="23">
        <f t="shared" si="4"/>
        <v>3.823529412</v>
      </c>
      <c r="T720" s="24">
        <f t="shared" si="5"/>
        <v>4.777777778</v>
      </c>
      <c r="U720" s="26">
        <f t="shared" si="6"/>
        <v>0.2324723247</v>
      </c>
      <c r="V720" s="26">
        <f t="shared" si="7"/>
        <v>0.3099630996</v>
      </c>
      <c r="W720" s="19">
        <f t="shared" si="8"/>
        <v>1.076923077</v>
      </c>
      <c r="X720" s="20">
        <f t="shared" si="9"/>
        <v>260</v>
      </c>
      <c r="Y720" s="27"/>
      <c r="Z720" s="17"/>
      <c r="AA720" s="28"/>
      <c r="AB720" s="17"/>
      <c r="AC720" s="28"/>
      <c r="AD720" s="16"/>
    </row>
    <row r="721" ht="15.75" customHeight="1">
      <c r="A721" s="27" t="s">
        <v>1976</v>
      </c>
      <c r="B721" s="27" t="s">
        <v>2113</v>
      </c>
      <c r="C721" s="16" t="s">
        <v>2114</v>
      </c>
      <c r="D721" s="17" t="s">
        <v>212</v>
      </c>
      <c r="E721" s="18" t="s">
        <v>34</v>
      </c>
      <c r="F721" s="18">
        <v>1.0</v>
      </c>
      <c r="G721" s="19">
        <f t="shared" si="1"/>
        <v>2.398631369</v>
      </c>
      <c r="H721" s="17">
        <v>68.0</v>
      </c>
      <c r="I721" s="10">
        <v>260.0</v>
      </c>
      <c r="J721" s="17">
        <v>7.0</v>
      </c>
      <c r="K721" s="17">
        <v>230.0</v>
      </c>
      <c r="L721" s="17">
        <v>180.0</v>
      </c>
      <c r="M721" s="20">
        <v>42.0</v>
      </c>
      <c r="N721" s="20">
        <v>4.0</v>
      </c>
      <c r="O721" s="20">
        <v>20.0</v>
      </c>
      <c r="P721" s="20">
        <f t="shared" si="2"/>
        <v>18</v>
      </c>
      <c r="Q721" s="21">
        <v>9.0</v>
      </c>
      <c r="R721" s="22">
        <f t="shared" si="3"/>
        <v>108.3951471</v>
      </c>
      <c r="S721" s="23">
        <f t="shared" si="4"/>
        <v>3.823529412</v>
      </c>
      <c r="T721" s="24">
        <f t="shared" si="5"/>
        <v>4.666666667</v>
      </c>
      <c r="U721" s="26">
        <f t="shared" si="6"/>
        <v>0.2359550562</v>
      </c>
      <c r="V721" s="26">
        <f t="shared" si="7"/>
        <v>0.2996254682</v>
      </c>
      <c r="W721" s="19">
        <f t="shared" si="8"/>
        <v>0.8846153846</v>
      </c>
      <c r="X721" s="20">
        <f t="shared" si="9"/>
        <v>260</v>
      </c>
      <c r="Y721" s="27"/>
      <c r="Z721" s="17"/>
      <c r="AA721" s="28"/>
      <c r="AB721" s="17"/>
      <c r="AC721" s="28"/>
      <c r="AD721" s="27"/>
    </row>
    <row r="722" ht="15.75" customHeight="1">
      <c r="A722" s="27" t="s">
        <v>1976</v>
      </c>
      <c r="B722" s="27" t="s">
        <v>2115</v>
      </c>
      <c r="C722" s="16" t="s">
        <v>2116</v>
      </c>
      <c r="D722" s="17" t="s">
        <v>212</v>
      </c>
      <c r="E722" s="18" t="s">
        <v>34</v>
      </c>
      <c r="F722" s="18">
        <v>1.0</v>
      </c>
      <c r="G722" s="19">
        <f t="shared" si="1"/>
        <v>2.398631369</v>
      </c>
      <c r="H722" s="17">
        <v>68.0</v>
      </c>
      <c r="I722" s="10">
        <v>260.0</v>
      </c>
      <c r="J722" s="17">
        <v>8.0</v>
      </c>
      <c r="K722" s="17">
        <v>310.0</v>
      </c>
      <c r="L722" s="17">
        <v>221.0</v>
      </c>
      <c r="M722" s="20">
        <v>41.0</v>
      </c>
      <c r="N722" s="20">
        <v>4.0</v>
      </c>
      <c r="O722" s="20">
        <v>21.0</v>
      </c>
      <c r="P722" s="20">
        <f t="shared" si="2"/>
        <v>16</v>
      </c>
      <c r="Q722" s="21">
        <v>10.0</v>
      </c>
      <c r="R722" s="22">
        <f t="shared" si="3"/>
        <v>108.3951471</v>
      </c>
      <c r="S722" s="23">
        <f t="shared" si="4"/>
        <v>3.823529412</v>
      </c>
      <c r="T722" s="24">
        <f t="shared" si="5"/>
        <v>4.1</v>
      </c>
      <c r="U722" s="26">
        <f t="shared" si="6"/>
        <v>0.2608695652</v>
      </c>
      <c r="V722" s="26">
        <f t="shared" si="7"/>
        <v>0.3043478261</v>
      </c>
      <c r="W722" s="19">
        <f t="shared" si="8"/>
        <v>1.192307692</v>
      </c>
      <c r="X722" s="20">
        <f t="shared" si="9"/>
        <v>260</v>
      </c>
      <c r="Y722" s="27"/>
      <c r="Z722" s="17"/>
      <c r="AA722" s="28"/>
      <c r="AB722" s="17"/>
      <c r="AC722" s="28"/>
      <c r="AD722" s="27"/>
    </row>
    <row r="723" ht="15.75" customHeight="1">
      <c r="A723" s="27" t="s">
        <v>1976</v>
      </c>
      <c r="B723" s="27" t="s">
        <v>2117</v>
      </c>
      <c r="C723" s="16" t="s">
        <v>2118</v>
      </c>
      <c r="D723" s="17" t="s">
        <v>212</v>
      </c>
      <c r="E723" s="18" t="s">
        <v>34</v>
      </c>
      <c r="F723" s="18">
        <v>1.0</v>
      </c>
      <c r="G723" s="19">
        <f t="shared" si="1"/>
        <v>2.398631369</v>
      </c>
      <c r="H723" s="17">
        <v>68.0</v>
      </c>
      <c r="I723" s="10">
        <v>260.0</v>
      </c>
      <c r="J723" s="17">
        <v>7.0</v>
      </c>
      <c r="K723" s="17">
        <v>260.0</v>
      </c>
      <c r="L723" s="17">
        <v>210.0</v>
      </c>
      <c r="M723" s="20">
        <v>41.0</v>
      </c>
      <c r="N723" s="20">
        <v>4.0</v>
      </c>
      <c r="O723" s="20">
        <v>21.0</v>
      </c>
      <c r="P723" s="20">
        <f t="shared" si="2"/>
        <v>16</v>
      </c>
      <c r="Q723" s="21">
        <v>10.0</v>
      </c>
      <c r="R723" s="22">
        <f t="shared" si="3"/>
        <v>108.3951471</v>
      </c>
      <c r="S723" s="23">
        <f t="shared" si="4"/>
        <v>3.823529412</v>
      </c>
      <c r="T723" s="24">
        <f t="shared" si="5"/>
        <v>4.1</v>
      </c>
      <c r="U723" s="26">
        <f t="shared" si="6"/>
        <v>0.2359550562</v>
      </c>
      <c r="V723" s="26">
        <f t="shared" si="7"/>
        <v>0.3146067416</v>
      </c>
      <c r="W723" s="19">
        <f t="shared" si="8"/>
        <v>1</v>
      </c>
      <c r="X723" s="20">
        <f t="shared" si="9"/>
        <v>260</v>
      </c>
      <c r="Y723" s="27"/>
      <c r="Z723" s="17"/>
      <c r="AA723" s="28"/>
      <c r="AB723" s="17"/>
      <c r="AC723" s="28"/>
      <c r="AD723" s="16"/>
    </row>
    <row r="724" ht="15.75" customHeight="1">
      <c r="A724" s="27" t="s">
        <v>1976</v>
      </c>
      <c r="B724" s="27" t="s">
        <v>2119</v>
      </c>
      <c r="C724" s="16" t="s">
        <v>2120</v>
      </c>
      <c r="D724" s="17" t="s">
        <v>212</v>
      </c>
      <c r="E724" s="18" t="s">
        <v>34</v>
      </c>
      <c r="F724" s="18">
        <v>1.0</v>
      </c>
      <c r="G724" s="19">
        <f t="shared" si="1"/>
        <v>2.398631369</v>
      </c>
      <c r="H724" s="17">
        <v>68.0</v>
      </c>
      <c r="I724" s="10">
        <v>260.0</v>
      </c>
      <c r="J724" s="17">
        <v>8.0</v>
      </c>
      <c r="K724" s="17">
        <v>220.0</v>
      </c>
      <c r="L724" s="17">
        <v>260.0</v>
      </c>
      <c r="M724" s="20">
        <v>41.0</v>
      </c>
      <c r="N724" s="20">
        <v>4.0</v>
      </c>
      <c r="O724" s="20">
        <v>22.0</v>
      </c>
      <c r="P724" s="20">
        <f t="shared" si="2"/>
        <v>15</v>
      </c>
      <c r="Q724" s="21">
        <v>10.0</v>
      </c>
      <c r="R724" s="22">
        <f t="shared" si="3"/>
        <v>108.3951471</v>
      </c>
      <c r="S724" s="23">
        <f t="shared" si="4"/>
        <v>3.823529412</v>
      </c>
      <c r="T724" s="24">
        <f t="shared" si="5"/>
        <v>4.1</v>
      </c>
      <c r="U724" s="26">
        <f t="shared" si="6"/>
        <v>0.2608695652</v>
      </c>
      <c r="V724" s="26">
        <f t="shared" si="7"/>
        <v>0.3188405797</v>
      </c>
      <c r="W724" s="19">
        <f t="shared" si="8"/>
        <v>0.8461538462</v>
      </c>
      <c r="X724" s="20">
        <f t="shared" si="9"/>
        <v>260</v>
      </c>
      <c r="Y724" s="27"/>
      <c r="Z724" s="17"/>
      <c r="AA724" s="28"/>
      <c r="AB724" s="17"/>
      <c r="AC724" s="28"/>
      <c r="AD724" s="27"/>
    </row>
    <row r="725" ht="15.75" customHeight="1">
      <c r="A725" s="16" t="s">
        <v>1976</v>
      </c>
      <c r="B725" s="16" t="s">
        <v>2121</v>
      </c>
      <c r="C725" s="16" t="s">
        <v>2122</v>
      </c>
      <c r="D725" s="17" t="s">
        <v>212</v>
      </c>
      <c r="E725" s="18" t="s">
        <v>34</v>
      </c>
      <c r="F725" s="18">
        <v>1.0</v>
      </c>
      <c r="G725" s="19">
        <f t="shared" si="1"/>
        <v>2.398631369</v>
      </c>
      <c r="H725" s="17">
        <v>68.0</v>
      </c>
      <c r="I725" s="10">
        <v>260.0</v>
      </c>
      <c r="J725" s="17">
        <v>8.0</v>
      </c>
      <c r="K725" s="17">
        <v>350.0</v>
      </c>
      <c r="L725" s="17">
        <v>249.0</v>
      </c>
      <c r="M725" s="20">
        <v>40.0</v>
      </c>
      <c r="N725" s="20">
        <v>4.0</v>
      </c>
      <c r="O725" s="20">
        <v>20.0</v>
      </c>
      <c r="P725" s="20">
        <f t="shared" si="2"/>
        <v>16</v>
      </c>
      <c r="Q725" s="21">
        <v>10.0</v>
      </c>
      <c r="R725" s="22">
        <f t="shared" si="3"/>
        <v>108.3951471</v>
      </c>
      <c r="S725" s="23">
        <f t="shared" si="4"/>
        <v>3.823529412</v>
      </c>
      <c r="T725" s="24">
        <f t="shared" si="5"/>
        <v>4</v>
      </c>
      <c r="U725" s="26">
        <f t="shared" si="6"/>
        <v>0.2647058824</v>
      </c>
      <c r="V725" s="26">
        <f t="shared" si="7"/>
        <v>0.2941176471</v>
      </c>
      <c r="W725" s="19">
        <f t="shared" si="8"/>
        <v>1.346153846</v>
      </c>
      <c r="X725" s="20">
        <f t="shared" si="9"/>
        <v>260</v>
      </c>
      <c r="Y725" s="27"/>
      <c r="Z725" s="17"/>
      <c r="AA725" s="28"/>
      <c r="AB725" s="17"/>
      <c r="AC725" s="28"/>
      <c r="AD725" s="27"/>
    </row>
    <row r="726" ht="15.75" customHeight="1">
      <c r="A726" s="27" t="s">
        <v>1976</v>
      </c>
      <c r="B726" s="27" t="s">
        <v>1152</v>
      </c>
      <c r="C726" s="16" t="s">
        <v>2123</v>
      </c>
      <c r="D726" s="17" t="s">
        <v>212</v>
      </c>
      <c r="E726" s="18" t="s">
        <v>34</v>
      </c>
      <c r="F726" s="18">
        <v>1.0</v>
      </c>
      <c r="G726" s="19">
        <f t="shared" si="1"/>
        <v>2.398631369</v>
      </c>
      <c r="H726" s="17">
        <v>68.0</v>
      </c>
      <c r="I726" s="10">
        <v>260.0</v>
      </c>
      <c r="J726" s="17">
        <v>7.0</v>
      </c>
      <c r="K726" s="17">
        <v>230.0</v>
      </c>
      <c r="L726" s="17">
        <v>230.0</v>
      </c>
      <c r="M726" s="20">
        <v>41.0</v>
      </c>
      <c r="N726" s="20">
        <v>4.0</v>
      </c>
      <c r="O726" s="20">
        <v>20.0</v>
      </c>
      <c r="P726" s="20">
        <f t="shared" si="2"/>
        <v>17</v>
      </c>
      <c r="Q726" s="21">
        <v>11.0</v>
      </c>
      <c r="R726" s="22">
        <f t="shared" si="3"/>
        <v>108.3951471</v>
      </c>
      <c r="S726" s="23">
        <f t="shared" si="4"/>
        <v>3.823529412</v>
      </c>
      <c r="T726" s="24">
        <f t="shared" si="5"/>
        <v>3.727272727</v>
      </c>
      <c r="U726" s="26">
        <f t="shared" si="6"/>
        <v>0.2324723247</v>
      </c>
      <c r="V726" s="26">
        <f t="shared" si="7"/>
        <v>0.295202952</v>
      </c>
      <c r="W726" s="19">
        <f t="shared" si="8"/>
        <v>0.8846153846</v>
      </c>
      <c r="X726" s="20">
        <f t="shared" si="9"/>
        <v>260</v>
      </c>
      <c r="Y726" s="27"/>
      <c r="Z726" s="17"/>
      <c r="AA726" s="28"/>
      <c r="AB726" s="17"/>
      <c r="AC726" s="28"/>
      <c r="AD726" s="16"/>
    </row>
    <row r="727" ht="15.75" customHeight="1">
      <c r="A727" s="16" t="s">
        <v>2124</v>
      </c>
      <c r="B727" s="16" t="s">
        <v>1737</v>
      </c>
      <c r="C727" s="16" t="s">
        <v>2125</v>
      </c>
      <c r="D727" s="17" t="s">
        <v>563</v>
      </c>
      <c r="E727" s="18" t="s">
        <v>34</v>
      </c>
      <c r="F727" s="18">
        <v>1.0</v>
      </c>
      <c r="G727" s="19">
        <f t="shared" si="1"/>
        <v>1.94006949</v>
      </c>
      <c r="H727" s="17">
        <v>55.0</v>
      </c>
      <c r="I727" s="10">
        <v>210.0</v>
      </c>
      <c r="J727" s="17">
        <v>3.0</v>
      </c>
      <c r="K727" s="17">
        <v>15.0</v>
      </c>
      <c r="L727" s="17">
        <v>230.0</v>
      </c>
      <c r="M727" s="20">
        <v>40.0</v>
      </c>
      <c r="N727" s="20">
        <v>6.0</v>
      </c>
      <c r="O727" s="20">
        <v>8.0</v>
      </c>
      <c r="P727" s="20">
        <f t="shared" si="2"/>
        <v>26</v>
      </c>
      <c r="Q727" s="21">
        <v>7.0</v>
      </c>
      <c r="R727" s="22">
        <f t="shared" si="3"/>
        <v>108.2435455</v>
      </c>
      <c r="S727" s="23">
        <f t="shared" si="4"/>
        <v>3.818181818</v>
      </c>
      <c r="T727" s="24">
        <f t="shared" si="5"/>
        <v>5.714285714</v>
      </c>
      <c r="U727" s="26">
        <f t="shared" si="6"/>
        <v>0.1255813953</v>
      </c>
      <c r="V727" s="26">
        <f t="shared" si="7"/>
        <v>0.1488372093</v>
      </c>
      <c r="W727" s="19">
        <f t="shared" si="8"/>
        <v>0.07142857143</v>
      </c>
      <c r="X727" s="20">
        <f t="shared" si="9"/>
        <v>210</v>
      </c>
      <c r="Y727" s="27"/>
      <c r="Z727" s="17"/>
      <c r="AA727" s="28"/>
      <c r="AB727" s="17"/>
      <c r="AC727" s="28"/>
      <c r="AD727" s="16"/>
    </row>
    <row r="728" ht="15.75" customHeight="1">
      <c r="A728" s="27" t="s">
        <v>2126</v>
      </c>
      <c r="B728" s="27" t="s">
        <v>2127</v>
      </c>
      <c r="C728" s="16" t="s">
        <v>2128</v>
      </c>
      <c r="D728" s="17" t="s">
        <v>99</v>
      </c>
      <c r="E728" s="18" t="s">
        <v>34</v>
      </c>
      <c r="F728" s="18">
        <v>1.0</v>
      </c>
      <c r="G728" s="19">
        <f t="shared" si="1"/>
        <v>0.7407538052</v>
      </c>
      <c r="H728" s="17">
        <v>21.0</v>
      </c>
      <c r="I728" s="10">
        <v>80.0</v>
      </c>
      <c r="J728" s="17">
        <v>0.0</v>
      </c>
      <c r="K728" s="17">
        <v>30.0</v>
      </c>
      <c r="L728" s="17"/>
      <c r="M728" s="20">
        <v>23.0</v>
      </c>
      <c r="N728" s="20">
        <v>0.0</v>
      </c>
      <c r="O728" s="20">
        <v>20.0</v>
      </c>
      <c r="P728" s="20">
        <f t="shared" si="2"/>
        <v>3</v>
      </c>
      <c r="Q728" s="21">
        <v>0.0</v>
      </c>
      <c r="R728" s="22">
        <f t="shared" si="3"/>
        <v>107.9980952</v>
      </c>
      <c r="S728" s="23">
        <f t="shared" si="4"/>
        <v>3.80952381</v>
      </c>
      <c r="T728" s="24" t="str">
        <f t="shared" si="5"/>
        <v>N/A</v>
      </c>
      <c r="U728" s="26" t="str">
        <f t="shared" si="6"/>
        <v>0%</v>
      </c>
      <c r="V728" s="26">
        <f t="shared" si="7"/>
        <v>0.8695652174</v>
      </c>
      <c r="W728" s="19">
        <f t="shared" si="8"/>
        <v>0.375</v>
      </c>
      <c r="X728" s="20">
        <f t="shared" si="9"/>
        <v>80</v>
      </c>
      <c r="Y728" s="27"/>
      <c r="Z728" s="17"/>
      <c r="AA728" s="28"/>
      <c r="AB728" s="17"/>
      <c r="AC728" s="28"/>
      <c r="AD728" s="27"/>
    </row>
    <row r="729" ht="15.75" customHeight="1">
      <c r="A729" s="27" t="s">
        <v>1912</v>
      </c>
      <c r="B729" s="27" t="s">
        <v>2129</v>
      </c>
      <c r="C729" s="16" t="s">
        <v>2130</v>
      </c>
      <c r="D729" s="17" t="s">
        <v>119</v>
      </c>
      <c r="E729" s="18" t="s">
        <v>34</v>
      </c>
      <c r="F729" s="18">
        <v>1.0</v>
      </c>
      <c r="G729" s="19">
        <f t="shared" si="1"/>
        <v>2.222261416</v>
      </c>
      <c r="H729" s="17">
        <v>63.0</v>
      </c>
      <c r="I729" s="10">
        <v>240.0</v>
      </c>
      <c r="J729" s="17">
        <v>3.5</v>
      </c>
      <c r="K729" s="17">
        <v>640.0</v>
      </c>
      <c r="L729" s="17"/>
      <c r="M729" s="20">
        <v>43.0</v>
      </c>
      <c r="N729" s="20">
        <v>2.0</v>
      </c>
      <c r="O729" s="20">
        <v>3.0</v>
      </c>
      <c r="P729" s="20">
        <f t="shared" si="2"/>
        <v>38</v>
      </c>
      <c r="Q729" s="21">
        <v>8.0</v>
      </c>
      <c r="R729" s="22">
        <f t="shared" si="3"/>
        <v>107.9980952</v>
      </c>
      <c r="S729" s="23">
        <f t="shared" si="4"/>
        <v>3.80952381</v>
      </c>
      <c r="T729" s="24">
        <f t="shared" si="5"/>
        <v>5.375</v>
      </c>
      <c r="U729" s="26">
        <f t="shared" si="6"/>
        <v>0.1337579618</v>
      </c>
      <c r="V729" s="26">
        <f t="shared" si="7"/>
        <v>0.05095541401</v>
      </c>
      <c r="W729" s="19">
        <f t="shared" si="8"/>
        <v>2.666666667</v>
      </c>
      <c r="X729" s="20">
        <f t="shared" si="9"/>
        <v>240</v>
      </c>
      <c r="Y729" s="27"/>
      <c r="Z729" s="17"/>
      <c r="AA729" s="28"/>
      <c r="AB729" s="17"/>
      <c r="AC729" s="28"/>
      <c r="AD729" s="27"/>
    </row>
    <row r="730" ht="15.75" customHeight="1">
      <c r="A730" s="27" t="s">
        <v>1544</v>
      </c>
      <c r="B730" s="27" t="s">
        <v>2131</v>
      </c>
      <c r="C730" s="16" t="s">
        <v>2132</v>
      </c>
      <c r="D730" s="17" t="s">
        <v>99</v>
      </c>
      <c r="E730" s="18" t="s">
        <v>34</v>
      </c>
      <c r="F730" s="18">
        <v>1.0</v>
      </c>
      <c r="G730" s="19">
        <f t="shared" si="1"/>
        <v>2.504453341</v>
      </c>
      <c r="H730" s="17">
        <v>71.0</v>
      </c>
      <c r="I730" s="10">
        <v>270.0</v>
      </c>
      <c r="J730" s="17">
        <v>2.0</v>
      </c>
      <c r="K730" s="17">
        <v>320.0</v>
      </c>
      <c r="L730" s="17"/>
      <c r="M730" s="20">
        <v>45.0</v>
      </c>
      <c r="N730" s="20">
        <v>2.0</v>
      </c>
      <c r="O730" s="20">
        <v>25.0</v>
      </c>
      <c r="P730" s="20">
        <f t="shared" si="2"/>
        <v>18</v>
      </c>
      <c r="Q730" s="21">
        <v>20.0</v>
      </c>
      <c r="R730" s="22">
        <f t="shared" si="3"/>
        <v>107.8079577</v>
      </c>
      <c r="S730" s="23">
        <f t="shared" si="4"/>
        <v>3.802816901</v>
      </c>
      <c r="T730" s="24">
        <f t="shared" si="5"/>
        <v>2.25</v>
      </c>
      <c r="U730" s="26">
        <f t="shared" si="6"/>
        <v>0.06474820144</v>
      </c>
      <c r="V730" s="26">
        <f t="shared" si="7"/>
        <v>0.3597122302</v>
      </c>
      <c r="W730" s="19">
        <f t="shared" si="8"/>
        <v>1.185185185</v>
      </c>
      <c r="X730" s="20">
        <f t="shared" si="9"/>
        <v>270</v>
      </c>
      <c r="Y730" s="27"/>
      <c r="Z730" s="17"/>
      <c r="AA730" s="28"/>
      <c r="AB730" s="17"/>
      <c r="AC730" s="28"/>
      <c r="AD730" s="16"/>
    </row>
    <row r="731" ht="15.75" customHeight="1">
      <c r="A731" s="92" t="s">
        <v>717</v>
      </c>
      <c r="B731" s="92" t="s">
        <v>2133</v>
      </c>
      <c r="C731" s="92" t="s">
        <v>2134</v>
      </c>
      <c r="D731" s="200" t="s">
        <v>99</v>
      </c>
      <c r="E731" s="18" t="s">
        <v>34</v>
      </c>
      <c r="F731" s="18">
        <v>2.5</v>
      </c>
      <c r="G731" s="19">
        <f t="shared" si="1"/>
        <v>12.69863666</v>
      </c>
      <c r="H731" s="200">
        <v>360.0</v>
      </c>
      <c r="I731" s="201">
        <v>220.0</v>
      </c>
      <c r="J731" s="200">
        <v>0.0</v>
      </c>
      <c r="K731" s="200">
        <v>440.0</v>
      </c>
      <c r="L731" s="200">
        <v>129.0</v>
      </c>
      <c r="M731" s="202">
        <v>58.0</v>
      </c>
      <c r="N731" s="202">
        <v>0.0</v>
      </c>
      <c r="O731" s="202">
        <v>55.0</v>
      </c>
      <c r="P731" s="20">
        <f t="shared" si="2"/>
        <v>3</v>
      </c>
      <c r="Q731" s="203">
        <v>0.0</v>
      </c>
      <c r="R731" s="22">
        <f t="shared" si="3"/>
        <v>17.32469444</v>
      </c>
      <c r="S731" s="23">
        <f t="shared" si="4"/>
        <v>0.6111111111</v>
      </c>
      <c r="T731" s="24" t="str">
        <f t="shared" si="5"/>
        <v>N/A</v>
      </c>
      <c r="U731" s="26" t="str">
        <f t="shared" si="6"/>
        <v>0%</v>
      </c>
      <c r="V731" s="26">
        <f t="shared" si="7"/>
        <v>0.9482758621</v>
      </c>
      <c r="W731" s="19">
        <f t="shared" si="8"/>
        <v>2</v>
      </c>
      <c r="X731" s="20">
        <f t="shared" si="9"/>
        <v>550</v>
      </c>
      <c r="Y731" s="27"/>
      <c r="Z731" s="17"/>
      <c r="AA731" s="28"/>
      <c r="AB731" s="17"/>
      <c r="AC731" s="28"/>
      <c r="AD731" s="16"/>
    </row>
    <row r="732" ht="15.75" customHeight="1">
      <c r="A732" s="27" t="s">
        <v>1729</v>
      </c>
      <c r="B732" s="27" t="s">
        <v>1318</v>
      </c>
      <c r="C732" s="16" t="s">
        <v>2135</v>
      </c>
      <c r="D732" s="17" t="s">
        <v>456</v>
      </c>
      <c r="E732" s="18" t="s">
        <v>34</v>
      </c>
      <c r="F732" s="18">
        <v>1.0</v>
      </c>
      <c r="G732" s="19">
        <f t="shared" si="1"/>
        <v>1.763699536</v>
      </c>
      <c r="H732" s="17">
        <v>50.0</v>
      </c>
      <c r="I732" s="10">
        <v>190.0</v>
      </c>
      <c r="J732" s="17">
        <v>5.0</v>
      </c>
      <c r="K732" s="17">
        <v>190.0</v>
      </c>
      <c r="L732" s="17"/>
      <c r="M732" s="20">
        <v>35.0</v>
      </c>
      <c r="N732" s="20">
        <v>1.0</v>
      </c>
      <c r="O732" s="20">
        <v>18.0</v>
      </c>
      <c r="P732" s="20">
        <f t="shared" si="2"/>
        <v>16</v>
      </c>
      <c r="Q732" s="21">
        <v>2.0</v>
      </c>
      <c r="R732" s="22">
        <f t="shared" si="3"/>
        <v>107.7281</v>
      </c>
      <c r="S732" s="23">
        <f t="shared" si="4"/>
        <v>3.8</v>
      </c>
      <c r="T732" s="24">
        <f t="shared" si="5"/>
        <v>17.5</v>
      </c>
      <c r="U732" s="26">
        <f t="shared" si="6"/>
        <v>0.2331606218</v>
      </c>
      <c r="V732" s="26">
        <f t="shared" si="7"/>
        <v>0.3730569948</v>
      </c>
      <c r="W732" s="19">
        <f t="shared" si="8"/>
        <v>1</v>
      </c>
      <c r="X732" s="20">
        <f t="shared" si="9"/>
        <v>190</v>
      </c>
      <c r="Y732" s="27"/>
      <c r="Z732" s="17"/>
      <c r="AA732" s="28"/>
      <c r="AB732" s="17"/>
      <c r="AC732" s="28"/>
      <c r="AD732" s="16"/>
    </row>
    <row r="733" ht="15.75" customHeight="1">
      <c r="A733" s="27" t="s">
        <v>1729</v>
      </c>
      <c r="B733" s="27" t="s">
        <v>364</v>
      </c>
      <c r="C733" s="16" t="s">
        <v>2136</v>
      </c>
      <c r="D733" s="17" t="s">
        <v>456</v>
      </c>
      <c r="E733" s="18" t="s">
        <v>34</v>
      </c>
      <c r="F733" s="18">
        <v>1.0</v>
      </c>
      <c r="G733" s="19">
        <f t="shared" si="1"/>
        <v>1.763699536</v>
      </c>
      <c r="H733" s="17">
        <v>50.0</v>
      </c>
      <c r="I733" s="10">
        <v>190.0</v>
      </c>
      <c r="J733" s="17">
        <v>5.0</v>
      </c>
      <c r="K733" s="17">
        <v>240.0</v>
      </c>
      <c r="L733" s="17"/>
      <c r="M733" s="20">
        <v>35.0</v>
      </c>
      <c r="N733" s="20">
        <v>1.0</v>
      </c>
      <c r="O733" s="20">
        <v>20.0</v>
      </c>
      <c r="P733" s="20">
        <f t="shared" si="2"/>
        <v>14</v>
      </c>
      <c r="Q733" s="21">
        <v>2.0</v>
      </c>
      <c r="R733" s="22">
        <f t="shared" si="3"/>
        <v>107.7281</v>
      </c>
      <c r="S733" s="23">
        <f t="shared" si="4"/>
        <v>3.8</v>
      </c>
      <c r="T733" s="24">
        <f t="shared" si="5"/>
        <v>17.5</v>
      </c>
      <c r="U733" s="26">
        <f t="shared" si="6"/>
        <v>0.2331606218</v>
      </c>
      <c r="V733" s="26">
        <f t="shared" si="7"/>
        <v>0.414507772</v>
      </c>
      <c r="W733" s="19">
        <f t="shared" si="8"/>
        <v>1.263157895</v>
      </c>
      <c r="X733" s="20">
        <f t="shared" si="9"/>
        <v>190</v>
      </c>
      <c r="Y733" s="27"/>
      <c r="Z733" s="17"/>
      <c r="AA733" s="28"/>
      <c r="AB733" s="17"/>
      <c r="AC733" s="28"/>
      <c r="AD733" s="16"/>
    </row>
    <row r="734" ht="15.75" customHeight="1">
      <c r="A734" s="27" t="s">
        <v>2137</v>
      </c>
      <c r="B734" s="27" t="s">
        <v>2138</v>
      </c>
      <c r="C734" s="16" t="s">
        <v>2139</v>
      </c>
      <c r="D734" s="17" t="s">
        <v>119</v>
      </c>
      <c r="E734" s="18" t="s">
        <v>34</v>
      </c>
      <c r="F734" s="18">
        <v>1.0</v>
      </c>
      <c r="G734" s="19">
        <f t="shared" si="1"/>
        <v>1.763699536</v>
      </c>
      <c r="H734" s="17">
        <v>50.0</v>
      </c>
      <c r="I734" s="10">
        <v>190.0</v>
      </c>
      <c r="J734" s="17">
        <v>0.5</v>
      </c>
      <c r="K734" s="17">
        <v>0.0</v>
      </c>
      <c r="L734" s="17"/>
      <c r="M734" s="20">
        <v>40.0</v>
      </c>
      <c r="N734" s="20">
        <v>2.0</v>
      </c>
      <c r="O734" s="20">
        <v>1.0</v>
      </c>
      <c r="P734" s="20">
        <f t="shared" si="2"/>
        <v>37</v>
      </c>
      <c r="Q734" s="21">
        <v>6.0</v>
      </c>
      <c r="R734" s="22">
        <f t="shared" si="3"/>
        <v>107.7281</v>
      </c>
      <c r="S734" s="23">
        <f t="shared" si="4"/>
        <v>3.8</v>
      </c>
      <c r="T734" s="24">
        <f t="shared" si="5"/>
        <v>6.666666667</v>
      </c>
      <c r="U734" s="26">
        <f t="shared" si="6"/>
        <v>0.02387267905</v>
      </c>
      <c r="V734" s="26">
        <f t="shared" si="7"/>
        <v>0.02122015915</v>
      </c>
      <c r="W734" s="19">
        <f t="shared" si="8"/>
        <v>0</v>
      </c>
      <c r="X734" s="20">
        <f t="shared" si="9"/>
        <v>190</v>
      </c>
      <c r="Y734" s="27"/>
      <c r="Z734" s="17"/>
      <c r="AA734" s="28"/>
      <c r="AB734" s="17"/>
      <c r="AC734" s="28"/>
      <c r="AD734" s="27"/>
    </row>
    <row r="735" ht="15.75" customHeight="1">
      <c r="A735" s="27" t="s">
        <v>1891</v>
      </c>
      <c r="B735" s="27" t="s">
        <v>2140</v>
      </c>
      <c r="C735" s="16" t="s">
        <v>2141</v>
      </c>
      <c r="D735" s="17" t="s">
        <v>212</v>
      </c>
      <c r="E735" s="18" t="s">
        <v>34</v>
      </c>
      <c r="F735" s="18">
        <v>1.0</v>
      </c>
      <c r="G735" s="19">
        <f t="shared" si="1"/>
        <v>1.763699536</v>
      </c>
      <c r="H735" s="17">
        <v>50.0</v>
      </c>
      <c r="I735" s="10">
        <v>190.0</v>
      </c>
      <c r="J735" s="17">
        <v>7.0</v>
      </c>
      <c r="K735" s="17">
        <v>100.0</v>
      </c>
      <c r="L735" s="17">
        <v>260.0</v>
      </c>
      <c r="M735" s="20">
        <v>30.0</v>
      </c>
      <c r="N735" s="20">
        <v>4.0</v>
      </c>
      <c r="O735" s="20">
        <v>18.0</v>
      </c>
      <c r="P735" s="20">
        <f t="shared" si="2"/>
        <v>8</v>
      </c>
      <c r="Q735" s="21">
        <v>5.0</v>
      </c>
      <c r="R735" s="22">
        <f t="shared" si="3"/>
        <v>107.7281</v>
      </c>
      <c r="S735" s="23">
        <f t="shared" si="4"/>
        <v>3.8</v>
      </c>
      <c r="T735" s="24">
        <f t="shared" si="5"/>
        <v>6</v>
      </c>
      <c r="U735" s="26">
        <f t="shared" si="6"/>
        <v>0.3103448276</v>
      </c>
      <c r="V735" s="26">
        <f t="shared" si="7"/>
        <v>0.354679803</v>
      </c>
      <c r="W735" s="19">
        <f t="shared" si="8"/>
        <v>0.5263157895</v>
      </c>
      <c r="X735" s="20">
        <f t="shared" si="9"/>
        <v>190</v>
      </c>
      <c r="Y735" s="27"/>
      <c r="Z735" s="17"/>
      <c r="AA735" s="28"/>
      <c r="AB735" s="17"/>
      <c r="AC735" s="28"/>
      <c r="AD735" s="27"/>
    </row>
    <row r="736" ht="15.75" customHeight="1">
      <c r="A736" s="16" t="s">
        <v>2142</v>
      </c>
      <c r="B736" s="16" t="s">
        <v>2143</v>
      </c>
      <c r="C736" s="16" t="s">
        <v>2144</v>
      </c>
      <c r="D736" s="17" t="s">
        <v>212</v>
      </c>
      <c r="E736" s="18" t="s">
        <v>34</v>
      </c>
      <c r="F736" s="18">
        <v>1.0</v>
      </c>
      <c r="G736" s="19">
        <f t="shared" si="1"/>
        <v>1.763699536</v>
      </c>
      <c r="H736" s="17">
        <v>50.0</v>
      </c>
      <c r="I736" s="10">
        <v>190.0</v>
      </c>
      <c r="J736" s="17">
        <v>7.0</v>
      </c>
      <c r="K736" s="17">
        <v>120.0</v>
      </c>
      <c r="L736" s="17"/>
      <c r="M736" s="20">
        <v>21.0</v>
      </c>
      <c r="N736" s="20">
        <v>7.0</v>
      </c>
      <c r="O736" s="20">
        <v>5.0</v>
      </c>
      <c r="P736" s="20">
        <f t="shared" si="2"/>
        <v>9</v>
      </c>
      <c r="Q736" s="21">
        <v>14.0</v>
      </c>
      <c r="R736" s="22">
        <f t="shared" si="3"/>
        <v>107.7281</v>
      </c>
      <c r="S736" s="23">
        <f t="shared" si="4"/>
        <v>3.8</v>
      </c>
      <c r="T736" s="24">
        <f t="shared" si="5"/>
        <v>1.5</v>
      </c>
      <c r="U736" s="26">
        <f t="shared" si="6"/>
        <v>0.3103448276</v>
      </c>
      <c r="V736" s="26">
        <f t="shared" si="7"/>
        <v>0.09852216749</v>
      </c>
      <c r="W736" s="19">
        <f t="shared" si="8"/>
        <v>0.6315789474</v>
      </c>
      <c r="X736" s="20">
        <f t="shared" si="9"/>
        <v>190</v>
      </c>
      <c r="Y736" s="27"/>
      <c r="Z736" s="17"/>
      <c r="AA736" s="28"/>
      <c r="AB736" s="17"/>
      <c r="AC736" s="28"/>
      <c r="AD736" s="16"/>
    </row>
    <row r="737" ht="15.75" customHeight="1">
      <c r="A737" s="27" t="s">
        <v>1969</v>
      </c>
      <c r="B737" s="27" t="s">
        <v>2145</v>
      </c>
      <c r="C737" s="16" t="s">
        <v>2146</v>
      </c>
      <c r="D737" s="17" t="s">
        <v>212</v>
      </c>
      <c r="E737" s="18" t="s">
        <v>34</v>
      </c>
      <c r="F737" s="18">
        <v>1.0</v>
      </c>
      <c r="G737" s="19">
        <f t="shared" si="1"/>
        <v>1.763699536</v>
      </c>
      <c r="H737" s="17">
        <v>50.0</v>
      </c>
      <c r="I737" s="10">
        <v>190.0</v>
      </c>
      <c r="J737" s="17">
        <v>5.0</v>
      </c>
      <c r="K737" s="17">
        <v>160.0</v>
      </c>
      <c r="L737" s="17"/>
      <c r="M737" s="20">
        <v>19.0</v>
      </c>
      <c r="N737" s="20">
        <v>2.0</v>
      </c>
      <c r="O737" s="20">
        <v>1.0</v>
      </c>
      <c r="P737" s="20">
        <f t="shared" si="2"/>
        <v>16</v>
      </c>
      <c r="Q737" s="21">
        <v>19.0</v>
      </c>
      <c r="R737" s="22">
        <f t="shared" si="3"/>
        <v>107.7281</v>
      </c>
      <c r="S737" s="23">
        <f t="shared" si="4"/>
        <v>3.8</v>
      </c>
      <c r="T737" s="24">
        <f t="shared" si="5"/>
        <v>1</v>
      </c>
      <c r="U737" s="26">
        <f t="shared" si="6"/>
        <v>0.2284263959</v>
      </c>
      <c r="V737" s="26">
        <f t="shared" si="7"/>
        <v>0.02030456853</v>
      </c>
      <c r="W737" s="19">
        <f t="shared" si="8"/>
        <v>0.8421052632</v>
      </c>
      <c r="X737" s="20">
        <f t="shared" si="9"/>
        <v>190</v>
      </c>
      <c r="Y737" s="27"/>
      <c r="Z737" s="17"/>
      <c r="AA737" s="28"/>
      <c r="AB737" s="17"/>
      <c r="AC737" s="28"/>
      <c r="AD737" s="27"/>
    </row>
    <row r="738" ht="15.75" customHeight="1">
      <c r="A738" s="27" t="s">
        <v>2147</v>
      </c>
      <c r="B738" s="27" t="s">
        <v>2148</v>
      </c>
      <c r="C738" s="16" t="s">
        <v>2149</v>
      </c>
      <c r="D738" s="17" t="s">
        <v>563</v>
      </c>
      <c r="E738" s="18" t="s">
        <v>34</v>
      </c>
      <c r="F738" s="18">
        <v>1.0</v>
      </c>
      <c r="G738" s="19">
        <f t="shared" si="1"/>
        <v>1.022945731</v>
      </c>
      <c r="H738" s="17">
        <v>29.0</v>
      </c>
      <c r="I738" s="10">
        <v>110.0</v>
      </c>
      <c r="J738" s="17">
        <v>0.0</v>
      </c>
      <c r="K738" s="17">
        <v>150.0</v>
      </c>
      <c r="L738" s="17">
        <v>35.0</v>
      </c>
      <c r="M738" s="20">
        <v>26.0</v>
      </c>
      <c r="N738" s="20">
        <v>1.0</v>
      </c>
      <c r="O738" s="20">
        <v>10.0</v>
      </c>
      <c r="P738" s="20">
        <f t="shared" si="2"/>
        <v>15</v>
      </c>
      <c r="Q738" s="21">
        <v>1.0</v>
      </c>
      <c r="R738" s="22">
        <f t="shared" si="3"/>
        <v>107.5325862</v>
      </c>
      <c r="S738" s="23">
        <f t="shared" si="4"/>
        <v>3.793103448</v>
      </c>
      <c r="T738" s="24">
        <f t="shared" si="5"/>
        <v>26</v>
      </c>
      <c r="U738" s="26" t="str">
        <f t="shared" si="6"/>
        <v>0%</v>
      </c>
      <c r="V738" s="26">
        <f t="shared" si="7"/>
        <v>0.3703703704</v>
      </c>
      <c r="W738" s="19">
        <f t="shared" si="8"/>
        <v>1.363636364</v>
      </c>
      <c r="X738" s="20">
        <f t="shared" si="9"/>
        <v>110</v>
      </c>
      <c r="Y738" s="16"/>
      <c r="Z738" s="17"/>
      <c r="AA738" s="28"/>
      <c r="AB738" s="17"/>
      <c r="AC738" s="28"/>
      <c r="AD738" s="16"/>
    </row>
    <row r="739" ht="15.75" customHeight="1">
      <c r="A739" s="27" t="s">
        <v>2007</v>
      </c>
      <c r="B739" s="27" t="s">
        <v>2150</v>
      </c>
      <c r="C739" s="16" t="s">
        <v>2151</v>
      </c>
      <c r="D739" s="17" t="s">
        <v>119</v>
      </c>
      <c r="E739" s="18" t="s">
        <v>34</v>
      </c>
      <c r="F739" s="18">
        <v>1.0</v>
      </c>
      <c r="G739" s="19">
        <f t="shared" si="1"/>
        <v>1.022945731</v>
      </c>
      <c r="H739" s="17">
        <v>29.0</v>
      </c>
      <c r="I739" s="10">
        <v>110.0</v>
      </c>
      <c r="J739" s="17">
        <v>2.5</v>
      </c>
      <c r="K739" s="17">
        <v>390.0</v>
      </c>
      <c r="L739" s="17"/>
      <c r="M739" s="20">
        <v>21.0</v>
      </c>
      <c r="N739" s="20">
        <v>1.0</v>
      </c>
      <c r="O739" s="20">
        <v>2.0</v>
      </c>
      <c r="P739" s="20">
        <f t="shared" si="2"/>
        <v>18</v>
      </c>
      <c r="Q739" s="21">
        <v>2.0</v>
      </c>
      <c r="R739" s="22">
        <f t="shared" si="3"/>
        <v>107.5325862</v>
      </c>
      <c r="S739" s="23">
        <f t="shared" si="4"/>
        <v>3.793103448</v>
      </c>
      <c r="T739" s="24">
        <f t="shared" si="5"/>
        <v>10.5</v>
      </c>
      <c r="U739" s="26">
        <f t="shared" si="6"/>
        <v>0.1965065502</v>
      </c>
      <c r="V739" s="26">
        <f t="shared" si="7"/>
        <v>0.06986899563</v>
      </c>
      <c r="W739" s="19">
        <f t="shared" si="8"/>
        <v>3.545454545</v>
      </c>
      <c r="X739" s="20">
        <f t="shared" si="9"/>
        <v>110</v>
      </c>
      <c r="Y739" s="27"/>
      <c r="Z739" s="17"/>
      <c r="AA739" s="28"/>
      <c r="AB739" s="17"/>
      <c r="AC739" s="28"/>
      <c r="AD739" s="27"/>
    </row>
    <row r="740" ht="15.75" customHeight="1">
      <c r="A740" s="16" t="s">
        <v>2007</v>
      </c>
      <c r="B740" s="16" t="s">
        <v>2152</v>
      </c>
      <c r="C740" s="16" t="s">
        <v>2153</v>
      </c>
      <c r="D740" s="17" t="s">
        <v>119</v>
      </c>
      <c r="E740" s="18" t="s">
        <v>34</v>
      </c>
      <c r="F740" s="18">
        <v>1.0</v>
      </c>
      <c r="G740" s="19">
        <f t="shared" si="1"/>
        <v>1.022945731</v>
      </c>
      <c r="H740" s="17">
        <v>29.0</v>
      </c>
      <c r="I740" s="10">
        <v>110.0</v>
      </c>
      <c r="J740" s="17">
        <v>2.0</v>
      </c>
      <c r="K740" s="17">
        <v>560.0</v>
      </c>
      <c r="L740" s="17"/>
      <c r="M740" s="20">
        <v>20.0</v>
      </c>
      <c r="N740" s="20">
        <v>1.0</v>
      </c>
      <c r="O740" s="20">
        <v>2.0</v>
      </c>
      <c r="P740" s="20">
        <f t="shared" si="2"/>
        <v>17</v>
      </c>
      <c r="Q740" s="21">
        <v>3.0</v>
      </c>
      <c r="R740" s="22">
        <f t="shared" si="3"/>
        <v>107.5325862</v>
      </c>
      <c r="S740" s="23">
        <f t="shared" si="4"/>
        <v>3.793103448</v>
      </c>
      <c r="T740" s="24">
        <f t="shared" si="5"/>
        <v>6.666666667</v>
      </c>
      <c r="U740" s="26">
        <f t="shared" si="6"/>
        <v>0.1636363636</v>
      </c>
      <c r="V740" s="26">
        <f t="shared" si="7"/>
        <v>0.07272727273</v>
      </c>
      <c r="W740" s="19">
        <f t="shared" si="8"/>
        <v>5.090909091</v>
      </c>
      <c r="X740" s="20">
        <f t="shared" si="9"/>
        <v>110</v>
      </c>
      <c r="Y740" s="16"/>
      <c r="Z740" s="17"/>
      <c r="AA740" s="28"/>
      <c r="AB740" s="17"/>
      <c r="AC740" s="28"/>
      <c r="AD740" s="16"/>
    </row>
    <row r="741" ht="15.75" customHeight="1">
      <c r="A741" s="27" t="s">
        <v>1591</v>
      </c>
      <c r="B741" s="27" t="s">
        <v>2154</v>
      </c>
      <c r="C741" s="16" t="s">
        <v>2155</v>
      </c>
      <c r="D741" s="17" t="s">
        <v>212</v>
      </c>
      <c r="E741" s="18" t="s">
        <v>34</v>
      </c>
      <c r="F741" s="18">
        <v>1.0</v>
      </c>
      <c r="G741" s="19">
        <f t="shared" si="1"/>
        <v>1.305137657</v>
      </c>
      <c r="H741" s="17">
        <v>37.0</v>
      </c>
      <c r="I741" s="10">
        <v>140.0</v>
      </c>
      <c r="J741" s="17">
        <v>6.0</v>
      </c>
      <c r="K741" s="17">
        <v>80.0</v>
      </c>
      <c r="L741" s="17">
        <v>100.0</v>
      </c>
      <c r="M741" s="20">
        <v>22.0</v>
      </c>
      <c r="N741" s="20">
        <v>6.0</v>
      </c>
      <c r="O741" s="20">
        <v>4.0</v>
      </c>
      <c r="P741" s="20">
        <f t="shared" si="2"/>
        <v>12</v>
      </c>
      <c r="Q741" s="21">
        <v>5.0</v>
      </c>
      <c r="R741" s="22">
        <f t="shared" si="3"/>
        <v>107.2683784</v>
      </c>
      <c r="S741" s="23">
        <f t="shared" si="4"/>
        <v>3.783783784</v>
      </c>
      <c r="T741" s="24">
        <f t="shared" si="5"/>
        <v>4.4</v>
      </c>
      <c r="U741" s="26">
        <f t="shared" si="6"/>
        <v>0.3333333333</v>
      </c>
      <c r="V741" s="26">
        <f t="shared" si="7"/>
        <v>0.0987654321</v>
      </c>
      <c r="W741" s="19">
        <f t="shared" si="8"/>
        <v>0.5714285714</v>
      </c>
      <c r="X741" s="20">
        <f t="shared" si="9"/>
        <v>140</v>
      </c>
      <c r="Y741" s="27"/>
      <c r="Z741" s="17"/>
      <c r="AA741" s="28"/>
      <c r="AB741" s="17"/>
      <c r="AC741" s="28"/>
      <c r="AD741" s="27"/>
    </row>
    <row r="742" ht="15.75" customHeight="1">
      <c r="A742" s="16" t="s">
        <v>1271</v>
      </c>
      <c r="B742" s="16" t="s">
        <v>2156</v>
      </c>
      <c r="C742" s="16" t="s">
        <v>2157</v>
      </c>
      <c r="D742" s="17" t="s">
        <v>456</v>
      </c>
      <c r="E742" s="18" t="s">
        <v>34</v>
      </c>
      <c r="F742" s="18">
        <v>1.0</v>
      </c>
      <c r="G742" s="19">
        <f t="shared" si="1"/>
        <v>2.892467239</v>
      </c>
      <c r="H742" s="17">
        <v>82.0</v>
      </c>
      <c r="I742" s="10">
        <v>310.0</v>
      </c>
      <c r="J742" s="17">
        <v>10.0</v>
      </c>
      <c r="K742" s="17">
        <v>270.0</v>
      </c>
      <c r="L742" s="17"/>
      <c r="M742" s="20">
        <v>51.0</v>
      </c>
      <c r="N742" s="20">
        <v>1.0</v>
      </c>
      <c r="O742" s="20">
        <v>35.0</v>
      </c>
      <c r="P742" s="20">
        <f t="shared" si="2"/>
        <v>15</v>
      </c>
      <c r="Q742" s="21">
        <v>2.0</v>
      </c>
      <c r="R742" s="22">
        <f t="shared" si="3"/>
        <v>107.174939</v>
      </c>
      <c r="S742" s="23">
        <f t="shared" si="4"/>
        <v>3.780487805</v>
      </c>
      <c r="T742" s="24">
        <f t="shared" si="5"/>
        <v>25.5</v>
      </c>
      <c r="U742" s="26">
        <f t="shared" si="6"/>
        <v>0.298013245</v>
      </c>
      <c r="V742" s="26">
        <f t="shared" si="7"/>
        <v>0.4635761589</v>
      </c>
      <c r="W742" s="19">
        <f t="shared" si="8"/>
        <v>0.8709677419</v>
      </c>
      <c r="X742" s="20">
        <f t="shared" si="9"/>
        <v>310</v>
      </c>
      <c r="Y742" s="27"/>
      <c r="Z742" s="17"/>
      <c r="AA742" s="28"/>
      <c r="AB742" s="17"/>
      <c r="AC742" s="28"/>
      <c r="AD742" s="16"/>
    </row>
    <row r="743" ht="15.75" customHeight="1">
      <c r="A743" s="16" t="s">
        <v>1271</v>
      </c>
      <c r="B743" s="16" t="s">
        <v>2158</v>
      </c>
      <c r="C743" s="16" t="s">
        <v>2159</v>
      </c>
      <c r="D743" s="17" t="s">
        <v>456</v>
      </c>
      <c r="E743" s="18" t="s">
        <v>34</v>
      </c>
      <c r="F743" s="18">
        <v>1.0</v>
      </c>
      <c r="G743" s="19">
        <f t="shared" si="1"/>
        <v>2.892467239</v>
      </c>
      <c r="H743" s="17">
        <v>82.0</v>
      </c>
      <c r="I743" s="10">
        <v>310.0</v>
      </c>
      <c r="J743" s="17">
        <v>10.0</v>
      </c>
      <c r="K743" s="17">
        <v>270.0</v>
      </c>
      <c r="L743" s="17"/>
      <c r="M743" s="20">
        <v>51.0</v>
      </c>
      <c r="N743" s="20">
        <v>1.0</v>
      </c>
      <c r="O743" s="20">
        <v>35.0</v>
      </c>
      <c r="P743" s="20">
        <f t="shared" si="2"/>
        <v>15</v>
      </c>
      <c r="Q743" s="21">
        <v>2.0</v>
      </c>
      <c r="R743" s="22">
        <f t="shared" si="3"/>
        <v>107.174939</v>
      </c>
      <c r="S743" s="23">
        <f t="shared" si="4"/>
        <v>3.780487805</v>
      </c>
      <c r="T743" s="24">
        <f t="shared" si="5"/>
        <v>25.5</v>
      </c>
      <c r="U743" s="26">
        <f t="shared" si="6"/>
        <v>0.298013245</v>
      </c>
      <c r="V743" s="26">
        <f t="shared" si="7"/>
        <v>0.4635761589</v>
      </c>
      <c r="W743" s="19">
        <f t="shared" si="8"/>
        <v>0.8709677419</v>
      </c>
      <c r="X743" s="20">
        <f t="shared" si="9"/>
        <v>310</v>
      </c>
      <c r="Y743" s="27"/>
      <c r="Z743" s="17"/>
      <c r="AA743" s="28"/>
      <c r="AB743" s="17"/>
      <c r="AC743" s="28"/>
      <c r="AD743" s="27"/>
    </row>
    <row r="744" ht="15.75" customHeight="1">
      <c r="A744" s="27" t="s">
        <v>2160</v>
      </c>
      <c r="B744" s="27" t="s">
        <v>2161</v>
      </c>
      <c r="C744" s="16" t="s">
        <v>2162</v>
      </c>
      <c r="D744" s="17" t="s">
        <v>99</v>
      </c>
      <c r="E744" s="18" t="s">
        <v>34</v>
      </c>
      <c r="F744" s="18">
        <v>1.0</v>
      </c>
      <c r="G744" s="19">
        <f t="shared" si="1"/>
        <v>1.763699536</v>
      </c>
      <c r="H744" s="17">
        <v>50.0</v>
      </c>
      <c r="I744" s="10">
        <v>189.0</v>
      </c>
      <c r="J744" s="17">
        <v>1.0</v>
      </c>
      <c r="K744" s="17">
        <v>46.0</v>
      </c>
      <c r="L744" s="17">
        <v>40.0</v>
      </c>
      <c r="M744" s="20">
        <v>38.0</v>
      </c>
      <c r="N744" s="20">
        <v>0.0</v>
      </c>
      <c r="O744" s="20">
        <v>31.0</v>
      </c>
      <c r="P744" s="20">
        <f t="shared" si="2"/>
        <v>7</v>
      </c>
      <c r="Q744" s="21">
        <v>9.0</v>
      </c>
      <c r="R744" s="22">
        <f t="shared" si="3"/>
        <v>107.16111</v>
      </c>
      <c r="S744" s="23">
        <f t="shared" si="4"/>
        <v>3.78</v>
      </c>
      <c r="T744" s="24">
        <f t="shared" si="5"/>
        <v>4.222222222</v>
      </c>
      <c r="U744" s="26">
        <f t="shared" si="6"/>
        <v>0.04568527919</v>
      </c>
      <c r="V744" s="26">
        <f t="shared" si="7"/>
        <v>0.6294416244</v>
      </c>
      <c r="W744" s="19">
        <f t="shared" si="8"/>
        <v>0.2433862434</v>
      </c>
      <c r="X744" s="20">
        <f t="shared" si="9"/>
        <v>189</v>
      </c>
      <c r="Y744" s="27"/>
      <c r="Z744" s="17"/>
      <c r="AA744" s="28"/>
      <c r="AB744" s="17"/>
      <c r="AC744" s="28"/>
      <c r="AD744" s="27"/>
    </row>
    <row r="745" ht="15.75" customHeight="1">
      <c r="A745" s="27" t="s">
        <v>1948</v>
      </c>
      <c r="B745" s="27" t="s">
        <v>2163</v>
      </c>
      <c r="C745" s="16" t="s">
        <v>2164</v>
      </c>
      <c r="D745" s="17" t="s">
        <v>212</v>
      </c>
      <c r="E745" s="18" t="s">
        <v>34</v>
      </c>
      <c r="F745" s="18">
        <v>1.0</v>
      </c>
      <c r="G745" s="19">
        <f t="shared" si="1"/>
        <v>1.587329583</v>
      </c>
      <c r="H745" s="17">
        <v>45.0</v>
      </c>
      <c r="I745" s="10">
        <v>170.0</v>
      </c>
      <c r="J745" s="17">
        <v>5.0</v>
      </c>
      <c r="K745" s="17">
        <v>180.0</v>
      </c>
      <c r="L745" s="17"/>
      <c r="M745" s="20">
        <v>23.0</v>
      </c>
      <c r="N745" s="20">
        <v>5.0</v>
      </c>
      <c r="O745" s="20">
        <v>13.0</v>
      </c>
      <c r="P745" s="20">
        <f t="shared" si="2"/>
        <v>5</v>
      </c>
      <c r="Q745" s="21">
        <v>12.0</v>
      </c>
      <c r="R745" s="22">
        <f t="shared" si="3"/>
        <v>107.0981111</v>
      </c>
      <c r="S745" s="23">
        <f t="shared" si="4"/>
        <v>3.777777778</v>
      </c>
      <c r="T745" s="24">
        <f t="shared" si="5"/>
        <v>1.916666667</v>
      </c>
      <c r="U745" s="26">
        <f t="shared" si="6"/>
        <v>0.2432432432</v>
      </c>
      <c r="V745" s="26">
        <f t="shared" si="7"/>
        <v>0.2810810811</v>
      </c>
      <c r="W745" s="19">
        <f t="shared" si="8"/>
        <v>1.058823529</v>
      </c>
      <c r="X745" s="20">
        <f t="shared" si="9"/>
        <v>170</v>
      </c>
      <c r="Y745" s="27"/>
      <c r="Z745" s="17"/>
      <c r="AA745" s="28"/>
      <c r="AB745" s="17"/>
      <c r="AC745" s="28"/>
      <c r="AD745" s="27"/>
    </row>
    <row r="746" ht="15.75" customHeight="1">
      <c r="A746" s="27" t="s">
        <v>2165</v>
      </c>
      <c r="B746" s="27" t="s">
        <v>2166</v>
      </c>
      <c r="C746" s="16" t="s">
        <v>2167</v>
      </c>
      <c r="D746" s="17" t="s">
        <v>563</v>
      </c>
      <c r="E746" s="18" t="s">
        <v>34</v>
      </c>
      <c r="F746" s="18">
        <v>1.0</v>
      </c>
      <c r="G746" s="19">
        <f t="shared" si="1"/>
        <v>2.151713434</v>
      </c>
      <c r="H746" s="17">
        <v>61.0</v>
      </c>
      <c r="I746" s="10">
        <v>230.0</v>
      </c>
      <c r="J746" s="17">
        <v>5.0</v>
      </c>
      <c r="K746" s="17">
        <v>180.0</v>
      </c>
      <c r="L746" s="17">
        <v>210.0</v>
      </c>
      <c r="M746" s="20">
        <v>40.0</v>
      </c>
      <c r="N746" s="20">
        <v>4.0</v>
      </c>
      <c r="O746" s="20">
        <v>12.0</v>
      </c>
      <c r="P746" s="20">
        <f t="shared" si="2"/>
        <v>24</v>
      </c>
      <c r="Q746" s="21">
        <v>10.0</v>
      </c>
      <c r="R746" s="22">
        <f t="shared" si="3"/>
        <v>106.8915574</v>
      </c>
      <c r="S746" s="23">
        <f t="shared" si="4"/>
        <v>3.770491803</v>
      </c>
      <c r="T746" s="24">
        <f t="shared" si="5"/>
        <v>4</v>
      </c>
      <c r="U746" s="26">
        <f t="shared" si="6"/>
        <v>0.1836734694</v>
      </c>
      <c r="V746" s="26">
        <f t="shared" si="7"/>
        <v>0.1959183673</v>
      </c>
      <c r="W746" s="19">
        <f t="shared" si="8"/>
        <v>0.7826086957</v>
      </c>
      <c r="X746" s="20">
        <f t="shared" si="9"/>
        <v>230</v>
      </c>
      <c r="Y746" s="27"/>
      <c r="Z746" s="17"/>
      <c r="AA746" s="28"/>
      <c r="AB746" s="17"/>
      <c r="AC746" s="28"/>
      <c r="AD746" s="27"/>
    </row>
    <row r="747" ht="15.75" customHeight="1">
      <c r="A747" s="27" t="s">
        <v>2168</v>
      </c>
      <c r="B747" s="27" t="s">
        <v>2169</v>
      </c>
      <c r="C747" s="16" t="s">
        <v>2170</v>
      </c>
      <c r="D747" s="17" t="s">
        <v>99</v>
      </c>
      <c r="E747" s="18" t="s">
        <v>34</v>
      </c>
      <c r="F747" s="18">
        <v>1.0</v>
      </c>
      <c r="G747" s="19">
        <f t="shared" si="1"/>
        <v>2.398631369</v>
      </c>
      <c r="H747" s="17">
        <v>68.0</v>
      </c>
      <c r="I747" s="10">
        <v>256.0</v>
      </c>
      <c r="J747" s="17">
        <v>1.5</v>
      </c>
      <c r="K747" s="17">
        <v>72.0</v>
      </c>
      <c r="L747" s="17">
        <v>225.0</v>
      </c>
      <c r="M747" s="20">
        <v>50.0</v>
      </c>
      <c r="N747" s="20">
        <v>0.0</v>
      </c>
      <c r="O747" s="20">
        <v>26.0</v>
      </c>
      <c r="P747" s="20">
        <f t="shared" si="2"/>
        <v>24</v>
      </c>
      <c r="Q747" s="21">
        <v>12.0</v>
      </c>
      <c r="R747" s="22">
        <f t="shared" si="3"/>
        <v>106.7275294</v>
      </c>
      <c r="S747" s="23">
        <f t="shared" si="4"/>
        <v>3.764705882</v>
      </c>
      <c r="T747" s="24">
        <f t="shared" si="5"/>
        <v>4.166666667</v>
      </c>
      <c r="U747" s="26">
        <f t="shared" si="6"/>
        <v>0.05162523901</v>
      </c>
      <c r="V747" s="26">
        <f t="shared" si="7"/>
        <v>0.3977055449</v>
      </c>
      <c r="W747" s="19">
        <f t="shared" si="8"/>
        <v>0.28125</v>
      </c>
      <c r="X747" s="20">
        <f t="shared" si="9"/>
        <v>256</v>
      </c>
      <c r="Y747" s="27"/>
      <c r="Z747" s="17"/>
      <c r="AA747" s="28"/>
      <c r="AB747" s="17"/>
      <c r="AC747" s="28"/>
      <c r="AD747" s="16"/>
    </row>
    <row r="748" ht="15.75" customHeight="1">
      <c r="A748" s="16" t="s">
        <v>1796</v>
      </c>
      <c r="B748" s="16" t="s">
        <v>1592</v>
      </c>
      <c r="C748" s="16" t="s">
        <v>2171</v>
      </c>
      <c r="D748" s="17" t="s">
        <v>212</v>
      </c>
      <c r="E748" s="18" t="s">
        <v>34</v>
      </c>
      <c r="F748" s="18">
        <v>1.0</v>
      </c>
      <c r="G748" s="19">
        <f t="shared" si="1"/>
        <v>1.876576306</v>
      </c>
      <c r="H748" s="17">
        <v>53.2</v>
      </c>
      <c r="I748" s="10">
        <v>200.0</v>
      </c>
      <c r="J748" s="17">
        <v>6.0</v>
      </c>
      <c r="K748" s="17">
        <v>40.0</v>
      </c>
      <c r="L748" s="17"/>
      <c r="M748" s="20">
        <v>28.0</v>
      </c>
      <c r="N748" s="20">
        <v>3.0</v>
      </c>
      <c r="O748" s="20">
        <v>12.0</v>
      </c>
      <c r="P748" s="20">
        <f t="shared" si="2"/>
        <v>13</v>
      </c>
      <c r="Q748" s="21">
        <v>8.0</v>
      </c>
      <c r="R748" s="22">
        <f t="shared" si="3"/>
        <v>106.5770677</v>
      </c>
      <c r="S748" s="23">
        <f t="shared" si="4"/>
        <v>3.759398496</v>
      </c>
      <c r="T748" s="24">
        <f t="shared" si="5"/>
        <v>3.5</v>
      </c>
      <c r="U748" s="26">
        <f t="shared" si="6"/>
        <v>0.2727272727</v>
      </c>
      <c r="V748" s="26">
        <f t="shared" si="7"/>
        <v>0.2424242424</v>
      </c>
      <c r="W748" s="19">
        <f t="shared" si="8"/>
        <v>0.2</v>
      </c>
      <c r="X748" s="20">
        <f t="shared" si="9"/>
        <v>200</v>
      </c>
      <c r="Y748" s="27"/>
      <c r="Z748" s="17"/>
      <c r="AA748" s="28"/>
      <c r="AB748" s="17"/>
      <c r="AC748" s="28"/>
      <c r="AD748" s="27"/>
    </row>
    <row r="749" ht="15.75" customHeight="1">
      <c r="A749" s="16" t="s">
        <v>2172</v>
      </c>
      <c r="B749" s="16" t="s">
        <v>2173</v>
      </c>
      <c r="C749" s="16" t="s">
        <v>2174</v>
      </c>
      <c r="D749" s="17" t="s">
        <v>130</v>
      </c>
      <c r="E749" s="18" t="s">
        <v>34</v>
      </c>
      <c r="F749" s="18">
        <v>1.0</v>
      </c>
      <c r="G749" s="19">
        <f t="shared" si="1"/>
        <v>1.410959629</v>
      </c>
      <c r="H749" s="17">
        <v>40.0</v>
      </c>
      <c r="I749" s="10">
        <v>150.0</v>
      </c>
      <c r="J749" s="17">
        <v>0.0</v>
      </c>
      <c r="K749" s="17">
        <v>25.0</v>
      </c>
      <c r="L749" s="17"/>
      <c r="M749" s="20">
        <v>37.0</v>
      </c>
      <c r="N749" s="20">
        <v>0.0</v>
      </c>
      <c r="O749" s="20">
        <v>26.0</v>
      </c>
      <c r="P749" s="20">
        <f t="shared" si="2"/>
        <v>11</v>
      </c>
      <c r="Q749" s="21">
        <v>0.0</v>
      </c>
      <c r="R749" s="22">
        <f t="shared" si="3"/>
        <v>106.310625</v>
      </c>
      <c r="S749" s="23">
        <f t="shared" si="4"/>
        <v>3.75</v>
      </c>
      <c r="T749" s="24" t="str">
        <f t="shared" si="5"/>
        <v>N/A</v>
      </c>
      <c r="U749" s="26" t="str">
        <f t="shared" si="6"/>
        <v>0%</v>
      </c>
      <c r="V749" s="26">
        <f t="shared" si="7"/>
        <v>0.7027027027</v>
      </c>
      <c r="W749" s="19">
        <f t="shared" si="8"/>
        <v>0.1666666667</v>
      </c>
      <c r="X749" s="20">
        <f t="shared" si="9"/>
        <v>150</v>
      </c>
      <c r="Y749" s="27"/>
      <c r="Z749" s="17"/>
      <c r="AA749" s="28"/>
      <c r="AB749" s="17"/>
      <c r="AC749" s="28"/>
      <c r="AD749" s="16"/>
    </row>
    <row r="750" ht="15.75" customHeight="1">
      <c r="A750" s="16" t="s">
        <v>2175</v>
      </c>
      <c r="B750" s="16" t="s">
        <v>2176</v>
      </c>
      <c r="C750" s="16" t="s">
        <v>2177</v>
      </c>
      <c r="D750" s="17" t="s">
        <v>99</v>
      </c>
      <c r="E750" s="18" t="s">
        <v>34</v>
      </c>
      <c r="F750" s="18">
        <v>1.0</v>
      </c>
      <c r="G750" s="19">
        <f t="shared" si="1"/>
        <v>0.2821919258</v>
      </c>
      <c r="H750" s="17">
        <v>8.0</v>
      </c>
      <c r="I750" s="10">
        <v>30.0</v>
      </c>
      <c r="J750" s="17">
        <v>0.0</v>
      </c>
      <c r="K750" s="17">
        <v>0.0</v>
      </c>
      <c r="L750" s="17"/>
      <c r="M750" s="20">
        <v>7.0</v>
      </c>
      <c r="N750" s="20">
        <v>0.0</v>
      </c>
      <c r="O750" s="20">
        <v>7.0</v>
      </c>
      <c r="P750" s="20">
        <f t="shared" si="2"/>
        <v>0</v>
      </c>
      <c r="Q750" s="21">
        <v>0.0</v>
      </c>
      <c r="R750" s="22">
        <f t="shared" si="3"/>
        <v>106.310625</v>
      </c>
      <c r="S750" s="23">
        <f t="shared" si="4"/>
        <v>3.75</v>
      </c>
      <c r="T750" s="24" t="str">
        <f t="shared" si="5"/>
        <v>N/A</v>
      </c>
      <c r="U750" s="26" t="str">
        <f t="shared" si="6"/>
        <v>0%</v>
      </c>
      <c r="V750" s="26">
        <f t="shared" si="7"/>
        <v>1</v>
      </c>
      <c r="W750" s="19">
        <f t="shared" si="8"/>
        <v>0</v>
      </c>
      <c r="X750" s="20">
        <f t="shared" si="9"/>
        <v>30</v>
      </c>
      <c r="Y750" s="27"/>
      <c r="Z750" s="17"/>
      <c r="AA750" s="28"/>
      <c r="AB750" s="17"/>
      <c r="AC750" s="28"/>
      <c r="AD750" s="16"/>
    </row>
    <row r="751" ht="15.75" customHeight="1">
      <c r="A751" s="27" t="s">
        <v>1729</v>
      </c>
      <c r="B751" s="27" t="s">
        <v>2178</v>
      </c>
      <c r="C751" s="16" t="s">
        <v>2179</v>
      </c>
      <c r="D751" s="17" t="s">
        <v>456</v>
      </c>
      <c r="E751" s="18" t="s">
        <v>34</v>
      </c>
      <c r="F751" s="18">
        <v>1.0</v>
      </c>
      <c r="G751" s="19">
        <f t="shared" si="1"/>
        <v>1.693151555</v>
      </c>
      <c r="H751" s="17">
        <v>48.0</v>
      </c>
      <c r="I751" s="10">
        <v>180.0</v>
      </c>
      <c r="J751" s="17">
        <v>4.5</v>
      </c>
      <c r="K751" s="17">
        <v>210.0</v>
      </c>
      <c r="L751" s="17"/>
      <c r="M751" s="20">
        <v>35.0</v>
      </c>
      <c r="N751" s="20">
        <v>1.0</v>
      </c>
      <c r="O751" s="20">
        <v>16.0</v>
      </c>
      <c r="P751" s="20">
        <f t="shared" si="2"/>
        <v>18</v>
      </c>
      <c r="Q751" s="21">
        <v>2.0</v>
      </c>
      <c r="R751" s="22">
        <f t="shared" si="3"/>
        <v>106.310625</v>
      </c>
      <c r="S751" s="23">
        <f t="shared" si="4"/>
        <v>3.75</v>
      </c>
      <c r="T751" s="24">
        <f t="shared" si="5"/>
        <v>17.5</v>
      </c>
      <c r="U751" s="26">
        <f t="shared" si="6"/>
        <v>0.2148541114</v>
      </c>
      <c r="V751" s="26">
        <f t="shared" si="7"/>
        <v>0.3395225464</v>
      </c>
      <c r="W751" s="19">
        <f t="shared" si="8"/>
        <v>1.166666667</v>
      </c>
      <c r="X751" s="20">
        <f t="shared" si="9"/>
        <v>180</v>
      </c>
      <c r="Y751" s="27"/>
      <c r="Z751" s="17"/>
      <c r="AA751" s="28"/>
      <c r="AB751" s="17"/>
      <c r="AC751" s="28"/>
      <c r="AD751" s="27"/>
    </row>
    <row r="752" ht="15.75" customHeight="1">
      <c r="A752" s="27" t="s">
        <v>1271</v>
      </c>
      <c r="B752" s="27" t="s">
        <v>2180</v>
      </c>
      <c r="C752" s="16" t="s">
        <v>2181</v>
      </c>
      <c r="D752" s="17" t="s">
        <v>456</v>
      </c>
      <c r="E752" s="18" t="s">
        <v>34</v>
      </c>
      <c r="F752" s="18">
        <v>1.0</v>
      </c>
      <c r="G752" s="19">
        <f t="shared" si="1"/>
        <v>4.515070813</v>
      </c>
      <c r="H752" s="17">
        <v>128.0</v>
      </c>
      <c r="I752" s="10">
        <v>480.0</v>
      </c>
      <c r="J752" s="17">
        <v>20.0</v>
      </c>
      <c r="K752" s="17">
        <v>380.0</v>
      </c>
      <c r="L752" s="17"/>
      <c r="M752" s="20">
        <v>69.0</v>
      </c>
      <c r="N752" s="20">
        <v>1.0</v>
      </c>
      <c r="O752" s="20">
        <v>39.0</v>
      </c>
      <c r="P752" s="20">
        <f t="shared" si="2"/>
        <v>29</v>
      </c>
      <c r="Q752" s="21">
        <v>4.0</v>
      </c>
      <c r="R752" s="22">
        <f t="shared" si="3"/>
        <v>106.310625</v>
      </c>
      <c r="S752" s="23">
        <f t="shared" si="4"/>
        <v>3.75</v>
      </c>
      <c r="T752" s="24">
        <f t="shared" si="5"/>
        <v>17.25</v>
      </c>
      <c r="U752" s="26">
        <f t="shared" si="6"/>
        <v>0.3813559322</v>
      </c>
      <c r="V752" s="26">
        <f t="shared" si="7"/>
        <v>0.3305084746</v>
      </c>
      <c r="W752" s="19">
        <f t="shared" si="8"/>
        <v>0.7916666667</v>
      </c>
      <c r="X752" s="20">
        <f t="shared" si="9"/>
        <v>480</v>
      </c>
      <c r="Y752" s="27"/>
      <c r="Z752" s="17"/>
      <c r="AA752" s="28"/>
      <c r="AB752" s="17"/>
      <c r="AC752" s="28"/>
      <c r="AD752" s="16"/>
    </row>
    <row r="753" ht="15.75" customHeight="1">
      <c r="A753" s="27" t="s">
        <v>139</v>
      </c>
      <c r="B753" s="27" t="s">
        <v>2182</v>
      </c>
      <c r="C753" s="16" t="s">
        <v>2183</v>
      </c>
      <c r="D753" s="17" t="s">
        <v>282</v>
      </c>
      <c r="E753" s="18" t="s">
        <v>34</v>
      </c>
      <c r="F753" s="18">
        <v>1.0</v>
      </c>
      <c r="G753" s="19">
        <f t="shared" si="1"/>
        <v>3.527399072</v>
      </c>
      <c r="H753" s="17">
        <v>100.0</v>
      </c>
      <c r="I753" s="10">
        <v>375.0</v>
      </c>
      <c r="J753" s="17">
        <v>52.0</v>
      </c>
      <c r="K753" s="17">
        <v>522.0</v>
      </c>
      <c r="L753" s="17"/>
      <c r="M753" s="20">
        <v>86.0</v>
      </c>
      <c r="N753" s="20">
        <v>1.0</v>
      </c>
      <c r="O753" s="20">
        <v>1.0</v>
      </c>
      <c r="P753" s="20">
        <f t="shared" si="2"/>
        <v>84</v>
      </c>
      <c r="Q753" s="21">
        <v>6.0</v>
      </c>
      <c r="R753" s="22">
        <f t="shared" si="3"/>
        <v>106.310625</v>
      </c>
      <c r="S753" s="23">
        <f t="shared" si="4"/>
        <v>3.75</v>
      </c>
      <c r="T753" s="24">
        <f t="shared" si="5"/>
        <v>14.33333333</v>
      </c>
      <c r="U753" s="26">
        <f t="shared" si="6"/>
        <v>0.5598086124</v>
      </c>
      <c r="V753" s="26">
        <f t="shared" si="7"/>
        <v>0.004784688995</v>
      </c>
      <c r="W753" s="19">
        <f t="shared" si="8"/>
        <v>1.392</v>
      </c>
      <c r="X753" s="20">
        <f t="shared" si="9"/>
        <v>375</v>
      </c>
      <c r="Y753" s="27"/>
      <c r="Z753" s="17"/>
      <c r="AA753" s="28"/>
      <c r="AB753" s="17"/>
      <c r="AC753" s="28"/>
      <c r="AD753" s="27"/>
    </row>
    <row r="754" ht="15.75" customHeight="1">
      <c r="A754" s="16" t="s">
        <v>104</v>
      </c>
      <c r="B754" s="16" t="s">
        <v>2184</v>
      </c>
      <c r="C754" s="16" t="s">
        <v>2185</v>
      </c>
      <c r="D754" s="17" t="s">
        <v>119</v>
      </c>
      <c r="E754" s="18" t="s">
        <v>34</v>
      </c>
      <c r="F754" s="18">
        <v>1.0</v>
      </c>
      <c r="G754" s="19">
        <f t="shared" si="1"/>
        <v>0.9876717402</v>
      </c>
      <c r="H754" s="17">
        <v>28.0</v>
      </c>
      <c r="I754" s="10">
        <v>105.0</v>
      </c>
      <c r="J754" s="17">
        <v>2.0</v>
      </c>
      <c r="K754" s="17">
        <v>1.0</v>
      </c>
      <c r="L754" s="17"/>
      <c r="M754" s="20">
        <v>18.0</v>
      </c>
      <c r="N754" s="20">
        <v>2.0</v>
      </c>
      <c r="O754" s="20">
        <v>0.0</v>
      </c>
      <c r="P754" s="20">
        <f t="shared" si="2"/>
        <v>16</v>
      </c>
      <c r="Q754" s="21">
        <v>4.0</v>
      </c>
      <c r="R754" s="22">
        <f t="shared" si="3"/>
        <v>106.310625</v>
      </c>
      <c r="S754" s="23">
        <f t="shared" si="4"/>
        <v>3.75</v>
      </c>
      <c r="T754" s="24">
        <f t="shared" si="5"/>
        <v>4.5</v>
      </c>
      <c r="U754" s="26">
        <f t="shared" si="6"/>
        <v>0.1698113208</v>
      </c>
      <c r="V754" s="26" t="str">
        <f t="shared" si="7"/>
        <v>0%</v>
      </c>
      <c r="W754" s="19">
        <f t="shared" si="8"/>
        <v>0.009523809524</v>
      </c>
      <c r="X754" s="20">
        <f t="shared" si="9"/>
        <v>105</v>
      </c>
      <c r="Y754" s="27"/>
      <c r="Z754" s="17"/>
      <c r="AA754" s="28"/>
      <c r="AB754" s="17"/>
      <c r="AC754" s="28"/>
      <c r="AD754" s="16"/>
    </row>
    <row r="755" ht="15.75" customHeight="1">
      <c r="A755" s="16" t="s">
        <v>518</v>
      </c>
      <c r="B755" s="16" t="s">
        <v>2186</v>
      </c>
      <c r="C755" s="16" t="s">
        <v>2187</v>
      </c>
      <c r="D755" s="17" t="s">
        <v>318</v>
      </c>
      <c r="E755" s="18" t="s">
        <v>34</v>
      </c>
      <c r="F755" s="18">
        <v>1.0</v>
      </c>
      <c r="G755" s="19">
        <f t="shared" si="1"/>
        <v>1.410959629</v>
      </c>
      <c r="H755" s="17">
        <v>40.0</v>
      </c>
      <c r="I755" s="10">
        <v>150.0</v>
      </c>
      <c r="J755" s="17">
        <v>7.0</v>
      </c>
      <c r="K755" s="17">
        <v>55.0</v>
      </c>
      <c r="L755" s="17"/>
      <c r="M755" s="20">
        <v>20.0</v>
      </c>
      <c r="N755" s="20">
        <v>7.0</v>
      </c>
      <c r="O755" s="20">
        <v>8.0</v>
      </c>
      <c r="P755" s="20">
        <f t="shared" si="2"/>
        <v>5</v>
      </c>
      <c r="Q755" s="21">
        <v>8.0</v>
      </c>
      <c r="R755" s="22">
        <f t="shared" si="3"/>
        <v>106.310625</v>
      </c>
      <c r="S755" s="23">
        <f t="shared" si="4"/>
        <v>3.75</v>
      </c>
      <c r="T755" s="24">
        <f t="shared" si="5"/>
        <v>2.5</v>
      </c>
      <c r="U755" s="26">
        <f t="shared" si="6"/>
        <v>0.36</v>
      </c>
      <c r="V755" s="26">
        <f t="shared" si="7"/>
        <v>0.1828571429</v>
      </c>
      <c r="W755" s="19">
        <f t="shared" si="8"/>
        <v>0.3666666667</v>
      </c>
      <c r="X755" s="20">
        <f t="shared" si="9"/>
        <v>150</v>
      </c>
      <c r="Y755" s="27"/>
      <c r="Z755" s="17"/>
      <c r="AA755" s="28"/>
      <c r="AB755" s="17"/>
      <c r="AC755" s="28"/>
      <c r="AD755" s="27"/>
    </row>
    <row r="756" ht="15.75" customHeight="1">
      <c r="A756" s="27" t="s">
        <v>518</v>
      </c>
      <c r="B756" s="27" t="s">
        <v>2188</v>
      </c>
      <c r="C756" s="16" t="s">
        <v>2189</v>
      </c>
      <c r="D756" s="17" t="s">
        <v>318</v>
      </c>
      <c r="E756" s="18" t="s">
        <v>34</v>
      </c>
      <c r="F756" s="18">
        <v>1.0</v>
      </c>
      <c r="G756" s="19">
        <f t="shared" si="1"/>
        <v>1.410959629</v>
      </c>
      <c r="H756" s="17">
        <v>40.0</v>
      </c>
      <c r="I756" s="10">
        <v>150.0</v>
      </c>
      <c r="J756" s="17">
        <v>6.0</v>
      </c>
      <c r="K756" s="17">
        <v>70.0</v>
      </c>
      <c r="L756" s="17"/>
      <c r="M756" s="20">
        <v>20.0</v>
      </c>
      <c r="N756" s="20">
        <v>8.0</v>
      </c>
      <c r="O756" s="20">
        <v>7.0</v>
      </c>
      <c r="P756" s="20">
        <f t="shared" si="2"/>
        <v>5</v>
      </c>
      <c r="Q756" s="21">
        <v>8.0</v>
      </c>
      <c r="R756" s="22">
        <f t="shared" si="3"/>
        <v>106.310625</v>
      </c>
      <c r="S756" s="23">
        <f t="shared" si="4"/>
        <v>3.75</v>
      </c>
      <c r="T756" s="24">
        <f t="shared" si="5"/>
        <v>2.5</v>
      </c>
      <c r="U756" s="26">
        <f t="shared" si="6"/>
        <v>0.3253012048</v>
      </c>
      <c r="V756" s="26">
        <f t="shared" si="7"/>
        <v>0.1686746988</v>
      </c>
      <c r="W756" s="19">
        <f t="shared" si="8"/>
        <v>0.4666666667</v>
      </c>
      <c r="X756" s="20">
        <f t="shared" si="9"/>
        <v>150</v>
      </c>
      <c r="Y756" s="27"/>
      <c r="Z756" s="17"/>
      <c r="AA756" s="28"/>
      <c r="AB756" s="17"/>
      <c r="AC756" s="28"/>
      <c r="AD756" s="27"/>
    </row>
    <row r="757" ht="15.75" customHeight="1">
      <c r="A757" s="16" t="s">
        <v>1966</v>
      </c>
      <c r="B757" s="16" t="s">
        <v>425</v>
      </c>
      <c r="C757" s="16" t="s">
        <v>2190</v>
      </c>
      <c r="D757" s="17" t="s">
        <v>212</v>
      </c>
      <c r="E757" s="18" t="s">
        <v>34</v>
      </c>
      <c r="F757" s="18">
        <v>1.0</v>
      </c>
      <c r="G757" s="19">
        <f t="shared" si="1"/>
        <v>1.410959629</v>
      </c>
      <c r="H757" s="17">
        <v>40.0</v>
      </c>
      <c r="I757" s="10">
        <v>150.0</v>
      </c>
      <c r="J757" s="17">
        <v>5.0</v>
      </c>
      <c r="K757" s="17">
        <v>210.0</v>
      </c>
      <c r="L757" s="17"/>
      <c r="M757" s="20">
        <v>20.0</v>
      </c>
      <c r="N757" s="20">
        <v>5.0</v>
      </c>
      <c r="O757" s="20">
        <v>5.0</v>
      </c>
      <c r="P757" s="20">
        <f t="shared" si="2"/>
        <v>10</v>
      </c>
      <c r="Q757" s="21">
        <v>10.0</v>
      </c>
      <c r="R757" s="22">
        <f t="shared" si="3"/>
        <v>106.310625</v>
      </c>
      <c r="S757" s="23">
        <f t="shared" si="4"/>
        <v>3.75</v>
      </c>
      <c r="T757" s="24">
        <f t="shared" si="5"/>
        <v>2</v>
      </c>
      <c r="U757" s="26">
        <f t="shared" si="6"/>
        <v>0.2727272727</v>
      </c>
      <c r="V757" s="26">
        <f t="shared" si="7"/>
        <v>0.1212121212</v>
      </c>
      <c r="W757" s="19">
        <f t="shared" si="8"/>
        <v>1.4</v>
      </c>
      <c r="X757" s="20">
        <f t="shared" si="9"/>
        <v>150</v>
      </c>
      <c r="Y757" s="27"/>
      <c r="Z757" s="17"/>
      <c r="AA757" s="28"/>
      <c r="AB757" s="17"/>
      <c r="AC757" s="28"/>
      <c r="AD757" s="27"/>
    </row>
    <row r="758" ht="15.75" customHeight="1">
      <c r="A758" s="16" t="s">
        <v>2191</v>
      </c>
      <c r="B758" s="16" t="s">
        <v>2192</v>
      </c>
      <c r="C758" s="16" t="s">
        <v>2193</v>
      </c>
      <c r="D758" s="17" t="s">
        <v>33</v>
      </c>
      <c r="E758" s="18" t="s">
        <v>34</v>
      </c>
      <c r="F758" s="18">
        <v>1.0</v>
      </c>
      <c r="G758" s="19">
        <f t="shared" si="1"/>
        <v>0.4232878887</v>
      </c>
      <c r="H758" s="17">
        <v>12.0</v>
      </c>
      <c r="I758" s="10">
        <v>45.0</v>
      </c>
      <c r="J758" s="17">
        <v>1.5</v>
      </c>
      <c r="K758" s="17">
        <v>94.0</v>
      </c>
      <c r="L758" s="17"/>
      <c r="M758" s="20">
        <v>5.0</v>
      </c>
      <c r="N758" s="20">
        <v>2.0</v>
      </c>
      <c r="O758" s="20">
        <v>1.0</v>
      </c>
      <c r="P758" s="20">
        <f t="shared" si="2"/>
        <v>2</v>
      </c>
      <c r="Q758" s="21">
        <v>5.0</v>
      </c>
      <c r="R758" s="22">
        <f t="shared" si="3"/>
        <v>106.310625</v>
      </c>
      <c r="S758" s="23">
        <f t="shared" si="4"/>
        <v>3.75</v>
      </c>
      <c r="T758" s="24">
        <f t="shared" si="5"/>
        <v>1</v>
      </c>
      <c r="U758" s="26">
        <f t="shared" si="6"/>
        <v>0.2523364486</v>
      </c>
      <c r="V758" s="26">
        <f t="shared" si="7"/>
        <v>0.07476635514</v>
      </c>
      <c r="W758" s="19">
        <f t="shared" si="8"/>
        <v>2.088888889</v>
      </c>
      <c r="X758" s="20">
        <f t="shared" si="9"/>
        <v>45</v>
      </c>
      <c r="Y758" s="27"/>
      <c r="Z758" s="17"/>
      <c r="AA758" s="28"/>
      <c r="AB758" s="17"/>
      <c r="AC758" s="28"/>
      <c r="AD758" s="16"/>
    </row>
    <row r="759" ht="15.75" customHeight="1">
      <c r="A759" s="27" t="s">
        <v>2194</v>
      </c>
      <c r="B759" s="27" t="s">
        <v>2195</v>
      </c>
      <c r="C759" s="16" t="s">
        <v>2196</v>
      </c>
      <c r="D759" s="17" t="s">
        <v>240</v>
      </c>
      <c r="E759" s="18" t="s">
        <v>34</v>
      </c>
      <c r="F759" s="18">
        <v>1.0</v>
      </c>
      <c r="G759" s="19">
        <f t="shared" si="1"/>
        <v>0.8465757774</v>
      </c>
      <c r="H759" s="17">
        <v>24.0</v>
      </c>
      <c r="I759" s="10">
        <v>90.0</v>
      </c>
      <c r="J759" s="17">
        <v>8.0</v>
      </c>
      <c r="K759" s="17">
        <v>150.0</v>
      </c>
      <c r="L759" s="17"/>
      <c r="M759" s="20">
        <v>0.0</v>
      </c>
      <c r="N759" s="20">
        <v>0.0</v>
      </c>
      <c r="O759" s="20">
        <v>0.0</v>
      </c>
      <c r="P759" s="20">
        <f t="shared" si="2"/>
        <v>0</v>
      </c>
      <c r="Q759" s="21">
        <v>6.0</v>
      </c>
      <c r="R759" s="22">
        <f t="shared" si="3"/>
        <v>106.310625</v>
      </c>
      <c r="S759" s="23">
        <f t="shared" si="4"/>
        <v>3.75</v>
      </c>
      <c r="T759" s="24">
        <f t="shared" si="5"/>
        <v>0</v>
      </c>
      <c r="U759" s="26">
        <f t="shared" si="6"/>
        <v>0.75</v>
      </c>
      <c r="V759" s="26" t="str">
        <f t="shared" si="7"/>
        <v>0%</v>
      </c>
      <c r="W759" s="19">
        <f t="shared" si="8"/>
        <v>1.666666667</v>
      </c>
      <c r="X759" s="20">
        <f t="shared" si="9"/>
        <v>90</v>
      </c>
      <c r="Y759" s="27"/>
      <c r="Z759" s="17"/>
      <c r="AA759" s="28"/>
      <c r="AB759" s="17"/>
      <c r="AC759" s="28"/>
      <c r="AD759" s="27"/>
    </row>
    <row r="760" ht="15.75" customHeight="1">
      <c r="A760" s="16" t="s">
        <v>2197</v>
      </c>
      <c r="B760" s="16" t="s">
        <v>2198</v>
      </c>
      <c r="C760" s="16" t="s">
        <v>2199</v>
      </c>
      <c r="D760" s="17" t="s">
        <v>119</v>
      </c>
      <c r="E760" s="18" t="s">
        <v>34</v>
      </c>
      <c r="F760" s="18">
        <v>1.0</v>
      </c>
      <c r="G760" s="19">
        <f t="shared" si="1"/>
        <v>2.363357378</v>
      </c>
      <c r="H760" s="17">
        <v>67.0</v>
      </c>
      <c r="I760" s="10">
        <v>250.0</v>
      </c>
      <c r="J760" s="17">
        <v>2.0</v>
      </c>
      <c r="K760" s="17">
        <v>650.0</v>
      </c>
      <c r="L760" s="17"/>
      <c r="M760" s="20">
        <v>50.0</v>
      </c>
      <c r="N760" s="20">
        <v>2.0</v>
      </c>
      <c r="O760" s="20">
        <v>2.0</v>
      </c>
      <c r="P760" s="20">
        <f t="shared" si="2"/>
        <v>46</v>
      </c>
      <c r="Q760" s="21">
        <v>7.0</v>
      </c>
      <c r="R760" s="22">
        <f t="shared" si="3"/>
        <v>105.7817164</v>
      </c>
      <c r="S760" s="23">
        <f t="shared" si="4"/>
        <v>3.731343284</v>
      </c>
      <c r="T760" s="24">
        <f t="shared" si="5"/>
        <v>7.142857143</v>
      </c>
      <c r="U760" s="26">
        <f t="shared" si="6"/>
        <v>0.07317073171</v>
      </c>
      <c r="V760" s="26">
        <f t="shared" si="7"/>
        <v>0.0325203252</v>
      </c>
      <c r="W760" s="19">
        <f t="shared" si="8"/>
        <v>2.6</v>
      </c>
      <c r="X760" s="20">
        <f t="shared" si="9"/>
        <v>250</v>
      </c>
      <c r="Y760" s="27"/>
      <c r="Z760" s="17"/>
      <c r="AA760" s="28"/>
      <c r="AB760" s="17"/>
      <c r="AC760" s="28"/>
      <c r="AD760" s="27"/>
    </row>
    <row r="761" ht="15.75" customHeight="1">
      <c r="A761" s="27" t="s">
        <v>1771</v>
      </c>
      <c r="B761" s="27" t="s">
        <v>2200</v>
      </c>
      <c r="C761" s="16" t="s">
        <v>2201</v>
      </c>
      <c r="D761" s="17" t="s">
        <v>563</v>
      </c>
      <c r="E761" s="18" t="s">
        <v>34</v>
      </c>
      <c r="F761" s="18">
        <v>1.0</v>
      </c>
      <c r="G761" s="19">
        <f t="shared" si="1"/>
        <v>1.516781601</v>
      </c>
      <c r="H761" s="17">
        <v>43.0</v>
      </c>
      <c r="I761" s="10">
        <v>160.0</v>
      </c>
      <c r="J761" s="17">
        <v>2.5</v>
      </c>
      <c r="K761" s="17">
        <v>210.0</v>
      </c>
      <c r="L761" s="17">
        <v>125.0</v>
      </c>
      <c r="M761" s="20">
        <v>32.0</v>
      </c>
      <c r="N761" s="20">
        <v>3.0</v>
      </c>
      <c r="O761" s="20">
        <v>9.0</v>
      </c>
      <c r="P761" s="20">
        <f t="shared" si="2"/>
        <v>20</v>
      </c>
      <c r="Q761" s="21">
        <v>4.0</v>
      </c>
      <c r="R761" s="22">
        <f t="shared" si="3"/>
        <v>105.4865116</v>
      </c>
      <c r="S761" s="23">
        <f t="shared" si="4"/>
        <v>3.720930233</v>
      </c>
      <c r="T761" s="24">
        <f t="shared" si="5"/>
        <v>8</v>
      </c>
      <c r="U761" s="26">
        <f t="shared" si="6"/>
        <v>0.1351351351</v>
      </c>
      <c r="V761" s="26">
        <f t="shared" si="7"/>
        <v>0.2162162162</v>
      </c>
      <c r="W761" s="19">
        <f t="shared" si="8"/>
        <v>1.3125</v>
      </c>
      <c r="X761" s="20">
        <f t="shared" si="9"/>
        <v>160</v>
      </c>
      <c r="Y761" s="27"/>
      <c r="Z761" s="17"/>
      <c r="AA761" s="28"/>
      <c r="AB761" s="17"/>
      <c r="AC761" s="28"/>
      <c r="AD761" s="27"/>
    </row>
    <row r="762" ht="15.75" customHeight="1">
      <c r="A762" s="27" t="s">
        <v>1771</v>
      </c>
      <c r="B762" s="27" t="s">
        <v>2202</v>
      </c>
      <c r="C762" s="16" t="s">
        <v>2203</v>
      </c>
      <c r="D762" s="17" t="s">
        <v>563</v>
      </c>
      <c r="E762" s="18" t="s">
        <v>34</v>
      </c>
      <c r="F762" s="18">
        <v>1.0</v>
      </c>
      <c r="G762" s="19">
        <f t="shared" si="1"/>
        <v>1.516781601</v>
      </c>
      <c r="H762" s="17">
        <v>43.0</v>
      </c>
      <c r="I762" s="10">
        <v>160.0</v>
      </c>
      <c r="J762" s="17">
        <v>2.5</v>
      </c>
      <c r="K762" s="17">
        <v>260.0</v>
      </c>
      <c r="L762" s="17">
        <v>125.0</v>
      </c>
      <c r="M762" s="20">
        <v>32.0</v>
      </c>
      <c r="N762" s="20">
        <v>3.0</v>
      </c>
      <c r="O762" s="20">
        <v>9.0</v>
      </c>
      <c r="P762" s="20">
        <f t="shared" si="2"/>
        <v>20</v>
      </c>
      <c r="Q762" s="21">
        <v>4.0</v>
      </c>
      <c r="R762" s="22">
        <f t="shared" si="3"/>
        <v>105.4865116</v>
      </c>
      <c r="S762" s="23">
        <f t="shared" si="4"/>
        <v>3.720930233</v>
      </c>
      <c r="T762" s="24">
        <f t="shared" si="5"/>
        <v>8</v>
      </c>
      <c r="U762" s="26">
        <f t="shared" si="6"/>
        <v>0.1351351351</v>
      </c>
      <c r="V762" s="26">
        <f t="shared" si="7"/>
        <v>0.2162162162</v>
      </c>
      <c r="W762" s="19">
        <f t="shared" si="8"/>
        <v>1.625</v>
      </c>
      <c r="X762" s="20">
        <f t="shared" si="9"/>
        <v>160</v>
      </c>
      <c r="Y762" s="27"/>
      <c r="Z762" s="17"/>
      <c r="AA762" s="28"/>
      <c r="AB762" s="17"/>
      <c r="AC762" s="28"/>
      <c r="AD762" s="27"/>
    </row>
    <row r="763" ht="15.75" customHeight="1">
      <c r="A763" s="27" t="s">
        <v>1831</v>
      </c>
      <c r="B763" s="27" t="s">
        <v>2204</v>
      </c>
      <c r="C763" s="16" t="s">
        <v>2205</v>
      </c>
      <c r="D763" s="17" t="s">
        <v>318</v>
      </c>
      <c r="E763" s="18" t="s">
        <v>34</v>
      </c>
      <c r="F763" s="18">
        <v>1.0</v>
      </c>
      <c r="G763" s="19">
        <f t="shared" si="1"/>
        <v>3.985960952</v>
      </c>
      <c r="H763" s="17">
        <v>113.0</v>
      </c>
      <c r="I763" s="10">
        <v>420.0</v>
      </c>
      <c r="J763" s="17">
        <v>10.0</v>
      </c>
      <c r="K763" s="17">
        <v>260.0</v>
      </c>
      <c r="L763" s="17">
        <v>234.0</v>
      </c>
      <c r="M763" s="20">
        <v>61.0</v>
      </c>
      <c r="N763" s="20">
        <v>10.0</v>
      </c>
      <c r="O763" s="20">
        <v>22.0</v>
      </c>
      <c r="P763" s="20">
        <f t="shared" si="2"/>
        <v>29</v>
      </c>
      <c r="Q763" s="21">
        <v>16.0</v>
      </c>
      <c r="R763" s="22">
        <f t="shared" si="3"/>
        <v>105.369823</v>
      </c>
      <c r="S763" s="23">
        <f t="shared" si="4"/>
        <v>3.716814159</v>
      </c>
      <c r="T763" s="24">
        <f t="shared" si="5"/>
        <v>3.8125</v>
      </c>
      <c r="U763" s="26">
        <f t="shared" si="6"/>
        <v>0.2261306533</v>
      </c>
      <c r="V763" s="26">
        <f t="shared" si="7"/>
        <v>0.2211055276</v>
      </c>
      <c r="W763" s="19">
        <f t="shared" si="8"/>
        <v>0.619047619</v>
      </c>
      <c r="X763" s="20">
        <f t="shared" si="9"/>
        <v>420</v>
      </c>
      <c r="Y763" s="16"/>
      <c r="Z763" s="17"/>
      <c r="AA763" s="28"/>
      <c r="AB763" s="17"/>
      <c r="AC763" s="28"/>
      <c r="AD763" s="16"/>
    </row>
    <row r="764" ht="15.75" customHeight="1">
      <c r="A764" s="16" t="s">
        <v>1831</v>
      </c>
      <c r="B764" s="16" t="s">
        <v>1848</v>
      </c>
      <c r="C764" s="16" t="s">
        <v>2206</v>
      </c>
      <c r="D764" s="17" t="s">
        <v>318</v>
      </c>
      <c r="E764" s="18" t="s">
        <v>34</v>
      </c>
      <c r="F764" s="18">
        <v>1.0</v>
      </c>
      <c r="G764" s="19">
        <f t="shared" si="1"/>
        <v>3.985960952</v>
      </c>
      <c r="H764" s="17">
        <v>113.0</v>
      </c>
      <c r="I764" s="10">
        <v>420.0</v>
      </c>
      <c r="J764" s="17">
        <v>12.0</v>
      </c>
      <c r="K764" s="17">
        <v>230.0</v>
      </c>
      <c r="L764" s="17">
        <v>216.0</v>
      </c>
      <c r="M764" s="20">
        <v>59.0</v>
      </c>
      <c r="N764" s="20">
        <v>10.0</v>
      </c>
      <c r="O764" s="20">
        <v>25.0</v>
      </c>
      <c r="P764" s="20">
        <f t="shared" si="2"/>
        <v>24</v>
      </c>
      <c r="Q764" s="21">
        <v>16.0</v>
      </c>
      <c r="R764" s="22">
        <f t="shared" si="3"/>
        <v>105.369823</v>
      </c>
      <c r="S764" s="23">
        <f t="shared" si="4"/>
        <v>3.716814159</v>
      </c>
      <c r="T764" s="24">
        <f t="shared" si="5"/>
        <v>3.6875</v>
      </c>
      <c r="U764" s="26">
        <f t="shared" si="6"/>
        <v>0.2647058824</v>
      </c>
      <c r="V764" s="26">
        <f t="shared" si="7"/>
        <v>0.2450980392</v>
      </c>
      <c r="W764" s="19">
        <f t="shared" si="8"/>
        <v>0.5476190476</v>
      </c>
      <c r="X764" s="20">
        <f t="shared" si="9"/>
        <v>420</v>
      </c>
      <c r="Y764" s="27"/>
      <c r="Z764" s="17"/>
      <c r="AA764" s="28"/>
      <c r="AB764" s="17"/>
      <c r="AC764" s="28"/>
      <c r="AD764" s="27"/>
    </row>
    <row r="765" ht="15.75" customHeight="1">
      <c r="A765" s="27" t="s">
        <v>1831</v>
      </c>
      <c r="B765" s="27" t="s">
        <v>2207</v>
      </c>
      <c r="C765" s="16" t="s">
        <v>2208</v>
      </c>
      <c r="D765" s="17" t="s">
        <v>318</v>
      </c>
      <c r="E765" s="18" t="s">
        <v>34</v>
      </c>
      <c r="F765" s="18">
        <v>1.0</v>
      </c>
      <c r="G765" s="19">
        <f t="shared" si="1"/>
        <v>3.985960952</v>
      </c>
      <c r="H765" s="17">
        <v>113.0</v>
      </c>
      <c r="I765" s="10">
        <v>420.0</v>
      </c>
      <c r="J765" s="17">
        <v>12.0</v>
      </c>
      <c r="K765" s="17">
        <v>380.0</v>
      </c>
      <c r="L765" s="17">
        <v>321.0</v>
      </c>
      <c r="M765" s="20">
        <v>59.0</v>
      </c>
      <c r="N765" s="20">
        <v>10.0</v>
      </c>
      <c r="O765" s="20">
        <v>26.0</v>
      </c>
      <c r="P765" s="20">
        <f t="shared" si="2"/>
        <v>23</v>
      </c>
      <c r="Q765" s="21">
        <v>16.0</v>
      </c>
      <c r="R765" s="22">
        <f t="shared" si="3"/>
        <v>105.369823</v>
      </c>
      <c r="S765" s="23">
        <f t="shared" si="4"/>
        <v>3.716814159</v>
      </c>
      <c r="T765" s="24">
        <f t="shared" si="5"/>
        <v>3.6875</v>
      </c>
      <c r="U765" s="26">
        <f t="shared" si="6"/>
        <v>0.2647058824</v>
      </c>
      <c r="V765" s="26">
        <f t="shared" si="7"/>
        <v>0.2549019608</v>
      </c>
      <c r="W765" s="19">
        <f t="shared" si="8"/>
        <v>0.9047619048</v>
      </c>
      <c r="X765" s="20">
        <f t="shared" si="9"/>
        <v>420</v>
      </c>
      <c r="Y765" s="27"/>
      <c r="Z765" s="17"/>
      <c r="AA765" s="28"/>
      <c r="AB765" s="17"/>
      <c r="AC765" s="28"/>
      <c r="AD765" s="27"/>
    </row>
    <row r="766" ht="15.75" customHeight="1">
      <c r="A766" s="16" t="s">
        <v>1831</v>
      </c>
      <c r="B766" s="16" t="s">
        <v>2209</v>
      </c>
      <c r="C766" s="16" t="s">
        <v>2210</v>
      </c>
      <c r="D766" s="17" t="s">
        <v>318</v>
      </c>
      <c r="E766" s="18" t="s">
        <v>34</v>
      </c>
      <c r="F766" s="18">
        <v>1.0</v>
      </c>
      <c r="G766" s="19">
        <f t="shared" si="1"/>
        <v>3.985960952</v>
      </c>
      <c r="H766" s="17">
        <v>113.0</v>
      </c>
      <c r="I766" s="10">
        <v>420.0</v>
      </c>
      <c r="J766" s="17">
        <v>14.0</v>
      </c>
      <c r="K766" s="17">
        <v>440.0</v>
      </c>
      <c r="L766" s="17">
        <v>355.0</v>
      </c>
      <c r="M766" s="20">
        <v>55.0</v>
      </c>
      <c r="N766" s="20">
        <v>10.0</v>
      </c>
      <c r="O766" s="20">
        <v>24.0</v>
      </c>
      <c r="P766" s="20">
        <f t="shared" si="2"/>
        <v>21</v>
      </c>
      <c r="Q766" s="21">
        <v>16.0</v>
      </c>
      <c r="R766" s="22">
        <f t="shared" si="3"/>
        <v>105.369823</v>
      </c>
      <c r="S766" s="23">
        <f t="shared" si="4"/>
        <v>3.716814159</v>
      </c>
      <c r="T766" s="24">
        <f t="shared" si="5"/>
        <v>3.4375</v>
      </c>
      <c r="U766" s="26">
        <f t="shared" si="6"/>
        <v>0.3073170732</v>
      </c>
      <c r="V766" s="26">
        <f t="shared" si="7"/>
        <v>0.2341463415</v>
      </c>
      <c r="W766" s="19">
        <f t="shared" si="8"/>
        <v>1.047619048</v>
      </c>
      <c r="X766" s="20">
        <f t="shared" si="9"/>
        <v>420</v>
      </c>
      <c r="Y766" s="27"/>
      <c r="Z766" s="17"/>
      <c r="AA766" s="28"/>
      <c r="AB766" s="17"/>
      <c r="AC766" s="28"/>
      <c r="AD766" s="27"/>
    </row>
    <row r="767" ht="15.75" customHeight="1">
      <c r="A767" s="27" t="s">
        <v>1831</v>
      </c>
      <c r="B767" s="27" t="s">
        <v>436</v>
      </c>
      <c r="C767" s="16" t="s">
        <v>2211</v>
      </c>
      <c r="D767" s="17" t="s">
        <v>318</v>
      </c>
      <c r="E767" s="18" t="s">
        <v>34</v>
      </c>
      <c r="F767" s="18">
        <v>1.0</v>
      </c>
      <c r="G767" s="19">
        <f t="shared" si="1"/>
        <v>3.985960952</v>
      </c>
      <c r="H767" s="17">
        <v>113.0</v>
      </c>
      <c r="I767" s="10">
        <v>420.0</v>
      </c>
      <c r="J767" s="17">
        <v>13.0</v>
      </c>
      <c r="K767" s="17">
        <v>390.0</v>
      </c>
      <c r="L767" s="17">
        <v>155.0</v>
      </c>
      <c r="M767" s="20">
        <v>55.0</v>
      </c>
      <c r="N767" s="20">
        <v>10.0</v>
      </c>
      <c r="O767" s="20">
        <v>17.0</v>
      </c>
      <c r="P767" s="20">
        <f t="shared" si="2"/>
        <v>28</v>
      </c>
      <c r="Q767" s="21">
        <v>16.0</v>
      </c>
      <c r="R767" s="22">
        <f t="shared" si="3"/>
        <v>105.369823</v>
      </c>
      <c r="S767" s="23">
        <f t="shared" si="4"/>
        <v>3.716814159</v>
      </c>
      <c r="T767" s="24">
        <f t="shared" si="5"/>
        <v>3.4375</v>
      </c>
      <c r="U767" s="26">
        <f t="shared" si="6"/>
        <v>0.2917705736</v>
      </c>
      <c r="V767" s="26">
        <f t="shared" si="7"/>
        <v>0.1695760599</v>
      </c>
      <c r="W767" s="19">
        <f t="shared" si="8"/>
        <v>0.9285714286</v>
      </c>
      <c r="X767" s="20">
        <f t="shared" si="9"/>
        <v>420</v>
      </c>
      <c r="Y767" s="27"/>
      <c r="Z767" s="17"/>
      <c r="AA767" s="28"/>
      <c r="AB767" s="17"/>
      <c r="AC767" s="28"/>
      <c r="AD767" s="27"/>
    </row>
    <row r="768" ht="15.75" customHeight="1">
      <c r="A768" s="27" t="s">
        <v>1831</v>
      </c>
      <c r="B768" s="27" t="s">
        <v>425</v>
      </c>
      <c r="C768" s="16" t="s">
        <v>2212</v>
      </c>
      <c r="D768" s="17" t="s">
        <v>318</v>
      </c>
      <c r="E768" s="18" t="s">
        <v>34</v>
      </c>
      <c r="F768" s="18">
        <v>1.0</v>
      </c>
      <c r="G768" s="19">
        <f t="shared" si="1"/>
        <v>3.985960952</v>
      </c>
      <c r="H768" s="17">
        <v>113.0</v>
      </c>
      <c r="I768" s="10">
        <v>420.0</v>
      </c>
      <c r="J768" s="17">
        <v>13.0</v>
      </c>
      <c r="K768" s="17">
        <v>530.0</v>
      </c>
      <c r="L768" s="17">
        <v>395.0</v>
      </c>
      <c r="M768" s="20">
        <v>55.0</v>
      </c>
      <c r="N768" s="20">
        <v>10.0</v>
      </c>
      <c r="O768" s="20">
        <v>26.0</v>
      </c>
      <c r="P768" s="20">
        <f t="shared" si="2"/>
        <v>19</v>
      </c>
      <c r="Q768" s="21">
        <v>16.0</v>
      </c>
      <c r="R768" s="22">
        <f t="shared" si="3"/>
        <v>105.369823</v>
      </c>
      <c r="S768" s="23">
        <f t="shared" si="4"/>
        <v>3.716814159</v>
      </c>
      <c r="T768" s="24">
        <f t="shared" si="5"/>
        <v>3.4375</v>
      </c>
      <c r="U768" s="26">
        <f t="shared" si="6"/>
        <v>0.2917705736</v>
      </c>
      <c r="V768" s="26">
        <f t="shared" si="7"/>
        <v>0.2593516209</v>
      </c>
      <c r="W768" s="19">
        <f t="shared" si="8"/>
        <v>1.261904762</v>
      </c>
      <c r="X768" s="20">
        <f t="shared" si="9"/>
        <v>420</v>
      </c>
      <c r="Y768" s="27"/>
      <c r="Z768" s="17"/>
      <c r="AA768" s="28"/>
      <c r="AB768" s="17"/>
      <c r="AC768" s="28"/>
      <c r="AD768" s="27"/>
    </row>
    <row r="769" ht="15.75" customHeight="1">
      <c r="A769" s="27" t="s">
        <v>1831</v>
      </c>
      <c r="B769" s="27" t="s">
        <v>2213</v>
      </c>
      <c r="C769" s="16" t="s">
        <v>2214</v>
      </c>
      <c r="D769" s="17" t="s">
        <v>318</v>
      </c>
      <c r="E769" s="18" t="s">
        <v>34</v>
      </c>
      <c r="F769" s="18">
        <v>1.0</v>
      </c>
      <c r="G769" s="19">
        <f t="shared" si="1"/>
        <v>3.985960952</v>
      </c>
      <c r="H769" s="17">
        <v>113.0</v>
      </c>
      <c r="I769" s="10">
        <v>420.0</v>
      </c>
      <c r="J769" s="17">
        <v>15.0</v>
      </c>
      <c r="K769" s="17">
        <v>500.0</v>
      </c>
      <c r="L769" s="17">
        <v>378.0</v>
      </c>
      <c r="M769" s="20">
        <v>53.0</v>
      </c>
      <c r="N769" s="20">
        <v>10.0</v>
      </c>
      <c r="O769" s="20">
        <v>28.0</v>
      </c>
      <c r="P769" s="20">
        <f t="shared" si="2"/>
        <v>15</v>
      </c>
      <c r="Q769" s="21">
        <v>16.0</v>
      </c>
      <c r="R769" s="22">
        <f t="shared" si="3"/>
        <v>105.369823</v>
      </c>
      <c r="S769" s="23">
        <f t="shared" si="4"/>
        <v>3.716814159</v>
      </c>
      <c r="T769" s="24">
        <f t="shared" si="5"/>
        <v>3.3125</v>
      </c>
      <c r="U769" s="26">
        <f t="shared" si="6"/>
        <v>0.3284671533</v>
      </c>
      <c r="V769" s="26">
        <f t="shared" si="7"/>
        <v>0.2725060827</v>
      </c>
      <c r="W769" s="19">
        <f t="shared" si="8"/>
        <v>1.19047619</v>
      </c>
      <c r="X769" s="20">
        <f t="shared" si="9"/>
        <v>420</v>
      </c>
      <c r="Y769" s="27"/>
      <c r="Z769" s="17"/>
      <c r="AA769" s="28"/>
      <c r="AB769" s="17"/>
      <c r="AC769" s="28"/>
      <c r="AD769" s="27"/>
    </row>
    <row r="770" ht="15.75" customHeight="1">
      <c r="A770" s="27" t="s">
        <v>717</v>
      </c>
      <c r="B770" s="27" t="s">
        <v>2215</v>
      </c>
      <c r="C770" s="16" t="s">
        <v>2216</v>
      </c>
      <c r="D770" s="17" t="s">
        <v>99</v>
      </c>
      <c r="E770" s="18" t="s">
        <v>34</v>
      </c>
      <c r="F770" s="18">
        <v>1.0</v>
      </c>
      <c r="G770" s="19">
        <f t="shared" si="1"/>
        <v>1.234589675</v>
      </c>
      <c r="H770" s="17">
        <v>35.0</v>
      </c>
      <c r="I770" s="10">
        <v>130.0</v>
      </c>
      <c r="J770" s="17">
        <v>0.0</v>
      </c>
      <c r="K770" s="17">
        <v>230.0</v>
      </c>
      <c r="L770" s="17">
        <v>70.0</v>
      </c>
      <c r="M770" s="20">
        <v>34.0</v>
      </c>
      <c r="N770" s="20">
        <v>0.0</v>
      </c>
      <c r="O770" s="20">
        <v>32.0</v>
      </c>
      <c r="P770" s="20">
        <f t="shared" si="2"/>
        <v>2</v>
      </c>
      <c r="Q770" s="21">
        <v>0.0</v>
      </c>
      <c r="R770" s="22">
        <f t="shared" si="3"/>
        <v>105.2981429</v>
      </c>
      <c r="S770" s="23">
        <f t="shared" si="4"/>
        <v>3.714285714</v>
      </c>
      <c r="T770" s="24" t="str">
        <f t="shared" si="5"/>
        <v>N/A</v>
      </c>
      <c r="U770" s="26" t="str">
        <f t="shared" si="6"/>
        <v>0%</v>
      </c>
      <c r="V770" s="26">
        <f t="shared" si="7"/>
        <v>0.9411764706</v>
      </c>
      <c r="W770" s="19">
        <f t="shared" si="8"/>
        <v>1.769230769</v>
      </c>
      <c r="X770" s="20">
        <f t="shared" si="9"/>
        <v>130</v>
      </c>
      <c r="Y770" s="27"/>
      <c r="Z770" s="17"/>
      <c r="AA770" s="28"/>
      <c r="AB770" s="17"/>
      <c r="AC770" s="28"/>
      <c r="AD770" s="27"/>
    </row>
    <row r="771" ht="15.75" customHeight="1">
      <c r="A771" s="27" t="s">
        <v>2217</v>
      </c>
      <c r="B771" s="27" t="s">
        <v>2218</v>
      </c>
      <c r="C771" s="16" t="s">
        <v>2219</v>
      </c>
      <c r="D771" s="17" t="s">
        <v>212</v>
      </c>
      <c r="E771" s="18" t="s">
        <v>34</v>
      </c>
      <c r="F771" s="18">
        <v>1.0</v>
      </c>
      <c r="G771" s="19">
        <f t="shared" si="1"/>
        <v>1.234589675</v>
      </c>
      <c r="H771" s="17">
        <v>35.0</v>
      </c>
      <c r="I771" s="10">
        <v>130.0</v>
      </c>
      <c r="J771" s="17">
        <v>0.5</v>
      </c>
      <c r="K771" s="17">
        <v>70.0</v>
      </c>
      <c r="L771" s="17">
        <v>135.0</v>
      </c>
      <c r="M771" s="20">
        <v>31.0</v>
      </c>
      <c r="N771" s="20">
        <v>3.0</v>
      </c>
      <c r="O771" s="20">
        <v>21.0</v>
      </c>
      <c r="P771" s="20">
        <f t="shared" si="2"/>
        <v>7</v>
      </c>
      <c r="Q771" s="21">
        <v>1.0</v>
      </c>
      <c r="R771" s="22">
        <f t="shared" si="3"/>
        <v>105.2981429</v>
      </c>
      <c r="S771" s="23">
        <f t="shared" si="4"/>
        <v>3.714285714</v>
      </c>
      <c r="T771" s="24">
        <f t="shared" si="5"/>
        <v>31</v>
      </c>
      <c r="U771" s="26">
        <f t="shared" si="6"/>
        <v>0.03396226415</v>
      </c>
      <c r="V771" s="26">
        <f t="shared" si="7"/>
        <v>0.6339622642</v>
      </c>
      <c r="W771" s="19">
        <f t="shared" si="8"/>
        <v>0.5384615385</v>
      </c>
      <c r="X771" s="20">
        <f t="shared" si="9"/>
        <v>130</v>
      </c>
      <c r="Y771" s="27"/>
      <c r="Z771" s="17"/>
      <c r="AA771" s="28"/>
      <c r="AB771" s="17"/>
      <c r="AC771" s="28"/>
      <c r="AD771" s="27"/>
    </row>
    <row r="772" ht="15.75" customHeight="1">
      <c r="A772" s="27" t="s">
        <v>2217</v>
      </c>
      <c r="B772" s="27" t="s">
        <v>2220</v>
      </c>
      <c r="C772" s="16" t="s">
        <v>2221</v>
      </c>
      <c r="D772" s="17" t="s">
        <v>212</v>
      </c>
      <c r="E772" s="18" t="s">
        <v>34</v>
      </c>
      <c r="F772" s="18">
        <v>1.0</v>
      </c>
      <c r="G772" s="19">
        <f t="shared" si="1"/>
        <v>1.234589675</v>
      </c>
      <c r="H772" s="17">
        <v>35.0</v>
      </c>
      <c r="I772" s="10">
        <v>130.0</v>
      </c>
      <c r="J772" s="17">
        <v>0.5</v>
      </c>
      <c r="K772" s="17">
        <v>65.0</v>
      </c>
      <c r="L772" s="17">
        <v>135.0</v>
      </c>
      <c r="M772" s="20">
        <v>29.0</v>
      </c>
      <c r="N772" s="20">
        <v>3.0</v>
      </c>
      <c r="O772" s="20">
        <v>17.0</v>
      </c>
      <c r="P772" s="20">
        <f t="shared" si="2"/>
        <v>9</v>
      </c>
      <c r="Q772" s="21">
        <v>1.0</v>
      </c>
      <c r="R772" s="22">
        <f t="shared" si="3"/>
        <v>105.2981429</v>
      </c>
      <c r="S772" s="23">
        <f t="shared" si="4"/>
        <v>3.714285714</v>
      </c>
      <c r="T772" s="24">
        <f t="shared" si="5"/>
        <v>29</v>
      </c>
      <c r="U772" s="26">
        <f t="shared" si="6"/>
        <v>0.03614457831</v>
      </c>
      <c r="V772" s="26">
        <f t="shared" si="7"/>
        <v>0.546184739</v>
      </c>
      <c r="W772" s="19">
        <f t="shared" si="8"/>
        <v>0.5</v>
      </c>
      <c r="X772" s="20">
        <f t="shared" si="9"/>
        <v>130</v>
      </c>
      <c r="Y772" s="27"/>
      <c r="Z772" s="17"/>
      <c r="AA772" s="28"/>
      <c r="AB772" s="17"/>
      <c r="AC772" s="28"/>
      <c r="AD772" s="27"/>
    </row>
    <row r="773" ht="15.75" customHeight="1">
      <c r="A773" s="16" t="s">
        <v>2217</v>
      </c>
      <c r="B773" s="16" t="s">
        <v>2222</v>
      </c>
      <c r="C773" s="16" t="s">
        <v>2223</v>
      </c>
      <c r="D773" s="17" t="s">
        <v>212</v>
      </c>
      <c r="E773" s="18" t="s">
        <v>34</v>
      </c>
      <c r="F773" s="18">
        <v>1.0</v>
      </c>
      <c r="G773" s="19">
        <f t="shared" si="1"/>
        <v>1.234589675</v>
      </c>
      <c r="H773" s="17">
        <v>35.0</v>
      </c>
      <c r="I773" s="10">
        <v>130.0</v>
      </c>
      <c r="J773" s="17">
        <v>3.5</v>
      </c>
      <c r="K773" s="17">
        <v>45.0</v>
      </c>
      <c r="L773" s="17">
        <v>95.0</v>
      </c>
      <c r="M773" s="20">
        <v>25.0</v>
      </c>
      <c r="N773" s="20">
        <v>3.0</v>
      </c>
      <c r="O773" s="20">
        <v>16.0</v>
      </c>
      <c r="P773" s="20">
        <f t="shared" si="2"/>
        <v>6</v>
      </c>
      <c r="Q773" s="21">
        <v>1.0</v>
      </c>
      <c r="R773" s="22">
        <f t="shared" si="3"/>
        <v>105.2981429</v>
      </c>
      <c r="S773" s="23">
        <f t="shared" si="4"/>
        <v>3.714285714</v>
      </c>
      <c r="T773" s="24">
        <f t="shared" si="5"/>
        <v>25</v>
      </c>
      <c r="U773" s="26">
        <f t="shared" si="6"/>
        <v>0.2324723247</v>
      </c>
      <c r="V773" s="26">
        <f t="shared" si="7"/>
        <v>0.4723247232</v>
      </c>
      <c r="W773" s="19">
        <f t="shared" si="8"/>
        <v>0.3461538462</v>
      </c>
      <c r="X773" s="20">
        <f t="shared" si="9"/>
        <v>130</v>
      </c>
      <c r="Y773" s="27"/>
      <c r="Z773" s="17"/>
      <c r="AA773" s="28"/>
      <c r="AB773" s="17"/>
      <c r="AC773" s="28"/>
      <c r="AD773" s="27"/>
    </row>
    <row r="774" ht="15.75" customHeight="1">
      <c r="A774" s="16" t="s">
        <v>1771</v>
      </c>
      <c r="B774" s="16" t="s">
        <v>2224</v>
      </c>
      <c r="C774" s="16" t="s">
        <v>2225</v>
      </c>
      <c r="D774" s="17" t="s">
        <v>563</v>
      </c>
      <c r="E774" s="18" t="s">
        <v>34</v>
      </c>
      <c r="F774" s="18">
        <v>1.0</v>
      </c>
      <c r="G774" s="19">
        <f t="shared" si="1"/>
        <v>1.234589675</v>
      </c>
      <c r="H774" s="17">
        <v>35.0</v>
      </c>
      <c r="I774" s="10">
        <v>130.0</v>
      </c>
      <c r="J774" s="17">
        <v>1.5</v>
      </c>
      <c r="K774" s="17">
        <v>160.0</v>
      </c>
      <c r="L774" s="17">
        <v>115.0</v>
      </c>
      <c r="M774" s="20">
        <v>27.0</v>
      </c>
      <c r="N774" s="20">
        <v>3.0</v>
      </c>
      <c r="O774" s="20">
        <v>9.0</v>
      </c>
      <c r="P774" s="20">
        <f t="shared" si="2"/>
        <v>15</v>
      </c>
      <c r="Q774" s="21">
        <v>3.0</v>
      </c>
      <c r="R774" s="22">
        <f t="shared" si="3"/>
        <v>105.2981429</v>
      </c>
      <c r="S774" s="23">
        <f t="shared" si="4"/>
        <v>3.714285714</v>
      </c>
      <c r="T774" s="24">
        <f t="shared" si="5"/>
        <v>9</v>
      </c>
      <c r="U774" s="26">
        <f t="shared" si="6"/>
        <v>0.1011235955</v>
      </c>
      <c r="V774" s="26">
        <f t="shared" si="7"/>
        <v>0.2696629213</v>
      </c>
      <c r="W774" s="19">
        <f t="shared" si="8"/>
        <v>1.230769231</v>
      </c>
      <c r="X774" s="20">
        <f t="shared" si="9"/>
        <v>130</v>
      </c>
      <c r="Y774" s="27"/>
      <c r="Z774" s="17"/>
      <c r="AA774" s="28"/>
      <c r="AB774" s="17"/>
      <c r="AC774" s="28"/>
      <c r="AD774" s="16"/>
    </row>
    <row r="775" ht="15.75" customHeight="1">
      <c r="A775" s="16" t="s">
        <v>2226</v>
      </c>
      <c r="B775" s="16" t="s">
        <v>2227</v>
      </c>
      <c r="C775" s="16" t="s">
        <v>2228</v>
      </c>
      <c r="D775" s="17" t="s">
        <v>119</v>
      </c>
      <c r="E775" s="18" t="s">
        <v>34</v>
      </c>
      <c r="F775" s="18">
        <v>1.0</v>
      </c>
      <c r="G775" s="19">
        <f t="shared" si="1"/>
        <v>2.469179351</v>
      </c>
      <c r="H775" s="17">
        <v>70.0</v>
      </c>
      <c r="I775" s="10">
        <v>260.0</v>
      </c>
      <c r="J775" s="17">
        <v>2.0</v>
      </c>
      <c r="K775" s="17">
        <v>600.0</v>
      </c>
      <c r="L775" s="17"/>
      <c r="M775" s="20">
        <v>54.0</v>
      </c>
      <c r="N775" s="20">
        <v>2.0</v>
      </c>
      <c r="O775" s="20">
        <v>5.0</v>
      </c>
      <c r="P775" s="20">
        <f t="shared" si="2"/>
        <v>47</v>
      </c>
      <c r="Q775" s="21">
        <v>6.0</v>
      </c>
      <c r="R775" s="22">
        <f t="shared" si="3"/>
        <v>105.2981429</v>
      </c>
      <c r="S775" s="23">
        <f t="shared" si="4"/>
        <v>3.714285714</v>
      </c>
      <c r="T775" s="24">
        <f t="shared" si="5"/>
        <v>9</v>
      </c>
      <c r="U775" s="26">
        <f t="shared" si="6"/>
        <v>0.06976744186</v>
      </c>
      <c r="V775" s="26">
        <f t="shared" si="7"/>
        <v>0.07751937984</v>
      </c>
      <c r="W775" s="19">
        <f t="shared" si="8"/>
        <v>2.307692308</v>
      </c>
      <c r="X775" s="20">
        <f t="shared" si="9"/>
        <v>260</v>
      </c>
      <c r="Y775" s="27"/>
      <c r="Z775" s="17"/>
      <c r="AA775" s="28"/>
      <c r="AB775" s="17"/>
      <c r="AC775" s="28"/>
      <c r="AD775" s="16"/>
    </row>
    <row r="776" ht="15.75" customHeight="1">
      <c r="A776" s="16" t="s">
        <v>2229</v>
      </c>
      <c r="B776" s="16" t="s">
        <v>2230</v>
      </c>
      <c r="C776" s="16" t="s">
        <v>2231</v>
      </c>
      <c r="D776" s="17" t="s">
        <v>119</v>
      </c>
      <c r="E776" s="18" t="s">
        <v>34</v>
      </c>
      <c r="F776" s="18">
        <v>1.0</v>
      </c>
      <c r="G776" s="19">
        <f t="shared" si="1"/>
        <v>2.469179351</v>
      </c>
      <c r="H776" s="17">
        <v>70.0</v>
      </c>
      <c r="I776" s="10">
        <v>260.0</v>
      </c>
      <c r="J776" s="17">
        <v>2.0</v>
      </c>
      <c r="K776" s="17">
        <v>570.0</v>
      </c>
      <c r="L776" s="17"/>
      <c r="M776" s="20">
        <v>51.0</v>
      </c>
      <c r="N776" s="20">
        <v>2.0</v>
      </c>
      <c r="O776" s="20">
        <v>6.0</v>
      </c>
      <c r="P776" s="20">
        <f t="shared" si="2"/>
        <v>43</v>
      </c>
      <c r="Q776" s="21">
        <v>9.0</v>
      </c>
      <c r="R776" s="22">
        <f t="shared" si="3"/>
        <v>105.2981429</v>
      </c>
      <c r="S776" s="23">
        <f t="shared" si="4"/>
        <v>3.714285714</v>
      </c>
      <c r="T776" s="24">
        <f t="shared" si="5"/>
        <v>5.666666667</v>
      </c>
      <c r="U776" s="26">
        <f t="shared" si="6"/>
        <v>0.06976744186</v>
      </c>
      <c r="V776" s="26">
        <f t="shared" si="7"/>
        <v>0.09302325581</v>
      </c>
      <c r="W776" s="19">
        <f t="shared" si="8"/>
        <v>2.192307692</v>
      </c>
      <c r="X776" s="20">
        <f t="shared" si="9"/>
        <v>260</v>
      </c>
      <c r="Y776" s="27"/>
      <c r="Z776" s="17"/>
      <c r="AA776" s="28"/>
      <c r="AB776" s="17"/>
      <c r="AC776" s="28"/>
      <c r="AD776" s="27"/>
    </row>
    <row r="777" ht="15.75" customHeight="1">
      <c r="A777" s="16" t="s">
        <v>88</v>
      </c>
      <c r="B777" s="16" t="s">
        <v>2232</v>
      </c>
      <c r="C777" s="16" t="s">
        <v>2233</v>
      </c>
      <c r="D777" s="17" t="s">
        <v>119</v>
      </c>
      <c r="E777" s="18" t="s">
        <v>34</v>
      </c>
      <c r="F777" s="18">
        <v>1.0</v>
      </c>
      <c r="G777" s="19">
        <f t="shared" si="1"/>
        <v>2.469179351</v>
      </c>
      <c r="H777" s="17">
        <v>70.0</v>
      </c>
      <c r="I777" s="10">
        <v>260.0</v>
      </c>
      <c r="J777" s="17">
        <v>2.0</v>
      </c>
      <c r="K777" s="17">
        <v>600.0</v>
      </c>
      <c r="L777" s="17"/>
      <c r="M777" s="20">
        <v>49.0</v>
      </c>
      <c r="N777" s="20">
        <v>2.0</v>
      </c>
      <c r="O777" s="20">
        <v>7.0</v>
      </c>
      <c r="P777" s="20">
        <f t="shared" si="2"/>
        <v>40</v>
      </c>
      <c r="Q777" s="21">
        <v>9.0</v>
      </c>
      <c r="R777" s="22">
        <f t="shared" si="3"/>
        <v>105.2981429</v>
      </c>
      <c r="S777" s="23">
        <f t="shared" si="4"/>
        <v>3.714285714</v>
      </c>
      <c r="T777" s="24">
        <f t="shared" si="5"/>
        <v>5.444444444</v>
      </c>
      <c r="U777" s="26">
        <f t="shared" si="6"/>
        <v>0.072</v>
      </c>
      <c r="V777" s="26">
        <f t="shared" si="7"/>
        <v>0.112</v>
      </c>
      <c r="W777" s="19">
        <f t="shared" si="8"/>
        <v>2.307692308</v>
      </c>
      <c r="X777" s="20">
        <f t="shared" si="9"/>
        <v>260</v>
      </c>
      <c r="Y777" s="27"/>
      <c r="Z777" s="17"/>
      <c r="AA777" s="28"/>
      <c r="AB777" s="17"/>
      <c r="AC777" s="28"/>
      <c r="AD777" s="27"/>
    </row>
    <row r="778" ht="15.75" customHeight="1">
      <c r="A778" s="27" t="s">
        <v>2197</v>
      </c>
      <c r="B778" s="27" t="s">
        <v>2234</v>
      </c>
      <c r="C778" s="16" t="s">
        <v>2235</v>
      </c>
      <c r="D778" s="17" t="s">
        <v>119</v>
      </c>
      <c r="E778" s="18" t="s">
        <v>34</v>
      </c>
      <c r="F778" s="18">
        <v>1.0</v>
      </c>
      <c r="G778" s="19">
        <f t="shared" si="1"/>
        <v>2.186987425</v>
      </c>
      <c r="H778" s="17">
        <v>62.0</v>
      </c>
      <c r="I778" s="10">
        <v>230.0</v>
      </c>
      <c r="J778" s="17">
        <v>1.0</v>
      </c>
      <c r="K778" s="17">
        <v>640.0</v>
      </c>
      <c r="L778" s="17"/>
      <c r="M778" s="20">
        <v>47.0</v>
      </c>
      <c r="N778" s="20">
        <v>1.0</v>
      </c>
      <c r="O778" s="20">
        <v>1.0</v>
      </c>
      <c r="P778" s="20">
        <f t="shared" si="2"/>
        <v>45</v>
      </c>
      <c r="Q778" s="21">
        <v>6.0</v>
      </c>
      <c r="R778" s="22">
        <f t="shared" si="3"/>
        <v>105.1675</v>
      </c>
      <c r="S778" s="23">
        <f t="shared" si="4"/>
        <v>3.709677419</v>
      </c>
      <c r="T778" s="24">
        <f t="shared" si="5"/>
        <v>7.833333333</v>
      </c>
      <c r="U778" s="26">
        <f t="shared" si="6"/>
        <v>0.0407239819</v>
      </c>
      <c r="V778" s="26">
        <f t="shared" si="7"/>
        <v>0.01809954751</v>
      </c>
      <c r="W778" s="19">
        <f t="shared" si="8"/>
        <v>2.782608696</v>
      </c>
      <c r="X778" s="20">
        <f t="shared" si="9"/>
        <v>230</v>
      </c>
      <c r="Y778" s="27"/>
      <c r="Z778" s="17"/>
      <c r="AA778" s="28"/>
      <c r="AB778" s="17"/>
      <c r="AC778" s="28"/>
      <c r="AD778" s="27"/>
    </row>
    <row r="779" ht="15.75" customHeight="1">
      <c r="A779" s="27" t="s">
        <v>2165</v>
      </c>
      <c r="B779" s="27" t="s">
        <v>2236</v>
      </c>
      <c r="C779" s="16" t="s">
        <v>2237</v>
      </c>
      <c r="D779" s="17" t="s">
        <v>563</v>
      </c>
      <c r="E779" s="18" t="s">
        <v>34</v>
      </c>
      <c r="F779" s="18">
        <v>1.0</v>
      </c>
      <c r="G779" s="19">
        <f t="shared" si="1"/>
        <v>2.186987425</v>
      </c>
      <c r="H779" s="17">
        <v>62.0</v>
      </c>
      <c r="I779" s="10">
        <v>230.0</v>
      </c>
      <c r="J779" s="17">
        <v>4.5</v>
      </c>
      <c r="K779" s="17">
        <v>190.0</v>
      </c>
      <c r="L779" s="17">
        <v>200.0</v>
      </c>
      <c r="M779" s="20">
        <v>41.0</v>
      </c>
      <c r="N779" s="20">
        <v>4.0</v>
      </c>
      <c r="O779" s="20">
        <v>12.0</v>
      </c>
      <c r="P779" s="20">
        <f t="shared" si="2"/>
        <v>25</v>
      </c>
      <c r="Q779" s="21">
        <v>10.0</v>
      </c>
      <c r="R779" s="22">
        <f t="shared" si="3"/>
        <v>105.1675</v>
      </c>
      <c r="S779" s="23">
        <f t="shared" si="4"/>
        <v>3.709677419</v>
      </c>
      <c r="T779" s="24">
        <f t="shared" si="5"/>
        <v>4.1</v>
      </c>
      <c r="U779" s="26">
        <f t="shared" si="6"/>
        <v>0.1656441718</v>
      </c>
      <c r="V779" s="26">
        <f t="shared" si="7"/>
        <v>0.1963190184</v>
      </c>
      <c r="W779" s="19">
        <f t="shared" si="8"/>
        <v>0.8260869565</v>
      </c>
      <c r="X779" s="20">
        <f t="shared" si="9"/>
        <v>230</v>
      </c>
      <c r="Y779" s="27"/>
      <c r="Z779" s="17"/>
      <c r="AA779" s="28"/>
      <c r="AB779" s="17"/>
      <c r="AC779" s="28"/>
      <c r="AD779" s="27"/>
    </row>
    <row r="780" ht="15.75" customHeight="1">
      <c r="A780" s="27" t="s">
        <v>2238</v>
      </c>
      <c r="B780" s="27" t="s">
        <v>2239</v>
      </c>
      <c r="C780" s="16" t="s">
        <v>2240</v>
      </c>
      <c r="D780" s="17" t="s">
        <v>99</v>
      </c>
      <c r="E780" s="18" t="s">
        <v>34</v>
      </c>
      <c r="F780" s="18">
        <v>1.0</v>
      </c>
      <c r="G780" s="19">
        <f t="shared" si="1"/>
        <v>1.904795499</v>
      </c>
      <c r="H780" s="17">
        <v>54.0</v>
      </c>
      <c r="I780" s="10">
        <v>200.0</v>
      </c>
      <c r="J780" s="17">
        <v>0.0</v>
      </c>
      <c r="K780" s="17">
        <v>606.0</v>
      </c>
      <c r="L780" s="17">
        <v>176.0</v>
      </c>
      <c r="M780" s="20">
        <v>50.0</v>
      </c>
      <c r="N780" s="20">
        <v>0.0</v>
      </c>
      <c r="O780" s="20">
        <v>50.0</v>
      </c>
      <c r="P780" s="20">
        <f t="shared" si="2"/>
        <v>0</v>
      </c>
      <c r="Q780" s="21">
        <v>0.0</v>
      </c>
      <c r="R780" s="22">
        <f t="shared" si="3"/>
        <v>104.9981481</v>
      </c>
      <c r="S780" s="23">
        <f t="shared" si="4"/>
        <v>3.703703704</v>
      </c>
      <c r="T780" s="24" t="str">
        <f t="shared" si="5"/>
        <v>N/A</v>
      </c>
      <c r="U780" s="26" t="str">
        <f t="shared" si="6"/>
        <v>0%</v>
      </c>
      <c r="V780" s="26">
        <f t="shared" si="7"/>
        <v>1</v>
      </c>
      <c r="W780" s="19">
        <f t="shared" si="8"/>
        <v>3.03</v>
      </c>
      <c r="X780" s="20">
        <f t="shared" si="9"/>
        <v>200</v>
      </c>
      <c r="Y780" s="27"/>
      <c r="Z780" s="17"/>
      <c r="AA780" s="28"/>
      <c r="AB780" s="17"/>
      <c r="AC780" s="28"/>
      <c r="AD780" s="16"/>
    </row>
    <row r="781" ht="15.75" customHeight="1">
      <c r="A781" s="27" t="s">
        <v>2238</v>
      </c>
      <c r="B781" s="27" t="s">
        <v>2241</v>
      </c>
      <c r="C781" s="92" t="s">
        <v>2242</v>
      </c>
      <c r="D781" s="17" t="s">
        <v>99</v>
      </c>
      <c r="E781" s="18" t="s">
        <v>34</v>
      </c>
      <c r="F781" s="18">
        <v>1.0</v>
      </c>
      <c r="G781" s="19">
        <f t="shared" si="1"/>
        <v>1.904795499</v>
      </c>
      <c r="H781" s="17">
        <v>54.0</v>
      </c>
      <c r="I781" s="10">
        <v>200.0</v>
      </c>
      <c r="J781" s="200">
        <v>3.0</v>
      </c>
      <c r="K781" s="200">
        <v>440.0</v>
      </c>
      <c r="L781" s="17">
        <v>176.0</v>
      </c>
      <c r="M781" s="202">
        <v>43.0</v>
      </c>
      <c r="N781" s="20">
        <v>0.0</v>
      </c>
      <c r="O781" s="202">
        <v>37.0</v>
      </c>
      <c r="P781" s="20">
        <f t="shared" si="2"/>
        <v>6</v>
      </c>
      <c r="Q781" s="203">
        <v>10.0</v>
      </c>
      <c r="R781" s="22">
        <f t="shared" si="3"/>
        <v>104.9981481</v>
      </c>
      <c r="S781" s="23">
        <f t="shared" si="4"/>
        <v>3.703703704</v>
      </c>
      <c r="T781" s="24">
        <f t="shared" si="5"/>
        <v>4.3</v>
      </c>
      <c r="U781" s="26">
        <f t="shared" si="6"/>
        <v>0.1129707113</v>
      </c>
      <c r="V781" s="26">
        <f t="shared" si="7"/>
        <v>0.6192468619</v>
      </c>
      <c r="W781" s="19">
        <f t="shared" si="8"/>
        <v>2.2</v>
      </c>
      <c r="X781" s="20">
        <f t="shared" si="9"/>
        <v>200</v>
      </c>
      <c r="Y781" s="27"/>
      <c r="Z781" s="17"/>
      <c r="AA781" s="28"/>
      <c r="AB781" s="17"/>
      <c r="AC781" s="28"/>
      <c r="AD781" s="16"/>
    </row>
    <row r="782" ht="15.75" customHeight="1">
      <c r="A782" s="92" t="s">
        <v>2238</v>
      </c>
      <c r="B782" s="92" t="s">
        <v>2243</v>
      </c>
      <c r="C782" s="92" t="s">
        <v>58</v>
      </c>
      <c r="D782" s="200" t="s">
        <v>99</v>
      </c>
      <c r="E782" s="18" t="s">
        <v>34</v>
      </c>
      <c r="F782" s="18">
        <v>1.0</v>
      </c>
      <c r="G782" s="204">
        <v>2.0</v>
      </c>
      <c r="H782" s="200">
        <v>60.0</v>
      </c>
      <c r="I782" s="201">
        <v>220.0</v>
      </c>
      <c r="J782" s="200">
        <v>0.0</v>
      </c>
      <c r="K782" s="200">
        <v>500.0</v>
      </c>
      <c r="L782" s="200">
        <v>470.0</v>
      </c>
      <c r="M782" s="202">
        <v>34.0</v>
      </c>
      <c r="N782" s="202">
        <v>1.0</v>
      </c>
      <c r="O782" s="202">
        <v>32.0</v>
      </c>
      <c r="P782" s="20">
        <f t="shared" si="2"/>
        <v>1</v>
      </c>
      <c r="Q782" s="203">
        <v>20.0</v>
      </c>
      <c r="R782" s="22">
        <f t="shared" si="3"/>
        <v>110</v>
      </c>
      <c r="S782" s="23">
        <f t="shared" si="4"/>
        <v>3.666666667</v>
      </c>
      <c r="T782" s="24">
        <f t="shared" si="5"/>
        <v>1.7</v>
      </c>
      <c r="U782" s="26" t="str">
        <f t="shared" si="6"/>
        <v>0%</v>
      </c>
      <c r="V782" s="26">
        <f t="shared" si="7"/>
        <v>0.5925925926</v>
      </c>
      <c r="W782" s="19">
        <f t="shared" si="8"/>
        <v>2.272727273</v>
      </c>
      <c r="X782" s="20">
        <f t="shared" si="9"/>
        <v>220</v>
      </c>
      <c r="Y782" s="27"/>
      <c r="Z782" s="17"/>
      <c r="AA782" s="28"/>
      <c r="AB782" s="17"/>
      <c r="AC782" s="28"/>
      <c r="AD782" s="16"/>
    </row>
    <row r="783" ht="15.75" customHeight="1">
      <c r="A783" s="16" t="s">
        <v>1744</v>
      </c>
      <c r="B783" s="16" t="s">
        <v>2244</v>
      </c>
      <c r="C783" s="16" t="s">
        <v>2245</v>
      </c>
      <c r="D783" s="17" t="s">
        <v>563</v>
      </c>
      <c r="E783" s="18" t="s">
        <v>34</v>
      </c>
      <c r="F783" s="18">
        <v>1.0</v>
      </c>
      <c r="G783" s="19">
        <f t="shared" ref="G783:G1654" si="10">H783/28.3495</f>
        <v>0.9523977495</v>
      </c>
      <c r="H783" s="17">
        <v>27.0</v>
      </c>
      <c r="I783" s="10">
        <v>100.0</v>
      </c>
      <c r="J783" s="17">
        <v>0.5</v>
      </c>
      <c r="K783" s="17">
        <v>180.0</v>
      </c>
      <c r="L783" s="17">
        <v>90.0</v>
      </c>
      <c r="M783" s="20">
        <v>23.0</v>
      </c>
      <c r="N783" s="20">
        <v>3.0</v>
      </c>
      <c r="O783" s="20">
        <v>4.0</v>
      </c>
      <c r="P783" s="20">
        <f t="shared" si="2"/>
        <v>16</v>
      </c>
      <c r="Q783" s="21">
        <v>2.0</v>
      </c>
      <c r="R783" s="22">
        <f t="shared" si="3"/>
        <v>104.9981481</v>
      </c>
      <c r="S783" s="23">
        <f t="shared" si="4"/>
        <v>3.703703704</v>
      </c>
      <c r="T783" s="24">
        <f t="shared" si="5"/>
        <v>11.5</v>
      </c>
      <c r="U783" s="26">
        <f t="shared" si="6"/>
        <v>0.04306220096</v>
      </c>
      <c r="V783" s="26">
        <f t="shared" si="7"/>
        <v>0.1531100478</v>
      </c>
      <c r="W783" s="19">
        <f t="shared" si="8"/>
        <v>1.8</v>
      </c>
      <c r="X783" s="20">
        <f t="shared" si="9"/>
        <v>100</v>
      </c>
      <c r="Y783" s="27"/>
      <c r="Z783" s="17"/>
      <c r="AA783" s="28"/>
      <c r="AB783" s="17"/>
      <c r="AC783" s="28"/>
      <c r="AD783" s="16"/>
    </row>
    <row r="784" ht="15.75" customHeight="1">
      <c r="A784" s="16" t="s">
        <v>510</v>
      </c>
      <c r="B784" s="16" t="s">
        <v>2246</v>
      </c>
      <c r="C784" s="16" t="s">
        <v>2247</v>
      </c>
      <c r="D784" s="17" t="s">
        <v>282</v>
      </c>
      <c r="E784" s="18" t="s">
        <v>34</v>
      </c>
      <c r="F784" s="18">
        <v>1.0</v>
      </c>
      <c r="G784" s="19">
        <f t="shared" si="10"/>
        <v>0.9523977495</v>
      </c>
      <c r="H784" s="17">
        <v>27.0</v>
      </c>
      <c r="I784" s="10">
        <v>100.0</v>
      </c>
      <c r="J784" s="17">
        <v>5.0</v>
      </c>
      <c r="K784" s="17">
        <v>330.0</v>
      </c>
      <c r="L784" s="17">
        <v>55.0</v>
      </c>
      <c r="M784" s="20">
        <v>11.0</v>
      </c>
      <c r="N784" s="20">
        <v>0.0</v>
      </c>
      <c r="O784" s="20">
        <v>2.0</v>
      </c>
      <c r="P784" s="20">
        <f t="shared" si="2"/>
        <v>9</v>
      </c>
      <c r="Q784" s="21">
        <v>2.0</v>
      </c>
      <c r="R784" s="22">
        <f t="shared" si="3"/>
        <v>104.9981481</v>
      </c>
      <c r="S784" s="23">
        <f t="shared" si="4"/>
        <v>3.703703704</v>
      </c>
      <c r="T784" s="24">
        <f t="shared" si="5"/>
        <v>5.5</v>
      </c>
      <c r="U784" s="26">
        <f t="shared" si="6"/>
        <v>0.4639175258</v>
      </c>
      <c r="V784" s="26">
        <f t="shared" si="7"/>
        <v>0.0824742268</v>
      </c>
      <c r="W784" s="19">
        <f t="shared" si="8"/>
        <v>3.3</v>
      </c>
      <c r="X784" s="20">
        <f t="shared" si="9"/>
        <v>100</v>
      </c>
      <c r="Y784" s="27"/>
      <c r="Z784" s="17"/>
      <c r="AA784" s="28"/>
      <c r="AB784" s="17"/>
      <c r="AC784" s="28"/>
      <c r="AD784" s="16"/>
    </row>
    <row r="785" ht="15.75" customHeight="1">
      <c r="A785" s="16" t="s">
        <v>2248</v>
      </c>
      <c r="B785" s="16" t="s">
        <v>2249</v>
      </c>
      <c r="C785" s="16" t="s">
        <v>2250</v>
      </c>
      <c r="D785" s="17" t="s">
        <v>119</v>
      </c>
      <c r="E785" s="18" t="s">
        <v>34</v>
      </c>
      <c r="F785" s="18">
        <v>1.0</v>
      </c>
      <c r="G785" s="19">
        <f t="shared" si="10"/>
        <v>1.904795499</v>
      </c>
      <c r="H785" s="17">
        <v>54.0</v>
      </c>
      <c r="I785" s="10">
        <v>200.0</v>
      </c>
      <c r="J785" s="17">
        <v>2.5</v>
      </c>
      <c r="K785" s="17">
        <v>570.0</v>
      </c>
      <c r="L785" s="17"/>
      <c r="M785" s="20">
        <v>37.0</v>
      </c>
      <c r="N785" s="20">
        <v>1.0</v>
      </c>
      <c r="O785" s="20">
        <v>3.0</v>
      </c>
      <c r="P785" s="20">
        <f t="shared" si="2"/>
        <v>33</v>
      </c>
      <c r="Q785" s="21">
        <v>7.0</v>
      </c>
      <c r="R785" s="22">
        <f t="shared" si="3"/>
        <v>104.9981481</v>
      </c>
      <c r="S785" s="23">
        <f t="shared" si="4"/>
        <v>3.703703704</v>
      </c>
      <c r="T785" s="24">
        <f t="shared" si="5"/>
        <v>5.285714286</v>
      </c>
      <c r="U785" s="26">
        <f t="shared" si="6"/>
        <v>0.1133501259</v>
      </c>
      <c r="V785" s="26">
        <f t="shared" si="7"/>
        <v>0.0604534005</v>
      </c>
      <c r="W785" s="19">
        <f t="shared" si="8"/>
        <v>2.85</v>
      </c>
      <c r="X785" s="20">
        <f t="shared" si="9"/>
        <v>200</v>
      </c>
      <c r="Y785" s="27"/>
      <c r="Z785" s="17"/>
      <c r="AA785" s="28"/>
      <c r="AB785" s="17"/>
      <c r="AC785" s="28"/>
      <c r="AD785" s="27"/>
    </row>
    <row r="786" ht="15.75" customHeight="1">
      <c r="A786" s="27" t="s">
        <v>2251</v>
      </c>
      <c r="B786" s="27" t="s">
        <v>2252</v>
      </c>
      <c r="C786" s="16" t="s">
        <v>2253</v>
      </c>
      <c r="D786" s="17" t="s">
        <v>119</v>
      </c>
      <c r="E786" s="18" t="s">
        <v>34</v>
      </c>
      <c r="F786" s="18">
        <v>1.0</v>
      </c>
      <c r="G786" s="19">
        <f t="shared" si="10"/>
        <v>1.622603573</v>
      </c>
      <c r="H786" s="17">
        <v>46.0</v>
      </c>
      <c r="I786" s="10">
        <v>170.0</v>
      </c>
      <c r="J786" s="17">
        <v>0.0</v>
      </c>
      <c r="K786" s="17">
        <v>0.0</v>
      </c>
      <c r="L786" s="17">
        <v>15.0</v>
      </c>
      <c r="M786" s="20">
        <v>38.0</v>
      </c>
      <c r="N786" s="20">
        <v>0.0</v>
      </c>
      <c r="O786" s="20">
        <v>0.0</v>
      </c>
      <c r="P786" s="20">
        <f t="shared" si="2"/>
        <v>38</v>
      </c>
      <c r="Q786" s="21">
        <v>4.0</v>
      </c>
      <c r="R786" s="22">
        <f t="shared" si="3"/>
        <v>104.7698913</v>
      </c>
      <c r="S786" s="23">
        <f t="shared" si="4"/>
        <v>3.695652174</v>
      </c>
      <c r="T786" s="24">
        <f t="shared" si="5"/>
        <v>9.5</v>
      </c>
      <c r="U786" s="26" t="str">
        <f t="shared" si="6"/>
        <v>0%</v>
      </c>
      <c r="V786" s="26" t="str">
        <f t="shared" si="7"/>
        <v>0%</v>
      </c>
      <c r="W786" s="19">
        <f t="shared" si="8"/>
        <v>0</v>
      </c>
      <c r="X786" s="20">
        <f t="shared" si="9"/>
        <v>170</v>
      </c>
      <c r="Y786" s="27"/>
      <c r="Z786" s="17"/>
      <c r="AA786" s="28"/>
      <c r="AB786" s="17"/>
      <c r="AC786" s="28"/>
      <c r="AD786" s="27"/>
    </row>
    <row r="787" ht="15.75" customHeight="1">
      <c r="A787" s="16" t="s">
        <v>2226</v>
      </c>
      <c r="B787" s="16" t="s">
        <v>2254</v>
      </c>
      <c r="C787" s="16" t="s">
        <v>2255</v>
      </c>
      <c r="D787" s="17" t="s">
        <v>119</v>
      </c>
      <c r="E787" s="18" t="s">
        <v>34</v>
      </c>
      <c r="F787" s="18">
        <v>1.0</v>
      </c>
      <c r="G787" s="19">
        <f t="shared" si="10"/>
        <v>2.292809397</v>
      </c>
      <c r="H787" s="17">
        <v>65.0</v>
      </c>
      <c r="I787" s="10">
        <v>240.0</v>
      </c>
      <c r="J787" s="17">
        <v>2.0</v>
      </c>
      <c r="K787" s="17">
        <v>630.0</v>
      </c>
      <c r="L787" s="17"/>
      <c r="M787" s="20">
        <v>48.0</v>
      </c>
      <c r="N787" s="20">
        <v>2.0</v>
      </c>
      <c r="O787" s="20">
        <v>3.0</v>
      </c>
      <c r="P787" s="20">
        <f t="shared" si="2"/>
        <v>43</v>
      </c>
      <c r="Q787" s="21">
        <v>7.0</v>
      </c>
      <c r="R787" s="22">
        <f t="shared" si="3"/>
        <v>104.6750769</v>
      </c>
      <c r="S787" s="23">
        <f t="shared" si="4"/>
        <v>3.692307692</v>
      </c>
      <c r="T787" s="24">
        <f t="shared" si="5"/>
        <v>6.857142857</v>
      </c>
      <c r="U787" s="26">
        <f t="shared" si="6"/>
        <v>0.0756302521</v>
      </c>
      <c r="V787" s="26">
        <f t="shared" si="7"/>
        <v>0.05042016807</v>
      </c>
      <c r="W787" s="19">
        <f t="shared" si="8"/>
        <v>2.625</v>
      </c>
      <c r="X787" s="20">
        <f t="shared" si="9"/>
        <v>240</v>
      </c>
      <c r="Y787" s="27"/>
      <c r="Z787" s="17"/>
      <c r="AA787" s="28"/>
      <c r="AB787" s="17"/>
      <c r="AC787" s="28"/>
      <c r="AD787" s="27"/>
    </row>
    <row r="788" ht="15.75" customHeight="1">
      <c r="A788" s="27" t="s">
        <v>2256</v>
      </c>
      <c r="B788" s="27" t="s">
        <v>2257</v>
      </c>
      <c r="C788" s="16" t="s">
        <v>2258</v>
      </c>
      <c r="D788" s="17" t="s">
        <v>99</v>
      </c>
      <c r="E788" s="18" t="s">
        <v>34</v>
      </c>
      <c r="F788" s="18">
        <v>1.0</v>
      </c>
      <c r="G788" s="19">
        <f t="shared" si="10"/>
        <v>0.6702058237</v>
      </c>
      <c r="H788" s="17">
        <v>19.0</v>
      </c>
      <c r="I788" s="10">
        <v>70.0</v>
      </c>
      <c r="J788" s="17">
        <v>2.0</v>
      </c>
      <c r="K788" s="17">
        <v>135.0</v>
      </c>
      <c r="L788" s="17"/>
      <c r="M788" s="20">
        <v>14.0</v>
      </c>
      <c r="N788" s="20">
        <v>1.0</v>
      </c>
      <c r="O788" s="20">
        <v>11.0</v>
      </c>
      <c r="P788" s="20">
        <f t="shared" si="2"/>
        <v>2</v>
      </c>
      <c r="Q788" s="21">
        <v>1.0</v>
      </c>
      <c r="R788" s="22">
        <f t="shared" si="3"/>
        <v>104.4455263</v>
      </c>
      <c r="S788" s="23">
        <f t="shared" si="4"/>
        <v>3.684210526</v>
      </c>
      <c r="T788" s="24">
        <f t="shared" si="5"/>
        <v>14</v>
      </c>
      <c r="U788" s="26">
        <f t="shared" si="6"/>
        <v>0.2307692308</v>
      </c>
      <c r="V788" s="26">
        <f t="shared" si="7"/>
        <v>0.5641025641</v>
      </c>
      <c r="W788" s="19">
        <f t="shared" si="8"/>
        <v>1.928571429</v>
      </c>
      <c r="X788" s="20">
        <f t="shared" si="9"/>
        <v>70</v>
      </c>
      <c r="Y788" s="27"/>
      <c r="Z788" s="17"/>
      <c r="AA788" s="28"/>
      <c r="AB788" s="17"/>
      <c r="AC788" s="28"/>
      <c r="AD788" s="27"/>
    </row>
    <row r="789" ht="15.75" customHeight="1">
      <c r="A789" s="27" t="s">
        <v>1976</v>
      </c>
      <c r="B789" s="27" t="s">
        <v>2259</v>
      </c>
      <c r="C789" s="16" t="s">
        <v>2260</v>
      </c>
      <c r="D789" s="17" t="s">
        <v>212</v>
      </c>
      <c r="E789" s="18" t="s">
        <v>34</v>
      </c>
      <c r="F789" s="18">
        <v>1.0</v>
      </c>
      <c r="G789" s="19">
        <f t="shared" si="10"/>
        <v>2.398631369</v>
      </c>
      <c r="H789" s="17">
        <v>68.0</v>
      </c>
      <c r="I789" s="10">
        <v>250.0</v>
      </c>
      <c r="J789" s="17">
        <v>4.5</v>
      </c>
      <c r="K789" s="17">
        <v>220.0</v>
      </c>
      <c r="L789" s="17">
        <v>221.0</v>
      </c>
      <c r="M789" s="20">
        <v>45.0</v>
      </c>
      <c r="N789" s="20">
        <v>4.0</v>
      </c>
      <c r="O789" s="20">
        <v>20.0</v>
      </c>
      <c r="P789" s="20">
        <f t="shared" si="2"/>
        <v>21</v>
      </c>
      <c r="Q789" s="21">
        <v>9.0</v>
      </c>
      <c r="R789" s="22">
        <f t="shared" si="3"/>
        <v>104.2261029</v>
      </c>
      <c r="S789" s="23">
        <f t="shared" si="4"/>
        <v>3.676470588</v>
      </c>
      <c r="T789" s="24">
        <f t="shared" si="5"/>
        <v>5</v>
      </c>
      <c r="U789" s="26">
        <f t="shared" si="6"/>
        <v>0.1578947368</v>
      </c>
      <c r="V789" s="26">
        <f t="shared" si="7"/>
        <v>0.3118908382</v>
      </c>
      <c r="W789" s="19">
        <f t="shared" si="8"/>
        <v>0.88</v>
      </c>
      <c r="X789" s="20">
        <f t="shared" si="9"/>
        <v>250</v>
      </c>
      <c r="Y789" s="27"/>
      <c r="Z789" s="17"/>
      <c r="AA789" s="28"/>
      <c r="AB789" s="17"/>
      <c r="AC789" s="28"/>
      <c r="AD789" s="16"/>
    </row>
    <row r="790" ht="15.75" customHeight="1">
      <c r="A790" s="27" t="s">
        <v>1976</v>
      </c>
      <c r="B790" s="27" t="s">
        <v>2161</v>
      </c>
      <c r="C790" s="16" t="s">
        <v>2261</v>
      </c>
      <c r="D790" s="17" t="s">
        <v>212</v>
      </c>
      <c r="E790" s="18" t="s">
        <v>34</v>
      </c>
      <c r="F790" s="18">
        <v>1.0</v>
      </c>
      <c r="G790" s="19">
        <f t="shared" si="10"/>
        <v>2.398631369</v>
      </c>
      <c r="H790" s="17">
        <v>68.0</v>
      </c>
      <c r="I790" s="10">
        <v>250.0</v>
      </c>
      <c r="J790" s="17">
        <v>5.0</v>
      </c>
      <c r="K790" s="17">
        <v>170.0</v>
      </c>
      <c r="L790" s="17">
        <v>270.0</v>
      </c>
      <c r="M790" s="20">
        <v>45.0</v>
      </c>
      <c r="N790" s="20">
        <v>5.0</v>
      </c>
      <c r="O790" s="20">
        <v>22.0</v>
      </c>
      <c r="P790" s="20">
        <f t="shared" si="2"/>
        <v>18</v>
      </c>
      <c r="Q790" s="21">
        <v>9.0</v>
      </c>
      <c r="R790" s="22">
        <f t="shared" si="3"/>
        <v>104.2261029</v>
      </c>
      <c r="S790" s="23">
        <f t="shared" si="4"/>
        <v>3.676470588</v>
      </c>
      <c r="T790" s="24">
        <f t="shared" si="5"/>
        <v>5</v>
      </c>
      <c r="U790" s="26">
        <f t="shared" si="6"/>
        <v>0.1724137931</v>
      </c>
      <c r="V790" s="26">
        <f t="shared" si="7"/>
        <v>0.337164751</v>
      </c>
      <c r="W790" s="19">
        <f t="shared" si="8"/>
        <v>0.68</v>
      </c>
      <c r="X790" s="20">
        <f t="shared" si="9"/>
        <v>250</v>
      </c>
      <c r="Y790" s="27"/>
      <c r="Z790" s="17"/>
      <c r="AA790" s="28"/>
      <c r="AB790" s="17"/>
      <c r="AC790" s="28"/>
      <c r="AD790" s="27"/>
    </row>
    <row r="791" ht="15.75" customHeight="1">
      <c r="A791" s="27" t="s">
        <v>1976</v>
      </c>
      <c r="B791" s="27" t="s">
        <v>1848</v>
      </c>
      <c r="C791" s="16" t="s">
        <v>2262</v>
      </c>
      <c r="D791" s="17" t="s">
        <v>212</v>
      </c>
      <c r="E791" s="18" t="s">
        <v>34</v>
      </c>
      <c r="F791" s="18">
        <v>1.0</v>
      </c>
      <c r="G791" s="19">
        <f t="shared" si="10"/>
        <v>2.398631369</v>
      </c>
      <c r="H791" s="17">
        <v>68.0</v>
      </c>
      <c r="I791" s="10">
        <v>250.0</v>
      </c>
      <c r="J791" s="17">
        <v>5.0</v>
      </c>
      <c r="K791" s="17">
        <v>140.0</v>
      </c>
      <c r="L791" s="17">
        <v>207.0</v>
      </c>
      <c r="M791" s="20">
        <v>45.0</v>
      </c>
      <c r="N791" s="20">
        <v>4.0</v>
      </c>
      <c r="O791" s="20">
        <v>21.0</v>
      </c>
      <c r="P791" s="20">
        <f t="shared" si="2"/>
        <v>20</v>
      </c>
      <c r="Q791" s="21">
        <v>9.0</v>
      </c>
      <c r="R791" s="22">
        <f t="shared" si="3"/>
        <v>104.2261029</v>
      </c>
      <c r="S791" s="23">
        <f t="shared" si="4"/>
        <v>3.676470588</v>
      </c>
      <c r="T791" s="24">
        <f t="shared" si="5"/>
        <v>5</v>
      </c>
      <c r="U791" s="26">
        <f t="shared" si="6"/>
        <v>0.1724137931</v>
      </c>
      <c r="V791" s="26">
        <f t="shared" si="7"/>
        <v>0.3218390805</v>
      </c>
      <c r="W791" s="19">
        <f t="shared" si="8"/>
        <v>0.56</v>
      </c>
      <c r="X791" s="20">
        <f t="shared" si="9"/>
        <v>250</v>
      </c>
      <c r="Y791" s="16"/>
      <c r="Z791" s="17"/>
      <c r="AA791" s="28"/>
      <c r="AB791" s="17"/>
      <c r="AC791" s="28"/>
      <c r="AD791" s="16"/>
    </row>
    <row r="792" ht="15.75" customHeight="1">
      <c r="A792" s="16" t="s">
        <v>1976</v>
      </c>
      <c r="B792" s="16" t="s">
        <v>2263</v>
      </c>
      <c r="C792" s="16" t="s">
        <v>2264</v>
      </c>
      <c r="D792" s="17" t="s">
        <v>212</v>
      </c>
      <c r="E792" s="18" t="s">
        <v>34</v>
      </c>
      <c r="F792" s="18">
        <v>1.0</v>
      </c>
      <c r="G792" s="19">
        <f t="shared" si="10"/>
        <v>2.398631369</v>
      </c>
      <c r="H792" s="17">
        <v>68.0</v>
      </c>
      <c r="I792" s="10">
        <v>250.0</v>
      </c>
      <c r="J792" s="17">
        <v>5.0</v>
      </c>
      <c r="K792" s="17">
        <v>300.0</v>
      </c>
      <c r="L792" s="17">
        <v>208.0</v>
      </c>
      <c r="M792" s="20">
        <v>45.0</v>
      </c>
      <c r="N792" s="20">
        <v>4.0</v>
      </c>
      <c r="O792" s="20">
        <v>22.0</v>
      </c>
      <c r="P792" s="20">
        <f t="shared" si="2"/>
        <v>19</v>
      </c>
      <c r="Q792" s="21">
        <v>9.0</v>
      </c>
      <c r="R792" s="22">
        <f t="shared" si="3"/>
        <v>104.2261029</v>
      </c>
      <c r="S792" s="23">
        <f t="shared" si="4"/>
        <v>3.676470588</v>
      </c>
      <c r="T792" s="24">
        <f t="shared" si="5"/>
        <v>5</v>
      </c>
      <c r="U792" s="26">
        <f t="shared" si="6"/>
        <v>0.1724137931</v>
      </c>
      <c r="V792" s="26">
        <f t="shared" si="7"/>
        <v>0.337164751</v>
      </c>
      <c r="W792" s="19">
        <f t="shared" si="8"/>
        <v>1.2</v>
      </c>
      <c r="X792" s="20">
        <f t="shared" si="9"/>
        <v>250</v>
      </c>
      <c r="Y792" s="27"/>
      <c r="Z792" s="17"/>
      <c r="AA792" s="28"/>
      <c r="AB792" s="17"/>
      <c r="AC792" s="28"/>
      <c r="AD792" s="27"/>
    </row>
    <row r="793" ht="15.75" customHeight="1">
      <c r="A793" s="16" t="s">
        <v>1976</v>
      </c>
      <c r="B793" s="16" t="s">
        <v>2265</v>
      </c>
      <c r="C793" s="16" t="s">
        <v>2266</v>
      </c>
      <c r="D793" s="17" t="s">
        <v>212</v>
      </c>
      <c r="E793" s="18" t="s">
        <v>34</v>
      </c>
      <c r="F793" s="18">
        <v>1.0</v>
      </c>
      <c r="G793" s="19">
        <f t="shared" si="10"/>
        <v>2.398631369</v>
      </c>
      <c r="H793" s="17">
        <v>68.0</v>
      </c>
      <c r="I793" s="10">
        <v>250.0</v>
      </c>
      <c r="J793" s="17">
        <v>5.0</v>
      </c>
      <c r="K793" s="17">
        <v>260.0</v>
      </c>
      <c r="L793" s="17">
        <v>255.0</v>
      </c>
      <c r="M793" s="20">
        <v>44.0</v>
      </c>
      <c r="N793" s="20">
        <v>4.0</v>
      </c>
      <c r="O793" s="20">
        <v>19.0</v>
      </c>
      <c r="P793" s="20">
        <f t="shared" si="2"/>
        <v>21</v>
      </c>
      <c r="Q793" s="21">
        <v>9.0</v>
      </c>
      <c r="R793" s="22">
        <f t="shared" si="3"/>
        <v>104.2261029</v>
      </c>
      <c r="S793" s="23">
        <f t="shared" si="4"/>
        <v>3.676470588</v>
      </c>
      <c r="T793" s="24">
        <f t="shared" si="5"/>
        <v>4.888888889</v>
      </c>
      <c r="U793" s="26">
        <f t="shared" si="6"/>
        <v>0.1750972763</v>
      </c>
      <c r="V793" s="26">
        <f t="shared" si="7"/>
        <v>0.2957198444</v>
      </c>
      <c r="W793" s="19">
        <f t="shared" si="8"/>
        <v>1.04</v>
      </c>
      <c r="X793" s="20">
        <f t="shared" si="9"/>
        <v>250</v>
      </c>
      <c r="Y793" s="27"/>
      <c r="Z793" s="17"/>
      <c r="AA793" s="28"/>
      <c r="AB793" s="17"/>
      <c r="AC793" s="28"/>
      <c r="AD793" s="27"/>
    </row>
    <row r="794" ht="15.75" customHeight="1">
      <c r="A794" s="27" t="s">
        <v>1976</v>
      </c>
      <c r="B794" s="27" t="s">
        <v>2267</v>
      </c>
      <c r="C794" s="16" t="s">
        <v>2268</v>
      </c>
      <c r="D794" s="17" t="s">
        <v>212</v>
      </c>
      <c r="E794" s="18" t="s">
        <v>34</v>
      </c>
      <c r="F794" s="18">
        <v>1.0</v>
      </c>
      <c r="G794" s="19">
        <f t="shared" si="10"/>
        <v>2.398631369</v>
      </c>
      <c r="H794" s="17">
        <v>68.0</v>
      </c>
      <c r="I794" s="10">
        <v>250.0</v>
      </c>
      <c r="J794" s="17">
        <v>5.0</v>
      </c>
      <c r="K794" s="17">
        <v>260.0</v>
      </c>
      <c r="L794" s="17">
        <v>255.0</v>
      </c>
      <c r="M794" s="20">
        <v>44.0</v>
      </c>
      <c r="N794" s="20">
        <v>4.0</v>
      </c>
      <c r="O794" s="20">
        <v>19.0</v>
      </c>
      <c r="P794" s="20">
        <f t="shared" si="2"/>
        <v>21</v>
      </c>
      <c r="Q794" s="21">
        <v>9.0</v>
      </c>
      <c r="R794" s="22">
        <f t="shared" si="3"/>
        <v>104.2261029</v>
      </c>
      <c r="S794" s="23">
        <f t="shared" si="4"/>
        <v>3.676470588</v>
      </c>
      <c r="T794" s="24">
        <f t="shared" si="5"/>
        <v>4.888888889</v>
      </c>
      <c r="U794" s="26">
        <f t="shared" si="6"/>
        <v>0.1750972763</v>
      </c>
      <c r="V794" s="26">
        <f t="shared" si="7"/>
        <v>0.2957198444</v>
      </c>
      <c r="W794" s="19">
        <f t="shared" si="8"/>
        <v>1.04</v>
      </c>
      <c r="X794" s="20">
        <f t="shared" si="9"/>
        <v>250</v>
      </c>
      <c r="Y794" s="27"/>
      <c r="Z794" s="17"/>
      <c r="AA794" s="28"/>
      <c r="AB794" s="17"/>
      <c r="AC794" s="28"/>
      <c r="AD794" s="16"/>
    </row>
    <row r="795" ht="15.75" customHeight="1">
      <c r="A795" s="16" t="s">
        <v>1976</v>
      </c>
      <c r="B795" s="16" t="s">
        <v>2269</v>
      </c>
      <c r="C795" s="16" t="s">
        <v>2270</v>
      </c>
      <c r="D795" s="17" t="s">
        <v>212</v>
      </c>
      <c r="E795" s="18" t="s">
        <v>34</v>
      </c>
      <c r="F795" s="18">
        <v>1.0</v>
      </c>
      <c r="G795" s="19">
        <f t="shared" si="10"/>
        <v>2.398631369</v>
      </c>
      <c r="H795" s="17">
        <v>68.0</v>
      </c>
      <c r="I795" s="10">
        <v>250.0</v>
      </c>
      <c r="J795" s="17">
        <v>5.0</v>
      </c>
      <c r="K795" s="17">
        <v>180.0</v>
      </c>
      <c r="L795" s="17">
        <v>270.0</v>
      </c>
      <c r="M795" s="20">
        <v>43.0</v>
      </c>
      <c r="N795" s="20">
        <v>5.0</v>
      </c>
      <c r="O795" s="20">
        <v>22.0</v>
      </c>
      <c r="P795" s="20">
        <f t="shared" si="2"/>
        <v>16</v>
      </c>
      <c r="Q795" s="21">
        <v>9.0</v>
      </c>
      <c r="R795" s="22">
        <f t="shared" si="3"/>
        <v>104.2261029</v>
      </c>
      <c r="S795" s="23">
        <f t="shared" si="4"/>
        <v>3.676470588</v>
      </c>
      <c r="T795" s="24">
        <f t="shared" si="5"/>
        <v>4.777777778</v>
      </c>
      <c r="U795" s="26">
        <f t="shared" si="6"/>
        <v>0.1778656126</v>
      </c>
      <c r="V795" s="26">
        <f t="shared" si="7"/>
        <v>0.347826087</v>
      </c>
      <c r="W795" s="19">
        <f t="shared" si="8"/>
        <v>0.72</v>
      </c>
      <c r="X795" s="20">
        <f t="shared" si="9"/>
        <v>250</v>
      </c>
      <c r="Y795" s="27"/>
      <c r="Z795" s="17"/>
      <c r="AA795" s="28"/>
      <c r="AB795" s="17"/>
      <c r="AC795" s="28"/>
      <c r="AD795" s="27"/>
    </row>
    <row r="796" ht="15.75" customHeight="1">
      <c r="A796" s="16" t="s">
        <v>1976</v>
      </c>
      <c r="B796" s="16" t="s">
        <v>2271</v>
      </c>
      <c r="C796" s="16" t="s">
        <v>2272</v>
      </c>
      <c r="D796" s="17" t="s">
        <v>212</v>
      </c>
      <c r="E796" s="18" t="s">
        <v>34</v>
      </c>
      <c r="F796" s="18">
        <v>1.0</v>
      </c>
      <c r="G796" s="19">
        <f t="shared" si="10"/>
        <v>2.398631369</v>
      </c>
      <c r="H796" s="17">
        <v>68.0</v>
      </c>
      <c r="I796" s="10">
        <v>250.0</v>
      </c>
      <c r="J796" s="17">
        <v>5.0</v>
      </c>
      <c r="K796" s="17">
        <v>180.0</v>
      </c>
      <c r="L796" s="17">
        <v>230.0</v>
      </c>
      <c r="M796" s="20">
        <v>44.0</v>
      </c>
      <c r="N796" s="20">
        <v>5.0</v>
      </c>
      <c r="O796" s="20">
        <v>22.0</v>
      </c>
      <c r="P796" s="20">
        <f t="shared" si="2"/>
        <v>17</v>
      </c>
      <c r="Q796" s="21">
        <v>10.0</v>
      </c>
      <c r="R796" s="22">
        <f t="shared" si="3"/>
        <v>104.2261029</v>
      </c>
      <c r="S796" s="23">
        <f t="shared" si="4"/>
        <v>3.676470588</v>
      </c>
      <c r="T796" s="24">
        <f t="shared" si="5"/>
        <v>4.4</v>
      </c>
      <c r="U796" s="26">
        <f t="shared" si="6"/>
        <v>0.1724137931</v>
      </c>
      <c r="V796" s="26">
        <f t="shared" si="7"/>
        <v>0.337164751</v>
      </c>
      <c r="W796" s="19">
        <f t="shared" si="8"/>
        <v>0.72</v>
      </c>
      <c r="X796" s="20">
        <f t="shared" si="9"/>
        <v>250</v>
      </c>
      <c r="Y796" s="27"/>
      <c r="Z796" s="17"/>
      <c r="AA796" s="28"/>
      <c r="AB796" s="17"/>
      <c r="AC796" s="28"/>
      <c r="AD796" s="27"/>
    </row>
    <row r="797" ht="15.75" customHeight="1">
      <c r="A797" s="27" t="s">
        <v>1976</v>
      </c>
      <c r="B797" s="27" t="s">
        <v>2273</v>
      </c>
      <c r="C797" s="16" t="s">
        <v>2274</v>
      </c>
      <c r="D797" s="17" t="s">
        <v>212</v>
      </c>
      <c r="E797" s="18" t="s">
        <v>34</v>
      </c>
      <c r="F797" s="18">
        <v>1.0</v>
      </c>
      <c r="G797" s="19">
        <f t="shared" si="10"/>
        <v>2.398631369</v>
      </c>
      <c r="H797" s="17">
        <v>68.0</v>
      </c>
      <c r="I797" s="10">
        <v>250.0</v>
      </c>
      <c r="J797" s="17">
        <v>5.0</v>
      </c>
      <c r="K797" s="17">
        <v>150.0</v>
      </c>
      <c r="L797" s="17">
        <v>240.0</v>
      </c>
      <c r="M797" s="20">
        <v>44.0</v>
      </c>
      <c r="N797" s="20">
        <v>5.0</v>
      </c>
      <c r="O797" s="20">
        <v>20.0</v>
      </c>
      <c r="P797" s="20">
        <f t="shared" si="2"/>
        <v>19</v>
      </c>
      <c r="Q797" s="21">
        <v>10.0</v>
      </c>
      <c r="R797" s="22">
        <f t="shared" si="3"/>
        <v>104.2261029</v>
      </c>
      <c r="S797" s="23">
        <f t="shared" si="4"/>
        <v>3.676470588</v>
      </c>
      <c r="T797" s="24">
        <f t="shared" si="5"/>
        <v>4.4</v>
      </c>
      <c r="U797" s="26">
        <f t="shared" si="6"/>
        <v>0.1724137931</v>
      </c>
      <c r="V797" s="26">
        <f t="shared" si="7"/>
        <v>0.30651341</v>
      </c>
      <c r="W797" s="19">
        <f t="shared" si="8"/>
        <v>0.6</v>
      </c>
      <c r="X797" s="20">
        <f t="shared" si="9"/>
        <v>250</v>
      </c>
      <c r="Y797" s="27"/>
      <c r="Z797" s="17"/>
      <c r="AA797" s="28"/>
      <c r="AB797" s="17"/>
      <c r="AC797" s="28"/>
      <c r="AD797" s="27"/>
    </row>
    <row r="798" ht="15.75" customHeight="1">
      <c r="A798" s="27" t="s">
        <v>1976</v>
      </c>
      <c r="B798" s="27" t="s">
        <v>2275</v>
      </c>
      <c r="C798" s="16" t="s">
        <v>2276</v>
      </c>
      <c r="D798" s="17" t="s">
        <v>212</v>
      </c>
      <c r="E798" s="18" t="s">
        <v>34</v>
      </c>
      <c r="F798" s="18">
        <v>1.0</v>
      </c>
      <c r="G798" s="19">
        <f t="shared" si="10"/>
        <v>2.398631369</v>
      </c>
      <c r="H798" s="17">
        <v>68.0</v>
      </c>
      <c r="I798" s="10">
        <v>250.0</v>
      </c>
      <c r="J798" s="17">
        <v>6.0</v>
      </c>
      <c r="K798" s="17">
        <v>180.0</v>
      </c>
      <c r="L798" s="17">
        <v>200.0</v>
      </c>
      <c r="M798" s="20">
        <v>43.0</v>
      </c>
      <c r="N798" s="20">
        <v>5.0</v>
      </c>
      <c r="O798" s="20">
        <v>21.0</v>
      </c>
      <c r="P798" s="20">
        <f t="shared" si="2"/>
        <v>17</v>
      </c>
      <c r="Q798" s="21">
        <v>10.0</v>
      </c>
      <c r="R798" s="22">
        <f t="shared" si="3"/>
        <v>104.2261029</v>
      </c>
      <c r="S798" s="23">
        <f t="shared" si="4"/>
        <v>3.676470588</v>
      </c>
      <c r="T798" s="24">
        <f t="shared" si="5"/>
        <v>4.3</v>
      </c>
      <c r="U798" s="26">
        <f t="shared" si="6"/>
        <v>0.2030075188</v>
      </c>
      <c r="V798" s="26">
        <f t="shared" si="7"/>
        <v>0.3157894737</v>
      </c>
      <c r="W798" s="19">
        <f t="shared" si="8"/>
        <v>0.72</v>
      </c>
      <c r="X798" s="20">
        <f t="shared" si="9"/>
        <v>250</v>
      </c>
      <c r="Y798" s="27"/>
      <c r="Z798" s="17"/>
      <c r="AA798" s="28"/>
      <c r="AB798" s="17"/>
      <c r="AC798" s="28"/>
      <c r="AD798" s="16"/>
    </row>
    <row r="799" ht="15.75" customHeight="1">
      <c r="A799" s="27" t="s">
        <v>1976</v>
      </c>
      <c r="B799" s="27" t="s">
        <v>2277</v>
      </c>
      <c r="C799" s="16" t="s">
        <v>2278</v>
      </c>
      <c r="D799" s="17" t="s">
        <v>212</v>
      </c>
      <c r="E799" s="18" t="s">
        <v>34</v>
      </c>
      <c r="F799" s="18">
        <v>1.0</v>
      </c>
      <c r="G799" s="19">
        <f t="shared" si="10"/>
        <v>2.398631369</v>
      </c>
      <c r="H799" s="17">
        <v>68.0</v>
      </c>
      <c r="I799" s="10">
        <v>250.0</v>
      </c>
      <c r="J799" s="17">
        <v>6.0</v>
      </c>
      <c r="K799" s="17">
        <v>190.0</v>
      </c>
      <c r="L799" s="17">
        <v>210.0</v>
      </c>
      <c r="M799" s="20">
        <v>42.0</v>
      </c>
      <c r="N799" s="20">
        <v>5.0</v>
      </c>
      <c r="O799" s="20">
        <v>21.0</v>
      </c>
      <c r="P799" s="20">
        <f t="shared" si="2"/>
        <v>16</v>
      </c>
      <c r="Q799" s="21">
        <v>10.0</v>
      </c>
      <c r="R799" s="22">
        <f t="shared" si="3"/>
        <v>104.2261029</v>
      </c>
      <c r="S799" s="23">
        <f t="shared" si="4"/>
        <v>3.676470588</v>
      </c>
      <c r="T799" s="24">
        <f t="shared" si="5"/>
        <v>4.2</v>
      </c>
      <c r="U799" s="26">
        <f t="shared" si="6"/>
        <v>0.2061068702</v>
      </c>
      <c r="V799" s="26">
        <f t="shared" si="7"/>
        <v>0.320610687</v>
      </c>
      <c r="W799" s="19">
        <f t="shared" si="8"/>
        <v>0.76</v>
      </c>
      <c r="X799" s="20">
        <f t="shared" si="9"/>
        <v>250</v>
      </c>
      <c r="Y799" s="27"/>
      <c r="Z799" s="17"/>
      <c r="AA799" s="28"/>
      <c r="AB799" s="17"/>
      <c r="AC799" s="28"/>
      <c r="AD799" s="16"/>
    </row>
    <row r="800" ht="15.75" customHeight="1">
      <c r="A800" s="27" t="s">
        <v>2279</v>
      </c>
      <c r="B800" s="27" t="s">
        <v>2280</v>
      </c>
      <c r="C800" s="16" t="s">
        <v>2281</v>
      </c>
      <c r="D800" s="17" t="s">
        <v>99</v>
      </c>
      <c r="E800" s="18" t="s">
        <v>34</v>
      </c>
      <c r="F800" s="18">
        <v>1.0</v>
      </c>
      <c r="G800" s="19">
        <f t="shared" si="10"/>
        <v>1.728425545</v>
      </c>
      <c r="H800" s="17">
        <v>49.0</v>
      </c>
      <c r="I800" s="10">
        <v>180.0</v>
      </c>
      <c r="J800" s="17">
        <v>1.0</v>
      </c>
      <c r="K800" s="17">
        <v>40.0</v>
      </c>
      <c r="L800" s="17">
        <v>20.0</v>
      </c>
      <c r="M800" s="20">
        <v>31.0</v>
      </c>
      <c r="N800" s="20">
        <v>0.0</v>
      </c>
      <c r="O800" s="20">
        <v>0.0</v>
      </c>
      <c r="P800" s="20">
        <f t="shared" si="2"/>
        <v>31</v>
      </c>
      <c r="Q800" s="21">
        <v>10.0</v>
      </c>
      <c r="R800" s="22">
        <f t="shared" si="3"/>
        <v>104.1410204</v>
      </c>
      <c r="S800" s="23">
        <f t="shared" si="4"/>
        <v>3.673469388</v>
      </c>
      <c r="T800" s="24">
        <f t="shared" si="5"/>
        <v>3.1</v>
      </c>
      <c r="U800" s="26">
        <f t="shared" si="6"/>
        <v>0.05202312139</v>
      </c>
      <c r="V800" s="26" t="str">
        <f t="shared" si="7"/>
        <v>0%</v>
      </c>
      <c r="W800" s="19">
        <f t="shared" si="8"/>
        <v>0.2222222222</v>
      </c>
      <c r="X800" s="20">
        <f t="shared" si="9"/>
        <v>180</v>
      </c>
      <c r="Y800" s="27"/>
      <c r="Z800" s="17"/>
      <c r="AA800" s="28"/>
      <c r="AB800" s="17"/>
      <c r="AC800" s="28"/>
      <c r="AD800" s="16"/>
    </row>
    <row r="801" ht="15.75" customHeight="1">
      <c r="A801" s="16" t="s">
        <v>1271</v>
      </c>
      <c r="B801" s="16" t="s">
        <v>2282</v>
      </c>
      <c r="C801" s="16" t="s">
        <v>2283</v>
      </c>
      <c r="D801" s="17" t="s">
        <v>456</v>
      </c>
      <c r="E801" s="18" t="s">
        <v>34</v>
      </c>
      <c r="F801" s="18">
        <v>1.0</v>
      </c>
      <c r="G801" s="19">
        <f t="shared" si="10"/>
        <v>3.174659165</v>
      </c>
      <c r="H801" s="17">
        <v>90.0</v>
      </c>
      <c r="I801" s="10">
        <v>330.0</v>
      </c>
      <c r="J801" s="17">
        <v>12.0</v>
      </c>
      <c r="K801" s="17">
        <v>440.0</v>
      </c>
      <c r="L801" s="17"/>
      <c r="M801" s="20">
        <v>53.0</v>
      </c>
      <c r="N801" s="20">
        <v>2.0</v>
      </c>
      <c r="O801" s="20">
        <v>37.0</v>
      </c>
      <c r="P801" s="20">
        <f t="shared" si="2"/>
        <v>14</v>
      </c>
      <c r="Q801" s="21">
        <v>2.0</v>
      </c>
      <c r="R801" s="22">
        <f t="shared" si="3"/>
        <v>103.9481667</v>
      </c>
      <c r="S801" s="23">
        <f t="shared" si="4"/>
        <v>3.666666667</v>
      </c>
      <c r="T801" s="24">
        <f t="shared" si="5"/>
        <v>26.5</v>
      </c>
      <c r="U801" s="26">
        <f t="shared" si="6"/>
        <v>0.3292682927</v>
      </c>
      <c r="V801" s="26">
        <f t="shared" si="7"/>
        <v>0.4512195122</v>
      </c>
      <c r="W801" s="19">
        <f t="shared" si="8"/>
        <v>1.333333333</v>
      </c>
      <c r="X801" s="20">
        <f t="shared" si="9"/>
        <v>330</v>
      </c>
      <c r="Y801" s="27"/>
      <c r="Z801" s="17"/>
      <c r="AA801" s="28"/>
      <c r="AB801" s="17"/>
      <c r="AC801" s="28"/>
      <c r="AD801" s="27"/>
    </row>
    <row r="802" ht="15.75" customHeight="1">
      <c r="A802" s="27" t="s">
        <v>1912</v>
      </c>
      <c r="B802" s="27" t="s">
        <v>2284</v>
      </c>
      <c r="C802" s="16" t="s">
        <v>2285</v>
      </c>
      <c r="D802" s="17" t="s">
        <v>119</v>
      </c>
      <c r="E802" s="18" t="s">
        <v>34</v>
      </c>
      <c r="F802" s="18">
        <v>1.0</v>
      </c>
      <c r="G802" s="19">
        <f t="shared" si="10"/>
        <v>2.116439443</v>
      </c>
      <c r="H802" s="17">
        <v>60.0</v>
      </c>
      <c r="I802" s="10">
        <v>220.0</v>
      </c>
      <c r="J802" s="17">
        <v>1.5</v>
      </c>
      <c r="K802" s="17">
        <v>650.0</v>
      </c>
      <c r="L802" s="17"/>
      <c r="M802" s="20">
        <v>43.0</v>
      </c>
      <c r="N802" s="20">
        <v>2.0</v>
      </c>
      <c r="O802" s="20">
        <v>2.0</v>
      </c>
      <c r="P802" s="20">
        <f t="shared" si="2"/>
        <v>39</v>
      </c>
      <c r="Q802" s="21">
        <v>7.0</v>
      </c>
      <c r="R802" s="22">
        <f t="shared" si="3"/>
        <v>103.9481667</v>
      </c>
      <c r="S802" s="23">
        <f t="shared" si="4"/>
        <v>3.666666667</v>
      </c>
      <c r="T802" s="24">
        <f t="shared" si="5"/>
        <v>6.142857143</v>
      </c>
      <c r="U802" s="26">
        <f t="shared" si="6"/>
        <v>0.06323185012</v>
      </c>
      <c r="V802" s="26">
        <f t="shared" si="7"/>
        <v>0.037470726</v>
      </c>
      <c r="W802" s="19">
        <f t="shared" si="8"/>
        <v>2.954545455</v>
      </c>
      <c r="X802" s="20">
        <f t="shared" si="9"/>
        <v>220</v>
      </c>
      <c r="Y802" s="27"/>
      <c r="Z802" s="17"/>
      <c r="AA802" s="28"/>
      <c r="AB802" s="17"/>
      <c r="AC802" s="28"/>
      <c r="AD802" s="27"/>
    </row>
    <row r="803" ht="15.75" customHeight="1">
      <c r="A803" s="27" t="s">
        <v>2165</v>
      </c>
      <c r="B803" s="27" t="s">
        <v>2286</v>
      </c>
      <c r="C803" s="16" t="s">
        <v>2287</v>
      </c>
      <c r="D803" s="17" t="s">
        <v>563</v>
      </c>
      <c r="E803" s="18" t="s">
        <v>34</v>
      </c>
      <c r="F803" s="18">
        <v>1.0</v>
      </c>
      <c r="G803" s="19">
        <f t="shared" si="10"/>
        <v>2.116439443</v>
      </c>
      <c r="H803" s="17">
        <v>60.0</v>
      </c>
      <c r="I803" s="10">
        <v>220.0</v>
      </c>
      <c r="J803" s="17">
        <v>3.0</v>
      </c>
      <c r="K803" s="17">
        <v>210.0</v>
      </c>
      <c r="L803" s="17">
        <v>200.0</v>
      </c>
      <c r="M803" s="20">
        <v>41.0</v>
      </c>
      <c r="N803" s="20">
        <v>5.0</v>
      </c>
      <c r="O803" s="20">
        <v>13.0</v>
      </c>
      <c r="P803" s="20">
        <f t="shared" si="2"/>
        <v>23</v>
      </c>
      <c r="Q803" s="21">
        <v>10.0</v>
      </c>
      <c r="R803" s="22">
        <f t="shared" si="3"/>
        <v>103.9481667</v>
      </c>
      <c r="S803" s="23">
        <f t="shared" si="4"/>
        <v>3.666666667</v>
      </c>
      <c r="T803" s="24">
        <f t="shared" si="5"/>
        <v>4.1</v>
      </c>
      <c r="U803" s="26">
        <f t="shared" si="6"/>
        <v>0.1168831169</v>
      </c>
      <c r="V803" s="26">
        <f t="shared" si="7"/>
        <v>0.2251082251</v>
      </c>
      <c r="W803" s="19">
        <f t="shared" si="8"/>
        <v>0.9545454545</v>
      </c>
      <c r="X803" s="20">
        <f t="shared" si="9"/>
        <v>220</v>
      </c>
      <c r="Y803" s="27"/>
      <c r="Z803" s="17"/>
      <c r="AA803" s="28"/>
      <c r="AB803" s="17"/>
      <c r="AC803" s="28"/>
      <c r="AD803" s="27"/>
    </row>
    <row r="804" ht="15.75" customHeight="1">
      <c r="A804" s="27" t="s">
        <v>2165</v>
      </c>
      <c r="B804" s="27" t="s">
        <v>2288</v>
      </c>
      <c r="C804" s="16" t="s">
        <v>2289</v>
      </c>
      <c r="D804" s="17" t="s">
        <v>563</v>
      </c>
      <c r="E804" s="18" t="s">
        <v>34</v>
      </c>
      <c r="F804" s="18">
        <v>1.0</v>
      </c>
      <c r="G804" s="19">
        <f t="shared" si="10"/>
        <v>2.116439443</v>
      </c>
      <c r="H804" s="17">
        <v>60.0</v>
      </c>
      <c r="I804" s="10">
        <v>220.0</v>
      </c>
      <c r="J804" s="17">
        <v>3.0</v>
      </c>
      <c r="K804" s="17">
        <v>270.0</v>
      </c>
      <c r="L804" s="17">
        <v>170.0</v>
      </c>
      <c r="M804" s="20">
        <v>41.0</v>
      </c>
      <c r="N804" s="20">
        <v>4.0</v>
      </c>
      <c r="O804" s="20">
        <v>13.0</v>
      </c>
      <c r="P804" s="20">
        <f t="shared" si="2"/>
        <v>24</v>
      </c>
      <c r="Q804" s="21">
        <v>10.0</v>
      </c>
      <c r="R804" s="22">
        <f t="shared" si="3"/>
        <v>103.9481667</v>
      </c>
      <c r="S804" s="23">
        <f t="shared" si="4"/>
        <v>3.666666667</v>
      </c>
      <c r="T804" s="24">
        <f t="shared" si="5"/>
        <v>4.1</v>
      </c>
      <c r="U804" s="26">
        <f t="shared" si="6"/>
        <v>0.1168831169</v>
      </c>
      <c r="V804" s="26">
        <f t="shared" si="7"/>
        <v>0.2251082251</v>
      </c>
      <c r="W804" s="19">
        <f t="shared" si="8"/>
        <v>1.227272727</v>
      </c>
      <c r="X804" s="20">
        <f t="shared" si="9"/>
        <v>220</v>
      </c>
      <c r="Y804" s="27"/>
      <c r="Z804" s="17"/>
      <c r="AA804" s="28"/>
      <c r="AB804" s="17"/>
      <c r="AC804" s="28"/>
      <c r="AD804" s="27"/>
    </row>
    <row r="805" ht="15.75" customHeight="1">
      <c r="A805" s="27" t="s">
        <v>2290</v>
      </c>
      <c r="B805" s="27" t="s">
        <v>2291</v>
      </c>
      <c r="C805" s="16" t="s">
        <v>2292</v>
      </c>
      <c r="D805" s="17" t="s">
        <v>212</v>
      </c>
      <c r="E805" s="18" t="s">
        <v>34</v>
      </c>
      <c r="F805" s="18">
        <v>1.0</v>
      </c>
      <c r="G805" s="19">
        <f t="shared" si="10"/>
        <v>2.116439443</v>
      </c>
      <c r="H805" s="17">
        <v>60.0</v>
      </c>
      <c r="I805" s="10">
        <v>220.0</v>
      </c>
      <c r="J805" s="17">
        <v>12.0</v>
      </c>
      <c r="K805" s="17">
        <v>230.0</v>
      </c>
      <c r="L805" s="17"/>
      <c r="M805" s="20">
        <v>19.0</v>
      </c>
      <c r="N805" s="20">
        <v>12.0</v>
      </c>
      <c r="O805" s="20">
        <v>1.0</v>
      </c>
      <c r="P805" s="20">
        <f t="shared" si="2"/>
        <v>6</v>
      </c>
      <c r="Q805" s="21">
        <v>21.0</v>
      </c>
      <c r="R805" s="22">
        <f t="shared" si="3"/>
        <v>103.9481667</v>
      </c>
      <c r="S805" s="23">
        <f t="shared" si="4"/>
        <v>3.666666667</v>
      </c>
      <c r="T805" s="24">
        <f t="shared" si="5"/>
        <v>0.9047619048</v>
      </c>
      <c r="U805" s="26">
        <f t="shared" si="6"/>
        <v>0.4029850746</v>
      </c>
      <c r="V805" s="26">
        <f t="shared" si="7"/>
        <v>0.01492537313</v>
      </c>
      <c r="W805" s="19">
        <f t="shared" si="8"/>
        <v>1.045454545</v>
      </c>
      <c r="X805" s="20">
        <f t="shared" si="9"/>
        <v>220</v>
      </c>
      <c r="Y805" s="27"/>
      <c r="Z805" s="17"/>
      <c r="AA805" s="28"/>
      <c r="AB805" s="17"/>
      <c r="AC805" s="28"/>
      <c r="AD805" s="27"/>
    </row>
    <row r="806" ht="15.75" customHeight="1">
      <c r="A806" s="27" t="s">
        <v>2293</v>
      </c>
      <c r="B806" s="27" t="s">
        <v>2294</v>
      </c>
      <c r="C806" s="16" t="s">
        <v>2295</v>
      </c>
      <c r="D806" s="17" t="s">
        <v>119</v>
      </c>
      <c r="E806" s="18" t="s">
        <v>34</v>
      </c>
      <c r="F806" s="18">
        <v>1.0</v>
      </c>
      <c r="G806" s="19">
        <f t="shared" si="10"/>
        <v>2.504453341</v>
      </c>
      <c r="H806" s="17">
        <v>71.0</v>
      </c>
      <c r="I806" s="10">
        <v>260.0</v>
      </c>
      <c r="J806" s="17">
        <v>4.5</v>
      </c>
      <c r="K806" s="17">
        <v>500.0</v>
      </c>
      <c r="L806" s="17"/>
      <c r="M806" s="20">
        <v>47.0</v>
      </c>
      <c r="N806" s="20">
        <v>2.0</v>
      </c>
      <c r="O806" s="20">
        <v>4.0</v>
      </c>
      <c r="P806" s="20">
        <f t="shared" si="2"/>
        <v>41</v>
      </c>
      <c r="Q806" s="21">
        <v>10.0</v>
      </c>
      <c r="R806" s="22">
        <f t="shared" si="3"/>
        <v>103.8150704</v>
      </c>
      <c r="S806" s="23">
        <f t="shared" si="4"/>
        <v>3.661971831</v>
      </c>
      <c r="T806" s="24">
        <f t="shared" si="5"/>
        <v>4.7</v>
      </c>
      <c r="U806" s="26">
        <f t="shared" si="6"/>
        <v>0.1508379888</v>
      </c>
      <c r="V806" s="26">
        <f t="shared" si="7"/>
        <v>0.05959031657</v>
      </c>
      <c r="W806" s="19">
        <f t="shared" si="8"/>
        <v>1.923076923</v>
      </c>
      <c r="X806" s="20">
        <f t="shared" si="9"/>
        <v>260</v>
      </c>
      <c r="Y806" s="16"/>
      <c r="Z806" s="17"/>
      <c r="AA806" s="28"/>
      <c r="AB806" s="17"/>
      <c r="AC806" s="28"/>
      <c r="AD806" s="16"/>
    </row>
    <row r="807" ht="15.75" customHeight="1">
      <c r="A807" s="27" t="s">
        <v>104</v>
      </c>
      <c r="B807" s="27" t="s">
        <v>2296</v>
      </c>
      <c r="C807" s="16" t="s">
        <v>2297</v>
      </c>
      <c r="D807" s="17" t="s">
        <v>81</v>
      </c>
      <c r="E807" s="18" t="s">
        <v>34</v>
      </c>
      <c r="F807" s="18">
        <v>1.0</v>
      </c>
      <c r="G807" s="19">
        <f t="shared" si="10"/>
        <v>1.44623362</v>
      </c>
      <c r="H807" s="17">
        <v>41.0</v>
      </c>
      <c r="I807" s="10">
        <v>150.0</v>
      </c>
      <c r="J807" s="17">
        <v>0.0</v>
      </c>
      <c r="K807" s="17">
        <v>25.0</v>
      </c>
      <c r="L807" s="17"/>
      <c r="M807" s="20">
        <v>37.0</v>
      </c>
      <c r="N807" s="20">
        <v>1.0</v>
      </c>
      <c r="O807" s="20">
        <v>33.0</v>
      </c>
      <c r="P807" s="20">
        <f t="shared" si="2"/>
        <v>3</v>
      </c>
      <c r="Q807" s="21">
        <v>0.0</v>
      </c>
      <c r="R807" s="22">
        <f t="shared" si="3"/>
        <v>103.7176829</v>
      </c>
      <c r="S807" s="23">
        <f t="shared" si="4"/>
        <v>3.658536585</v>
      </c>
      <c r="T807" s="24" t="str">
        <f t="shared" si="5"/>
        <v>N/A</v>
      </c>
      <c r="U807" s="26" t="str">
        <f t="shared" si="6"/>
        <v>0%</v>
      </c>
      <c r="V807" s="26">
        <f t="shared" si="7"/>
        <v>0.8918918919</v>
      </c>
      <c r="W807" s="19">
        <f t="shared" si="8"/>
        <v>0.1666666667</v>
      </c>
      <c r="X807" s="20">
        <f t="shared" si="9"/>
        <v>150</v>
      </c>
      <c r="Y807" s="27"/>
      <c r="Z807" s="17"/>
      <c r="AA807" s="28"/>
      <c r="AB807" s="17"/>
      <c r="AC807" s="28"/>
      <c r="AD807" s="27"/>
    </row>
    <row r="808" ht="15.75" customHeight="1">
      <c r="A808" s="16" t="s">
        <v>2298</v>
      </c>
      <c r="B808" s="16" t="s">
        <v>2299</v>
      </c>
      <c r="C808" s="16" t="s">
        <v>2300</v>
      </c>
      <c r="D808" s="17" t="s">
        <v>130</v>
      </c>
      <c r="E808" s="18" t="s">
        <v>34</v>
      </c>
      <c r="F808" s="18">
        <v>1.0</v>
      </c>
      <c r="G808" s="19">
        <f t="shared" si="10"/>
        <v>1.44623362</v>
      </c>
      <c r="H808" s="17">
        <v>41.0</v>
      </c>
      <c r="I808" s="10">
        <v>150.0</v>
      </c>
      <c r="J808" s="17">
        <v>3.0</v>
      </c>
      <c r="K808" s="17">
        <v>15.0</v>
      </c>
      <c r="L808" s="17"/>
      <c r="M808" s="20">
        <v>33.0</v>
      </c>
      <c r="N808" s="20">
        <v>1.0</v>
      </c>
      <c r="O808" s="20">
        <v>27.0</v>
      </c>
      <c r="P808" s="20">
        <f t="shared" si="2"/>
        <v>5</v>
      </c>
      <c r="Q808" s="21">
        <v>1.0</v>
      </c>
      <c r="R808" s="22">
        <f t="shared" si="3"/>
        <v>103.7176829</v>
      </c>
      <c r="S808" s="23">
        <f t="shared" si="4"/>
        <v>3.658536585</v>
      </c>
      <c r="T808" s="24">
        <f t="shared" si="5"/>
        <v>33</v>
      </c>
      <c r="U808" s="26">
        <f t="shared" si="6"/>
        <v>0.1656441718</v>
      </c>
      <c r="V808" s="26">
        <f t="shared" si="7"/>
        <v>0.6625766871</v>
      </c>
      <c r="W808" s="19">
        <f t="shared" si="8"/>
        <v>0.1</v>
      </c>
      <c r="X808" s="20">
        <f t="shared" si="9"/>
        <v>150</v>
      </c>
      <c r="Y808" s="27"/>
      <c r="Z808" s="17"/>
      <c r="AA808" s="28"/>
      <c r="AB808" s="17"/>
      <c r="AC808" s="28"/>
      <c r="AD808" s="27"/>
    </row>
    <row r="809" ht="15.75" customHeight="1">
      <c r="A809" s="27" t="s">
        <v>1912</v>
      </c>
      <c r="B809" s="27" t="s">
        <v>2301</v>
      </c>
      <c r="C809" s="16" t="s">
        <v>2302</v>
      </c>
      <c r="D809" s="17" t="s">
        <v>119</v>
      </c>
      <c r="E809" s="18" t="s">
        <v>34</v>
      </c>
      <c r="F809" s="18">
        <v>1.0</v>
      </c>
      <c r="G809" s="19">
        <f t="shared" si="10"/>
        <v>2.222261416</v>
      </c>
      <c r="H809" s="17">
        <v>63.0</v>
      </c>
      <c r="I809" s="10">
        <v>230.0</v>
      </c>
      <c r="J809" s="17">
        <v>2.0</v>
      </c>
      <c r="K809" s="17">
        <v>700.0</v>
      </c>
      <c r="L809" s="17"/>
      <c r="M809" s="20">
        <v>45.0</v>
      </c>
      <c r="N809" s="20">
        <v>2.0</v>
      </c>
      <c r="O809" s="20">
        <v>4.0</v>
      </c>
      <c r="P809" s="20">
        <f t="shared" si="2"/>
        <v>39</v>
      </c>
      <c r="Q809" s="21">
        <v>8.0</v>
      </c>
      <c r="R809" s="22">
        <f t="shared" si="3"/>
        <v>103.4981746</v>
      </c>
      <c r="S809" s="23">
        <f t="shared" si="4"/>
        <v>3.650793651</v>
      </c>
      <c r="T809" s="24">
        <f t="shared" si="5"/>
        <v>5.625</v>
      </c>
      <c r="U809" s="26">
        <f t="shared" si="6"/>
        <v>0.07826086957</v>
      </c>
      <c r="V809" s="26">
        <f t="shared" si="7"/>
        <v>0.06956521739</v>
      </c>
      <c r="W809" s="19">
        <f t="shared" si="8"/>
        <v>3.043478261</v>
      </c>
      <c r="X809" s="20">
        <f t="shared" si="9"/>
        <v>230</v>
      </c>
      <c r="Y809" s="16"/>
      <c r="Z809" s="17"/>
      <c r="AA809" s="28"/>
      <c r="AB809" s="17"/>
      <c r="AC809" s="28"/>
      <c r="AD809" s="16"/>
    </row>
    <row r="810" ht="15.75" customHeight="1">
      <c r="A810" s="27" t="s">
        <v>2303</v>
      </c>
      <c r="B810" s="27" t="s">
        <v>2304</v>
      </c>
      <c r="C810" s="16" t="s">
        <v>2305</v>
      </c>
      <c r="D810" s="17" t="s">
        <v>99</v>
      </c>
      <c r="E810" s="18" t="s">
        <v>34</v>
      </c>
      <c r="F810" s="18">
        <v>1.0</v>
      </c>
      <c r="G810" s="19">
        <f t="shared" si="10"/>
        <v>2.610275313</v>
      </c>
      <c r="H810" s="17">
        <v>74.0</v>
      </c>
      <c r="I810" s="10">
        <v>270.0</v>
      </c>
      <c r="J810" s="17">
        <v>1.5</v>
      </c>
      <c r="K810" s="17">
        <v>220.0</v>
      </c>
      <c r="L810" s="17">
        <v>180.0</v>
      </c>
      <c r="M810" s="20">
        <v>52.0</v>
      </c>
      <c r="N810" s="20">
        <v>1.0</v>
      </c>
      <c r="O810" s="20">
        <v>39.0</v>
      </c>
      <c r="P810" s="20">
        <f t="shared" si="2"/>
        <v>12</v>
      </c>
      <c r="Q810" s="21">
        <v>13.0</v>
      </c>
      <c r="R810" s="22">
        <f t="shared" si="3"/>
        <v>103.4373649</v>
      </c>
      <c r="S810" s="23">
        <f t="shared" si="4"/>
        <v>3.648648649</v>
      </c>
      <c r="T810" s="24">
        <f t="shared" si="5"/>
        <v>4</v>
      </c>
      <c r="U810" s="26">
        <f t="shared" si="6"/>
        <v>0.04936014625</v>
      </c>
      <c r="V810" s="26">
        <f t="shared" si="7"/>
        <v>0.5703839122</v>
      </c>
      <c r="W810" s="19">
        <f t="shared" si="8"/>
        <v>0.8148148148</v>
      </c>
      <c r="X810" s="20">
        <f t="shared" si="9"/>
        <v>270</v>
      </c>
      <c r="Y810" s="27"/>
      <c r="Z810" s="17"/>
      <c r="AA810" s="28"/>
      <c r="AB810" s="17"/>
      <c r="AC810" s="28"/>
      <c r="AD810" s="27"/>
    </row>
    <row r="811" ht="15.75" customHeight="1">
      <c r="A811" s="27" t="s">
        <v>2197</v>
      </c>
      <c r="B811" s="27" t="s">
        <v>2306</v>
      </c>
      <c r="C811" s="16" t="s">
        <v>2307</v>
      </c>
      <c r="D811" s="17" t="s">
        <v>119</v>
      </c>
      <c r="E811" s="18" t="s">
        <v>34</v>
      </c>
      <c r="F811" s="18">
        <v>1.0</v>
      </c>
      <c r="G811" s="19">
        <f t="shared" si="10"/>
        <v>2.328083388</v>
      </c>
      <c r="H811" s="17">
        <v>66.0</v>
      </c>
      <c r="I811" s="10">
        <v>240.0</v>
      </c>
      <c r="J811" s="17">
        <v>2.0</v>
      </c>
      <c r="K811" s="17">
        <v>580.0</v>
      </c>
      <c r="L811" s="17"/>
      <c r="M811" s="20">
        <v>49.0</v>
      </c>
      <c r="N811" s="20">
        <v>2.0</v>
      </c>
      <c r="O811" s="20">
        <v>3.0</v>
      </c>
      <c r="P811" s="20">
        <f t="shared" si="2"/>
        <v>44</v>
      </c>
      <c r="Q811" s="21">
        <v>7.0</v>
      </c>
      <c r="R811" s="22">
        <f t="shared" si="3"/>
        <v>103.0890909</v>
      </c>
      <c r="S811" s="23">
        <f t="shared" si="4"/>
        <v>3.636363636</v>
      </c>
      <c r="T811" s="24">
        <f t="shared" si="5"/>
        <v>7</v>
      </c>
      <c r="U811" s="26">
        <f t="shared" si="6"/>
        <v>0.07438016529</v>
      </c>
      <c r="V811" s="26">
        <f t="shared" si="7"/>
        <v>0.04958677686</v>
      </c>
      <c r="W811" s="19">
        <f t="shared" si="8"/>
        <v>2.416666667</v>
      </c>
      <c r="X811" s="20">
        <f t="shared" si="9"/>
        <v>240</v>
      </c>
      <c r="Y811" s="27"/>
      <c r="Z811" s="17"/>
      <c r="AA811" s="28"/>
      <c r="AB811" s="17"/>
      <c r="AC811" s="28"/>
      <c r="AD811" s="27"/>
    </row>
    <row r="812" ht="15.75" customHeight="1">
      <c r="A812" s="16" t="s">
        <v>2197</v>
      </c>
      <c r="B812" s="16" t="s">
        <v>2308</v>
      </c>
      <c r="C812" s="16" t="s">
        <v>2309</v>
      </c>
      <c r="D812" s="17" t="s">
        <v>119</v>
      </c>
      <c r="E812" s="18" t="s">
        <v>34</v>
      </c>
      <c r="F812" s="18">
        <v>1.0</v>
      </c>
      <c r="G812" s="19">
        <f t="shared" si="10"/>
        <v>2.328083388</v>
      </c>
      <c r="H812" s="17">
        <v>66.0</v>
      </c>
      <c r="I812" s="10">
        <v>240.0</v>
      </c>
      <c r="J812" s="17">
        <v>1.5</v>
      </c>
      <c r="K812" s="17">
        <v>580.0</v>
      </c>
      <c r="L812" s="17"/>
      <c r="M812" s="20">
        <v>49.0</v>
      </c>
      <c r="N812" s="20">
        <v>2.0</v>
      </c>
      <c r="O812" s="20">
        <v>3.0</v>
      </c>
      <c r="P812" s="20">
        <f t="shared" si="2"/>
        <v>44</v>
      </c>
      <c r="Q812" s="21">
        <v>7.0</v>
      </c>
      <c r="R812" s="22">
        <f t="shared" si="3"/>
        <v>103.0890909</v>
      </c>
      <c r="S812" s="23">
        <f t="shared" si="4"/>
        <v>3.636363636</v>
      </c>
      <c r="T812" s="24">
        <f t="shared" si="5"/>
        <v>7</v>
      </c>
      <c r="U812" s="26">
        <f t="shared" si="6"/>
        <v>0.05684210526</v>
      </c>
      <c r="V812" s="26">
        <f t="shared" si="7"/>
        <v>0.05052631579</v>
      </c>
      <c r="W812" s="19">
        <f t="shared" si="8"/>
        <v>2.416666667</v>
      </c>
      <c r="X812" s="20">
        <f t="shared" si="9"/>
        <v>240</v>
      </c>
      <c r="Y812" s="27"/>
      <c r="Z812" s="17"/>
      <c r="AA812" s="28"/>
      <c r="AB812" s="17"/>
      <c r="AC812" s="28"/>
      <c r="AD812" s="27"/>
    </row>
    <row r="813" ht="15.75" customHeight="1">
      <c r="A813" s="16" t="s">
        <v>2248</v>
      </c>
      <c r="B813" s="16" t="s">
        <v>2310</v>
      </c>
      <c r="C813" s="16" t="s">
        <v>2311</v>
      </c>
      <c r="D813" s="17" t="s">
        <v>119</v>
      </c>
      <c r="E813" s="18" t="s">
        <v>34</v>
      </c>
      <c r="F813" s="18">
        <v>1.0</v>
      </c>
      <c r="G813" s="19">
        <f t="shared" si="10"/>
        <v>2.328083388</v>
      </c>
      <c r="H813" s="17">
        <v>66.0</v>
      </c>
      <c r="I813" s="10">
        <v>240.0</v>
      </c>
      <c r="J813" s="17">
        <v>2.0</v>
      </c>
      <c r="K813" s="17">
        <v>530.0</v>
      </c>
      <c r="L813" s="17"/>
      <c r="M813" s="20">
        <v>48.0</v>
      </c>
      <c r="N813" s="20">
        <v>2.0</v>
      </c>
      <c r="O813" s="20">
        <v>4.0</v>
      </c>
      <c r="P813" s="20">
        <f t="shared" si="2"/>
        <v>42</v>
      </c>
      <c r="Q813" s="21">
        <v>8.0</v>
      </c>
      <c r="R813" s="22">
        <f t="shared" si="3"/>
        <v>103.0890909</v>
      </c>
      <c r="S813" s="23">
        <f t="shared" si="4"/>
        <v>3.636363636</v>
      </c>
      <c r="T813" s="24">
        <f t="shared" si="5"/>
        <v>6</v>
      </c>
      <c r="U813" s="26">
        <f t="shared" si="6"/>
        <v>0.07438016529</v>
      </c>
      <c r="V813" s="26">
        <f t="shared" si="7"/>
        <v>0.06611570248</v>
      </c>
      <c r="W813" s="19">
        <f t="shared" si="8"/>
        <v>2.208333333</v>
      </c>
      <c r="X813" s="20">
        <f t="shared" si="9"/>
        <v>240</v>
      </c>
      <c r="Y813" s="27"/>
      <c r="Z813" s="17"/>
      <c r="AA813" s="28"/>
      <c r="AB813" s="17"/>
      <c r="AC813" s="28"/>
      <c r="AD813" s="27"/>
    </row>
    <row r="814" ht="15.75" customHeight="1">
      <c r="A814" s="16" t="s">
        <v>1548</v>
      </c>
      <c r="B814" s="16" t="s">
        <v>2312</v>
      </c>
      <c r="C814" s="16" t="s">
        <v>2313</v>
      </c>
      <c r="D814" s="17" t="s">
        <v>212</v>
      </c>
      <c r="E814" s="18" t="s">
        <v>34</v>
      </c>
      <c r="F814" s="18">
        <v>1.0</v>
      </c>
      <c r="G814" s="19">
        <f t="shared" si="10"/>
        <v>1.552055592</v>
      </c>
      <c r="H814" s="17">
        <v>44.0</v>
      </c>
      <c r="I814" s="10">
        <v>160.0</v>
      </c>
      <c r="J814" s="17">
        <v>9.0</v>
      </c>
      <c r="K814" s="17">
        <v>210.0</v>
      </c>
      <c r="L814" s="17">
        <v>130.0</v>
      </c>
      <c r="M814" s="20">
        <v>22.0</v>
      </c>
      <c r="N814" s="20">
        <v>11.0</v>
      </c>
      <c r="O814" s="20">
        <v>1.0</v>
      </c>
      <c r="P814" s="20">
        <f t="shared" si="2"/>
        <v>10</v>
      </c>
      <c r="Q814" s="21">
        <v>9.0</v>
      </c>
      <c r="R814" s="22">
        <f t="shared" si="3"/>
        <v>103.0890909</v>
      </c>
      <c r="S814" s="23">
        <f t="shared" si="4"/>
        <v>3.636363636</v>
      </c>
      <c r="T814" s="24">
        <f t="shared" si="5"/>
        <v>2.444444444</v>
      </c>
      <c r="U814" s="26">
        <f t="shared" si="6"/>
        <v>0.3951219512</v>
      </c>
      <c r="V814" s="26">
        <f t="shared" si="7"/>
        <v>0.01951219512</v>
      </c>
      <c r="W814" s="19">
        <f t="shared" si="8"/>
        <v>1.3125</v>
      </c>
      <c r="X814" s="20">
        <f t="shared" si="9"/>
        <v>160</v>
      </c>
      <c r="Y814" s="27"/>
      <c r="Z814" s="17"/>
      <c r="AA814" s="28"/>
      <c r="AB814" s="17"/>
      <c r="AC814" s="28"/>
      <c r="AD814" s="27"/>
    </row>
    <row r="815" ht="15.75" customHeight="1">
      <c r="A815" s="16" t="s">
        <v>2314</v>
      </c>
      <c r="B815" s="16" t="s">
        <v>2315</v>
      </c>
      <c r="C815" s="16" t="s">
        <v>2316</v>
      </c>
      <c r="D815" s="17" t="s">
        <v>563</v>
      </c>
      <c r="E815" s="18" t="s">
        <v>34</v>
      </c>
      <c r="F815" s="18">
        <v>1.0</v>
      </c>
      <c r="G815" s="19">
        <f t="shared" si="10"/>
        <v>2.045891462</v>
      </c>
      <c r="H815" s="17">
        <v>58.0</v>
      </c>
      <c r="I815" s="10">
        <v>210.0</v>
      </c>
      <c r="J815" s="17">
        <v>1.0</v>
      </c>
      <c r="K815" s="17">
        <v>270.0</v>
      </c>
      <c r="L815" s="17">
        <v>230.0</v>
      </c>
      <c r="M815" s="20">
        <v>47.0</v>
      </c>
      <c r="N815" s="20">
        <v>7.0</v>
      </c>
      <c r="O815" s="20">
        <v>5.0</v>
      </c>
      <c r="P815" s="20">
        <f t="shared" si="2"/>
        <v>35</v>
      </c>
      <c r="Q815" s="21">
        <v>6.0</v>
      </c>
      <c r="R815" s="22">
        <f t="shared" si="3"/>
        <v>102.6447414</v>
      </c>
      <c r="S815" s="23">
        <f t="shared" si="4"/>
        <v>3.620689655</v>
      </c>
      <c r="T815" s="24">
        <f t="shared" si="5"/>
        <v>7.833333333</v>
      </c>
      <c r="U815" s="26">
        <f t="shared" si="6"/>
        <v>0.0407239819</v>
      </c>
      <c r="V815" s="26">
        <f t="shared" si="7"/>
        <v>0.09049773756</v>
      </c>
      <c r="W815" s="19">
        <f t="shared" si="8"/>
        <v>1.285714286</v>
      </c>
      <c r="X815" s="20">
        <f t="shared" si="9"/>
        <v>210</v>
      </c>
      <c r="Y815" s="27"/>
      <c r="Z815" s="17"/>
      <c r="AA815" s="28"/>
      <c r="AB815" s="17"/>
      <c r="AC815" s="28"/>
      <c r="AD815" s="27"/>
    </row>
    <row r="816" ht="15.75" customHeight="1">
      <c r="A816" s="27" t="s">
        <v>1765</v>
      </c>
      <c r="B816" s="27" t="s">
        <v>2317</v>
      </c>
      <c r="C816" s="16" t="s">
        <v>2318</v>
      </c>
      <c r="D816" s="17" t="s">
        <v>1768</v>
      </c>
      <c r="E816" s="18" t="s">
        <v>34</v>
      </c>
      <c r="F816" s="18">
        <v>1.0</v>
      </c>
      <c r="G816" s="19">
        <f t="shared" si="10"/>
        <v>1.269863666</v>
      </c>
      <c r="H816" s="17">
        <v>36.0</v>
      </c>
      <c r="I816" s="10">
        <v>130.0</v>
      </c>
      <c r="J816" s="17">
        <v>2.0</v>
      </c>
      <c r="K816" s="17">
        <v>930.0</v>
      </c>
      <c r="L816" s="17"/>
      <c r="M816" s="20">
        <v>24.0</v>
      </c>
      <c r="N816" s="20">
        <v>1.0</v>
      </c>
      <c r="O816" s="20">
        <v>2.0</v>
      </c>
      <c r="P816" s="20">
        <f t="shared" si="2"/>
        <v>21</v>
      </c>
      <c r="Q816" s="21">
        <v>4.0</v>
      </c>
      <c r="R816" s="22">
        <f t="shared" si="3"/>
        <v>102.3731944</v>
      </c>
      <c r="S816" s="23">
        <f t="shared" si="4"/>
        <v>3.611111111</v>
      </c>
      <c r="T816" s="24">
        <f t="shared" si="5"/>
        <v>6</v>
      </c>
      <c r="U816" s="26">
        <f t="shared" si="6"/>
        <v>0.1384615385</v>
      </c>
      <c r="V816" s="26">
        <f t="shared" si="7"/>
        <v>0.06153846154</v>
      </c>
      <c r="W816" s="19">
        <f t="shared" si="8"/>
        <v>7.153846154</v>
      </c>
      <c r="X816" s="20">
        <f t="shared" si="9"/>
        <v>130</v>
      </c>
      <c r="Y816" s="27"/>
      <c r="Z816" s="17"/>
      <c r="AA816" s="28"/>
      <c r="AB816" s="17"/>
      <c r="AC816" s="28"/>
      <c r="AD816" s="16"/>
    </row>
    <row r="817" ht="15.75" customHeight="1">
      <c r="A817" s="27" t="s">
        <v>2319</v>
      </c>
      <c r="B817" s="27" t="s">
        <v>2320</v>
      </c>
      <c r="C817" s="16" t="s">
        <v>2321</v>
      </c>
      <c r="D817" s="17" t="s">
        <v>99</v>
      </c>
      <c r="E817" s="18" t="s">
        <v>34</v>
      </c>
      <c r="F817" s="18">
        <v>1.0</v>
      </c>
      <c r="G817" s="19">
        <f t="shared" si="10"/>
        <v>1.269863666</v>
      </c>
      <c r="H817" s="17">
        <v>36.0</v>
      </c>
      <c r="I817" s="10">
        <v>130.0</v>
      </c>
      <c r="J817" s="17">
        <v>1.0</v>
      </c>
      <c r="K817" s="17">
        <v>140.0</v>
      </c>
      <c r="L817" s="17">
        <v>250.0</v>
      </c>
      <c r="M817" s="20">
        <v>27.0</v>
      </c>
      <c r="N817" s="20">
        <v>1.0</v>
      </c>
      <c r="O817" s="20">
        <v>20.0</v>
      </c>
      <c r="P817" s="20">
        <f t="shared" si="2"/>
        <v>6</v>
      </c>
      <c r="Q817" s="21">
        <v>5.0</v>
      </c>
      <c r="R817" s="22">
        <f t="shared" si="3"/>
        <v>102.3731944</v>
      </c>
      <c r="S817" s="23">
        <f t="shared" si="4"/>
        <v>3.611111111</v>
      </c>
      <c r="T817" s="24">
        <f t="shared" si="5"/>
        <v>5.4</v>
      </c>
      <c r="U817" s="26">
        <f t="shared" si="6"/>
        <v>0.06569343066</v>
      </c>
      <c r="V817" s="26">
        <f t="shared" si="7"/>
        <v>0.5839416058</v>
      </c>
      <c r="W817" s="19">
        <f t="shared" si="8"/>
        <v>1.076923077</v>
      </c>
      <c r="X817" s="20">
        <f t="shared" si="9"/>
        <v>130</v>
      </c>
      <c r="Y817" s="27"/>
      <c r="Z817" s="17"/>
      <c r="AA817" s="17"/>
      <c r="AB817" s="17"/>
      <c r="AC817" s="17"/>
      <c r="AD817" s="27"/>
    </row>
    <row r="818" ht="15.75" customHeight="1">
      <c r="A818" s="16" t="s">
        <v>2322</v>
      </c>
      <c r="B818" s="16" t="s">
        <v>2323</v>
      </c>
      <c r="C818" s="16" t="s">
        <v>2324</v>
      </c>
      <c r="D818" s="17" t="s">
        <v>119</v>
      </c>
      <c r="E818" s="18" t="s">
        <v>34</v>
      </c>
      <c r="F818" s="18">
        <v>1.0</v>
      </c>
      <c r="G818" s="19">
        <f t="shared" si="10"/>
        <v>0.8818497681</v>
      </c>
      <c r="H818" s="17">
        <v>25.0</v>
      </c>
      <c r="I818" s="10">
        <v>90.0</v>
      </c>
      <c r="J818" s="17">
        <v>0.0</v>
      </c>
      <c r="K818" s="17">
        <v>350.0</v>
      </c>
      <c r="L818" s="17"/>
      <c r="M818" s="20">
        <v>23.0</v>
      </c>
      <c r="N818" s="20">
        <v>0.0</v>
      </c>
      <c r="O818" s="20">
        <v>19.0</v>
      </c>
      <c r="P818" s="20">
        <f t="shared" si="2"/>
        <v>4</v>
      </c>
      <c r="Q818" s="21">
        <v>0.0</v>
      </c>
      <c r="R818" s="22">
        <f t="shared" si="3"/>
        <v>102.0582</v>
      </c>
      <c r="S818" s="23">
        <f t="shared" si="4"/>
        <v>3.6</v>
      </c>
      <c r="T818" s="24" t="str">
        <f t="shared" si="5"/>
        <v>N/A</v>
      </c>
      <c r="U818" s="26" t="str">
        <f t="shared" si="6"/>
        <v>0%</v>
      </c>
      <c r="V818" s="26">
        <f t="shared" si="7"/>
        <v>0.8260869565</v>
      </c>
      <c r="W818" s="19">
        <f t="shared" si="8"/>
        <v>3.888888889</v>
      </c>
      <c r="X818" s="20">
        <f t="shared" si="9"/>
        <v>90</v>
      </c>
      <c r="Y818" s="27"/>
      <c r="Z818" s="17"/>
      <c r="AA818" s="28"/>
      <c r="AB818" s="17"/>
      <c r="AC818" s="28"/>
      <c r="AD818" s="16"/>
    </row>
    <row r="819" ht="15.75" customHeight="1">
      <c r="A819" s="16" t="s">
        <v>1891</v>
      </c>
      <c r="B819" s="16" t="s">
        <v>2325</v>
      </c>
      <c r="C819" s="16" t="s">
        <v>2326</v>
      </c>
      <c r="D819" s="17" t="s">
        <v>212</v>
      </c>
      <c r="E819" s="18" t="s">
        <v>34</v>
      </c>
      <c r="F819" s="18">
        <v>1.0</v>
      </c>
      <c r="G819" s="19">
        <f t="shared" si="10"/>
        <v>1.763699536</v>
      </c>
      <c r="H819" s="17">
        <v>50.0</v>
      </c>
      <c r="I819" s="10">
        <v>180.0</v>
      </c>
      <c r="J819" s="17">
        <v>4.0</v>
      </c>
      <c r="K819" s="17">
        <v>60.0</v>
      </c>
      <c r="L819" s="17">
        <v>190.0</v>
      </c>
      <c r="M819" s="20">
        <v>33.0</v>
      </c>
      <c r="N819" s="20">
        <v>4.0</v>
      </c>
      <c r="O819" s="20">
        <v>22.0</v>
      </c>
      <c r="P819" s="20">
        <f t="shared" si="2"/>
        <v>7</v>
      </c>
      <c r="Q819" s="21">
        <v>3.0</v>
      </c>
      <c r="R819" s="22">
        <f t="shared" si="3"/>
        <v>102.0582</v>
      </c>
      <c r="S819" s="23">
        <f t="shared" si="4"/>
        <v>3.6</v>
      </c>
      <c r="T819" s="24">
        <f t="shared" si="5"/>
        <v>11</v>
      </c>
      <c r="U819" s="26">
        <f t="shared" si="6"/>
        <v>0.2</v>
      </c>
      <c r="V819" s="26">
        <f t="shared" si="7"/>
        <v>0.4888888889</v>
      </c>
      <c r="W819" s="19">
        <f t="shared" si="8"/>
        <v>0.3333333333</v>
      </c>
      <c r="X819" s="20">
        <f t="shared" si="9"/>
        <v>180</v>
      </c>
      <c r="Y819" s="27"/>
      <c r="Z819" s="17"/>
      <c r="AA819" s="28"/>
      <c r="AB819" s="17"/>
      <c r="AC819" s="28"/>
      <c r="AD819" s="27"/>
    </row>
    <row r="820" ht="15.75" customHeight="1">
      <c r="A820" s="27" t="s">
        <v>2327</v>
      </c>
      <c r="B820" s="27" t="s">
        <v>2328</v>
      </c>
      <c r="C820" s="16" t="s">
        <v>2329</v>
      </c>
      <c r="D820" s="17" t="s">
        <v>119</v>
      </c>
      <c r="E820" s="18" t="s">
        <v>34</v>
      </c>
      <c r="F820" s="18">
        <v>1.0</v>
      </c>
      <c r="G820" s="19">
        <f t="shared" si="10"/>
        <v>1.763699536</v>
      </c>
      <c r="H820" s="17">
        <v>50.0</v>
      </c>
      <c r="I820" s="10">
        <v>180.0</v>
      </c>
      <c r="J820" s="17">
        <v>3.0</v>
      </c>
      <c r="K820" s="17">
        <v>10.0</v>
      </c>
      <c r="L820" s="17">
        <v>440.0</v>
      </c>
      <c r="M820" s="20">
        <v>30.0</v>
      </c>
      <c r="N820" s="20">
        <v>9.0</v>
      </c>
      <c r="O820" s="20">
        <v>5.0</v>
      </c>
      <c r="P820" s="20">
        <f t="shared" si="2"/>
        <v>16</v>
      </c>
      <c r="Q820" s="21">
        <v>10.0</v>
      </c>
      <c r="R820" s="22">
        <f t="shared" si="3"/>
        <v>102.0582</v>
      </c>
      <c r="S820" s="23">
        <f t="shared" si="4"/>
        <v>3.6</v>
      </c>
      <c r="T820" s="24">
        <f t="shared" si="5"/>
        <v>3</v>
      </c>
      <c r="U820" s="26">
        <f t="shared" si="6"/>
        <v>0.1443850267</v>
      </c>
      <c r="V820" s="26">
        <f t="shared" si="7"/>
        <v>0.1069518717</v>
      </c>
      <c r="W820" s="19">
        <f t="shared" si="8"/>
        <v>0.05555555556</v>
      </c>
      <c r="X820" s="20">
        <f t="shared" si="9"/>
        <v>180</v>
      </c>
      <c r="Y820" s="27"/>
      <c r="Z820" s="17"/>
      <c r="AA820" s="28"/>
      <c r="AB820" s="17"/>
      <c r="AC820" s="28"/>
      <c r="AD820" s="27"/>
    </row>
    <row r="821" ht="15.75" customHeight="1">
      <c r="A821" s="16" t="s">
        <v>1741</v>
      </c>
      <c r="B821" s="16" t="s">
        <v>1318</v>
      </c>
      <c r="C821" s="16" t="s">
        <v>2330</v>
      </c>
      <c r="D821" s="17" t="s">
        <v>212</v>
      </c>
      <c r="E821" s="18" t="s">
        <v>34</v>
      </c>
      <c r="F821" s="18">
        <v>1.0</v>
      </c>
      <c r="G821" s="19">
        <f t="shared" si="10"/>
        <v>3.527399072</v>
      </c>
      <c r="H821" s="17">
        <v>100.0</v>
      </c>
      <c r="I821" s="10">
        <v>360.0</v>
      </c>
      <c r="J821" s="17">
        <v>5.0</v>
      </c>
      <c r="K821" s="17">
        <v>150.0</v>
      </c>
      <c r="L821" s="17">
        <v>520.0</v>
      </c>
      <c r="M821" s="20">
        <v>50.0</v>
      </c>
      <c r="N821" s="20">
        <v>2.0</v>
      </c>
      <c r="O821" s="20">
        <v>25.0</v>
      </c>
      <c r="P821" s="20">
        <f t="shared" si="2"/>
        <v>23</v>
      </c>
      <c r="Q821" s="21">
        <v>28.0</v>
      </c>
      <c r="R821" s="22">
        <f t="shared" si="3"/>
        <v>102.0582</v>
      </c>
      <c r="S821" s="23">
        <f t="shared" si="4"/>
        <v>3.6</v>
      </c>
      <c r="T821" s="24">
        <f t="shared" si="5"/>
        <v>1.785714286</v>
      </c>
      <c r="U821" s="26">
        <f t="shared" si="6"/>
        <v>0.1260504202</v>
      </c>
      <c r="V821" s="26">
        <f t="shared" si="7"/>
        <v>0.2801120448</v>
      </c>
      <c r="W821" s="19">
        <f t="shared" si="8"/>
        <v>0.4166666667</v>
      </c>
      <c r="X821" s="20">
        <f t="shared" si="9"/>
        <v>360</v>
      </c>
      <c r="Y821" s="27"/>
      <c r="Z821" s="17"/>
      <c r="AA821" s="28"/>
      <c r="AB821" s="17"/>
      <c r="AC821" s="28"/>
      <c r="AD821" s="27"/>
    </row>
    <row r="822" ht="15.75" customHeight="1">
      <c r="A822" s="27" t="s">
        <v>1969</v>
      </c>
      <c r="B822" s="27" t="s">
        <v>2331</v>
      </c>
      <c r="C822" s="16" t="s">
        <v>2332</v>
      </c>
      <c r="D822" s="17" t="s">
        <v>212</v>
      </c>
      <c r="E822" s="18" t="s">
        <v>34</v>
      </c>
      <c r="F822" s="18">
        <v>1.0</v>
      </c>
      <c r="G822" s="19">
        <f t="shared" si="10"/>
        <v>1.763699536</v>
      </c>
      <c r="H822" s="17">
        <v>50.0</v>
      </c>
      <c r="I822" s="10">
        <v>180.0</v>
      </c>
      <c r="J822" s="17">
        <v>4.5</v>
      </c>
      <c r="K822" s="17">
        <v>85.0</v>
      </c>
      <c r="L822" s="17"/>
      <c r="M822" s="20">
        <v>17.0</v>
      </c>
      <c r="N822" s="20">
        <v>2.0</v>
      </c>
      <c r="O822" s="20">
        <v>3.0</v>
      </c>
      <c r="P822" s="20">
        <f t="shared" si="2"/>
        <v>12</v>
      </c>
      <c r="Q822" s="21">
        <v>21.0</v>
      </c>
      <c r="R822" s="22">
        <f t="shared" si="3"/>
        <v>102.0582</v>
      </c>
      <c r="S822" s="23">
        <f t="shared" si="4"/>
        <v>3.6</v>
      </c>
      <c r="T822" s="24">
        <f t="shared" si="5"/>
        <v>0.8095238095</v>
      </c>
      <c r="U822" s="26">
        <f t="shared" si="6"/>
        <v>0.2103896104</v>
      </c>
      <c r="V822" s="26">
        <f t="shared" si="7"/>
        <v>0.06233766234</v>
      </c>
      <c r="W822" s="19">
        <f t="shared" si="8"/>
        <v>0.4722222222</v>
      </c>
      <c r="X822" s="20">
        <f t="shared" si="9"/>
        <v>180</v>
      </c>
      <c r="Y822" s="27"/>
      <c r="Z822" s="17"/>
      <c r="AA822" s="28"/>
      <c r="AB822" s="17"/>
      <c r="AC822" s="28"/>
      <c r="AD822" s="27"/>
    </row>
    <row r="823" ht="15.75" customHeight="1">
      <c r="A823" s="27" t="s">
        <v>2333</v>
      </c>
      <c r="B823" s="27" t="s">
        <v>2334</v>
      </c>
      <c r="C823" s="16" t="s">
        <v>2335</v>
      </c>
      <c r="D823" s="17" t="s">
        <v>119</v>
      </c>
      <c r="E823" s="18" t="s">
        <v>34</v>
      </c>
      <c r="F823" s="18">
        <v>1.0</v>
      </c>
      <c r="G823" s="19">
        <f t="shared" si="10"/>
        <v>2.257535406</v>
      </c>
      <c r="H823" s="17">
        <v>64.0</v>
      </c>
      <c r="I823" s="10">
        <v>230.0</v>
      </c>
      <c r="J823" s="17">
        <v>1.0</v>
      </c>
      <c r="K823" s="17">
        <v>620.0</v>
      </c>
      <c r="L823" s="17"/>
      <c r="M823" s="20">
        <v>48.0</v>
      </c>
      <c r="N823" s="20">
        <v>2.0</v>
      </c>
      <c r="O823" s="20">
        <v>2.0</v>
      </c>
      <c r="P823" s="20">
        <f t="shared" si="2"/>
        <v>44</v>
      </c>
      <c r="Q823" s="21">
        <v>6.0</v>
      </c>
      <c r="R823" s="22">
        <f t="shared" si="3"/>
        <v>101.8810156</v>
      </c>
      <c r="S823" s="23">
        <f t="shared" si="4"/>
        <v>3.59375</v>
      </c>
      <c r="T823" s="24">
        <f t="shared" si="5"/>
        <v>8</v>
      </c>
      <c r="U823" s="26">
        <f t="shared" si="6"/>
        <v>0.04</v>
      </c>
      <c r="V823" s="26">
        <f t="shared" si="7"/>
        <v>0.03555555556</v>
      </c>
      <c r="W823" s="19">
        <f t="shared" si="8"/>
        <v>2.695652174</v>
      </c>
      <c r="X823" s="20">
        <f t="shared" si="9"/>
        <v>230</v>
      </c>
      <c r="Y823" s="27"/>
      <c r="Z823" s="17"/>
      <c r="AA823" s="28"/>
      <c r="AB823" s="17"/>
      <c r="AC823" s="28"/>
      <c r="AD823" s="27"/>
    </row>
    <row r="824" ht="15.75" customHeight="1">
      <c r="A824" s="27" t="s">
        <v>2336</v>
      </c>
      <c r="B824" s="27" t="s">
        <v>2337</v>
      </c>
      <c r="C824" s="16" t="s">
        <v>2338</v>
      </c>
      <c r="D824" s="17" t="s">
        <v>119</v>
      </c>
      <c r="E824" s="18" t="s">
        <v>34</v>
      </c>
      <c r="F824" s="18">
        <v>1.0</v>
      </c>
      <c r="G824" s="19">
        <f t="shared" si="10"/>
        <v>2.257535406</v>
      </c>
      <c r="H824" s="17">
        <v>64.0</v>
      </c>
      <c r="I824" s="10">
        <v>230.0</v>
      </c>
      <c r="J824" s="17">
        <v>2.0</v>
      </c>
      <c r="K824" s="17">
        <v>570.0</v>
      </c>
      <c r="L824" s="17"/>
      <c r="M824" s="20">
        <v>47.0</v>
      </c>
      <c r="N824" s="20">
        <v>3.0</v>
      </c>
      <c r="O824" s="20">
        <v>2.0</v>
      </c>
      <c r="P824" s="20">
        <f t="shared" si="2"/>
        <v>42</v>
      </c>
      <c r="Q824" s="21">
        <v>7.0</v>
      </c>
      <c r="R824" s="22">
        <f t="shared" si="3"/>
        <v>101.8810156</v>
      </c>
      <c r="S824" s="23">
        <f t="shared" si="4"/>
        <v>3.59375</v>
      </c>
      <c r="T824" s="24">
        <f t="shared" si="5"/>
        <v>6.714285714</v>
      </c>
      <c r="U824" s="26">
        <f t="shared" si="6"/>
        <v>0.07692307692</v>
      </c>
      <c r="V824" s="26">
        <f t="shared" si="7"/>
        <v>0.03418803419</v>
      </c>
      <c r="W824" s="19">
        <f t="shared" si="8"/>
        <v>2.47826087</v>
      </c>
      <c r="X824" s="20">
        <f t="shared" si="9"/>
        <v>230</v>
      </c>
      <c r="Y824" s="27"/>
      <c r="Z824" s="17"/>
      <c r="AA824" s="28"/>
      <c r="AB824" s="17"/>
      <c r="AC824" s="28"/>
      <c r="AD824" s="27"/>
    </row>
    <row r="825" ht="15.75" customHeight="1">
      <c r="A825" s="16" t="s">
        <v>104</v>
      </c>
      <c r="B825" s="16" t="s">
        <v>2339</v>
      </c>
      <c r="C825" s="16" t="s">
        <v>2340</v>
      </c>
      <c r="D825" s="17" t="s">
        <v>81</v>
      </c>
      <c r="E825" s="18" t="s">
        <v>34</v>
      </c>
      <c r="F825" s="18">
        <v>1.0</v>
      </c>
      <c r="G825" s="19">
        <f t="shared" si="10"/>
        <v>1.375685638</v>
      </c>
      <c r="H825" s="17">
        <v>39.0</v>
      </c>
      <c r="I825" s="10">
        <v>140.0</v>
      </c>
      <c r="J825" s="17">
        <v>0.0</v>
      </c>
      <c r="K825" s="17">
        <v>15.0</v>
      </c>
      <c r="L825" s="17"/>
      <c r="M825" s="20">
        <v>33.0</v>
      </c>
      <c r="N825" s="20">
        <v>2.0</v>
      </c>
      <c r="O825" s="20">
        <v>29.0</v>
      </c>
      <c r="P825" s="20">
        <f t="shared" si="2"/>
        <v>2</v>
      </c>
      <c r="Q825" s="21">
        <v>1.0</v>
      </c>
      <c r="R825" s="22">
        <f t="shared" si="3"/>
        <v>101.7674359</v>
      </c>
      <c r="S825" s="23">
        <f t="shared" si="4"/>
        <v>3.58974359</v>
      </c>
      <c r="T825" s="24">
        <f t="shared" si="5"/>
        <v>33</v>
      </c>
      <c r="U825" s="26" t="str">
        <f t="shared" si="6"/>
        <v>0%</v>
      </c>
      <c r="V825" s="26">
        <f t="shared" si="7"/>
        <v>0.8529411765</v>
      </c>
      <c r="W825" s="19">
        <f t="shared" si="8"/>
        <v>0.1071428571</v>
      </c>
      <c r="X825" s="20">
        <f t="shared" si="9"/>
        <v>140</v>
      </c>
      <c r="Y825" s="27"/>
      <c r="Z825" s="17"/>
      <c r="AA825" s="28"/>
      <c r="AB825" s="17"/>
      <c r="AC825" s="28"/>
      <c r="AD825" s="27"/>
    </row>
    <row r="826" ht="15.75" customHeight="1">
      <c r="A826" s="16" t="s">
        <v>2341</v>
      </c>
      <c r="B826" s="16" t="s">
        <v>2342</v>
      </c>
      <c r="C826" s="16" t="s">
        <v>2343</v>
      </c>
      <c r="D826" s="17" t="s">
        <v>99</v>
      </c>
      <c r="E826" s="18" t="s">
        <v>34</v>
      </c>
      <c r="F826" s="18">
        <v>1.0</v>
      </c>
      <c r="G826" s="19">
        <f t="shared" si="10"/>
        <v>1.375685638</v>
      </c>
      <c r="H826" s="17">
        <v>39.0</v>
      </c>
      <c r="I826" s="10">
        <v>140.0</v>
      </c>
      <c r="J826" s="17">
        <v>2.5</v>
      </c>
      <c r="K826" s="17">
        <v>410.0</v>
      </c>
      <c r="L826" s="17"/>
      <c r="M826" s="20">
        <v>12.0</v>
      </c>
      <c r="N826" s="20">
        <v>5.0</v>
      </c>
      <c r="O826" s="20">
        <v>1.0</v>
      </c>
      <c r="P826" s="20">
        <f t="shared" si="2"/>
        <v>6</v>
      </c>
      <c r="Q826" s="21">
        <v>20.0</v>
      </c>
      <c r="R826" s="22">
        <f t="shared" si="3"/>
        <v>101.7674359</v>
      </c>
      <c r="S826" s="23">
        <f t="shared" si="4"/>
        <v>3.58974359</v>
      </c>
      <c r="T826" s="24">
        <f t="shared" si="5"/>
        <v>0.6</v>
      </c>
      <c r="U826" s="26">
        <f t="shared" si="6"/>
        <v>0.1495016611</v>
      </c>
      <c r="V826" s="26">
        <f t="shared" si="7"/>
        <v>0.02657807309</v>
      </c>
      <c r="W826" s="19">
        <f t="shared" si="8"/>
        <v>2.928571429</v>
      </c>
      <c r="X826" s="20">
        <f t="shared" si="9"/>
        <v>140</v>
      </c>
      <c r="Y826" s="27"/>
      <c r="Z826" s="17"/>
      <c r="AA826" s="28"/>
      <c r="AB826" s="17"/>
      <c r="AC826" s="28"/>
      <c r="AD826" s="27"/>
    </row>
    <row r="827" ht="15.75" customHeight="1">
      <c r="A827" s="16" t="s">
        <v>2344</v>
      </c>
      <c r="B827" s="16" t="s">
        <v>2345</v>
      </c>
      <c r="C827" s="16" t="s">
        <v>2346</v>
      </c>
      <c r="D827" s="17" t="s">
        <v>130</v>
      </c>
      <c r="E827" s="18" t="s">
        <v>34</v>
      </c>
      <c r="F827" s="18">
        <v>1.0</v>
      </c>
      <c r="G827" s="19">
        <f t="shared" si="10"/>
        <v>0.9876717402</v>
      </c>
      <c r="H827" s="17">
        <v>28.0</v>
      </c>
      <c r="I827" s="10">
        <v>100.0</v>
      </c>
      <c r="J827" s="17">
        <v>0.0</v>
      </c>
      <c r="K827" s="17">
        <v>80.0</v>
      </c>
      <c r="L827" s="17">
        <v>40.0</v>
      </c>
      <c r="M827" s="20">
        <v>25.0</v>
      </c>
      <c r="N827" s="20"/>
      <c r="O827" s="20">
        <v>17.0</v>
      </c>
      <c r="P827" s="20">
        <f t="shared" si="2"/>
        <v>8</v>
      </c>
      <c r="Q827" s="21">
        <v>0.0</v>
      </c>
      <c r="R827" s="22">
        <f t="shared" si="3"/>
        <v>101.2482143</v>
      </c>
      <c r="S827" s="23">
        <f t="shared" si="4"/>
        <v>3.571428571</v>
      </c>
      <c r="T827" s="24" t="str">
        <f t="shared" si="5"/>
        <v>N/A</v>
      </c>
      <c r="U827" s="26" t="str">
        <f t="shared" si="6"/>
        <v>0%</v>
      </c>
      <c r="V827" s="26">
        <f t="shared" si="7"/>
        <v>0.68</v>
      </c>
      <c r="W827" s="19">
        <f t="shared" si="8"/>
        <v>0.8</v>
      </c>
      <c r="X827" s="20">
        <f t="shared" si="9"/>
        <v>100</v>
      </c>
      <c r="Y827" s="27"/>
      <c r="Z827" s="17"/>
      <c r="AA827" s="28"/>
      <c r="AB827" s="17"/>
      <c r="AC827" s="28"/>
      <c r="AD827" s="27"/>
    </row>
    <row r="828" ht="15.75" customHeight="1">
      <c r="A828" s="16" t="s">
        <v>1537</v>
      </c>
      <c r="B828" s="16" t="s">
        <v>2347</v>
      </c>
      <c r="C828" s="16" t="s">
        <v>2348</v>
      </c>
      <c r="D828" s="17" t="s">
        <v>99</v>
      </c>
      <c r="E828" s="18" t="s">
        <v>34</v>
      </c>
      <c r="F828" s="18">
        <v>1.0</v>
      </c>
      <c r="G828" s="19">
        <f t="shared" si="10"/>
        <v>0.4938358701</v>
      </c>
      <c r="H828" s="17">
        <v>14.0</v>
      </c>
      <c r="I828" s="10">
        <v>50.0</v>
      </c>
      <c r="J828" s="17">
        <v>0.0</v>
      </c>
      <c r="K828" s="17">
        <v>20.0</v>
      </c>
      <c r="L828" s="17"/>
      <c r="M828" s="20">
        <v>13.0</v>
      </c>
      <c r="N828" s="20">
        <v>0.0</v>
      </c>
      <c r="O828" s="20">
        <v>12.0</v>
      </c>
      <c r="P828" s="20">
        <f t="shared" si="2"/>
        <v>1</v>
      </c>
      <c r="Q828" s="21">
        <v>0.0</v>
      </c>
      <c r="R828" s="22">
        <f t="shared" si="3"/>
        <v>101.2482143</v>
      </c>
      <c r="S828" s="23">
        <f t="shared" si="4"/>
        <v>3.571428571</v>
      </c>
      <c r="T828" s="24" t="str">
        <f t="shared" si="5"/>
        <v>N/A</v>
      </c>
      <c r="U828" s="26" t="str">
        <f t="shared" si="6"/>
        <v>0%</v>
      </c>
      <c r="V828" s="26">
        <f t="shared" si="7"/>
        <v>0.9230769231</v>
      </c>
      <c r="W828" s="19">
        <f t="shared" si="8"/>
        <v>0.4</v>
      </c>
      <c r="X828" s="20">
        <f t="shared" si="9"/>
        <v>50</v>
      </c>
      <c r="Y828" s="27"/>
      <c r="Z828" s="17"/>
      <c r="AA828" s="28"/>
      <c r="AB828" s="17"/>
      <c r="AC828" s="28"/>
      <c r="AD828" s="16"/>
    </row>
    <row r="829" ht="15.75" customHeight="1">
      <c r="A829" s="16" t="s">
        <v>2349</v>
      </c>
      <c r="B829" s="16" t="s">
        <v>2350</v>
      </c>
      <c r="C829" s="16" t="s">
        <v>2351</v>
      </c>
      <c r="D829" s="17" t="s">
        <v>81</v>
      </c>
      <c r="E829" s="18" t="s">
        <v>34</v>
      </c>
      <c r="F829" s="18">
        <v>1.0</v>
      </c>
      <c r="G829" s="19">
        <f t="shared" si="10"/>
        <v>0.4938358701</v>
      </c>
      <c r="H829" s="17">
        <v>14.0</v>
      </c>
      <c r="I829" s="10">
        <v>50.0</v>
      </c>
      <c r="J829" s="17">
        <v>0.0</v>
      </c>
      <c r="K829" s="17">
        <v>0.0</v>
      </c>
      <c r="L829" s="17">
        <v>120.0</v>
      </c>
      <c r="M829" s="20">
        <v>12.0</v>
      </c>
      <c r="N829" s="20">
        <v>1.0</v>
      </c>
      <c r="O829" s="20">
        <v>10.0</v>
      </c>
      <c r="P829" s="20">
        <f t="shared" si="2"/>
        <v>1</v>
      </c>
      <c r="Q829" s="21">
        <v>0.0</v>
      </c>
      <c r="R829" s="22">
        <f t="shared" si="3"/>
        <v>101.2482143</v>
      </c>
      <c r="S829" s="23">
        <f t="shared" si="4"/>
        <v>3.571428571</v>
      </c>
      <c r="T829" s="24" t="str">
        <f t="shared" si="5"/>
        <v>N/A</v>
      </c>
      <c r="U829" s="26" t="str">
        <f t="shared" si="6"/>
        <v>0%</v>
      </c>
      <c r="V829" s="26">
        <f t="shared" si="7"/>
        <v>0.8333333333</v>
      </c>
      <c r="W829" s="19">
        <f t="shared" si="8"/>
        <v>0</v>
      </c>
      <c r="X829" s="20">
        <f t="shared" si="9"/>
        <v>50</v>
      </c>
      <c r="Y829" s="27"/>
      <c r="Z829" s="17"/>
      <c r="AA829" s="28"/>
      <c r="AB829" s="17"/>
      <c r="AC829" s="28"/>
      <c r="AD829" s="16"/>
    </row>
    <row r="830" ht="15.75" customHeight="1">
      <c r="A830" s="27" t="s">
        <v>2322</v>
      </c>
      <c r="B830" s="27" t="s">
        <v>2352</v>
      </c>
      <c r="C830" s="16" t="s">
        <v>2353</v>
      </c>
      <c r="D830" s="17" t="s">
        <v>119</v>
      </c>
      <c r="E830" s="18" t="s">
        <v>34</v>
      </c>
      <c r="F830" s="18">
        <v>1.0</v>
      </c>
      <c r="G830" s="19">
        <f t="shared" si="10"/>
        <v>0.9876717402</v>
      </c>
      <c r="H830" s="17">
        <v>28.0</v>
      </c>
      <c r="I830" s="10">
        <v>100.0</v>
      </c>
      <c r="J830" s="17">
        <v>0.0</v>
      </c>
      <c r="K830" s="17">
        <v>380.0</v>
      </c>
      <c r="L830" s="17"/>
      <c r="M830" s="20">
        <v>25.0</v>
      </c>
      <c r="N830" s="20">
        <v>1.0</v>
      </c>
      <c r="O830" s="20">
        <v>17.0</v>
      </c>
      <c r="P830" s="20">
        <f t="shared" si="2"/>
        <v>7</v>
      </c>
      <c r="Q830" s="21">
        <v>1.0</v>
      </c>
      <c r="R830" s="22">
        <f t="shared" si="3"/>
        <v>101.2482143</v>
      </c>
      <c r="S830" s="23">
        <f t="shared" si="4"/>
        <v>3.571428571</v>
      </c>
      <c r="T830" s="24">
        <f t="shared" si="5"/>
        <v>25</v>
      </c>
      <c r="U830" s="26" t="str">
        <f t="shared" si="6"/>
        <v>0%</v>
      </c>
      <c r="V830" s="26">
        <f t="shared" si="7"/>
        <v>0.6538461538</v>
      </c>
      <c r="W830" s="19">
        <f t="shared" si="8"/>
        <v>3.8</v>
      </c>
      <c r="X830" s="20">
        <f t="shared" si="9"/>
        <v>100</v>
      </c>
      <c r="Y830" s="27"/>
      <c r="Z830" s="17"/>
      <c r="AA830" s="28"/>
      <c r="AB830" s="17"/>
      <c r="AC830" s="28"/>
      <c r="AD830" s="16"/>
    </row>
    <row r="831" ht="15.75" customHeight="1">
      <c r="A831" s="16" t="s">
        <v>2147</v>
      </c>
      <c r="B831" s="16" t="s">
        <v>2354</v>
      </c>
      <c r="C831" s="16" t="s">
        <v>2355</v>
      </c>
      <c r="D831" s="17" t="s">
        <v>563</v>
      </c>
      <c r="E831" s="18" t="s">
        <v>34</v>
      </c>
      <c r="F831" s="18">
        <v>1.0</v>
      </c>
      <c r="G831" s="19">
        <f t="shared" si="10"/>
        <v>0.9876717402</v>
      </c>
      <c r="H831" s="17">
        <v>28.0</v>
      </c>
      <c r="I831" s="10">
        <v>100.0</v>
      </c>
      <c r="J831" s="17">
        <v>0.0</v>
      </c>
      <c r="K831" s="17">
        <v>200.0</v>
      </c>
      <c r="L831" s="17">
        <v>45.0</v>
      </c>
      <c r="M831" s="20">
        <v>24.0</v>
      </c>
      <c r="N831" s="20">
        <v>1.0</v>
      </c>
      <c r="O831" s="20">
        <v>3.0</v>
      </c>
      <c r="P831" s="20">
        <f t="shared" si="2"/>
        <v>20</v>
      </c>
      <c r="Q831" s="21">
        <v>2.0</v>
      </c>
      <c r="R831" s="22">
        <f t="shared" si="3"/>
        <v>101.2482143</v>
      </c>
      <c r="S831" s="23">
        <f t="shared" si="4"/>
        <v>3.571428571</v>
      </c>
      <c r="T831" s="24">
        <f t="shared" si="5"/>
        <v>12</v>
      </c>
      <c r="U831" s="26" t="str">
        <f t="shared" si="6"/>
        <v>0%</v>
      </c>
      <c r="V831" s="26">
        <f t="shared" si="7"/>
        <v>0.1153846154</v>
      </c>
      <c r="W831" s="19">
        <f t="shared" si="8"/>
        <v>2</v>
      </c>
      <c r="X831" s="20">
        <f t="shared" si="9"/>
        <v>100</v>
      </c>
      <c r="Y831" s="27"/>
      <c r="Z831" s="17"/>
      <c r="AA831" s="28"/>
      <c r="AB831" s="17"/>
      <c r="AC831" s="28"/>
      <c r="AD831" s="27"/>
    </row>
    <row r="832" ht="15.75" customHeight="1">
      <c r="A832" s="16" t="s">
        <v>483</v>
      </c>
      <c r="B832" s="16" t="s">
        <v>2356</v>
      </c>
      <c r="C832" s="16" t="s">
        <v>2357</v>
      </c>
      <c r="D832" s="17" t="s">
        <v>99</v>
      </c>
      <c r="E832" s="18" t="s">
        <v>34</v>
      </c>
      <c r="F832" s="18">
        <v>1.0</v>
      </c>
      <c r="G832" s="19">
        <f t="shared" si="10"/>
        <v>0.4938358701</v>
      </c>
      <c r="H832" s="17">
        <v>14.0</v>
      </c>
      <c r="I832" s="10">
        <v>50.0</v>
      </c>
      <c r="J832" s="17">
        <v>0.5</v>
      </c>
      <c r="K832" s="17">
        <v>35.0</v>
      </c>
      <c r="L832" s="17"/>
      <c r="M832" s="20">
        <v>12.0</v>
      </c>
      <c r="N832" s="20">
        <v>1.0</v>
      </c>
      <c r="O832" s="20">
        <v>11.0</v>
      </c>
      <c r="P832" s="20">
        <f t="shared" si="2"/>
        <v>0</v>
      </c>
      <c r="Q832" s="21">
        <v>1.0</v>
      </c>
      <c r="R832" s="22">
        <f t="shared" si="3"/>
        <v>101.2482143</v>
      </c>
      <c r="S832" s="23">
        <f t="shared" si="4"/>
        <v>3.571428571</v>
      </c>
      <c r="T832" s="24">
        <f t="shared" si="5"/>
        <v>12</v>
      </c>
      <c r="U832" s="26">
        <f t="shared" si="6"/>
        <v>0.0796460177</v>
      </c>
      <c r="V832" s="26">
        <f t="shared" si="7"/>
        <v>0.7787610619</v>
      </c>
      <c r="W832" s="19">
        <f t="shared" si="8"/>
        <v>0.7</v>
      </c>
      <c r="X832" s="20">
        <f t="shared" si="9"/>
        <v>50</v>
      </c>
      <c r="Y832" s="27"/>
      <c r="Z832" s="17"/>
      <c r="AA832" s="28"/>
      <c r="AB832" s="17"/>
      <c r="AC832" s="28"/>
      <c r="AD832" s="27"/>
    </row>
    <row r="833" ht="15.75" customHeight="1">
      <c r="A833" s="16" t="s">
        <v>104</v>
      </c>
      <c r="B833" s="16" t="s">
        <v>2358</v>
      </c>
      <c r="C833" s="16" t="s">
        <v>2359</v>
      </c>
      <c r="D833" s="17" t="s">
        <v>130</v>
      </c>
      <c r="E833" s="18" t="s">
        <v>34</v>
      </c>
      <c r="F833" s="18">
        <v>1.0</v>
      </c>
      <c r="G833" s="19">
        <f t="shared" si="10"/>
        <v>1.48150761</v>
      </c>
      <c r="H833" s="17">
        <v>42.0</v>
      </c>
      <c r="I833" s="10">
        <v>150.0</v>
      </c>
      <c r="J833" s="17">
        <v>0.0</v>
      </c>
      <c r="K833" s="17">
        <v>20.0</v>
      </c>
      <c r="L833" s="17"/>
      <c r="M833" s="20">
        <v>34.0</v>
      </c>
      <c r="N833" s="20">
        <v>0.0</v>
      </c>
      <c r="O833" s="20">
        <v>22.0</v>
      </c>
      <c r="P833" s="20">
        <f t="shared" si="2"/>
        <v>12</v>
      </c>
      <c r="Q833" s="21">
        <v>3.0</v>
      </c>
      <c r="R833" s="22">
        <f t="shared" si="3"/>
        <v>101.2482143</v>
      </c>
      <c r="S833" s="23">
        <f t="shared" si="4"/>
        <v>3.571428571</v>
      </c>
      <c r="T833" s="24">
        <f t="shared" si="5"/>
        <v>11.33333333</v>
      </c>
      <c r="U833" s="26" t="str">
        <f t="shared" si="6"/>
        <v>0%</v>
      </c>
      <c r="V833" s="26">
        <f t="shared" si="7"/>
        <v>0.5945945946</v>
      </c>
      <c r="W833" s="19">
        <f t="shared" si="8"/>
        <v>0.1333333333</v>
      </c>
      <c r="X833" s="20">
        <f t="shared" si="9"/>
        <v>150</v>
      </c>
      <c r="Y833" s="27"/>
      <c r="Z833" s="17"/>
      <c r="AA833" s="28"/>
      <c r="AB833" s="17"/>
      <c r="AC833" s="28"/>
      <c r="AD833" s="27"/>
    </row>
    <row r="834" ht="15.75" customHeight="1">
      <c r="A834" s="16" t="s">
        <v>2007</v>
      </c>
      <c r="B834" s="16" t="s">
        <v>2360</v>
      </c>
      <c r="C834" s="16" t="s">
        <v>2361</v>
      </c>
      <c r="D834" s="17" t="s">
        <v>119</v>
      </c>
      <c r="E834" s="18" t="s">
        <v>34</v>
      </c>
      <c r="F834" s="18">
        <v>1.0</v>
      </c>
      <c r="G834" s="19">
        <f t="shared" si="10"/>
        <v>0.9876717402</v>
      </c>
      <c r="H834" s="17">
        <v>28.0</v>
      </c>
      <c r="I834" s="10">
        <v>100.0</v>
      </c>
      <c r="J834" s="17">
        <v>2.0</v>
      </c>
      <c r="K834" s="17">
        <v>540.0</v>
      </c>
      <c r="L834" s="17"/>
      <c r="M834" s="20">
        <v>20.0</v>
      </c>
      <c r="N834" s="20">
        <v>1.0</v>
      </c>
      <c r="O834" s="20">
        <v>2.0</v>
      </c>
      <c r="P834" s="20">
        <f t="shared" si="2"/>
        <v>17</v>
      </c>
      <c r="Q834" s="21">
        <v>2.0</v>
      </c>
      <c r="R834" s="22">
        <f t="shared" si="3"/>
        <v>101.2482143</v>
      </c>
      <c r="S834" s="23">
        <f t="shared" si="4"/>
        <v>3.571428571</v>
      </c>
      <c r="T834" s="24">
        <f t="shared" si="5"/>
        <v>10</v>
      </c>
      <c r="U834" s="26">
        <f t="shared" si="6"/>
        <v>0.1698113208</v>
      </c>
      <c r="V834" s="26">
        <f t="shared" si="7"/>
        <v>0.07547169811</v>
      </c>
      <c r="W834" s="19">
        <f t="shared" si="8"/>
        <v>5.4</v>
      </c>
      <c r="X834" s="20">
        <f t="shared" si="9"/>
        <v>100</v>
      </c>
      <c r="Y834" s="27"/>
      <c r="Z834" s="17"/>
      <c r="AA834" s="28"/>
      <c r="AB834" s="17"/>
      <c r="AC834" s="28"/>
      <c r="AD834" s="16"/>
    </row>
    <row r="835" ht="15.75" customHeight="1">
      <c r="A835" s="16" t="s">
        <v>2362</v>
      </c>
      <c r="B835" s="16" t="s">
        <v>2363</v>
      </c>
      <c r="C835" s="16" t="s">
        <v>2364</v>
      </c>
      <c r="D835" s="17" t="s">
        <v>119</v>
      </c>
      <c r="E835" s="18" t="s">
        <v>34</v>
      </c>
      <c r="F835" s="18">
        <v>1.0</v>
      </c>
      <c r="G835" s="19">
        <f t="shared" si="10"/>
        <v>1.97534348</v>
      </c>
      <c r="H835" s="17">
        <v>56.0</v>
      </c>
      <c r="I835" s="10">
        <v>200.0</v>
      </c>
      <c r="J835" s="17">
        <v>3.0</v>
      </c>
      <c r="K835" s="17">
        <v>580.0</v>
      </c>
      <c r="L835" s="17"/>
      <c r="M835" s="20">
        <v>40.0</v>
      </c>
      <c r="N835" s="20">
        <v>2.0</v>
      </c>
      <c r="O835" s="20">
        <v>1.0</v>
      </c>
      <c r="P835" s="20">
        <f t="shared" si="2"/>
        <v>37</v>
      </c>
      <c r="Q835" s="21">
        <v>5.0</v>
      </c>
      <c r="R835" s="22">
        <f t="shared" si="3"/>
        <v>101.2482143</v>
      </c>
      <c r="S835" s="23">
        <f t="shared" si="4"/>
        <v>3.571428571</v>
      </c>
      <c r="T835" s="24">
        <f t="shared" si="5"/>
        <v>8</v>
      </c>
      <c r="U835" s="26">
        <f t="shared" si="6"/>
        <v>0.1304347826</v>
      </c>
      <c r="V835" s="26">
        <f t="shared" si="7"/>
        <v>0.0193236715</v>
      </c>
      <c r="W835" s="19">
        <f t="shared" si="8"/>
        <v>2.9</v>
      </c>
      <c r="X835" s="20">
        <f t="shared" si="9"/>
        <v>200</v>
      </c>
      <c r="Y835" s="27"/>
      <c r="Z835" s="17"/>
      <c r="AA835" s="28"/>
      <c r="AB835" s="17"/>
      <c r="AC835" s="28"/>
      <c r="AD835" s="27"/>
    </row>
    <row r="836" ht="15.75" customHeight="1">
      <c r="A836" s="16" t="s">
        <v>1744</v>
      </c>
      <c r="B836" s="16" t="s">
        <v>2365</v>
      </c>
      <c r="C836" s="16" t="s">
        <v>2366</v>
      </c>
      <c r="D836" s="17" t="s">
        <v>563</v>
      </c>
      <c r="E836" s="18" t="s">
        <v>34</v>
      </c>
      <c r="F836" s="18">
        <v>1.0</v>
      </c>
      <c r="G836" s="19">
        <f t="shared" si="10"/>
        <v>0.9876717402</v>
      </c>
      <c r="H836" s="17">
        <v>28.0</v>
      </c>
      <c r="I836" s="10">
        <v>100.0</v>
      </c>
      <c r="J836" s="17">
        <v>2.0</v>
      </c>
      <c r="K836" s="17">
        <v>140.0</v>
      </c>
      <c r="L836" s="17">
        <v>180.0</v>
      </c>
      <c r="M836" s="20">
        <v>20.0</v>
      </c>
      <c r="N836" s="20">
        <v>3.0</v>
      </c>
      <c r="O836" s="20">
        <v>1.0</v>
      </c>
      <c r="P836" s="20">
        <f t="shared" si="2"/>
        <v>16</v>
      </c>
      <c r="Q836" s="21">
        <v>3.0</v>
      </c>
      <c r="R836" s="22">
        <f t="shared" si="3"/>
        <v>101.2482143</v>
      </c>
      <c r="S836" s="23">
        <f t="shared" si="4"/>
        <v>3.571428571</v>
      </c>
      <c r="T836" s="24">
        <f t="shared" si="5"/>
        <v>6.666666667</v>
      </c>
      <c r="U836" s="26">
        <f t="shared" si="6"/>
        <v>0.1636363636</v>
      </c>
      <c r="V836" s="26">
        <f t="shared" si="7"/>
        <v>0.03636363636</v>
      </c>
      <c r="W836" s="19">
        <f t="shared" si="8"/>
        <v>1.4</v>
      </c>
      <c r="X836" s="20">
        <f t="shared" si="9"/>
        <v>100</v>
      </c>
      <c r="Y836" s="27"/>
      <c r="Z836" s="17"/>
      <c r="AA836" s="28"/>
      <c r="AB836" s="17"/>
      <c r="AC836" s="28"/>
      <c r="AD836" s="27"/>
    </row>
    <row r="837" ht="15.75" customHeight="1">
      <c r="A837" s="16" t="s">
        <v>2020</v>
      </c>
      <c r="B837" s="16" t="s">
        <v>2367</v>
      </c>
      <c r="C837" s="16" t="s">
        <v>2368</v>
      </c>
      <c r="D837" s="17" t="s">
        <v>119</v>
      </c>
      <c r="E837" s="18" t="s">
        <v>34</v>
      </c>
      <c r="F837" s="18">
        <v>1.0</v>
      </c>
      <c r="G837" s="19">
        <f t="shared" si="10"/>
        <v>0.9876717402</v>
      </c>
      <c r="H837" s="17">
        <v>28.0</v>
      </c>
      <c r="I837" s="10">
        <v>100.0</v>
      </c>
      <c r="J837" s="17">
        <v>1.0</v>
      </c>
      <c r="K837" s="17">
        <v>400.0</v>
      </c>
      <c r="L837" s="17"/>
      <c r="M837" s="20">
        <v>20.0</v>
      </c>
      <c r="N837" s="20">
        <v>1.0</v>
      </c>
      <c r="O837" s="20">
        <v>2.0</v>
      </c>
      <c r="P837" s="20">
        <f t="shared" si="2"/>
        <v>17</v>
      </c>
      <c r="Q837" s="21">
        <v>3.0</v>
      </c>
      <c r="R837" s="22">
        <f t="shared" si="3"/>
        <v>101.2482143</v>
      </c>
      <c r="S837" s="23">
        <f t="shared" si="4"/>
        <v>3.571428571</v>
      </c>
      <c r="T837" s="24">
        <f t="shared" si="5"/>
        <v>6.666666667</v>
      </c>
      <c r="U837" s="26">
        <f t="shared" si="6"/>
        <v>0.08910891089</v>
      </c>
      <c r="V837" s="26">
        <f t="shared" si="7"/>
        <v>0.07920792079</v>
      </c>
      <c r="W837" s="19">
        <f t="shared" si="8"/>
        <v>4</v>
      </c>
      <c r="X837" s="20">
        <f t="shared" si="9"/>
        <v>100</v>
      </c>
      <c r="Y837" s="27"/>
      <c r="Z837" s="17"/>
      <c r="AA837" s="28"/>
      <c r="AB837" s="17"/>
      <c r="AC837" s="28"/>
      <c r="AD837" s="27"/>
    </row>
    <row r="838" ht="15.75" customHeight="1">
      <c r="A838" s="16" t="s">
        <v>2362</v>
      </c>
      <c r="B838" s="16" t="s">
        <v>2369</v>
      </c>
      <c r="C838" s="16" t="s">
        <v>2370</v>
      </c>
      <c r="D838" s="17" t="s">
        <v>119</v>
      </c>
      <c r="E838" s="18" t="s">
        <v>34</v>
      </c>
      <c r="F838" s="18">
        <v>1.0</v>
      </c>
      <c r="G838" s="19">
        <f t="shared" si="10"/>
        <v>1.97534348</v>
      </c>
      <c r="H838" s="17">
        <v>56.0</v>
      </c>
      <c r="I838" s="10">
        <v>200.0</v>
      </c>
      <c r="J838" s="17">
        <v>2.5</v>
      </c>
      <c r="K838" s="17">
        <v>320.0</v>
      </c>
      <c r="L838" s="17"/>
      <c r="M838" s="20">
        <v>38.0</v>
      </c>
      <c r="N838" s="20">
        <v>3.0</v>
      </c>
      <c r="O838" s="20">
        <v>1.0</v>
      </c>
      <c r="P838" s="20">
        <f t="shared" si="2"/>
        <v>34</v>
      </c>
      <c r="Q838" s="21">
        <v>6.0</v>
      </c>
      <c r="R838" s="22">
        <f t="shared" si="3"/>
        <v>101.2482143</v>
      </c>
      <c r="S838" s="23">
        <f t="shared" si="4"/>
        <v>3.571428571</v>
      </c>
      <c r="T838" s="24">
        <f t="shared" si="5"/>
        <v>6.333333333</v>
      </c>
      <c r="U838" s="26">
        <f t="shared" si="6"/>
        <v>0.1133501259</v>
      </c>
      <c r="V838" s="26">
        <f t="shared" si="7"/>
        <v>0.0201511335</v>
      </c>
      <c r="W838" s="19">
        <f t="shared" si="8"/>
        <v>1.6</v>
      </c>
      <c r="X838" s="20">
        <f t="shared" si="9"/>
        <v>200</v>
      </c>
      <c r="Y838" s="27"/>
      <c r="Z838" s="17"/>
      <c r="AA838" s="28"/>
      <c r="AB838" s="17"/>
      <c r="AC838" s="28"/>
      <c r="AD838" s="16"/>
    </row>
    <row r="839" ht="15.75" customHeight="1">
      <c r="A839" s="27" t="s">
        <v>2371</v>
      </c>
      <c r="B839" s="27" t="s">
        <v>2372</v>
      </c>
      <c r="C839" s="16" t="s">
        <v>2373</v>
      </c>
      <c r="D839" s="17" t="s">
        <v>119</v>
      </c>
      <c r="E839" s="18" t="s">
        <v>34</v>
      </c>
      <c r="F839" s="18">
        <v>1.0</v>
      </c>
      <c r="G839" s="19">
        <f t="shared" si="10"/>
        <v>1.97534348</v>
      </c>
      <c r="H839" s="17">
        <v>56.0</v>
      </c>
      <c r="I839" s="10">
        <v>200.0</v>
      </c>
      <c r="J839" s="17">
        <v>1.0</v>
      </c>
      <c r="K839" s="17">
        <v>0.0</v>
      </c>
      <c r="L839" s="17"/>
      <c r="M839" s="20">
        <v>42.0</v>
      </c>
      <c r="N839" s="20">
        <v>2.0</v>
      </c>
      <c r="O839" s="20">
        <v>2.0</v>
      </c>
      <c r="P839" s="20">
        <f t="shared" si="2"/>
        <v>38</v>
      </c>
      <c r="Q839" s="21">
        <v>7.0</v>
      </c>
      <c r="R839" s="22">
        <f t="shared" si="3"/>
        <v>101.2482143</v>
      </c>
      <c r="S839" s="23">
        <f t="shared" si="4"/>
        <v>3.571428571</v>
      </c>
      <c r="T839" s="24">
        <f t="shared" si="5"/>
        <v>6</v>
      </c>
      <c r="U839" s="26">
        <f t="shared" si="6"/>
        <v>0.04390243902</v>
      </c>
      <c r="V839" s="26">
        <f t="shared" si="7"/>
        <v>0.03902439024</v>
      </c>
      <c r="W839" s="19">
        <f t="shared" si="8"/>
        <v>0</v>
      </c>
      <c r="X839" s="20">
        <f t="shared" si="9"/>
        <v>200</v>
      </c>
      <c r="Y839" s="27"/>
      <c r="Z839" s="17"/>
      <c r="AA839" s="28"/>
      <c r="AB839" s="17"/>
      <c r="AC839" s="28"/>
      <c r="AD839" s="27"/>
    </row>
    <row r="840" ht="15.75" customHeight="1">
      <c r="A840" s="16" t="s">
        <v>2020</v>
      </c>
      <c r="B840" s="16" t="s">
        <v>2374</v>
      </c>
      <c r="C840" s="16" t="s">
        <v>2375</v>
      </c>
      <c r="D840" s="17" t="s">
        <v>119</v>
      </c>
      <c r="E840" s="18" t="s">
        <v>34</v>
      </c>
      <c r="F840" s="18">
        <v>1.0</v>
      </c>
      <c r="G840" s="19">
        <f t="shared" si="10"/>
        <v>0.9876717402</v>
      </c>
      <c r="H840" s="17">
        <v>28.0</v>
      </c>
      <c r="I840" s="10">
        <v>100.0</v>
      </c>
      <c r="J840" s="17">
        <v>1.0</v>
      </c>
      <c r="K840" s="17">
        <v>420.0</v>
      </c>
      <c r="L840" s="17"/>
      <c r="M840" s="20">
        <v>21.0</v>
      </c>
      <c r="N840" s="20">
        <v>1.0</v>
      </c>
      <c r="O840" s="20">
        <v>2.0</v>
      </c>
      <c r="P840" s="20">
        <f t="shared" si="2"/>
        <v>18</v>
      </c>
      <c r="Q840" s="21">
        <v>4.0</v>
      </c>
      <c r="R840" s="22">
        <f t="shared" si="3"/>
        <v>101.2482143</v>
      </c>
      <c r="S840" s="23">
        <f t="shared" si="4"/>
        <v>3.571428571</v>
      </c>
      <c r="T840" s="24">
        <f t="shared" si="5"/>
        <v>5.25</v>
      </c>
      <c r="U840" s="26">
        <f t="shared" si="6"/>
        <v>0.08256880734</v>
      </c>
      <c r="V840" s="26">
        <f t="shared" si="7"/>
        <v>0.07339449541</v>
      </c>
      <c r="W840" s="19">
        <f t="shared" si="8"/>
        <v>4.2</v>
      </c>
      <c r="X840" s="20">
        <f t="shared" si="9"/>
        <v>100</v>
      </c>
      <c r="Y840" s="27"/>
      <c r="Z840" s="17"/>
      <c r="AA840" s="28"/>
      <c r="AB840" s="17"/>
      <c r="AC840" s="28"/>
      <c r="AD840" s="27"/>
    </row>
    <row r="841" ht="15.75" customHeight="1">
      <c r="A841" s="16" t="s">
        <v>2362</v>
      </c>
      <c r="B841" s="16" t="s">
        <v>2376</v>
      </c>
      <c r="C841" s="16" t="s">
        <v>2377</v>
      </c>
      <c r="D841" s="17" t="s">
        <v>119</v>
      </c>
      <c r="E841" s="18" t="s">
        <v>34</v>
      </c>
      <c r="F841" s="18">
        <v>1.0</v>
      </c>
      <c r="G841" s="19">
        <f t="shared" si="10"/>
        <v>1.97534348</v>
      </c>
      <c r="H841" s="17">
        <v>56.0</v>
      </c>
      <c r="I841" s="10">
        <v>200.0</v>
      </c>
      <c r="J841" s="17">
        <v>1.5</v>
      </c>
      <c r="K841" s="17">
        <v>500.0</v>
      </c>
      <c r="L841" s="17"/>
      <c r="M841" s="20">
        <v>39.0</v>
      </c>
      <c r="N841" s="20">
        <v>2.0</v>
      </c>
      <c r="O841" s="20">
        <v>2.0</v>
      </c>
      <c r="P841" s="20">
        <f t="shared" si="2"/>
        <v>35</v>
      </c>
      <c r="Q841" s="21">
        <v>8.0</v>
      </c>
      <c r="R841" s="22">
        <f t="shared" si="3"/>
        <v>101.2482143</v>
      </c>
      <c r="S841" s="23">
        <f t="shared" si="4"/>
        <v>3.571428571</v>
      </c>
      <c r="T841" s="24">
        <f t="shared" si="5"/>
        <v>4.875</v>
      </c>
      <c r="U841" s="26">
        <f t="shared" si="6"/>
        <v>0.06699751861</v>
      </c>
      <c r="V841" s="26">
        <f t="shared" si="7"/>
        <v>0.03970223325</v>
      </c>
      <c r="W841" s="19">
        <f t="shared" si="8"/>
        <v>2.5</v>
      </c>
      <c r="X841" s="20">
        <f t="shared" si="9"/>
        <v>200</v>
      </c>
      <c r="Y841" s="27"/>
      <c r="Z841" s="17"/>
      <c r="AA841" s="28"/>
      <c r="AB841" s="17"/>
      <c r="AC841" s="28"/>
      <c r="AD841" s="27"/>
    </row>
    <row r="842" ht="15.75" customHeight="1">
      <c r="A842" s="27" t="s">
        <v>2362</v>
      </c>
      <c r="B842" s="27" t="s">
        <v>2378</v>
      </c>
      <c r="C842" s="16" t="s">
        <v>2379</v>
      </c>
      <c r="D842" s="17" t="s">
        <v>119</v>
      </c>
      <c r="E842" s="18" t="s">
        <v>34</v>
      </c>
      <c r="F842" s="18">
        <v>1.0</v>
      </c>
      <c r="G842" s="19">
        <f t="shared" si="10"/>
        <v>1.97534348</v>
      </c>
      <c r="H842" s="17">
        <v>56.0</v>
      </c>
      <c r="I842" s="10">
        <v>200.0</v>
      </c>
      <c r="J842" s="17">
        <v>2.0</v>
      </c>
      <c r="K842" s="17">
        <v>450.0</v>
      </c>
      <c r="L842" s="17"/>
      <c r="M842" s="20">
        <v>39.0</v>
      </c>
      <c r="N842" s="20">
        <v>3.0</v>
      </c>
      <c r="O842" s="20">
        <v>0.0</v>
      </c>
      <c r="P842" s="20">
        <f t="shared" si="2"/>
        <v>36</v>
      </c>
      <c r="Q842" s="21">
        <v>8.0</v>
      </c>
      <c r="R842" s="22">
        <f t="shared" si="3"/>
        <v>101.2482143</v>
      </c>
      <c r="S842" s="23">
        <f t="shared" si="4"/>
        <v>3.571428571</v>
      </c>
      <c r="T842" s="24">
        <f t="shared" si="5"/>
        <v>4.875</v>
      </c>
      <c r="U842" s="26">
        <f t="shared" si="6"/>
        <v>0.08737864078</v>
      </c>
      <c r="V842" s="26" t="str">
        <f t="shared" si="7"/>
        <v>0%</v>
      </c>
      <c r="W842" s="19">
        <f t="shared" si="8"/>
        <v>2.25</v>
      </c>
      <c r="X842" s="20">
        <f t="shared" si="9"/>
        <v>200</v>
      </c>
      <c r="Y842" s="27"/>
      <c r="Z842" s="17"/>
      <c r="AA842" s="28"/>
      <c r="AB842" s="17"/>
      <c r="AC842" s="28"/>
      <c r="AD842" s="27"/>
    </row>
    <row r="843" ht="15.75" customHeight="1">
      <c r="A843" s="27" t="s">
        <v>2380</v>
      </c>
      <c r="B843" s="27" t="s">
        <v>2381</v>
      </c>
      <c r="C843" s="16" t="s">
        <v>2382</v>
      </c>
      <c r="D843" s="17" t="s">
        <v>119</v>
      </c>
      <c r="E843" s="18" t="s">
        <v>34</v>
      </c>
      <c r="F843" s="18">
        <v>1.0</v>
      </c>
      <c r="G843" s="19">
        <f t="shared" si="10"/>
        <v>1.97534348</v>
      </c>
      <c r="H843" s="17">
        <v>56.0</v>
      </c>
      <c r="I843" s="10">
        <v>200.0</v>
      </c>
      <c r="J843" s="17">
        <v>3.5</v>
      </c>
      <c r="K843" s="17">
        <v>400.0</v>
      </c>
      <c r="L843" s="17"/>
      <c r="M843" s="20">
        <v>34.0</v>
      </c>
      <c r="N843" s="20">
        <v>4.0</v>
      </c>
      <c r="O843" s="20">
        <v>0.0</v>
      </c>
      <c r="P843" s="20">
        <f t="shared" si="2"/>
        <v>30</v>
      </c>
      <c r="Q843" s="21">
        <v>7.0</v>
      </c>
      <c r="R843" s="22">
        <f t="shared" si="3"/>
        <v>101.2482143</v>
      </c>
      <c r="S843" s="23">
        <f t="shared" si="4"/>
        <v>3.571428571</v>
      </c>
      <c r="T843" s="24">
        <f t="shared" si="5"/>
        <v>4.857142857</v>
      </c>
      <c r="U843" s="26">
        <f t="shared" si="6"/>
        <v>0.1611253197</v>
      </c>
      <c r="V843" s="26" t="str">
        <f t="shared" si="7"/>
        <v>0%</v>
      </c>
      <c r="W843" s="19">
        <f t="shared" si="8"/>
        <v>2</v>
      </c>
      <c r="X843" s="20">
        <f t="shared" si="9"/>
        <v>200</v>
      </c>
      <c r="Y843" s="27"/>
      <c r="Z843" s="17"/>
      <c r="AA843" s="28"/>
      <c r="AB843" s="17"/>
      <c r="AC843" s="28"/>
      <c r="AD843" s="27"/>
    </row>
    <row r="844" ht="15.75" customHeight="1">
      <c r="A844" s="16" t="s">
        <v>1771</v>
      </c>
      <c r="B844" s="16" t="s">
        <v>2383</v>
      </c>
      <c r="C844" s="16" t="s">
        <v>2384</v>
      </c>
      <c r="D844" s="17" t="s">
        <v>563</v>
      </c>
      <c r="E844" s="18" t="s">
        <v>34</v>
      </c>
      <c r="F844" s="18">
        <v>1.0</v>
      </c>
      <c r="G844" s="19">
        <f t="shared" si="10"/>
        <v>0.9876717402</v>
      </c>
      <c r="H844" s="17">
        <v>28.0</v>
      </c>
      <c r="I844" s="10">
        <v>100.0</v>
      </c>
      <c r="J844" s="17">
        <v>2.0</v>
      </c>
      <c r="K844" s="17">
        <v>75.0</v>
      </c>
      <c r="L844" s="17">
        <v>105.0</v>
      </c>
      <c r="M844" s="20">
        <v>19.0</v>
      </c>
      <c r="N844" s="20">
        <v>3.0</v>
      </c>
      <c r="O844" s="20">
        <v>0.0</v>
      </c>
      <c r="P844" s="20">
        <f t="shared" si="2"/>
        <v>16</v>
      </c>
      <c r="Q844" s="21">
        <v>4.0</v>
      </c>
      <c r="R844" s="22">
        <f t="shared" si="3"/>
        <v>101.2482143</v>
      </c>
      <c r="S844" s="23">
        <f t="shared" si="4"/>
        <v>3.571428571</v>
      </c>
      <c r="T844" s="24">
        <f t="shared" si="5"/>
        <v>4.75</v>
      </c>
      <c r="U844" s="26">
        <f t="shared" si="6"/>
        <v>0.1636363636</v>
      </c>
      <c r="V844" s="26" t="str">
        <f t="shared" si="7"/>
        <v>0%</v>
      </c>
      <c r="W844" s="19">
        <f t="shared" si="8"/>
        <v>0.75</v>
      </c>
      <c r="X844" s="20">
        <f t="shared" si="9"/>
        <v>100</v>
      </c>
      <c r="Y844" s="27"/>
      <c r="Z844" s="17"/>
      <c r="AA844" s="28"/>
      <c r="AB844" s="17"/>
      <c r="AC844" s="28"/>
      <c r="AD844" s="27"/>
    </row>
    <row r="845" ht="15.75" customHeight="1">
      <c r="A845" s="16" t="s">
        <v>1638</v>
      </c>
      <c r="B845" s="16" t="s">
        <v>2385</v>
      </c>
      <c r="C845" s="16" t="s">
        <v>2386</v>
      </c>
      <c r="D845" s="17" t="s">
        <v>247</v>
      </c>
      <c r="E845" s="18" t="s">
        <v>34</v>
      </c>
      <c r="F845" s="18">
        <v>1.0</v>
      </c>
      <c r="G845" s="19">
        <f t="shared" si="10"/>
        <v>0.9876717402</v>
      </c>
      <c r="H845" s="17">
        <v>28.0</v>
      </c>
      <c r="I845" s="10">
        <v>100.0</v>
      </c>
      <c r="J845" s="17">
        <v>3.5</v>
      </c>
      <c r="K845" s="17">
        <v>210.0</v>
      </c>
      <c r="L845" s="17"/>
      <c r="M845" s="20">
        <v>10.0</v>
      </c>
      <c r="N845" s="20">
        <v>2.0</v>
      </c>
      <c r="O845" s="20">
        <v>7.0</v>
      </c>
      <c r="P845" s="20">
        <f t="shared" si="2"/>
        <v>1</v>
      </c>
      <c r="Q845" s="21">
        <v>7.0</v>
      </c>
      <c r="R845" s="22">
        <f t="shared" si="3"/>
        <v>101.2482143</v>
      </c>
      <c r="S845" s="23">
        <f t="shared" si="4"/>
        <v>3.571428571</v>
      </c>
      <c r="T845" s="24">
        <f t="shared" si="5"/>
        <v>1.428571429</v>
      </c>
      <c r="U845" s="26">
        <f t="shared" si="6"/>
        <v>0.3165829146</v>
      </c>
      <c r="V845" s="26">
        <f t="shared" si="7"/>
        <v>0.2814070352</v>
      </c>
      <c r="W845" s="19">
        <f t="shared" si="8"/>
        <v>2.1</v>
      </c>
      <c r="X845" s="20">
        <f t="shared" si="9"/>
        <v>100</v>
      </c>
      <c r="Y845" s="27"/>
      <c r="Z845" s="17"/>
      <c r="AA845" s="28"/>
      <c r="AB845" s="17"/>
      <c r="AC845" s="28"/>
      <c r="AD845" s="27"/>
    </row>
    <row r="846" ht="15.75" customHeight="1">
      <c r="A846" s="27" t="s">
        <v>2387</v>
      </c>
      <c r="B846" s="27" t="s">
        <v>2388</v>
      </c>
      <c r="C846" s="16" t="s">
        <v>2389</v>
      </c>
      <c r="D846" s="17" t="s">
        <v>1648</v>
      </c>
      <c r="E846" s="18" t="s">
        <v>34</v>
      </c>
      <c r="F846" s="18">
        <v>1.0</v>
      </c>
      <c r="G846" s="19">
        <f t="shared" si="10"/>
        <v>0.9876717402</v>
      </c>
      <c r="H846" s="17">
        <v>28.0</v>
      </c>
      <c r="I846" s="10">
        <v>100.0</v>
      </c>
      <c r="J846" s="17">
        <v>1.5</v>
      </c>
      <c r="K846" s="17">
        <v>340.0</v>
      </c>
      <c r="L846" s="17"/>
      <c r="M846" s="20">
        <v>11.0</v>
      </c>
      <c r="N846" s="20">
        <v>0.0</v>
      </c>
      <c r="O846" s="20">
        <v>10.0</v>
      </c>
      <c r="P846" s="20">
        <f t="shared" si="2"/>
        <v>1</v>
      </c>
      <c r="Q846" s="21">
        <v>9.0</v>
      </c>
      <c r="R846" s="22">
        <f t="shared" si="3"/>
        <v>101.2482143</v>
      </c>
      <c r="S846" s="23">
        <f t="shared" si="4"/>
        <v>3.571428571</v>
      </c>
      <c r="T846" s="24">
        <f t="shared" si="5"/>
        <v>1.222222222</v>
      </c>
      <c r="U846" s="26">
        <f t="shared" si="6"/>
        <v>0.1443850267</v>
      </c>
      <c r="V846" s="26">
        <f t="shared" si="7"/>
        <v>0.4278074866</v>
      </c>
      <c r="W846" s="19">
        <f t="shared" si="8"/>
        <v>3.4</v>
      </c>
      <c r="X846" s="20">
        <f t="shared" si="9"/>
        <v>100</v>
      </c>
      <c r="Y846" s="27"/>
      <c r="Z846" s="17"/>
      <c r="AA846" s="28"/>
      <c r="AB846" s="17"/>
      <c r="AC846" s="28"/>
      <c r="AD846" s="16"/>
    </row>
    <row r="847" ht="15.75" customHeight="1">
      <c r="A847" s="27" t="s">
        <v>2041</v>
      </c>
      <c r="B847" s="27" t="s">
        <v>2390</v>
      </c>
      <c r="C847" s="16" t="s">
        <v>2391</v>
      </c>
      <c r="D847" s="17" t="s">
        <v>247</v>
      </c>
      <c r="E847" s="18" t="s">
        <v>34</v>
      </c>
      <c r="F847" s="18">
        <v>1.0</v>
      </c>
      <c r="G847" s="19">
        <f t="shared" si="10"/>
        <v>0.9876717402</v>
      </c>
      <c r="H847" s="17">
        <v>28.0</v>
      </c>
      <c r="I847" s="10">
        <v>100.0</v>
      </c>
      <c r="J847" s="17">
        <v>7.0</v>
      </c>
      <c r="K847" s="17">
        <v>340.0</v>
      </c>
      <c r="L847" s="17">
        <v>110.0</v>
      </c>
      <c r="M847" s="20">
        <v>2.0</v>
      </c>
      <c r="N847" s="20">
        <v>0.0</v>
      </c>
      <c r="O847" s="20">
        <v>1.0</v>
      </c>
      <c r="P847" s="20">
        <f t="shared" si="2"/>
        <v>1</v>
      </c>
      <c r="Q847" s="21">
        <v>7.0</v>
      </c>
      <c r="R847" s="22">
        <f t="shared" si="3"/>
        <v>101.2482143</v>
      </c>
      <c r="S847" s="23">
        <f t="shared" si="4"/>
        <v>3.571428571</v>
      </c>
      <c r="T847" s="24">
        <f t="shared" si="5"/>
        <v>0.2857142857</v>
      </c>
      <c r="U847" s="26">
        <f t="shared" si="6"/>
        <v>0.6363636364</v>
      </c>
      <c r="V847" s="26">
        <f t="shared" si="7"/>
        <v>0.0404040404</v>
      </c>
      <c r="W847" s="19">
        <f t="shared" si="8"/>
        <v>3.4</v>
      </c>
      <c r="X847" s="20">
        <f t="shared" si="9"/>
        <v>100</v>
      </c>
      <c r="Y847" s="16"/>
      <c r="Z847" s="17"/>
      <c r="AA847" s="28"/>
      <c r="AB847" s="17"/>
      <c r="AC847" s="28"/>
      <c r="AD847" s="16"/>
    </row>
    <row r="848" ht="15.75" customHeight="1">
      <c r="A848" s="27" t="s">
        <v>2392</v>
      </c>
      <c r="B848" s="27" t="s">
        <v>2393</v>
      </c>
      <c r="C848" s="16" t="s">
        <v>2394</v>
      </c>
      <c r="D848" s="17" t="s">
        <v>247</v>
      </c>
      <c r="E848" s="18" t="s">
        <v>34</v>
      </c>
      <c r="F848" s="18">
        <v>1.0</v>
      </c>
      <c r="G848" s="19">
        <f t="shared" si="10"/>
        <v>0.9876717402</v>
      </c>
      <c r="H848" s="17">
        <v>28.0</v>
      </c>
      <c r="I848" s="10">
        <v>100.0</v>
      </c>
      <c r="J848" s="17">
        <v>7.0</v>
      </c>
      <c r="K848" s="17">
        <v>370.0</v>
      </c>
      <c r="L848" s="17"/>
      <c r="M848" s="20">
        <v>2.0</v>
      </c>
      <c r="N848" s="20">
        <v>0.0</v>
      </c>
      <c r="O848" s="20">
        <v>1.0</v>
      </c>
      <c r="P848" s="20">
        <f t="shared" si="2"/>
        <v>1</v>
      </c>
      <c r="Q848" s="21">
        <v>8.0</v>
      </c>
      <c r="R848" s="22">
        <f t="shared" si="3"/>
        <v>101.2482143</v>
      </c>
      <c r="S848" s="23">
        <f t="shared" si="4"/>
        <v>3.571428571</v>
      </c>
      <c r="T848" s="24">
        <f t="shared" si="5"/>
        <v>0.25</v>
      </c>
      <c r="U848" s="26">
        <f t="shared" si="6"/>
        <v>0.6116504854</v>
      </c>
      <c r="V848" s="26">
        <f t="shared" si="7"/>
        <v>0.03883495146</v>
      </c>
      <c r="W848" s="19">
        <f t="shared" si="8"/>
        <v>3.7</v>
      </c>
      <c r="X848" s="20">
        <f t="shared" si="9"/>
        <v>100</v>
      </c>
      <c r="Y848" s="27"/>
      <c r="Z848" s="17"/>
      <c r="AA848" s="28"/>
      <c r="AB848" s="17"/>
      <c r="AC848" s="28"/>
      <c r="AD848" s="16"/>
    </row>
    <row r="849" ht="15.75" customHeight="1">
      <c r="A849" s="27" t="s">
        <v>2395</v>
      </c>
      <c r="B849" s="27" t="s">
        <v>2396</v>
      </c>
      <c r="C849" s="16" t="s">
        <v>2397</v>
      </c>
      <c r="D849" s="17" t="s">
        <v>99</v>
      </c>
      <c r="E849" s="18" t="s">
        <v>34</v>
      </c>
      <c r="F849" s="18">
        <v>1.0</v>
      </c>
      <c r="G849" s="19">
        <f t="shared" si="10"/>
        <v>3.068837193</v>
      </c>
      <c r="H849" s="17">
        <v>87.0</v>
      </c>
      <c r="I849" s="10">
        <v>310.0</v>
      </c>
      <c r="J849" s="17">
        <v>0.5</v>
      </c>
      <c r="K849" s="17">
        <v>90.0</v>
      </c>
      <c r="L849" s="17">
        <v>140.0</v>
      </c>
      <c r="M849" s="20">
        <v>63.0</v>
      </c>
      <c r="N849" s="20">
        <v>1.0</v>
      </c>
      <c r="O849" s="20">
        <v>58.5</v>
      </c>
      <c r="P849" s="20">
        <f t="shared" si="2"/>
        <v>3.5</v>
      </c>
      <c r="Q849" s="21">
        <v>16.0</v>
      </c>
      <c r="R849" s="22">
        <f t="shared" si="3"/>
        <v>101.0154598</v>
      </c>
      <c r="S849" s="23">
        <f t="shared" si="4"/>
        <v>3.563218391</v>
      </c>
      <c r="T849" s="24">
        <f t="shared" si="5"/>
        <v>3.9375</v>
      </c>
      <c r="U849" s="26">
        <f t="shared" si="6"/>
        <v>0.01404056162</v>
      </c>
      <c r="V849" s="26">
        <f t="shared" si="7"/>
        <v>0.7301092044</v>
      </c>
      <c r="W849" s="19">
        <f t="shared" si="8"/>
        <v>0.2903225806</v>
      </c>
      <c r="X849" s="20">
        <f t="shared" si="9"/>
        <v>310</v>
      </c>
      <c r="Y849" s="16"/>
      <c r="Z849" s="17"/>
      <c r="AA849" s="28"/>
      <c r="AB849" s="17"/>
      <c r="AC849" s="28"/>
      <c r="AD849" s="16"/>
    </row>
    <row r="850" ht="15.75" customHeight="1">
      <c r="A850" s="16" t="s">
        <v>2362</v>
      </c>
      <c r="B850" s="16" t="s">
        <v>2398</v>
      </c>
      <c r="C850" s="16" t="s">
        <v>2399</v>
      </c>
      <c r="D850" s="17" t="s">
        <v>119</v>
      </c>
      <c r="E850" s="18" t="s">
        <v>34</v>
      </c>
      <c r="F850" s="18">
        <v>1.0</v>
      </c>
      <c r="G850" s="19">
        <f t="shared" si="10"/>
        <v>2.186987425</v>
      </c>
      <c r="H850" s="17">
        <v>62.0</v>
      </c>
      <c r="I850" s="10">
        <v>220.0</v>
      </c>
      <c r="J850" s="17">
        <v>1.0</v>
      </c>
      <c r="K850" s="17">
        <v>5.0</v>
      </c>
      <c r="L850" s="17"/>
      <c r="M850" s="20">
        <v>46.0</v>
      </c>
      <c r="N850" s="20">
        <v>2.0</v>
      </c>
      <c r="O850" s="20">
        <v>1.0</v>
      </c>
      <c r="P850" s="20">
        <f t="shared" si="2"/>
        <v>43</v>
      </c>
      <c r="Q850" s="21">
        <v>8.0</v>
      </c>
      <c r="R850" s="22">
        <f t="shared" si="3"/>
        <v>100.595</v>
      </c>
      <c r="S850" s="23">
        <f t="shared" si="4"/>
        <v>3.548387097</v>
      </c>
      <c r="T850" s="24">
        <f t="shared" si="5"/>
        <v>5.75</v>
      </c>
      <c r="U850" s="26">
        <f t="shared" si="6"/>
        <v>0.04</v>
      </c>
      <c r="V850" s="26">
        <f t="shared" si="7"/>
        <v>0.01777777778</v>
      </c>
      <c r="W850" s="19">
        <f t="shared" si="8"/>
        <v>0.02272727273</v>
      </c>
      <c r="X850" s="20">
        <f t="shared" si="9"/>
        <v>220</v>
      </c>
      <c r="Y850" s="27"/>
      <c r="Z850" s="17"/>
      <c r="AA850" s="28"/>
      <c r="AB850" s="17"/>
      <c r="AC850" s="28"/>
      <c r="AD850" s="16"/>
    </row>
    <row r="851" ht="15.75" customHeight="1">
      <c r="A851" s="27" t="s">
        <v>1638</v>
      </c>
      <c r="B851" s="27" t="s">
        <v>2400</v>
      </c>
      <c r="C851" s="16" t="s">
        <v>2401</v>
      </c>
      <c r="D851" s="17" t="s">
        <v>247</v>
      </c>
      <c r="E851" s="18" t="s">
        <v>34</v>
      </c>
      <c r="F851" s="18">
        <v>1.0</v>
      </c>
      <c r="G851" s="19">
        <f t="shared" si="10"/>
        <v>1.093493712</v>
      </c>
      <c r="H851" s="17">
        <v>31.0</v>
      </c>
      <c r="I851" s="10">
        <v>110.0</v>
      </c>
      <c r="J851" s="17">
        <v>4.0</v>
      </c>
      <c r="K851" s="17">
        <v>190.0</v>
      </c>
      <c r="L851" s="17"/>
      <c r="M851" s="20">
        <v>11.0</v>
      </c>
      <c r="N851" s="20">
        <v>2.0</v>
      </c>
      <c r="O851" s="20">
        <v>8.0</v>
      </c>
      <c r="P851" s="20">
        <f t="shared" si="2"/>
        <v>1</v>
      </c>
      <c r="Q851" s="21">
        <v>8.0</v>
      </c>
      <c r="R851" s="22">
        <f t="shared" si="3"/>
        <v>100.595</v>
      </c>
      <c r="S851" s="23">
        <f t="shared" si="4"/>
        <v>3.548387097</v>
      </c>
      <c r="T851" s="24">
        <f t="shared" si="5"/>
        <v>1.375</v>
      </c>
      <c r="U851" s="26">
        <f t="shared" si="6"/>
        <v>0.3214285714</v>
      </c>
      <c r="V851" s="26">
        <f t="shared" si="7"/>
        <v>0.2857142857</v>
      </c>
      <c r="W851" s="19">
        <f t="shared" si="8"/>
        <v>1.727272727</v>
      </c>
      <c r="X851" s="20">
        <f t="shared" si="9"/>
        <v>110</v>
      </c>
      <c r="Y851" s="27"/>
      <c r="Z851" s="17"/>
      <c r="AA851" s="28"/>
      <c r="AB851" s="17"/>
      <c r="AC851" s="28"/>
      <c r="AD851" s="27"/>
    </row>
    <row r="852" ht="15.75" customHeight="1">
      <c r="A852" s="27" t="s">
        <v>2084</v>
      </c>
      <c r="B852" s="27" t="s">
        <v>2161</v>
      </c>
      <c r="C852" s="16" t="s">
        <v>2402</v>
      </c>
      <c r="D852" s="17" t="s">
        <v>212</v>
      </c>
      <c r="E852" s="18" t="s">
        <v>34</v>
      </c>
      <c r="F852" s="18">
        <v>1.0</v>
      </c>
      <c r="G852" s="19">
        <f t="shared" si="10"/>
        <v>3.280481137</v>
      </c>
      <c r="H852" s="17">
        <v>93.0</v>
      </c>
      <c r="I852" s="10">
        <v>330.0</v>
      </c>
      <c r="J852" s="17">
        <v>9.0</v>
      </c>
      <c r="K852" s="17">
        <v>190.0</v>
      </c>
      <c r="L852" s="17">
        <v>135.0</v>
      </c>
      <c r="M852" s="20">
        <v>40.0</v>
      </c>
      <c r="N852" s="20">
        <v>5.0</v>
      </c>
      <c r="O852" s="20">
        <v>21.0</v>
      </c>
      <c r="P852" s="20">
        <f t="shared" si="2"/>
        <v>14</v>
      </c>
      <c r="Q852" s="21">
        <v>30.0</v>
      </c>
      <c r="R852" s="22">
        <f t="shared" si="3"/>
        <v>100.595</v>
      </c>
      <c r="S852" s="23">
        <f t="shared" si="4"/>
        <v>3.548387097</v>
      </c>
      <c r="T852" s="24">
        <f t="shared" si="5"/>
        <v>1.333333333</v>
      </c>
      <c r="U852" s="26">
        <f t="shared" si="6"/>
        <v>0.2243767313</v>
      </c>
      <c r="V852" s="26">
        <f t="shared" si="7"/>
        <v>0.2326869806</v>
      </c>
      <c r="W852" s="19">
        <f t="shared" si="8"/>
        <v>0.5757575758</v>
      </c>
      <c r="X852" s="20">
        <f t="shared" si="9"/>
        <v>330</v>
      </c>
      <c r="Y852" s="27"/>
      <c r="Z852" s="17"/>
      <c r="AA852" s="28"/>
      <c r="AB852" s="17"/>
      <c r="AC852" s="28"/>
      <c r="AD852" s="27"/>
    </row>
    <row r="853" ht="15.75" customHeight="1">
      <c r="A853" s="16" t="s">
        <v>1839</v>
      </c>
      <c r="B853" s="16" t="s">
        <v>2403</v>
      </c>
      <c r="C853" s="16" t="s">
        <v>2404</v>
      </c>
      <c r="D853" s="17" t="s">
        <v>33</v>
      </c>
      <c r="E853" s="18" t="s">
        <v>34</v>
      </c>
      <c r="F853" s="18">
        <v>1.0</v>
      </c>
      <c r="G853" s="19">
        <f t="shared" si="10"/>
        <v>1.093493712</v>
      </c>
      <c r="H853" s="17">
        <v>31.0</v>
      </c>
      <c r="I853" s="10">
        <v>110.0</v>
      </c>
      <c r="J853" s="17">
        <v>0.0</v>
      </c>
      <c r="K853" s="17">
        <v>170.0</v>
      </c>
      <c r="L853" s="17">
        <v>90.0</v>
      </c>
      <c r="M853" s="20">
        <v>4.0</v>
      </c>
      <c r="N853" s="20">
        <v>2.0</v>
      </c>
      <c r="O853" s="20">
        <v>1.0</v>
      </c>
      <c r="P853" s="20">
        <f t="shared" si="2"/>
        <v>1</v>
      </c>
      <c r="Q853" s="21">
        <v>23.0</v>
      </c>
      <c r="R853" s="22">
        <f t="shared" si="3"/>
        <v>100.595</v>
      </c>
      <c r="S853" s="23">
        <f t="shared" si="4"/>
        <v>3.548387097</v>
      </c>
      <c r="T853" s="24">
        <f t="shared" si="5"/>
        <v>0.1739130435</v>
      </c>
      <c r="U853" s="26" t="str">
        <f t="shared" si="6"/>
        <v>0%</v>
      </c>
      <c r="V853" s="26">
        <f t="shared" si="7"/>
        <v>0.03703703704</v>
      </c>
      <c r="W853" s="19">
        <f t="shared" si="8"/>
        <v>1.545454545</v>
      </c>
      <c r="X853" s="20">
        <f t="shared" si="9"/>
        <v>110</v>
      </c>
      <c r="Y853" s="27"/>
      <c r="Z853" s="17"/>
      <c r="AA853" s="28"/>
      <c r="AB853" s="17"/>
      <c r="AC853" s="28"/>
      <c r="AD853" s="27"/>
    </row>
    <row r="854" ht="15.75" customHeight="1">
      <c r="A854" s="16" t="s">
        <v>2197</v>
      </c>
      <c r="B854" s="16" t="s">
        <v>2405</v>
      </c>
      <c r="C854" s="16" t="s">
        <v>2406</v>
      </c>
      <c r="D854" s="17" t="s">
        <v>119</v>
      </c>
      <c r="E854" s="18" t="s">
        <v>34</v>
      </c>
      <c r="F854" s="18">
        <v>1.0</v>
      </c>
      <c r="G854" s="19">
        <f t="shared" si="10"/>
        <v>2.292809397</v>
      </c>
      <c r="H854" s="17">
        <v>65.0</v>
      </c>
      <c r="I854" s="10">
        <v>230.0</v>
      </c>
      <c r="J854" s="17">
        <v>1.0</v>
      </c>
      <c r="K854" s="17">
        <v>780.0</v>
      </c>
      <c r="L854" s="17"/>
      <c r="M854" s="20">
        <v>49.0</v>
      </c>
      <c r="N854" s="20">
        <v>1.0</v>
      </c>
      <c r="O854" s="20">
        <v>3.0</v>
      </c>
      <c r="P854" s="20">
        <f t="shared" si="2"/>
        <v>45</v>
      </c>
      <c r="Q854" s="21">
        <v>6.0</v>
      </c>
      <c r="R854" s="22">
        <f t="shared" si="3"/>
        <v>100.3136154</v>
      </c>
      <c r="S854" s="23">
        <f t="shared" si="4"/>
        <v>3.538461538</v>
      </c>
      <c r="T854" s="24">
        <f t="shared" si="5"/>
        <v>8.166666667</v>
      </c>
      <c r="U854" s="26">
        <f t="shared" si="6"/>
        <v>0.03930131004</v>
      </c>
      <c r="V854" s="26">
        <f t="shared" si="7"/>
        <v>0.05240174672</v>
      </c>
      <c r="W854" s="19">
        <f t="shared" si="8"/>
        <v>3.391304348</v>
      </c>
      <c r="X854" s="20">
        <f t="shared" si="9"/>
        <v>230</v>
      </c>
      <c r="Y854" s="27"/>
      <c r="Z854" s="17"/>
      <c r="AA854" s="28"/>
      <c r="AB854" s="17"/>
      <c r="AC854" s="28"/>
      <c r="AD854" s="27"/>
    </row>
    <row r="855" ht="15.75" customHeight="1">
      <c r="A855" s="27" t="s">
        <v>2407</v>
      </c>
      <c r="B855" s="27" t="s">
        <v>312</v>
      </c>
      <c r="C855" s="16" t="s">
        <v>2408</v>
      </c>
      <c r="D855" s="17" t="s">
        <v>212</v>
      </c>
      <c r="E855" s="18" t="s">
        <v>34</v>
      </c>
      <c r="F855" s="18">
        <v>1.0</v>
      </c>
      <c r="G855" s="19">
        <f t="shared" si="10"/>
        <v>2.292809397</v>
      </c>
      <c r="H855" s="17">
        <v>65.0</v>
      </c>
      <c r="I855" s="10">
        <v>230.0</v>
      </c>
      <c r="J855" s="17">
        <v>3.5</v>
      </c>
      <c r="K855" s="17">
        <v>200.0</v>
      </c>
      <c r="L855" s="17">
        <v>170.0</v>
      </c>
      <c r="M855" s="20">
        <v>44.0</v>
      </c>
      <c r="N855" s="20">
        <v>2.0</v>
      </c>
      <c r="O855" s="20">
        <v>27.0</v>
      </c>
      <c r="P855" s="20">
        <f t="shared" si="2"/>
        <v>15</v>
      </c>
      <c r="Q855" s="21">
        <v>9.0</v>
      </c>
      <c r="R855" s="22">
        <f t="shared" si="3"/>
        <v>100.3136154</v>
      </c>
      <c r="S855" s="23">
        <f t="shared" si="4"/>
        <v>3.538461538</v>
      </c>
      <c r="T855" s="24">
        <f t="shared" si="5"/>
        <v>4.888888889</v>
      </c>
      <c r="U855" s="26">
        <f t="shared" si="6"/>
        <v>0.1293634497</v>
      </c>
      <c r="V855" s="26">
        <f t="shared" si="7"/>
        <v>0.4435318275</v>
      </c>
      <c r="W855" s="19">
        <f t="shared" si="8"/>
        <v>0.8695652174</v>
      </c>
      <c r="X855" s="20">
        <f t="shared" si="9"/>
        <v>230</v>
      </c>
      <c r="Y855" s="27"/>
      <c r="Z855" s="17"/>
      <c r="AA855" s="28"/>
      <c r="AB855" s="17"/>
      <c r="AC855" s="28"/>
      <c r="AD855" s="27"/>
    </row>
    <row r="856" ht="15.75" customHeight="1">
      <c r="A856" s="27" t="s">
        <v>1271</v>
      </c>
      <c r="B856" s="27" t="s">
        <v>2409</v>
      </c>
      <c r="C856" s="16" t="s">
        <v>2410</v>
      </c>
      <c r="D856" s="17" t="s">
        <v>456</v>
      </c>
      <c r="E856" s="18" t="s">
        <v>34</v>
      </c>
      <c r="F856" s="18">
        <v>1.0</v>
      </c>
      <c r="G856" s="19">
        <f t="shared" si="10"/>
        <v>3.492125082</v>
      </c>
      <c r="H856" s="17">
        <v>99.0</v>
      </c>
      <c r="I856" s="10">
        <v>350.0</v>
      </c>
      <c r="J856" s="17">
        <v>11.0</v>
      </c>
      <c r="K856" s="17">
        <v>400.0</v>
      </c>
      <c r="L856" s="17"/>
      <c r="M856" s="20">
        <v>61.0</v>
      </c>
      <c r="N856" s="20">
        <v>2.0</v>
      </c>
      <c r="O856" s="20">
        <v>46.0</v>
      </c>
      <c r="P856" s="20">
        <f t="shared" si="2"/>
        <v>13</v>
      </c>
      <c r="Q856" s="21">
        <v>3.0</v>
      </c>
      <c r="R856" s="22">
        <f t="shared" si="3"/>
        <v>100.2255051</v>
      </c>
      <c r="S856" s="23">
        <f t="shared" si="4"/>
        <v>3.535353535</v>
      </c>
      <c r="T856" s="24">
        <f t="shared" si="5"/>
        <v>20.33333333</v>
      </c>
      <c r="U856" s="26">
        <f t="shared" si="6"/>
        <v>0.2788732394</v>
      </c>
      <c r="V856" s="26">
        <f t="shared" si="7"/>
        <v>0.5183098592</v>
      </c>
      <c r="W856" s="19">
        <f t="shared" si="8"/>
        <v>1.142857143</v>
      </c>
      <c r="X856" s="20">
        <f t="shared" si="9"/>
        <v>350</v>
      </c>
      <c r="Y856" s="27"/>
      <c r="Z856" s="17"/>
      <c r="AA856" s="28"/>
      <c r="AB856" s="17"/>
      <c r="AC856" s="28"/>
      <c r="AD856" s="27"/>
    </row>
    <row r="857" ht="15.75" customHeight="1">
      <c r="A857" s="16" t="s">
        <v>1801</v>
      </c>
      <c r="B857" s="16" t="s">
        <v>2411</v>
      </c>
      <c r="C857" s="16" t="s">
        <v>2412</v>
      </c>
      <c r="D857" s="17" t="s">
        <v>1768</v>
      </c>
      <c r="E857" s="18" t="s">
        <v>34</v>
      </c>
      <c r="F857" s="18">
        <v>1.0</v>
      </c>
      <c r="G857" s="19">
        <f t="shared" si="10"/>
        <v>0.5996578423</v>
      </c>
      <c r="H857" s="17">
        <v>17.0</v>
      </c>
      <c r="I857" s="10">
        <v>60.0</v>
      </c>
      <c r="J857" s="17">
        <v>1.5</v>
      </c>
      <c r="K857" s="17">
        <v>620.0</v>
      </c>
      <c r="L857" s="17"/>
      <c r="M857" s="20">
        <v>12.0</v>
      </c>
      <c r="N857" s="20">
        <v>0.0</v>
      </c>
      <c r="O857" s="20">
        <v>2.0</v>
      </c>
      <c r="P857" s="20">
        <f t="shared" si="2"/>
        <v>10</v>
      </c>
      <c r="Q857" s="21">
        <v>1.0</v>
      </c>
      <c r="R857" s="22">
        <f t="shared" si="3"/>
        <v>100.0570588</v>
      </c>
      <c r="S857" s="23">
        <f t="shared" si="4"/>
        <v>3.529411765</v>
      </c>
      <c r="T857" s="24">
        <f t="shared" si="5"/>
        <v>12</v>
      </c>
      <c r="U857" s="26">
        <f t="shared" si="6"/>
        <v>0.2061068702</v>
      </c>
      <c r="V857" s="26">
        <f t="shared" si="7"/>
        <v>0.1221374046</v>
      </c>
      <c r="W857" s="19">
        <f t="shared" si="8"/>
        <v>10.33333333</v>
      </c>
      <c r="X857" s="20">
        <f t="shared" si="9"/>
        <v>60</v>
      </c>
      <c r="Y857" s="27"/>
      <c r="Z857" s="17"/>
      <c r="AA857" s="28"/>
      <c r="AB857" s="17"/>
      <c r="AC857" s="28"/>
      <c r="AD857" s="16"/>
    </row>
    <row r="858" ht="15.75" customHeight="1">
      <c r="A858" s="27" t="s">
        <v>2413</v>
      </c>
      <c r="B858" s="27" t="s">
        <v>2414</v>
      </c>
      <c r="C858" s="16" t="s">
        <v>2415</v>
      </c>
      <c r="D858" s="17" t="s">
        <v>119</v>
      </c>
      <c r="E858" s="18" t="s">
        <v>34</v>
      </c>
      <c r="F858" s="18">
        <v>1.0</v>
      </c>
      <c r="G858" s="19">
        <f t="shared" si="10"/>
        <v>1.798973527</v>
      </c>
      <c r="H858" s="17">
        <v>51.0</v>
      </c>
      <c r="I858" s="10">
        <v>180.0</v>
      </c>
      <c r="J858" s="17">
        <v>0.5</v>
      </c>
      <c r="K858" s="17">
        <v>5.0</v>
      </c>
      <c r="L858" s="17"/>
      <c r="M858" s="20">
        <v>32.0</v>
      </c>
      <c r="N858" s="20">
        <v>8.0</v>
      </c>
      <c r="O858" s="20">
        <v>1.0</v>
      </c>
      <c r="P858" s="20">
        <f t="shared" si="2"/>
        <v>23</v>
      </c>
      <c r="Q858" s="21">
        <v>11.0</v>
      </c>
      <c r="R858" s="22">
        <f t="shared" si="3"/>
        <v>100.0570588</v>
      </c>
      <c r="S858" s="23">
        <f t="shared" si="4"/>
        <v>3.529411765</v>
      </c>
      <c r="T858" s="24">
        <f t="shared" si="5"/>
        <v>2.909090909</v>
      </c>
      <c r="U858" s="26">
        <f t="shared" si="6"/>
        <v>0.02549575071</v>
      </c>
      <c r="V858" s="26">
        <f t="shared" si="7"/>
        <v>0.02266288952</v>
      </c>
      <c r="W858" s="19">
        <f t="shared" si="8"/>
        <v>0.02777777778</v>
      </c>
      <c r="X858" s="20">
        <f t="shared" si="9"/>
        <v>180</v>
      </c>
      <c r="Y858" s="27"/>
      <c r="Z858" s="17"/>
      <c r="AA858" s="17"/>
      <c r="AB858" s="17"/>
      <c r="AC858" s="17"/>
      <c r="AD858" s="27"/>
    </row>
    <row r="859" ht="15.75" customHeight="1">
      <c r="A859" s="27" t="s">
        <v>2416</v>
      </c>
      <c r="B859" s="27" t="s">
        <v>2417</v>
      </c>
      <c r="C859" s="16" t="s">
        <v>2418</v>
      </c>
      <c r="D859" s="17" t="s">
        <v>212</v>
      </c>
      <c r="E859" s="18" t="s">
        <v>34</v>
      </c>
      <c r="F859" s="18">
        <v>1.0</v>
      </c>
      <c r="G859" s="19">
        <f t="shared" si="10"/>
        <v>2.998289211</v>
      </c>
      <c r="H859" s="17">
        <v>85.0</v>
      </c>
      <c r="I859" s="10">
        <v>300.0</v>
      </c>
      <c r="J859" s="17">
        <v>10.0</v>
      </c>
      <c r="K859" s="17">
        <v>370.0</v>
      </c>
      <c r="L859" s="17">
        <v>270.0</v>
      </c>
      <c r="M859" s="20">
        <v>34.0</v>
      </c>
      <c r="N859" s="20">
        <v>2.0</v>
      </c>
      <c r="O859" s="20">
        <v>2.0</v>
      </c>
      <c r="P859" s="20">
        <f t="shared" si="2"/>
        <v>30</v>
      </c>
      <c r="Q859" s="21">
        <v>30.0</v>
      </c>
      <c r="R859" s="22">
        <f t="shared" si="3"/>
        <v>100.0570588</v>
      </c>
      <c r="S859" s="23">
        <f t="shared" si="4"/>
        <v>3.529411765</v>
      </c>
      <c r="T859" s="24">
        <f t="shared" si="5"/>
        <v>1.133333333</v>
      </c>
      <c r="U859" s="26">
        <f t="shared" si="6"/>
        <v>0.2601156069</v>
      </c>
      <c r="V859" s="26">
        <f t="shared" si="7"/>
        <v>0.02312138728</v>
      </c>
      <c r="W859" s="19">
        <f t="shared" si="8"/>
        <v>1.233333333</v>
      </c>
      <c r="X859" s="20">
        <f t="shared" si="9"/>
        <v>300</v>
      </c>
      <c r="Y859" s="27"/>
      <c r="Z859" s="17"/>
      <c r="AA859" s="28"/>
      <c r="AB859" s="17"/>
      <c r="AC859" s="28"/>
      <c r="AD859" s="16"/>
    </row>
    <row r="860" ht="15.75" customHeight="1">
      <c r="A860" s="16" t="s">
        <v>2147</v>
      </c>
      <c r="B860" s="16" t="s">
        <v>2419</v>
      </c>
      <c r="C860" s="16" t="s">
        <v>2420</v>
      </c>
      <c r="D860" s="17" t="s">
        <v>563</v>
      </c>
      <c r="E860" s="18" t="s">
        <v>34</v>
      </c>
      <c r="F860" s="18">
        <v>1.0</v>
      </c>
      <c r="G860" s="19">
        <f t="shared" si="10"/>
        <v>1.904795499</v>
      </c>
      <c r="H860" s="17">
        <v>54.0</v>
      </c>
      <c r="I860" s="10">
        <v>190.0</v>
      </c>
      <c r="J860" s="17">
        <v>1.0</v>
      </c>
      <c r="K860" s="17">
        <v>0.0</v>
      </c>
      <c r="L860" s="17">
        <v>200.0</v>
      </c>
      <c r="M860" s="20">
        <v>46.0</v>
      </c>
      <c r="N860" s="20">
        <v>6.0</v>
      </c>
      <c r="O860" s="20">
        <v>11.0</v>
      </c>
      <c r="P860" s="20">
        <f t="shared" si="2"/>
        <v>29</v>
      </c>
      <c r="Q860" s="21">
        <v>5.0</v>
      </c>
      <c r="R860" s="22">
        <f t="shared" si="3"/>
        <v>99.74824074</v>
      </c>
      <c r="S860" s="23">
        <f t="shared" si="4"/>
        <v>3.518518519</v>
      </c>
      <c r="T860" s="24">
        <f t="shared" si="5"/>
        <v>9.2</v>
      </c>
      <c r="U860" s="26">
        <f t="shared" si="6"/>
        <v>0.04225352113</v>
      </c>
      <c r="V860" s="26">
        <f t="shared" si="7"/>
        <v>0.20657277</v>
      </c>
      <c r="W860" s="19">
        <f t="shared" si="8"/>
        <v>0</v>
      </c>
      <c r="X860" s="20">
        <f t="shared" si="9"/>
        <v>190</v>
      </c>
      <c r="Y860" s="27"/>
      <c r="Z860" s="17"/>
      <c r="AA860" s="28"/>
      <c r="AB860" s="17"/>
      <c r="AC860" s="28"/>
      <c r="AD860" s="16"/>
    </row>
    <row r="861" ht="15.75" customHeight="1">
      <c r="A861" s="27" t="s">
        <v>1271</v>
      </c>
      <c r="B861" s="27" t="s">
        <v>2421</v>
      </c>
      <c r="C861" s="16" t="s">
        <v>2422</v>
      </c>
      <c r="D861" s="17" t="s">
        <v>456</v>
      </c>
      <c r="E861" s="18" t="s">
        <v>34</v>
      </c>
      <c r="F861" s="18">
        <v>1.0</v>
      </c>
      <c r="G861" s="19">
        <f t="shared" si="10"/>
        <v>4.515070813</v>
      </c>
      <c r="H861" s="17">
        <v>128.0</v>
      </c>
      <c r="I861" s="10">
        <v>450.0</v>
      </c>
      <c r="J861" s="17">
        <v>19.0</v>
      </c>
      <c r="K861" s="17">
        <v>360.0</v>
      </c>
      <c r="L861" s="17"/>
      <c r="M861" s="20">
        <v>65.0</v>
      </c>
      <c r="N861" s="20">
        <v>2.0</v>
      </c>
      <c r="O861" s="20">
        <v>36.0</v>
      </c>
      <c r="P861" s="20">
        <f t="shared" si="2"/>
        <v>27</v>
      </c>
      <c r="Q861" s="21">
        <v>4.0</v>
      </c>
      <c r="R861" s="22">
        <f t="shared" si="3"/>
        <v>99.66621094</v>
      </c>
      <c r="S861" s="23">
        <f t="shared" si="4"/>
        <v>3.515625</v>
      </c>
      <c r="T861" s="24">
        <f t="shared" si="5"/>
        <v>16.25</v>
      </c>
      <c r="U861" s="26">
        <f t="shared" si="6"/>
        <v>0.3825503356</v>
      </c>
      <c r="V861" s="26">
        <f t="shared" si="7"/>
        <v>0.322147651</v>
      </c>
      <c r="W861" s="19">
        <f t="shared" si="8"/>
        <v>0.8</v>
      </c>
      <c r="X861" s="20">
        <f t="shared" si="9"/>
        <v>450</v>
      </c>
      <c r="Y861" s="27"/>
      <c r="Z861" s="17"/>
      <c r="AA861" s="28"/>
      <c r="AB861" s="17"/>
      <c r="AC861" s="28"/>
      <c r="AD861" s="16"/>
    </row>
    <row r="862" ht="15.75" customHeight="1">
      <c r="A862" s="16" t="s">
        <v>1984</v>
      </c>
      <c r="B862" s="16" t="s">
        <v>2423</v>
      </c>
      <c r="C862" s="16" t="s">
        <v>2424</v>
      </c>
      <c r="D862" s="17" t="s">
        <v>247</v>
      </c>
      <c r="E862" s="18" t="s">
        <v>34</v>
      </c>
      <c r="F862" s="18">
        <v>1.0</v>
      </c>
      <c r="G862" s="19">
        <f t="shared" si="10"/>
        <v>1.305137657</v>
      </c>
      <c r="H862" s="17">
        <v>37.0</v>
      </c>
      <c r="I862" s="10">
        <v>130.0</v>
      </c>
      <c r="J862" s="17">
        <v>8.0</v>
      </c>
      <c r="K862" s="17">
        <v>590.0</v>
      </c>
      <c r="L862" s="17"/>
      <c r="M862" s="20">
        <v>3.0</v>
      </c>
      <c r="N862" s="20">
        <v>3.0</v>
      </c>
      <c r="O862" s="20">
        <v>0.0</v>
      </c>
      <c r="P862" s="20">
        <f t="shared" si="2"/>
        <v>0</v>
      </c>
      <c r="Q862" s="21">
        <v>11.0</v>
      </c>
      <c r="R862" s="22">
        <f t="shared" si="3"/>
        <v>99.60635135</v>
      </c>
      <c r="S862" s="23">
        <f t="shared" si="4"/>
        <v>3.513513514</v>
      </c>
      <c r="T862" s="24">
        <f t="shared" si="5"/>
        <v>0.2727272727</v>
      </c>
      <c r="U862" s="26">
        <f t="shared" si="6"/>
        <v>0.5625</v>
      </c>
      <c r="V862" s="26" t="str">
        <f t="shared" si="7"/>
        <v>0%</v>
      </c>
      <c r="W862" s="19">
        <f t="shared" si="8"/>
        <v>4.538461538</v>
      </c>
      <c r="X862" s="20">
        <f t="shared" si="9"/>
        <v>130</v>
      </c>
      <c r="Y862" s="27"/>
      <c r="Z862" s="17"/>
      <c r="AA862" s="28"/>
      <c r="AB862" s="17"/>
      <c r="AC862" s="28"/>
      <c r="AD862" s="27"/>
    </row>
    <row r="863" ht="15.75" customHeight="1">
      <c r="A863" s="16" t="s">
        <v>1271</v>
      </c>
      <c r="B863" s="16" t="s">
        <v>2425</v>
      </c>
      <c r="C863" s="16" t="s">
        <v>2426</v>
      </c>
      <c r="D863" s="17" t="s">
        <v>456</v>
      </c>
      <c r="E863" s="18" t="s">
        <v>34</v>
      </c>
      <c r="F863" s="18">
        <v>1.0</v>
      </c>
      <c r="G863" s="19">
        <f t="shared" si="10"/>
        <v>2.716097286</v>
      </c>
      <c r="H863" s="17">
        <v>77.0</v>
      </c>
      <c r="I863" s="10">
        <v>270.0</v>
      </c>
      <c r="J863" s="17">
        <v>9.0</v>
      </c>
      <c r="K863" s="17">
        <v>360.0</v>
      </c>
      <c r="L863" s="17"/>
      <c r="M863" s="20">
        <v>46.0</v>
      </c>
      <c r="N863" s="20">
        <v>0.0</v>
      </c>
      <c r="O863" s="20">
        <v>33.0</v>
      </c>
      <c r="P863" s="20">
        <f t="shared" si="2"/>
        <v>13</v>
      </c>
      <c r="Q863" s="21">
        <v>2.0</v>
      </c>
      <c r="R863" s="22">
        <f t="shared" si="3"/>
        <v>99.40733766</v>
      </c>
      <c r="S863" s="23">
        <f t="shared" si="4"/>
        <v>3.506493506</v>
      </c>
      <c r="T863" s="24">
        <f t="shared" si="5"/>
        <v>23</v>
      </c>
      <c r="U863" s="26">
        <f t="shared" si="6"/>
        <v>0.2967032967</v>
      </c>
      <c r="V863" s="26">
        <f t="shared" si="7"/>
        <v>0.4835164835</v>
      </c>
      <c r="W863" s="19">
        <f t="shared" si="8"/>
        <v>1.333333333</v>
      </c>
      <c r="X863" s="20">
        <f t="shared" si="9"/>
        <v>270</v>
      </c>
      <c r="Y863" s="27"/>
      <c r="Z863" s="17"/>
      <c r="AA863" s="28"/>
      <c r="AB863" s="17"/>
      <c r="AC863" s="28"/>
      <c r="AD863" s="27"/>
    </row>
    <row r="864" ht="15.75" customHeight="1">
      <c r="A864" s="27" t="s">
        <v>2344</v>
      </c>
      <c r="B864" s="27" t="s">
        <v>2427</v>
      </c>
      <c r="C864" s="16" t="s">
        <v>2428</v>
      </c>
      <c r="D864" s="17" t="s">
        <v>130</v>
      </c>
      <c r="E864" s="18" t="s">
        <v>34</v>
      </c>
      <c r="F864" s="18">
        <v>1.0</v>
      </c>
      <c r="G864" s="19">
        <f t="shared" si="10"/>
        <v>1.410959629</v>
      </c>
      <c r="H864" s="17">
        <v>40.0</v>
      </c>
      <c r="I864" s="10">
        <v>140.0</v>
      </c>
      <c r="J864" s="17">
        <v>0.0</v>
      </c>
      <c r="K864" s="17">
        <v>15.0</v>
      </c>
      <c r="L864" s="17"/>
      <c r="M864" s="20">
        <v>37.0</v>
      </c>
      <c r="N864" s="20">
        <v>0.0</v>
      </c>
      <c r="O864" s="20">
        <v>28.0</v>
      </c>
      <c r="P864" s="20">
        <f t="shared" si="2"/>
        <v>9</v>
      </c>
      <c r="Q864" s="21">
        <v>0.0</v>
      </c>
      <c r="R864" s="22">
        <f t="shared" si="3"/>
        <v>99.22325</v>
      </c>
      <c r="S864" s="23">
        <f t="shared" si="4"/>
        <v>3.5</v>
      </c>
      <c r="T864" s="24" t="str">
        <f t="shared" si="5"/>
        <v>N/A</v>
      </c>
      <c r="U864" s="26" t="str">
        <f t="shared" si="6"/>
        <v>0%</v>
      </c>
      <c r="V864" s="26">
        <f t="shared" si="7"/>
        <v>0.7567567568</v>
      </c>
      <c r="W864" s="19">
        <f t="shared" si="8"/>
        <v>0.1071428571</v>
      </c>
      <c r="X864" s="20">
        <f t="shared" si="9"/>
        <v>140</v>
      </c>
      <c r="Y864" s="27"/>
      <c r="Z864" s="17"/>
      <c r="AA864" s="28"/>
      <c r="AB864" s="17"/>
      <c r="AC864" s="28"/>
      <c r="AD864" s="27"/>
    </row>
    <row r="865" ht="15.75" customHeight="1">
      <c r="A865" s="16" t="s">
        <v>104</v>
      </c>
      <c r="B865" s="16" t="s">
        <v>2429</v>
      </c>
      <c r="C865" s="16" t="s">
        <v>2430</v>
      </c>
      <c r="D865" s="17" t="s">
        <v>81</v>
      </c>
      <c r="E865" s="18" t="s">
        <v>34</v>
      </c>
      <c r="F865" s="18">
        <v>1.0</v>
      </c>
      <c r="G865" s="19">
        <f t="shared" si="10"/>
        <v>1.410959629</v>
      </c>
      <c r="H865" s="17">
        <v>40.0</v>
      </c>
      <c r="I865" s="10">
        <v>140.0</v>
      </c>
      <c r="J865" s="17">
        <v>1.0</v>
      </c>
      <c r="K865" s="17">
        <v>200.0</v>
      </c>
      <c r="L865" s="17"/>
      <c r="M865" s="20">
        <v>36.0</v>
      </c>
      <c r="N865" s="20">
        <v>2.0</v>
      </c>
      <c r="O865" s="20">
        <v>21.0</v>
      </c>
      <c r="P865" s="20">
        <f t="shared" si="2"/>
        <v>13</v>
      </c>
      <c r="Q865" s="21">
        <v>1.0</v>
      </c>
      <c r="R865" s="22">
        <f t="shared" si="3"/>
        <v>99.22325</v>
      </c>
      <c r="S865" s="23">
        <f t="shared" si="4"/>
        <v>3.5</v>
      </c>
      <c r="T865" s="24">
        <f t="shared" si="5"/>
        <v>36</v>
      </c>
      <c r="U865" s="26">
        <f t="shared" si="6"/>
        <v>0.05732484076</v>
      </c>
      <c r="V865" s="26">
        <f t="shared" si="7"/>
        <v>0.5350318471</v>
      </c>
      <c r="W865" s="19">
        <f t="shared" si="8"/>
        <v>1.428571429</v>
      </c>
      <c r="X865" s="20">
        <f t="shared" si="9"/>
        <v>140</v>
      </c>
      <c r="Y865" s="27"/>
      <c r="Z865" s="17"/>
      <c r="AA865" s="28"/>
      <c r="AB865" s="17"/>
      <c r="AC865" s="28"/>
      <c r="AD865" s="16"/>
    </row>
    <row r="866" ht="15.75" customHeight="1">
      <c r="A866" s="16" t="s">
        <v>2431</v>
      </c>
      <c r="B866" s="16" t="s">
        <v>2432</v>
      </c>
      <c r="C866" s="16" t="s">
        <v>2433</v>
      </c>
      <c r="D866" s="17" t="s">
        <v>81</v>
      </c>
      <c r="E866" s="18" t="s">
        <v>34</v>
      </c>
      <c r="F866" s="18">
        <v>1.0</v>
      </c>
      <c r="G866" s="19">
        <f t="shared" si="10"/>
        <v>1.410959629</v>
      </c>
      <c r="H866" s="17">
        <v>40.0</v>
      </c>
      <c r="I866" s="10">
        <v>140.0</v>
      </c>
      <c r="J866" s="17">
        <v>0.0</v>
      </c>
      <c r="K866" s="17">
        <v>0.0</v>
      </c>
      <c r="L866" s="17">
        <v>210.0</v>
      </c>
      <c r="M866" s="20">
        <v>33.0</v>
      </c>
      <c r="N866" s="20">
        <v>1.0</v>
      </c>
      <c r="O866" s="20">
        <v>27.0</v>
      </c>
      <c r="P866" s="20">
        <f t="shared" si="2"/>
        <v>5</v>
      </c>
      <c r="Q866" s="21">
        <v>1.0</v>
      </c>
      <c r="R866" s="22">
        <f t="shared" si="3"/>
        <v>99.22325</v>
      </c>
      <c r="S866" s="23">
        <f t="shared" si="4"/>
        <v>3.5</v>
      </c>
      <c r="T866" s="24">
        <f t="shared" si="5"/>
        <v>33</v>
      </c>
      <c r="U866" s="26" t="str">
        <f t="shared" si="6"/>
        <v>0%</v>
      </c>
      <c r="V866" s="26">
        <f t="shared" si="7"/>
        <v>0.7941176471</v>
      </c>
      <c r="W866" s="19">
        <f t="shared" si="8"/>
        <v>0</v>
      </c>
      <c r="X866" s="20">
        <f t="shared" si="9"/>
        <v>140</v>
      </c>
      <c r="Y866" s="27"/>
      <c r="Z866" s="17"/>
      <c r="AA866" s="28"/>
      <c r="AB866" s="17"/>
      <c r="AC866" s="28"/>
      <c r="AD866" s="16"/>
    </row>
    <row r="867" ht="15.75" customHeight="1">
      <c r="A867" s="27" t="s">
        <v>1984</v>
      </c>
      <c r="B867" s="27" t="s">
        <v>2434</v>
      </c>
      <c r="C867" s="16" t="s">
        <v>2435</v>
      </c>
      <c r="D867" s="17" t="s">
        <v>247</v>
      </c>
      <c r="E867" s="18" t="s">
        <v>34</v>
      </c>
      <c r="F867" s="18">
        <v>1.0</v>
      </c>
      <c r="G867" s="19">
        <f t="shared" si="10"/>
        <v>1.516781601</v>
      </c>
      <c r="H867" s="17">
        <v>43.0</v>
      </c>
      <c r="I867" s="10">
        <v>150.0</v>
      </c>
      <c r="J867" s="17">
        <v>10.0</v>
      </c>
      <c r="K867" s="17">
        <v>450.0</v>
      </c>
      <c r="L867" s="17"/>
      <c r="M867" s="20">
        <v>9.0</v>
      </c>
      <c r="N867" s="20">
        <v>1.0</v>
      </c>
      <c r="O867" s="20">
        <v>7.0</v>
      </c>
      <c r="P867" s="20">
        <f t="shared" si="2"/>
        <v>1</v>
      </c>
      <c r="Q867" s="21">
        <v>8.0</v>
      </c>
      <c r="R867" s="22">
        <f t="shared" si="3"/>
        <v>98.89360465</v>
      </c>
      <c r="S867" s="23">
        <f t="shared" si="4"/>
        <v>3.488372093</v>
      </c>
      <c r="T867" s="24">
        <f t="shared" si="5"/>
        <v>1.125</v>
      </c>
      <c r="U867" s="26">
        <f t="shared" si="6"/>
        <v>0.5696202532</v>
      </c>
      <c r="V867" s="26">
        <f t="shared" si="7"/>
        <v>0.1772151899</v>
      </c>
      <c r="W867" s="19">
        <f t="shared" si="8"/>
        <v>3</v>
      </c>
      <c r="X867" s="20">
        <f t="shared" si="9"/>
        <v>150</v>
      </c>
      <c r="Y867" s="27"/>
      <c r="Z867" s="17"/>
      <c r="AA867" s="28"/>
      <c r="AB867" s="17"/>
      <c r="AC867" s="28"/>
      <c r="AD867" s="27"/>
    </row>
    <row r="868" ht="15.75" customHeight="1">
      <c r="A868" s="27" t="s">
        <v>1984</v>
      </c>
      <c r="B868" s="27" t="s">
        <v>2436</v>
      </c>
      <c r="C868" s="16" t="s">
        <v>2437</v>
      </c>
      <c r="D868" s="17" t="s">
        <v>247</v>
      </c>
      <c r="E868" s="18" t="s">
        <v>34</v>
      </c>
      <c r="F868" s="18">
        <v>1.0</v>
      </c>
      <c r="G868" s="19">
        <f t="shared" si="10"/>
        <v>1.516781601</v>
      </c>
      <c r="H868" s="17">
        <v>43.0</v>
      </c>
      <c r="I868" s="10">
        <v>150.0</v>
      </c>
      <c r="J868" s="17">
        <v>8.0</v>
      </c>
      <c r="K868" s="17">
        <v>350.0</v>
      </c>
      <c r="L868" s="17"/>
      <c r="M868" s="20">
        <v>9.0</v>
      </c>
      <c r="N868" s="20">
        <v>2.0</v>
      </c>
      <c r="O868" s="20">
        <v>5.0</v>
      </c>
      <c r="P868" s="20">
        <f t="shared" si="2"/>
        <v>2</v>
      </c>
      <c r="Q868" s="21">
        <v>9.0</v>
      </c>
      <c r="R868" s="22">
        <f t="shared" si="3"/>
        <v>98.89360465</v>
      </c>
      <c r="S868" s="23">
        <f t="shared" si="4"/>
        <v>3.488372093</v>
      </c>
      <c r="T868" s="24">
        <f t="shared" si="5"/>
        <v>1</v>
      </c>
      <c r="U868" s="26">
        <f t="shared" si="6"/>
        <v>0.5</v>
      </c>
      <c r="V868" s="26">
        <f t="shared" si="7"/>
        <v>0.1388888889</v>
      </c>
      <c r="W868" s="19">
        <f t="shared" si="8"/>
        <v>2.333333333</v>
      </c>
      <c r="X868" s="20">
        <f t="shared" si="9"/>
        <v>150</v>
      </c>
      <c r="Y868" s="27"/>
      <c r="Z868" s="17"/>
      <c r="AA868" s="28"/>
      <c r="AB868" s="17"/>
      <c r="AC868" s="28"/>
      <c r="AD868" s="27"/>
    </row>
    <row r="869" ht="15.75" customHeight="1">
      <c r="A869" s="16" t="s">
        <v>1984</v>
      </c>
      <c r="B869" s="16" t="s">
        <v>2438</v>
      </c>
      <c r="C869" s="16" t="s">
        <v>2439</v>
      </c>
      <c r="D869" s="17" t="s">
        <v>247</v>
      </c>
      <c r="E869" s="18" t="s">
        <v>34</v>
      </c>
      <c r="F869" s="18">
        <v>1.0</v>
      </c>
      <c r="G869" s="19">
        <f t="shared" si="10"/>
        <v>1.516781601</v>
      </c>
      <c r="H869" s="17">
        <v>43.0</v>
      </c>
      <c r="I869" s="10">
        <v>150.0</v>
      </c>
      <c r="J869" s="17">
        <v>10.0</v>
      </c>
      <c r="K869" s="17">
        <v>870.0</v>
      </c>
      <c r="L869" s="17"/>
      <c r="M869" s="20">
        <v>1.0</v>
      </c>
      <c r="N869" s="20">
        <v>1.0</v>
      </c>
      <c r="O869" s="20">
        <v>0.0</v>
      </c>
      <c r="P869" s="20">
        <f t="shared" si="2"/>
        <v>0</v>
      </c>
      <c r="Q869" s="21">
        <v>13.0</v>
      </c>
      <c r="R869" s="22">
        <f t="shared" si="3"/>
        <v>98.89360465</v>
      </c>
      <c r="S869" s="23">
        <f t="shared" si="4"/>
        <v>3.488372093</v>
      </c>
      <c r="T869" s="24">
        <f t="shared" si="5"/>
        <v>0.07692307692</v>
      </c>
      <c r="U869" s="26">
        <f t="shared" si="6"/>
        <v>0.6164383562</v>
      </c>
      <c r="V869" s="26" t="str">
        <f t="shared" si="7"/>
        <v>0%</v>
      </c>
      <c r="W869" s="19">
        <f t="shared" si="8"/>
        <v>5.8</v>
      </c>
      <c r="X869" s="20">
        <f t="shared" si="9"/>
        <v>150</v>
      </c>
      <c r="Y869" s="27"/>
      <c r="Z869" s="17"/>
      <c r="AA869" s="28"/>
      <c r="AB869" s="17"/>
      <c r="AC869" s="28"/>
      <c r="AD869" s="27"/>
    </row>
    <row r="870" ht="15.75" customHeight="1">
      <c r="A870" s="27" t="s">
        <v>2020</v>
      </c>
      <c r="B870" s="27" t="s">
        <v>2440</v>
      </c>
      <c r="C870" s="16" t="s">
        <v>2441</v>
      </c>
      <c r="D870" s="17" t="s">
        <v>119</v>
      </c>
      <c r="E870" s="18" t="s">
        <v>34</v>
      </c>
      <c r="F870" s="18">
        <v>1.0</v>
      </c>
      <c r="G870" s="19">
        <f t="shared" si="10"/>
        <v>0.8113017866</v>
      </c>
      <c r="H870" s="17">
        <v>23.0</v>
      </c>
      <c r="I870" s="10">
        <v>80.0</v>
      </c>
      <c r="J870" s="17">
        <v>0.0</v>
      </c>
      <c r="K870" s="17">
        <v>440.0</v>
      </c>
      <c r="L870" s="17">
        <v>280.0</v>
      </c>
      <c r="M870" s="20">
        <v>17.0</v>
      </c>
      <c r="N870" s="20">
        <v>1.0</v>
      </c>
      <c r="O870" s="20">
        <v>0.0</v>
      </c>
      <c r="P870" s="20">
        <f t="shared" si="2"/>
        <v>16</v>
      </c>
      <c r="Q870" s="21">
        <v>2.0</v>
      </c>
      <c r="R870" s="22">
        <f t="shared" si="3"/>
        <v>98.60695652</v>
      </c>
      <c r="S870" s="23">
        <f t="shared" si="4"/>
        <v>3.47826087</v>
      </c>
      <c r="T870" s="24">
        <f t="shared" si="5"/>
        <v>8.5</v>
      </c>
      <c r="U870" s="26" t="str">
        <f t="shared" si="6"/>
        <v>0%</v>
      </c>
      <c r="V870" s="26" t="str">
        <f t="shared" si="7"/>
        <v>0%</v>
      </c>
      <c r="W870" s="19">
        <f t="shared" si="8"/>
        <v>5.5</v>
      </c>
      <c r="X870" s="20">
        <f t="shared" si="9"/>
        <v>80</v>
      </c>
      <c r="Y870" s="27"/>
      <c r="Z870" s="17"/>
      <c r="AA870" s="28"/>
      <c r="AB870" s="17"/>
      <c r="AC870" s="28"/>
      <c r="AD870" s="27"/>
    </row>
    <row r="871" ht="15.75" customHeight="1">
      <c r="A871" s="16" t="s">
        <v>2442</v>
      </c>
      <c r="B871" s="16" t="s">
        <v>2443</v>
      </c>
      <c r="C871" s="16" t="s">
        <v>2444</v>
      </c>
      <c r="D871" s="17" t="s">
        <v>99</v>
      </c>
      <c r="E871" s="18" t="s">
        <v>34</v>
      </c>
      <c r="F871" s="18">
        <v>1.0</v>
      </c>
      <c r="G871" s="19">
        <f t="shared" si="10"/>
        <v>1.622603573</v>
      </c>
      <c r="H871" s="17">
        <v>46.0</v>
      </c>
      <c r="I871" s="10">
        <v>160.0</v>
      </c>
      <c r="J871" s="17">
        <v>0.0</v>
      </c>
      <c r="K871" s="17">
        <v>250.0</v>
      </c>
      <c r="L871" s="17">
        <v>190.0</v>
      </c>
      <c r="M871" s="20">
        <v>30.0</v>
      </c>
      <c r="N871" s="20">
        <v>1.0</v>
      </c>
      <c r="O871" s="20">
        <v>28.0</v>
      </c>
      <c r="P871" s="20">
        <f t="shared" si="2"/>
        <v>1</v>
      </c>
      <c r="Q871" s="21">
        <v>10.0</v>
      </c>
      <c r="R871" s="22">
        <f t="shared" si="3"/>
        <v>98.60695652</v>
      </c>
      <c r="S871" s="23">
        <f t="shared" si="4"/>
        <v>3.47826087</v>
      </c>
      <c r="T871" s="24">
        <f t="shared" si="5"/>
        <v>3</v>
      </c>
      <c r="U871" s="26" t="str">
        <f t="shared" si="6"/>
        <v>0%</v>
      </c>
      <c r="V871" s="26">
        <f t="shared" si="7"/>
        <v>0.7</v>
      </c>
      <c r="W871" s="19">
        <f t="shared" si="8"/>
        <v>1.5625</v>
      </c>
      <c r="X871" s="20">
        <f t="shared" si="9"/>
        <v>160</v>
      </c>
      <c r="Y871" s="27"/>
      <c r="Z871" s="17"/>
      <c r="AA871" s="28"/>
      <c r="AB871" s="17"/>
      <c r="AC871" s="28"/>
      <c r="AD871" s="27"/>
    </row>
    <row r="872" ht="15.75" customHeight="1">
      <c r="A872" s="16" t="s">
        <v>2319</v>
      </c>
      <c r="B872" s="16" t="s">
        <v>2445</v>
      </c>
      <c r="C872" s="16" t="s">
        <v>2446</v>
      </c>
      <c r="D872" s="17" t="s">
        <v>99</v>
      </c>
      <c r="E872" s="18" t="s">
        <v>34</v>
      </c>
      <c r="F872" s="18">
        <v>1.0</v>
      </c>
      <c r="G872" s="19">
        <f t="shared" si="10"/>
        <v>0.8113017866</v>
      </c>
      <c r="H872" s="17">
        <v>23.0</v>
      </c>
      <c r="I872" s="10">
        <v>80.0</v>
      </c>
      <c r="J872" s="17">
        <v>0.0</v>
      </c>
      <c r="K872" s="17">
        <v>125.0</v>
      </c>
      <c r="L872" s="17">
        <v>390.0</v>
      </c>
      <c r="M872" s="20">
        <v>12.0</v>
      </c>
      <c r="N872" s="20">
        <v>0.0</v>
      </c>
      <c r="O872" s="20">
        <v>12.0</v>
      </c>
      <c r="P872" s="20">
        <f t="shared" si="2"/>
        <v>0</v>
      </c>
      <c r="Q872" s="21">
        <v>8.0</v>
      </c>
      <c r="R872" s="22">
        <f t="shared" si="3"/>
        <v>98.60695652</v>
      </c>
      <c r="S872" s="23">
        <f t="shared" si="4"/>
        <v>3.47826087</v>
      </c>
      <c r="T872" s="24">
        <f t="shared" si="5"/>
        <v>1.5</v>
      </c>
      <c r="U872" s="26" t="str">
        <f t="shared" si="6"/>
        <v>0%</v>
      </c>
      <c r="V872" s="26">
        <f t="shared" si="7"/>
        <v>0.6</v>
      </c>
      <c r="W872" s="19">
        <f t="shared" si="8"/>
        <v>1.5625</v>
      </c>
      <c r="X872" s="20">
        <f t="shared" si="9"/>
        <v>80</v>
      </c>
      <c r="Y872" s="27"/>
      <c r="Z872" s="17"/>
      <c r="AA872" s="28"/>
      <c r="AB872" s="17"/>
      <c r="AC872" s="28"/>
      <c r="AD872" s="27"/>
    </row>
    <row r="873" ht="15.75" customHeight="1">
      <c r="A873" s="27" t="s">
        <v>2046</v>
      </c>
      <c r="B873" s="27" t="s">
        <v>2447</v>
      </c>
      <c r="C873" s="16" t="s">
        <v>2448</v>
      </c>
      <c r="D873" s="17" t="s">
        <v>247</v>
      </c>
      <c r="E873" s="18" t="s">
        <v>34</v>
      </c>
      <c r="F873" s="18">
        <v>1.0</v>
      </c>
      <c r="G873" s="19">
        <f t="shared" si="10"/>
        <v>0.8113017866</v>
      </c>
      <c r="H873" s="17">
        <v>23.0</v>
      </c>
      <c r="I873" s="10">
        <v>80.0</v>
      </c>
      <c r="J873" s="17">
        <v>4.0</v>
      </c>
      <c r="K873" s="17">
        <v>410.0</v>
      </c>
      <c r="L873" s="17"/>
      <c r="M873" s="20">
        <v>5.0</v>
      </c>
      <c r="N873" s="20">
        <v>0.0</v>
      </c>
      <c r="O873" s="20">
        <v>5.0</v>
      </c>
      <c r="P873" s="20">
        <f t="shared" si="2"/>
        <v>0</v>
      </c>
      <c r="Q873" s="21">
        <v>7.0</v>
      </c>
      <c r="R873" s="22">
        <f t="shared" si="3"/>
        <v>98.60695652</v>
      </c>
      <c r="S873" s="23">
        <f t="shared" si="4"/>
        <v>3.47826087</v>
      </c>
      <c r="T873" s="24">
        <f t="shared" si="5"/>
        <v>0.7142857143</v>
      </c>
      <c r="U873" s="26">
        <f t="shared" si="6"/>
        <v>0.4285714286</v>
      </c>
      <c r="V873" s="26">
        <f t="shared" si="7"/>
        <v>0.2380952381</v>
      </c>
      <c r="W873" s="19">
        <f t="shared" si="8"/>
        <v>5.125</v>
      </c>
      <c r="X873" s="20">
        <f t="shared" si="9"/>
        <v>80</v>
      </c>
      <c r="Y873" s="16"/>
      <c r="Z873" s="17"/>
      <c r="AA873" s="28"/>
      <c r="AB873" s="17"/>
      <c r="AC873" s="28"/>
      <c r="AD873" s="16"/>
    </row>
    <row r="874" ht="15.75" customHeight="1">
      <c r="A874" s="27" t="s">
        <v>2046</v>
      </c>
      <c r="B874" s="27" t="s">
        <v>2449</v>
      </c>
      <c r="C874" s="16" t="s">
        <v>2450</v>
      </c>
      <c r="D874" s="17" t="s">
        <v>247</v>
      </c>
      <c r="E874" s="18" t="s">
        <v>34</v>
      </c>
      <c r="F874" s="18">
        <v>1.0</v>
      </c>
      <c r="G874" s="19">
        <f t="shared" si="10"/>
        <v>0.8113017866</v>
      </c>
      <c r="H874" s="17">
        <v>23.0</v>
      </c>
      <c r="I874" s="10">
        <v>80.0</v>
      </c>
      <c r="J874" s="17">
        <v>4.0</v>
      </c>
      <c r="K874" s="17">
        <v>370.0</v>
      </c>
      <c r="L874" s="17"/>
      <c r="M874" s="20">
        <v>3.0</v>
      </c>
      <c r="N874" s="20">
        <v>1.0</v>
      </c>
      <c r="O874" s="20">
        <v>2.0</v>
      </c>
      <c r="P874" s="20">
        <f t="shared" si="2"/>
        <v>0</v>
      </c>
      <c r="Q874" s="21">
        <v>8.0</v>
      </c>
      <c r="R874" s="22">
        <f t="shared" si="3"/>
        <v>98.60695652</v>
      </c>
      <c r="S874" s="23">
        <f t="shared" si="4"/>
        <v>3.47826087</v>
      </c>
      <c r="T874" s="24">
        <f t="shared" si="5"/>
        <v>0.375</v>
      </c>
      <c r="U874" s="26">
        <f t="shared" si="6"/>
        <v>0.45</v>
      </c>
      <c r="V874" s="26">
        <f t="shared" si="7"/>
        <v>0.1</v>
      </c>
      <c r="W874" s="19">
        <f t="shared" si="8"/>
        <v>4.625</v>
      </c>
      <c r="X874" s="20">
        <f t="shared" si="9"/>
        <v>80</v>
      </c>
      <c r="Y874" s="27"/>
      <c r="Z874" s="17"/>
      <c r="AA874" s="28"/>
      <c r="AB874" s="17"/>
      <c r="AC874" s="28"/>
      <c r="AD874" s="27"/>
    </row>
    <row r="875" ht="15.75" customHeight="1">
      <c r="A875" s="27" t="s">
        <v>2279</v>
      </c>
      <c r="B875" s="27" t="s">
        <v>2451</v>
      </c>
      <c r="C875" s="16" t="s">
        <v>2452</v>
      </c>
      <c r="D875" s="17" t="s">
        <v>99</v>
      </c>
      <c r="E875" s="18" t="s">
        <v>34</v>
      </c>
      <c r="F875" s="18">
        <v>1.0</v>
      </c>
      <c r="G875" s="19">
        <f t="shared" si="10"/>
        <v>1.728425545</v>
      </c>
      <c r="H875" s="17">
        <v>49.0</v>
      </c>
      <c r="I875" s="10">
        <v>170.0</v>
      </c>
      <c r="J875" s="17">
        <v>0.0</v>
      </c>
      <c r="K875" s="17">
        <v>80.0</v>
      </c>
      <c r="L875" s="17">
        <v>73.0</v>
      </c>
      <c r="M875" s="20">
        <v>33.0</v>
      </c>
      <c r="N875" s="20">
        <v>0.0</v>
      </c>
      <c r="O875" s="20">
        <v>1.0</v>
      </c>
      <c r="P875" s="20">
        <f t="shared" si="2"/>
        <v>32</v>
      </c>
      <c r="Q875" s="21">
        <v>10.0</v>
      </c>
      <c r="R875" s="22">
        <f t="shared" si="3"/>
        <v>98.35540816</v>
      </c>
      <c r="S875" s="23">
        <f t="shared" si="4"/>
        <v>3.469387755</v>
      </c>
      <c r="T875" s="24">
        <f t="shared" si="5"/>
        <v>3.3</v>
      </c>
      <c r="U875" s="26" t="str">
        <f t="shared" si="6"/>
        <v>0%</v>
      </c>
      <c r="V875" s="26">
        <f t="shared" si="7"/>
        <v>0.02325581395</v>
      </c>
      <c r="W875" s="19">
        <f t="shared" si="8"/>
        <v>0.4705882353</v>
      </c>
      <c r="X875" s="20">
        <f t="shared" si="9"/>
        <v>170</v>
      </c>
      <c r="Y875" s="27"/>
      <c r="Z875" s="17"/>
      <c r="AA875" s="28"/>
      <c r="AB875" s="17"/>
      <c r="AC875" s="28"/>
      <c r="AD875" s="16"/>
    </row>
    <row r="876" ht="15.75" customHeight="1">
      <c r="A876" s="27" t="s">
        <v>109</v>
      </c>
      <c r="B876" s="27" t="s">
        <v>2453</v>
      </c>
      <c r="C876" s="16" t="s">
        <v>2454</v>
      </c>
      <c r="D876" s="17" t="s">
        <v>119</v>
      </c>
      <c r="E876" s="18" t="s">
        <v>34</v>
      </c>
      <c r="F876" s="18">
        <v>1.0</v>
      </c>
      <c r="G876" s="19">
        <f t="shared" si="10"/>
        <v>0.9876717402</v>
      </c>
      <c r="H876" s="17">
        <v>28.0</v>
      </c>
      <c r="I876" s="10">
        <v>97.0</v>
      </c>
      <c r="J876" s="17">
        <v>0.3</v>
      </c>
      <c r="K876" s="17">
        <v>2.0</v>
      </c>
      <c r="L876" s="17">
        <v>271.0</v>
      </c>
      <c r="M876" s="20">
        <v>17.0</v>
      </c>
      <c r="N876" s="20">
        <v>9.0</v>
      </c>
      <c r="O876" s="20">
        <v>1.0</v>
      </c>
      <c r="P876" s="20">
        <f t="shared" si="2"/>
        <v>7</v>
      </c>
      <c r="Q876" s="21">
        <v>7.0</v>
      </c>
      <c r="R876" s="22">
        <f t="shared" si="3"/>
        <v>98.21076786</v>
      </c>
      <c r="S876" s="23">
        <f t="shared" si="4"/>
        <v>3.464285714</v>
      </c>
      <c r="T876" s="24">
        <f t="shared" si="5"/>
        <v>2.428571429</v>
      </c>
      <c r="U876" s="26">
        <f t="shared" si="6"/>
        <v>0.0273556231</v>
      </c>
      <c r="V876" s="26">
        <f t="shared" si="7"/>
        <v>0.04052684904</v>
      </c>
      <c r="W876" s="19">
        <f t="shared" si="8"/>
        <v>0.0206185567</v>
      </c>
      <c r="X876" s="20">
        <f t="shared" si="9"/>
        <v>97</v>
      </c>
      <c r="Y876" s="27"/>
      <c r="Z876" s="17"/>
      <c r="AA876" s="28"/>
      <c r="AB876" s="17"/>
      <c r="AC876" s="28"/>
      <c r="AD876" s="27"/>
    </row>
    <row r="877" ht="15.75" customHeight="1">
      <c r="A877" s="16" t="s">
        <v>2455</v>
      </c>
      <c r="B877" s="16" t="s">
        <v>2456</v>
      </c>
      <c r="C877" s="16" t="s">
        <v>2457</v>
      </c>
      <c r="D877" s="17" t="s">
        <v>318</v>
      </c>
      <c r="E877" s="18" t="s">
        <v>34</v>
      </c>
      <c r="F877" s="18">
        <v>1.0</v>
      </c>
      <c r="G877" s="19">
        <f t="shared" si="10"/>
        <v>1.022945731</v>
      </c>
      <c r="H877" s="17">
        <v>29.0</v>
      </c>
      <c r="I877" s="10">
        <v>100.0</v>
      </c>
      <c r="J877" s="17">
        <v>2.0</v>
      </c>
      <c r="K877" s="17">
        <v>95.0</v>
      </c>
      <c r="L877" s="17">
        <v>75.0</v>
      </c>
      <c r="M877" s="20">
        <v>21.0</v>
      </c>
      <c r="N877" s="20">
        <v>1.0</v>
      </c>
      <c r="O877" s="20">
        <v>12.0</v>
      </c>
      <c r="P877" s="20">
        <f t="shared" si="2"/>
        <v>8</v>
      </c>
      <c r="Q877" s="21">
        <v>1.0</v>
      </c>
      <c r="R877" s="22">
        <f t="shared" si="3"/>
        <v>97.75689655</v>
      </c>
      <c r="S877" s="23">
        <f t="shared" si="4"/>
        <v>3.448275862</v>
      </c>
      <c r="T877" s="24">
        <f t="shared" si="5"/>
        <v>21</v>
      </c>
      <c r="U877" s="26">
        <f t="shared" si="6"/>
        <v>0.1698113208</v>
      </c>
      <c r="V877" s="26">
        <f t="shared" si="7"/>
        <v>0.4528301887</v>
      </c>
      <c r="W877" s="19">
        <f t="shared" si="8"/>
        <v>0.95</v>
      </c>
      <c r="X877" s="20">
        <f t="shared" si="9"/>
        <v>100</v>
      </c>
      <c r="Y877" s="27"/>
      <c r="Z877" s="17"/>
      <c r="AA877" s="28"/>
      <c r="AB877" s="17"/>
      <c r="AC877" s="28"/>
      <c r="AD877" s="27"/>
    </row>
    <row r="878" ht="15.75" customHeight="1">
      <c r="A878" s="16" t="s">
        <v>2458</v>
      </c>
      <c r="B878" s="16" t="s">
        <v>2459</v>
      </c>
      <c r="C878" s="16" t="s">
        <v>2460</v>
      </c>
      <c r="D878" s="17" t="s">
        <v>33</v>
      </c>
      <c r="E878" s="18" t="s">
        <v>34</v>
      </c>
      <c r="F878" s="18">
        <v>1.0</v>
      </c>
      <c r="G878" s="19">
        <f t="shared" si="10"/>
        <v>0.7407538052</v>
      </c>
      <c r="H878" s="17">
        <v>21.0</v>
      </c>
      <c r="I878" s="10">
        <v>72.0</v>
      </c>
      <c r="J878" s="17">
        <v>0.0</v>
      </c>
      <c r="K878" s="17">
        <v>1.7</v>
      </c>
      <c r="L878" s="17"/>
      <c r="M878" s="20">
        <v>17.0</v>
      </c>
      <c r="N878" s="20">
        <v>0.0</v>
      </c>
      <c r="O878" s="20">
        <v>16.0</v>
      </c>
      <c r="P878" s="20">
        <f t="shared" si="2"/>
        <v>1</v>
      </c>
      <c r="Q878" s="21">
        <v>0.0</v>
      </c>
      <c r="R878" s="22">
        <f t="shared" si="3"/>
        <v>97.19828571</v>
      </c>
      <c r="S878" s="23">
        <f t="shared" si="4"/>
        <v>3.428571429</v>
      </c>
      <c r="T878" s="24" t="str">
        <f t="shared" si="5"/>
        <v>N/A</v>
      </c>
      <c r="U878" s="26" t="str">
        <f t="shared" si="6"/>
        <v>0%</v>
      </c>
      <c r="V878" s="26">
        <f t="shared" si="7"/>
        <v>0.9411764706</v>
      </c>
      <c r="W878" s="19">
        <f t="shared" si="8"/>
        <v>0.02361111111</v>
      </c>
      <c r="X878" s="20">
        <f t="shared" si="9"/>
        <v>72</v>
      </c>
      <c r="Y878" s="27"/>
      <c r="Z878" s="17"/>
      <c r="AA878" s="28"/>
      <c r="AB878" s="17"/>
      <c r="AC878" s="28"/>
      <c r="AD878" s="27"/>
    </row>
    <row r="879" ht="15.75" customHeight="1">
      <c r="A879" s="16" t="s">
        <v>2362</v>
      </c>
      <c r="B879" s="16" t="s">
        <v>2461</v>
      </c>
      <c r="C879" s="16" t="s">
        <v>2462</v>
      </c>
      <c r="D879" s="17" t="s">
        <v>119</v>
      </c>
      <c r="E879" s="18" t="s">
        <v>34</v>
      </c>
      <c r="F879" s="18">
        <v>1.0</v>
      </c>
      <c r="G879" s="19">
        <f t="shared" si="10"/>
        <v>2.469179351</v>
      </c>
      <c r="H879" s="17">
        <v>70.0</v>
      </c>
      <c r="I879" s="10">
        <v>240.0</v>
      </c>
      <c r="J879" s="17">
        <v>0.5</v>
      </c>
      <c r="K879" s="17">
        <v>910.0</v>
      </c>
      <c r="L879" s="17"/>
      <c r="M879" s="20">
        <v>55.0</v>
      </c>
      <c r="N879" s="20">
        <v>2.0</v>
      </c>
      <c r="O879" s="20">
        <v>1.0</v>
      </c>
      <c r="P879" s="20">
        <f t="shared" si="2"/>
        <v>52</v>
      </c>
      <c r="Q879" s="21">
        <v>5.0</v>
      </c>
      <c r="R879" s="22">
        <f t="shared" si="3"/>
        <v>97.19828571</v>
      </c>
      <c r="S879" s="23">
        <f t="shared" si="4"/>
        <v>3.428571429</v>
      </c>
      <c r="T879" s="24">
        <f t="shared" si="5"/>
        <v>11</v>
      </c>
      <c r="U879" s="26">
        <f t="shared" si="6"/>
        <v>0.01840490798</v>
      </c>
      <c r="V879" s="26">
        <f t="shared" si="7"/>
        <v>0.0163599182</v>
      </c>
      <c r="W879" s="19">
        <f t="shared" si="8"/>
        <v>3.791666667</v>
      </c>
      <c r="X879" s="20">
        <f t="shared" si="9"/>
        <v>240</v>
      </c>
      <c r="Y879" s="27"/>
      <c r="Z879" s="17"/>
      <c r="AA879" s="28"/>
      <c r="AB879" s="17"/>
      <c r="AC879" s="28"/>
      <c r="AD879" s="27"/>
    </row>
    <row r="880" ht="15.75" customHeight="1">
      <c r="A880" s="27" t="s">
        <v>2463</v>
      </c>
      <c r="B880" s="27" t="s">
        <v>2464</v>
      </c>
      <c r="C880" s="16" t="s">
        <v>2465</v>
      </c>
      <c r="D880" s="17" t="s">
        <v>247</v>
      </c>
      <c r="E880" s="18" t="s">
        <v>34</v>
      </c>
      <c r="F880" s="18">
        <v>1.0</v>
      </c>
      <c r="G880" s="19">
        <f t="shared" si="10"/>
        <v>1.234589675</v>
      </c>
      <c r="H880" s="17">
        <v>35.0</v>
      </c>
      <c r="I880" s="10">
        <v>120.0</v>
      </c>
      <c r="J880" s="17">
        <v>4.0</v>
      </c>
      <c r="K880" s="17">
        <v>260.0</v>
      </c>
      <c r="L880" s="17"/>
      <c r="M880" s="20">
        <v>12.0</v>
      </c>
      <c r="N880" s="20">
        <v>0.0</v>
      </c>
      <c r="O880" s="20">
        <v>11.0</v>
      </c>
      <c r="P880" s="20">
        <f t="shared" si="2"/>
        <v>1</v>
      </c>
      <c r="Q880" s="21">
        <v>8.0</v>
      </c>
      <c r="R880" s="22">
        <f t="shared" si="3"/>
        <v>97.19828571</v>
      </c>
      <c r="S880" s="23">
        <f t="shared" si="4"/>
        <v>3.428571429</v>
      </c>
      <c r="T880" s="24">
        <f t="shared" si="5"/>
        <v>1.5</v>
      </c>
      <c r="U880" s="26">
        <f t="shared" si="6"/>
        <v>0.3103448276</v>
      </c>
      <c r="V880" s="26">
        <f t="shared" si="7"/>
        <v>0.3793103448</v>
      </c>
      <c r="W880" s="19">
        <f t="shared" si="8"/>
        <v>2.166666667</v>
      </c>
      <c r="X880" s="20">
        <f t="shared" si="9"/>
        <v>120</v>
      </c>
      <c r="Y880" s="27"/>
      <c r="Z880" s="17"/>
      <c r="AA880" s="28"/>
      <c r="AB880" s="17"/>
      <c r="AC880" s="28"/>
      <c r="AD880" s="27"/>
    </row>
    <row r="881" ht="15.75" customHeight="1">
      <c r="A881" s="27" t="s">
        <v>2217</v>
      </c>
      <c r="B881" s="27" t="s">
        <v>2466</v>
      </c>
      <c r="C881" s="16" t="s">
        <v>2467</v>
      </c>
      <c r="D881" s="17" t="s">
        <v>212</v>
      </c>
      <c r="E881" s="18" t="s">
        <v>34</v>
      </c>
      <c r="F881" s="18">
        <v>1.0</v>
      </c>
      <c r="G881" s="19">
        <f t="shared" si="10"/>
        <v>1.340411647</v>
      </c>
      <c r="H881" s="17">
        <v>38.0</v>
      </c>
      <c r="I881" s="10">
        <v>130.0</v>
      </c>
      <c r="J881" s="17">
        <v>2.0</v>
      </c>
      <c r="K881" s="17">
        <v>15.0</v>
      </c>
      <c r="L881" s="17"/>
      <c r="M881" s="20">
        <v>29.0</v>
      </c>
      <c r="N881" s="20">
        <v>4.0</v>
      </c>
      <c r="O881" s="20">
        <v>18.0</v>
      </c>
      <c r="P881" s="20">
        <f t="shared" si="2"/>
        <v>7</v>
      </c>
      <c r="Q881" s="21">
        <v>1.0</v>
      </c>
      <c r="R881" s="22">
        <f t="shared" si="3"/>
        <v>96.98513158</v>
      </c>
      <c r="S881" s="23">
        <f t="shared" si="4"/>
        <v>3.421052632</v>
      </c>
      <c r="T881" s="24">
        <f t="shared" si="5"/>
        <v>29</v>
      </c>
      <c r="U881" s="26">
        <f t="shared" si="6"/>
        <v>0.1304347826</v>
      </c>
      <c r="V881" s="26">
        <f t="shared" si="7"/>
        <v>0.5217391304</v>
      </c>
      <c r="W881" s="19">
        <f t="shared" si="8"/>
        <v>0.1153846154</v>
      </c>
      <c r="X881" s="20">
        <f t="shared" si="9"/>
        <v>130</v>
      </c>
      <c r="Y881" s="27"/>
      <c r="Z881" s="17"/>
      <c r="AA881" s="28"/>
      <c r="AB881" s="17"/>
      <c r="AC881" s="28"/>
      <c r="AD881" s="27"/>
    </row>
    <row r="882" ht="15.75" customHeight="1">
      <c r="A882" s="16" t="s">
        <v>2217</v>
      </c>
      <c r="B882" s="16" t="s">
        <v>2468</v>
      </c>
      <c r="C882" s="16" t="s">
        <v>2469</v>
      </c>
      <c r="D882" s="17" t="s">
        <v>212</v>
      </c>
      <c r="E882" s="18" t="s">
        <v>34</v>
      </c>
      <c r="F882" s="18">
        <v>1.0</v>
      </c>
      <c r="G882" s="19">
        <f t="shared" si="10"/>
        <v>1.340411647</v>
      </c>
      <c r="H882" s="17">
        <v>38.0</v>
      </c>
      <c r="I882" s="10">
        <v>130.0</v>
      </c>
      <c r="J882" s="17">
        <v>2.5</v>
      </c>
      <c r="K882" s="17">
        <v>10.0</v>
      </c>
      <c r="L882" s="17"/>
      <c r="M882" s="20">
        <v>26.0</v>
      </c>
      <c r="N882" s="20">
        <v>6.0</v>
      </c>
      <c r="O882" s="20">
        <v>19.0</v>
      </c>
      <c r="P882" s="20">
        <f t="shared" si="2"/>
        <v>1</v>
      </c>
      <c r="Q882" s="21">
        <v>1.0</v>
      </c>
      <c r="R882" s="22">
        <f t="shared" si="3"/>
        <v>96.98513158</v>
      </c>
      <c r="S882" s="23">
        <f t="shared" si="4"/>
        <v>3.421052632</v>
      </c>
      <c r="T882" s="24">
        <f t="shared" si="5"/>
        <v>26</v>
      </c>
      <c r="U882" s="26">
        <f t="shared" si="6"/>
        <v>0.1724137931</v>
      </c>
      <c r="V882" s="26">
        <f t="shared" si="7"/>
        <v>0.5823754789</v>
      </c>
      <c r="W882" s="19">
        <f t="shared" si="8"/>
        <v>0.07692307692</v>
      </c>
      <c r="X882" s="20">
        <f t="shared" si="9"/>
        <v>130</v>
      </c>
      <c r="Y882" s="27"/>
      <c r="Z882" s="17"/>
      <c r="AA882" s="28"/>
      <c r="AB882" s="17"/>
      <c r="AC882" s="28"/>
      <c r="AD882" s="16"/>
    </row>
    <row r="883" ht="15.75" customHeight="1">
      <c r="A883" s="27" t="s">
        <v>2470</v>
      </c>
      <c r="B883" s="27" t="s">
        <v>2414</v>
      </c>
      <c r="C883" s="16" t="s">
        <v>2471</v>
      </c>
      <c r="D883" s="17" t="s">
        <v>119</v>
      </c>
      <c r="E883" s="18" t="s">
        <v>34</v>
      </c>
      <c r="F883" s="18">
        <v>1.0</v>
      </c>
      <c r="G883" s="19">
        <f t="shared" si="10"/>
        <v>1.44623362</v>
      </c>
      <c r="H883" s="17">
        <v>41.0</v>
      </c>
      <c r="I883" s="10">
        <v>140.0</v>
      </c>
      <c r="J883" s="17">
        <v>0.5</v>
      </c>
      <c r="K883" s="17">
        <v>0.0</v>
      </c>
      <c r="L883" s="17"/>
      <c r="M883" s="20">
        <v>28.0</v>
      </c>
      <c r="N883" s="20">
        <v>6.0</v>
      </c>
      <c r="O883" s="20">
        <v>1.0</v>
      </c>
      <c r="P883" s="20">
        <f t="shared" si="2"/>
        <v>21</v>
      </c>
      <c r="Q883" s="21">
        <v>9.0</v>
      </c>
      <c r="R883" s="22">
        <f t="shared" si="3"/>
        <v>96.80317073</v>
      </c>
      <c r="S883" s="23">
        <f t="shared" si="4"/>
        <v>3.414634146</v>
      </c>
      <c r="T883" s="24">
        <f t="shared" si="5"/>
        <v>3.111111111</v>
      </c>
      <c r="U883" s="26">
        <f t="shared" si="6"/>
        <v>0.02950819672</v>
      </c>
      <c r="V883" s="26">
        <f t="shared" si="7"/>
        <v>0.0262295082</v>
      </c>
      <c r="W883" s="19">
        <f t="shared" si="8"/>
        <v>0</v>
      </c>
      <c r="X883" s="20">
        <f t="shared" si="9"/>
        <v>140</v>
      </c>
      <c r="Y883" s="27"/>
      <c r="Z883" s="17"/>
      <c r="AA883" s="28"/>
      <c r="AB883" s="17"/>
      <c r="AC883" s="28"/>
      <c r="AD883" s="27"/>
    </row>
    <row r="884" ht="15.75" customHeight="1">
      <c r="A884" s="16" t="s">
        <v>2472</v>
      </c>
      <c r="B884" s="16" t="s">
        <v>2432</v>
      </c>
      <c r="C884" s="16" t="s">
        <v>2473</v>
      </c>
      <c r="D884" s="17" t="s">
        <v>81</v>
      </c>
      <c r="E884" s="18" t="s">
        <v>34</v>
      </c>
      <c r="F884" s="18">
        <v>1.0</v>
      </c>
      <c r="G884" s="19">
        <f t="shared" si="10"/>
        <v>1.552055592</v>
      </c>
      <c r="H884" s="17">
        <v>44.0</v>
      </c>
      <c r="I884" s="10">
        <v>150.0</v>
      </c>
      <c r="J884" s="17">
        <v>0.0</v>
      </c>
      <c r="K884" s="17">
        <v>0.0</v>
      </c>
      <c r="L884" s="17">
        <v>292.0</v>
      </c>
      <c r="M884" s="20">
        <v>37.0</v>
      </c>
      <c r="N884" s="20">
        <v>2.0</v>
      </c>
      <c r="O884" s="20">
        <v>27.0</v>
      </c>
      <c r="P884" s="20">
        <f t="shared" si="2"/>
        <v>8</v>
      </c>
      <c r="Q884" s="21">
        <v>1.0</v>
      </c>
      <c r="R884" s="22">
        <f t="shared" si="3"/>
        <v>96.64602273</v>
      </c>
      <c r="S884" s="23">
        <f t="shared" si="4"/>
        <v>3.409090909</v>
      </c>
      <c r="T884" s="24">
        <f t="shared" si="5"/>
        <v>37</v>
      </c>
      <c r="U884" s="26" t="str">
        <f t="shared" si="6"/>
        <v>0%</v>
      </c>
      <c r="V884" s="26">
        <f t="shared" si="7"/>
        <v>0.7105263158</v>
      </c>
      <c r="W884" s="19">
        <f t="shared" si="8"/>
        <v>0</v>
      </c>
      <c r="X884" s="20">
        <f t="shared" si="9"/>
        <v>150</v>
      </c>
      <c r="Y884" s="27"/>
      <c r="Z884" s="17"/>
      <c r="AA884" s="28"/>
      <c r="AB884" s="17"/>
      <c r="AC884" s="28"/>
      <c r="AD884" s="27"/>
    </row>
    <row r="885" ht="15.75" customHeight="1">
      <c r="A885" s="27" t="s">
        <v>2474</v>
      </c>
      <c r="B885" s="27" t="s">
        <v>2475</v>
      </c>
      <c r="C885" s="16" t="s">
        <v>2476</v>
      </c>
      <c r="D885" s="17" t="s">
        <v>119</v>
      </c>
      <c r="E885" s="18" t="s">
        <v>34</v>
      </c>
      <c r="F885" s="18">
        <v>1.0</v>
      </c>
      <c r="G885" s="19">
        <f t="shared" si="10"/>
        <v>1.552055592</v>
      </c>
      <c r="H885" s="17">
        <v>44.0</v>
      </c>
      <c r="I885" s="10">
        <v>150.0</v>
      </c>
      <c r="J885" s="17">
        <v>0.5</v>
      </c>
      <c r="K885" s="17">
        <v>0.0</v>
      </c>
      <c r="L885" s="17">
        <v>658.0</v>
      </c>
      <c r="M885" s="20">
        <v>27.0</v>
      </c>
      <c r="N885" s="20">
        <v>7.0</v>
      </c>
      <c r="O885" s="20">
        <v>1.0</v>
      </c>
      <c r="P885" s="20">
        <f t="shared" si="2"/>
        <v>19</v>
      </c>
      <c r="Q885" s="21">
        <v>10.0</v>
      </c>
      <c r="R885" s="22">
        <f t="shared" si="3"/>
        <v>96.64602273</v>
      </c>
      <c r="S885" s="23">
        <f t="shared" si="4"/>
        <v>3.409090909</v>
      </c>
      <c r="T885" s="24">
        <f t="shared" si="5"/>
        <v>2.7</v>
      </c>
      <c r="U885" s="26">
        <f t="shared" si="6"/>
        <v>0.02950819672</v>
      </c>
      <c r="V885" s="26">
        <f t="shared" si="7"/>
        <v>0.0262295082</v>
      </c>
      <c r="W885" s="19">
        <f t="shared" si="8"/>
        <v>0</v>
      </c>
      <c r="X885" s="20">
        <f t="shared" si="9"/>
        <v>150</v>
      </c>
      <c r="Y885" s="27"/>
      <c r="Z885" s="17"/>
      <c r="AA885" s="28"/>
      <c r="AB885" s="17"/>
      <c r="AC885" s="28"/>
      <c r="AD885" s="27"/>
    </row>
    <row r="886" ht="15.75" customHeight="1">
      <c r="A886" s="27" t="s">
        <v>2362</v>
      </c>
      <c r="B886" s="27" t="s">
        <v>2477</v>
      </c>
      <c r="C886" s="16" t="s">
        <v>2478</v>
      </c>
      <c r="D886" s="17" t="s">
        <v>119</v>
      </c>
      <c r="E886" s="18" t="s">
        <v>34</v>
      </c>
      <c r="F886" s="18">
        <v>1.0</v>
      </c>
      <c r="G886" s="19">
        <f t="shared" si="10"/>
        <v>1.97534348</v>
      </c>
      <c r="H886" s="17">
        <v>56.0</v>
      </c>
      <c r="I886" s="10">
        <v>190.0</v>
      </c>
      <c r="J886" s="17">
        <v>0.5</v>
      </c>
      <c r="K886" s="17">
        <v>720.0</v>
      </c>
      <c r="L886" s="17"/>
      <c r="M886" s="20">
        <v>43.0</v>
      </c>
      <c r="N886" s="20">
        <v>1.0</v>
      </c>
      <c r="O886" s="20">
        <v>0.0</v>
      </c>
      <c r="P886" s="20">
        <f t="shared" si="2"/>
        <v>42</v>
      </c>
      <c r="Q886" s="21">
        <v>5.0</v>
      </c>
      <c r="R886" s="22">
        <f t="shared" si="3"/>
        <v>96.18580357</v>
      </c>
      <c r="S886" s="23">
        <f t="shared" si="4"/>
        <v>3.392857143</v>
      </c>
      <c r="T886" s="24">
        <f t="shared" si="5"/>
        <v>8.6</v>
      </c>
      <c r="U886" s="26">
        <f t="shared" si="6"/>
        <v>0.02290076336</v>
      </c>
      <c r="V886" s="26" t="str">
        <f t="shared" si="7"/>
        <v>0%</v>
      </c>
      <c r="W886" s="19">
        <f t="shared" si="8"/>
        <v>3.789473684</v>
      </c>
      <c r="X886" s="20">
        <f t="shared" si="9"/>
        <v>190</v>
      </c>
      <c r="Y886" s="16"/>
      <c r="Z886" s="17"/>
      <c r="AA886" s="28"/>
      <c r="AB886" s="17"/>
      <c r="AC886" s="28"/>
      <c r="AD886" s="16"/>
    </row>
    <row r="887" ht="15.75" customHeight="1">
      <c r="A887" s="16" t="s">
        <v>2362</v>
      </c>
      <c r="B887" s="16" t="s">
        <v>2479</v>
      </c>
      <c r="C887" s="16" t="s">
        <v>2480</v>
      </c>
      <c r="D887" s="17" t="s">
        <v>119</v>
      </c>
      <c r="E887" s="18" t="s">
        <v>34</v>
      </c>
      <c r="F887" s="18">
        <v>1.0</v>
      </c>
      <c r="G887" s="19">
        <f t="shared" si="10"/>
        <v>1.97534348</v>
      </c>
      <c r="H887" s="17">
        <v>56.0</v>
      </c>
      <c r="I887" s="10">
        <v>190.0</v>
      </c>
      <c r="J887" s="17">
        <v>0.5</v>
      </c>
      <c r="K887" s="17">
        <v>770.0</v>
      </c>
      <c r="L887" s="17"/>
      <c r="M887" s="20">
        <v>43.0</v>
      </c>
      <c r="N887" s="20">
        <v>1.0</v>
      </c>
      <c r="O887" s="20">
        <v>0.0</v>
      </c>
      <c r="P887" s="20">
        <f t="shared" si="2"/>
        <v>42</v>
      </c>
      <c r="Q887" s="21">
        <v>5.0</v>
      </c>
      <c r="R887" s="22">
        <f t="shared" si="3"/>
        <v>96.18580357</v>
      </c>
      <c r="S887" s="23">
        <f t="shared" si="4"/>
        <v>3.392857143</v>
      </c>
      <c r="T887" s="24">
        <f t="shared" si="5"/>
        <v>8.6</v>
      </c>
      <c r="U887" s="26">
        <f t="shared" si="6"/>
        <v>0.02290076336</v>
      </c>
      <c r="V887" s="26" t="str">
        <f t="shared" si="7"/>
        <v>0%</v>
      </c>
      <c r="W887" s="19">
        <f t="shared" si="8"/>
        <v>4.052631579</v>
      </c>
      <c r="X887" s="20">
        <f t="shared" si="9"/>
        <v>190</v>
      </c>
      <c r="Y887" s="27"/>
      <c r="Z887" s="17"/>
      <c r="AA887" s="28"/>
      <c r="AB887" s="17"/>
      <c r="AC887" s="28"/>
      <c r="AD887" s="27"/>
    </row>
    <row r="888" ht="15.75" customHeight="1">
      <c r="A888" s="16" t="s">
        <v>2362</v>
      </c>
      <c r="B888" s="16" t="s">
        <v>2481</v>
      </c>
      <c r="C888" s="16" t="s">
        <v>2482</v>
      </c>
      <c r="D888" s="17" t="s">
        <v>119</v>
      </c>
      <c r="E888" s="18" t="s">
        <v>34</v>
      </c>
      <c r="F888" s="18">
        <v>1.0</v>
      </c>
      <c r="G888" s="19">
        <f t="shared" si="10"/>
        <v>1.97534348</v>
      </c>
      <c r="H888" s="17">
        <v>56.0</v>
      </c>
      <c r="I888" s="10">
        <v>190.0</v>
      </c>
      <c r="J888" s="17">
        <v>1.5</v>
      </c>
      <c r="K888" s="17">
        <v>500.0</v>
      </c>
      <c r="L888" s="17"/>
      <c r="M888" s="20">
        <v>40.0</v>
      </c>
      <c r="N888" s="20">
        <v>2.0</v>
      </c>
      <c r="O888" s="20">
        <v>0.0</v>
      </c>
      <c r="P888" s="20">
        <f t="shared" si="2"/>
        <v>38</v>
      </c>
      <c r="Q888" s="21">
        <v>7.0</v>
      </c>
      <c r="R888" s="22">
        <f t="shared" si="3"/>
        <v>96.18580357</v>
      </c>
      <c r="S888" s="23">
        <f t="shared" si="4"/>
        <v>3.392857143</v>
      </c>
      <c r="T888" s="24">
        <f t="shared" si="5"/>
        <v>5.714285714</v>
      </c>
      <c r="U888" s="26">
        <f t="shared" si="6"/>
        <v>0.06699751861</v>
      </c>
      <c r="V888" s="26" t="str">
        <f t="shared" si="7"/>
        <v>0%</v>
      </c>
      <c r="W888" s="19">
        <f t="shared" si="8"/>
        <v>2.631578947</v>
      </c>
      <c r="X888" s="20">
        <f t="shared" si="9"/>
        <v>190</v>
      </c>
      <c r="Y888" s="27"/>
      <c r="Z888" s="17"/>
      <c r="AA888" s="28"/>
      <c r="AB888" s="17"/>
      <c r="AC888" s="28"/>
      <c r="AD888" s="27"/>
    </row>
    <row r="889" ht="15.75" customHeight="1">
      <c r="A889" s="16" t="s">
        <v>2407</v>
      </c>
      <c r="B889" s="16" t="s">
        <v>2169</v>
      </c>
      <c r="C889" s="16" t="s">
        <v>2483</v>
      </c>
      <c r="D889" s="17" t="s">
        <v>212</v>
      </c>
      <c r="E889" s="18" t="s">
        <v>34</v>
      </c>
      <c r="F889" s="18">
        <v>1.0</v>
      </c>
      <c r="G889" s="19">
        <f t="shared" si="10"/>
        <v>2.292809397</v>
      </c>
      <c r="H889" s="17">
        <v>65.0</v>
      </c>
      <c r="I889" s="10">
        <v>220.0</v>
      </c>
      <c r="J889" s="17">
        <v>3.0</v>
      </c>
      <c r="K889" s="17">
        <v>200.0</v>
      </c>
      <c r="L889" s="17">
        <v>190.0</v>
      </c>
      <c r="M889" s="20">
        <v>45.0</v>
      </c>
      <c r="N889" s="20">
        <v>3.0</v>
      </c>
      <c r="O889" s="20">
        <v>26.0</v>
      </c>
      <c r="P889" s="20">
        <f t="shared" si="2"/>
        <v>16</v>
      </c>
      <c r="Q889" s="21">
        <v>9.0</v>
      </c>
      <c r="R889" s="22">
        <f t="shared" si="3"/>
        <v>95.95215385</v>
      </c>
      <c r="S889" s="23">
        <f t="shared" si="4"/>
        <v>3.384615385</v>
      </c>
      <c r="T889" s="24">
        <f t="shared" si="5"/>
        <v>5</v>
      </c>
      <c r="U889" s="26">
        <f t="shared" si="6"/>
        <v>0.1111111111</v>
      </c>
      <c r="V889" s="26">
        <f t="shared" si="7"/>
        <v>0.4279835391</v>
      </c>
      <c r="W889" s="19">
        <f t="shared" si="8"/>
        <v>0.9090909091</v>
      </c>
      <c r="X889" s="20">
        <f t="shared" si="9"/>
        <v>220</v>
      </c>
      <c r="Y889" s="27"/>
      <c r="Z889" s="17"/>
      <c r="AA889" s="28"/>
      <c r="AB889" s="17"/>
      <c r="AC889" s="28"/>
      <c r="AD889" s="27"/>
    </row>
    <row r="890" ht="15.75" customHeight="1">
      <c r="A890" s="27" t="s">
        <v>109</v>
      </c>
      <c r="B890" s="27" t="s">
        <v>2484</v>
      </c>
      <c r="C890" s="16" t="s">
        <v>2485</v>
      </c>
      <c r="D890" s="17" t="s">
        <v>119</v>
      </c>
      <c r="E890" s="18" t="s">
        <v>34</v>
      </c>
      <c r="F890" s="18">
        <v>1.0</v>
      </c>
      <c r="G890" s="19">
        <f t="shared" si="10"/>
        <v>0.9876717402</v>
      </c>
      <c r="H890" s="17">
        <v>28.0</v>
      </c>
      <c r="I890" s="10">
        <v>94.0</v>
      </c>
      <c r="J890" s="17">
        <v>0.2</v>
      </c>
      <c r="K890" s="17">
        <v>7.0</v>
      </c>
      <c r="L890" s="17">
        <v>399.0</v>
      </c>
      <c r="M890" s="20">
        <v>17.0</v>
      </c>
      <c r="N890" s="20">
        <v>7.0</v>
      </c>
      <c r="O890" s="20">
        <v>1.0</v>
      </c>
      <c r="P890" s="20">
        <f t="shared" si="2"/>
        <v>9</v>
      </c>
      <c r="Q890" s="21">
        <v>7.0</v>
      </c>
      <c r="R890" s="22">
        <f t="shared" si="3"/>
        <v>95.17332143</v>
      </c>
      <c r="S890" s="23">
        <f t="shared" si="4"/>
        <v>3.357142857</v>
      </c>
      <c r="T890" s="24">
        <f t="shared" si="5"/>
        <v>2.428571429</v>
      </c>
      <c r="U890" s="26">
        <f t="shared" si="6"/>
        <v>0.01840490798</v>
      </c>
      <c r="V890" s="26">
        <f t="shared" si="7"/>
        <v>0.0408997955</v>
      </c>
      <c r="W890" s="19">
        <f t="shared" si="8"/>
        <v>0.07446808511</v>
      </c>
      <c r="X890" s="20">
        <f t="shared" si="9"/>
        <v>94</v>
      </c>
      <c r="Y890" s="27"/>
      <c r="Z890" s="17"/>
      <c r="AA890" s="28"/>
      <c r="AB890" s="17"/>
      <c r="AC890" s="28"/>
      <c r="AD890" s="27"/>
    </row>
    <row r="891" ht="15.75" customHeight="1">
      <c r="A891" s="27" t="s">
        <v>2486</v>
      </c>
      <c r="B891" s="27" t="s">
        <v>2487</v>
      </c>
      <c r="C891" s="16" t="s">
        <v>2488</v>
      </c>
      <c r="D891" s="17" t="s">
        <v>2489</v>
      </c>
      <c r="E891" s="18" t="s">
        <v>34</v>
      </c>
      <c r="F891" s="18">
        <v>1.0</v>
      </c>
      <c r="G891" s="19">
        <f t="shared" si="10"/>
        <v>1.058219722</v>
      </c>
      <c r="H891" s="17">
        <v>30.0</v>
      </c>
      <c r="I891" s="10">
        <v>100.0</v>
      </c>
      <c r="J891" s="17">
        <v>0.0</v>
      </c>
      <c r="K891" s="17">
        <v>50.0</v>
      </c>
      <c r="L891" s="17">
        <v>20.0</v>
      </c>
      <c r="M891" s="20">
        <v>24.0</v>
      </c>
      <c r="N891" s="20">
        <v>0.0</v>
      </c>
      <c r="O891" s="20">
        <v>12.0</v>
      </c>
      <c r="P891" s="20">
        <f t="shared" si="2"/>
        <v>12</v>
      </c>
      <c r="Q891" s="21">
        <v>0.0</v>
      </c>
      <c r="R891" s="22">
        <f t="shared" si="3"/>
        <v>94.49833333</v>
      </c>
      <c r="S891" s="23">
        <f t="shared" si="4"/>
        <v>3.333333333</v>
      </c>
      <c r="T891" s="24" t="str">
        <f t="shared" si="5"/>
        <v>N/A</v>
      </c>
      <c r="U891" s="26" t="str">
        <f t="shared" si="6"/>
        <v>0%</v>
      </c>
      <c r="V891" s="26">
        <f t="shared" si="7"/>
        <v>0.5</v>
      </c>
      <c r="W891" s="19">
        <f t="shared" si="8"/>
        <v>0.5</v>
      </c>
      <c r="X891" s="20">
        <f t="shared" si="9"/>
        <v>100</v>
      </c>
      <c r="Y891" s="27"/>
      <c r="Z891" s="17"/>
      <c r="AA891" s="28"/>
      <c r="AB891" s="17"/>
      <c r="AC891" s="28"/>
      <c r="AD891" s="16"/>
    </row>
    <row r="892" ht="15.75" customHeight="1">
      <c r="A892" s="16" t="s">
        <v>104</v>
      </c>
      <c r="B892" s="16" t="s">
        <v>2490</v>
      </c>
      <c r="C892" s="16" t="s">
        <v>2491</v>
      </c>
      <c r="D892" s="17" t="s">
        <v>81</v>
      </c>
      <c r="E892" s="18" t="s">
        <v>34</v>
      </c>
      <c r="F892" s="18">
        <v>1.0</v>
      </c>
      <c r="G892" s="19">
        <f t="shared" si="10"/>
        <v>1.587329583</v>
      </c>
      <c r="H892" s="17">
        <v>45.0</v>
      </c>
      <c r="I892" s="10">
        <v>150.0</v>
      </c>
      <c r="J892" s="17">
        <v>0.0</v>
      </c>
      <c r="K892" s="17">
        <v>0.0</v>
      </c>
      <c r="L892" s="17"/>
      <c r="M892" s="20">
        <v>37.0</v>
      </c>
      <c r="N892" s="20">
        <v>2.0</v>
      </c>
      <c r="O892" s="20">
        <v>27.0</v>
      </c>
      <c r="P892" s="20">
        <f t="shared" si="2"/>
        <v>8</v>
      </c>
      <c r="Q892" s="21">
        <v>1.0</v>
      </c>
      <c r="R892" s="22">
        <f t="shared" si="3"/>
        <v>94.49833333</v>
      </c>
      <c r="S892" s="23">
        <f t="shared" si="4"/>
        <v>3.333333333</v>
      </c>
      <c r="T892" s="24">
        <f t="shared" si="5"/>
        <v>37</v>
      </c>
      <c r="U892" s="26" t="str">
        <f t="shared" si="6"/>
        <v>0%</v>
      </c>
      <c r="V892" s="26">
        <f t="shared" si="7"/>
        <v>0.7105263158</v>
      </c>
      <c r="W892" s="19">
        <f t="shared" si="8"/>
        <v>0</v>
      </c>
      <c r="X892" s="20">
        <f t="shared" si="9"/>
        <v>150</v>
      </c>
      <c r="Y892" s="27"/>
      <c r="Z892" s="17"/>
      <c r="AA892" s="17"/>
      <c r="AB892" s="17"/>
      <c r="AC892" s="17"/>
      <c r="AD892" s="27"/>
    </row>
    <row r="893" ht="15.75" customHeight="1">
      <c r="A893" s="16" t="s">
        <v>2492</v>
      </c>
      <c r="B893" s="16" t="s">
        <v>2493</v>
      </c>
      <c r="C893" s="16" t="s">
        <v>2494</v>
      </c>
      <c r="D893" s="17" t="s">
        <v>130</v>
      </c>
      <c r="E893" s="18" t="s">
        <v>34</v>
      </c>
      <c r="F893" s="18">
        <v>1.0</v>
      </c>
      <c r="G893" s="19">
        <f t="shared" si="10"/>
        <v>1.587329583</v>
      </c>
      <c r="H893" s="17">
        <v>45.0</v>
      </c>
      <c r="I893" s="10">
        <v>150.0</v>
      </c>
      <c r="J893" s="17">
        <v>1.0</v>
      </c>
      <c r="K893" s="17">
        <v>105.0</v>
      </c>
      <c r="L893" s="17"/>
      <c r="M893" s="20">
        <v>36.0</v>
      </c>
      <c r="N893" s="20">
        <v>0.0</v>
      </c>
      <c r="O893" s="20">
        <v>18.0</v>
      </c>
      <c r="P893" s="20">
        <f t="shared" si="2"/>
        <v>18</v>
      </c>
      <c r="Q893" s="21">
        <v>1.0</v>
      </c>
      <c r="R893" s="22">
        <f t="shared" si="3"/>
        <v>94.49833333</v>
      </c>
      <c r="S893" s="23">
        <f t="shared" si="4"/>
        <v>3.333333333</v>
      </c>
      <c r="T893" s="24">
        <f t="shared" si="5"/>
        <v>36</v>
      </c>
      <c r="U893" s="26">
        <f t="shared" si="6"/>
        <v>0.05732484076</v>
      </c>
      <c r="V893" s="26">
        <f t="shared" si="7"/>
        <v>0.4585987261</v>
      </c>
      <c r="W893" s="19">
        <f t="shared" si="8"/>
        <v>0.7</v>
      </c>
      <c r="X893" s="20">
        <f t="shared" si="9"/>
        <v>150</v>
      </c>
      <c r="Y893" s="27"/>
      <c r="Z893" s="17"/>
      <c r="AA893" s="28"/>
      <c r="AB893" s="17"/>
      <c r="AC893" s="28"/>
      <c r="AD893" s="27"/>
    </row>
    <row r="894" ht="15.75" customHeight="1">
      <c r="A894" s="27" t="s">
        <v>2493</v>
      </c>
      <c r="B894" s="27" t="s">
        <v>2493</v>
      </c>
      <c r="C894" s="16" t="s">
        <v>2495</v>
      </c>
      <c r="D894" s="17" t="s">
        <v>130</v>
      </c>
      <c r="E894" s="18" t="s">
        <v>34</v>
      </c>
      <c r="F894" s="18">
        <v>1.0</v>
      </c>
      <c r="G894" s="19">
        <f t="shared" si="10"/>
        <v>1.058219722</v>
      </c>
      <c r="H894" s="17">
        <v>30.0</v>
      </c>
      <c r="I894" s="10">
        <v>100.0</v>
      </c>
      <c r="J894" s="17">
        <v>0.0</v>
      </c>
      <c r="K894" s="17">
        <v>15.0</v>
      </c>
      <c r="L894" s="17"/>
      <c r="M894" s="20">
        <v>25.0</v>
      </c>
      <c r="N894" s="20">
        <v>0.0</v>
      </c>
      <c r="O894" s="20">
        <v>12.0</v>
      </c>
      <c r="P894" s="20">
        <f t="shared" si="2"/>
        <v>13</v>
      </c>
      <c r="Q894" s="21">
        <v>1.0</v>
      </c>
      <c r="R894" s="22">
        <f t="shared" si="3"/>
        <v>94.49833333</v>
      </c>
      <c r="S894" s="23">
        <f t="shared" si="4"/>
        <v>3.333333333</v>
      </c>
      <c r="T894" s="24">
        <f t="shared" si="5"/>
        <v>25</v>
      </c>
      <c r="U894" s="26" t="str">
        <f t="shared" si="6"/>
        <v>0%</v>
      </c>
      <c r="V894" s="26">
        <f t="shared" si="7"/>
        <v>0.4615384615</v>
      </c>
      <c r="W894" s="19">
        <f t="shared" si="8"/>
        <v>0.15</v>
      </c>
      <c r="X894" s="20">
        <f t="shared" si="9"/>
        <v>100</v>
      </c>
      <c r="Y894" s="27"/>
      <c r="Z894" s="17"/>
      <c r="AA894" s="28"/>
      <c r="AB894" s="17"/>
      <c r="AC894" s="28"/>
      <c r="AD894" s="27"/>
    </row>
    <row r="895" ht="15.75" customHeight="1">
      <c r="A895" s="27" t="s">
        <v>513</v>
      </c>
      <c r="B895" s="27" t="s">
        <v>2496</v>
      </c>
      <c r="C895" s="16" t="s">
        <v>2497</v>
      </c>
      <c r="D895" s="17" t="s">
        <v>99</v>
      </c>
      <c r="E895" s="18" t="s">
        <v>34</v>
      </c>
      <c r="F895" s="18">
        <v>1.0</v>
      </c>
      <c r="G895" s="19">
        <f t="shared" si="10"/>
        <v>0.8465757774</v>
      </c>
      <c r="H895" s="17">
        <v>24.0</v>
      </c>
      <c r="I895" s="10">
        <v>80.0</v>
      </c>
      <c r="J895" s="17">
        <v>1.0</v>
      </c>
      <c r="K895" s="17">
        <v>35.0</v>
      </c>
      <c r="L895" s="17"/>
      <c r="M895" s="20">
        <v>21.0</v>
      </c>
      <c r="N895" s="20">
        <v>1.0</v>
      </c>
      <c r="O895" s="20">
        <v>19.0</v>
      </c>
      <c r="P895" s="20">
        <f t="shared" si="2"/>
        <v>1</v>
      </c>
      <c r="Q895" s="21">
        <v>1.0</v>
      </c>
      <c r="R895" s="22">
        <f t="shared" si="3"/>
        <v>94.49833333</v>
      </c>
      <c r="S895" s="23">
        <f t="shared" si="4"/>
        <v>3.333333333</v>
      </c>
      <c r="T895" s="24">
        <f t="shared" si="5"/>
        <v>21</v>
      </c>
      <c r="U895" s="26">
        <f t="shared" si="6"/>
        <v>0.09278350515</v>
      </c>
      <c r="V895" s="26">
        <f t="shared" si="7"/>
        <v>0.7835051546</v>
      </c>
      <c r="W895" s="19">
        <f t="shared" si="8"/>
        <v>0.4375</v>
      </c>
      <c r="X895" s="20">
        <f t="shared" si="9"/>
        <v>80</v>
      </c>
      <c r="Y895" s="16"/>
      <c r="Z895" s="17"/>
      <c r="AA895" s="28"/>
      <c r="AB895" s="17"/>
      <c r="AC895" s="28"/>
      <c r="AD895" s="16"/>
    </row>
    <row r="896" ht="15.75" customHeight="1">
      <c r="A896" s="27" t="s">
        <v>2498</v>
      </c>
      <c r="B896" s="27" t="s">
        <v>2499</v>
      </c>
      <c r="C896" s="16" t="s">
        <v>2500</v>
      </c>
      <c r="D896" s="17" t="s">
        <v>33</v>
      </c>
      <c r="E896" s="18" t="s">
        <v>34</v>
      </c>
      <c r="F896" s="18">
        <v>1.0</v>
      </c>
      <c r="G896" s="19">
        <f t="shared" si="10"/>
        <v>0.2116439443</v>
      </c>
      <c r="H896" s="17">
        <v>6.0</v>
      </c>
      <c r="I896" s="10">
        <v>20.0</v>
      </c>
      <c r="J896" s="17">
        <v>0.5</v>
      </c>
      <c r="K896" s="17">
        <v>350.0</v>
      </c>
      <c r="L896" s="17"/>
      <c r="M896" s="20">
        <v>3.0</v>
      </c>
      <c r="N896" s="20">
        <v>0.0</v>
      </c>
      <c r="O896" s="20">
        <v>1.0</v>
      </c>
      <c r="P896" s="20">
        <f t="shared" si="2"/>
        <v>2</v>
      </c>
      <c r="Q896" s="21">
        <v>1.0</v>
      </c>
      <c r="R896" s="22">
        <f t="shared" si="3"/>
        <v>94.49833333</v>
      </c>
      <c r="S896" s="23">
        <f t="shared" si="4"/>
        <v>3.333333333</v>
      </c>
      <c r="T896" s="24">
        <f t="shared" si="5"/>
        <v>3</v>
      </c>
      <c r="U896" s="26">
        <f t="shared" si="6"/>
        <v>0.2195121951</v>
      </c>
      <c r="V896" s="26">
        <f t="shared" si="7"/>
        <v>0.1951219512</v>
      </c>
      <c r="W896" s="19">
        <f t="shared" si="8"/>
        <v>17.5</v>
      </c>
      <c r="X896" s="20">
        <f t="shared" si="9"/>
        <v>20</v>
      </c>
      <c r="Y896" s="27"/>
      <c r="Z896" s="17"/>
      <c r="AA896" s="28"/>
      <c r="AB896" s="17"/>
      <c r="AC896" s="28"/>
      <c r="AD896" s="16"/>
    </row>
    <row r="897" ht="15.75" customHeight="1">
      <c r="A897" s="27" t="s">
        <v>2501</v>
      </c>
      <c r="B897" s="27" t="s">
        <v>2502</v>
      </c>
      <c r="C897" s="16" t="s">
        <v>2503</v>
      </c>
      <c r="D897" s="17" t="s">
        <v>119</v>
      </c>
      <c r="E897" s="18" t="s">
        <v>34</v>
      </c>
      <c r="F897" s="18">
        <v>1.0</v>
      </c>
      <c r="G897" s="19">
        <f t="shared" si="10"/>
        <v>1.48150761</v>
      </c>
      <c r="H897" s="17">
        <v>42.0</v>
      </c>
      <c r="I897" s="10">
        <v>140.0</v>
      </c>
      <c r="J897" s="17">
        <v>0.5</v>
      </c>
      <c r="K897" s="17">
        <v>5.0</v>
      </c>
      <c r="L897" s="17">
        <v>467.0</v>
      </c>
      <c r="M897" s="20">
        <v>25.0</v>
      </c>
      <c r="N897" s="20">
        <v>4.0</v>
      </c>
      <c r="O897" s="20">
        <v>3.0</v>
      </c>
      <c r="P897" s="20">
        <f t="shared" si="2"/>
        <v>18</v>
      </c>
      <c r="Q897" s="21">
        <v>10.0</v>
      </c>
      <c r="R897" s="22">
        <f t="shared" si="3"/>
        <v>94.49833333</v>
      </c>
      <c r="S897" s="23">
        <f t="shared" si="4"/>
        <v>3.333333333</v>
      </c>
      <c r="T897" s="24">
        <f t="shared" si="5"/>
        <v>2.5</v>
      </c>
      <c r="U897" s="26">
        <f t="shared" si="6"/>
        <v>0.03114186851</v>
      </c>
      <c r="V897" s="26">
        <f t="shared" si="7"/>
        <v>0.0830449827</v>
      </c>
      <c r="W897" s="19">
        <f t="shared" si="8"/>
        <v>0.03571428571</v>
      </c>
      <c r="X897" s="20">
        <f t="shared" si="9"/>
        <v>140</v>
      </c>
      <c r="Y897" s="27"/>
      <c r="Z897" s="17"/>
      <c r="AA897" s="28"/>
      <c r="AB897" s="17"/>
      <c r="AC897" s="28"/>
      <c r="AD897" s="27"/>
    </row>
    <row r="898" ht="15.75" customHeight="1">
      <c r="A898" s="27" t="s">
        <v>2327</v>
      </c>
      <c r="B898" s="27" t="s">
        <v>2504</v>
      </c>
      <c r="C898" s="16" t="s">
        <v>2505</v>
      </c>
      <c r="D898" s="17" t="s">
        <v>119</v>
      </c>
      <c r="E898" s="18" t="s">
        <v>34</v>
      </c>
      <c r="F898" s="18">
        <v>1.0</v>
      </c>
      <c r="G898" s="19">
        <f t="shared" si="10"/>
        <v>1.798973527</v>
      </c>
      <c r="H898" s="17">
        <v>51.0</v>
      </c>
      <c r="I898" s="10">
        <v>170.0</v>
      </c>
      <c r="J898" s="17">
        <v>0.0</v>
      </c>
      <c r="K898" s="17">
        <v>10.0</v>
      </c>
      <c r="L898" s="17">
        <v>0.0</v>
      </c>
      <c r="M898" s="20">
        <v>31.0</v>
      </c>
      <c r="N898" s="20">
        <v>13.0</v>
      </c>
      <c r="O898" s="20">
        <v>4.0</v>
      </c>
      <c r="P898" s="20">
        <f t="shared" si="2"/>
        <v>14</v>
      </c>
      <c r="Q898" s="21">
        <v>13.0</v>
      </c>
      <c r="R898" s="22">
        <f t="shared" si="3"/>
        <v>94.49833333</v>
      </c>
      <c r="S898" s="23">
        <f t="shared" si="4"/>
        <v>3.333333333</v>
      </c>
      <c r="T898" s="24">
        <f t="shared" si="5"/>
        <v>2.384615385</v>
      </c>
      <c r="U898" s="26" t="str">
        <f t="shared" si="6"/>
        <v>0%</v>
      </c>
      <c r="V898" s="26">
        <f t="shared" si="7"/>
        <v>0.09090909091</v>
      </c>
      <c r="W898" s="19">
        <f t="shared" si="8"/>
        <v>0.05882352941</v>
      </c>
      <c r="X898" s="20">
        <f t="shared" si="9"/>
        <v>170</v>
      </c>
      <c r="Y898" s="27"/>
      <c r="Z898" s="17"/>
      <c r="AA898" s="28"/>
      <c r="AB898" s="17"/>
      <c r="AC898" s="28"/>
      <c r="AD898" s="27"/>
    </row>
    <row r="899" ht="15.75" customHeight="1">
      <c r="A899" s="27" t="s">
        <v>2506</v>
      </c>
      <c r="B899" s="27" t="s">
        <v>2507</v>
      </c>
      <c r="C899" s="16" t="s">
        <v>2508</v>
      </c>
      <c r="D899" s="17" t="s">
        <v>212</v>
      </c>
      <c r="E899" s="18" t="s">
        <v>34</v>
      </c>
      <c r="F899" s="18">
        <v>1.0</v>
      </c>
      <c r="G899" s="19">
        <f t="shared" si="10"/>
        <v>2.222261416</v>
      </c>
      <c r="H899" s="17">
        <v>63.0</v>
      </c>
      <c r="I899" s="10">
        <v>210.0</v>
      </c>
      <c r="J899" s="17">
        <v>7.0</v>
      </c>
      <c r="K899" s="17">
        <v>159.0</v>
      </c>
      <c r="L899" s="17">
        <v>101.0</v>
      </c>
      <c r="M899" s="20">
        <v>25.0</v>
      </c>
      <c r="N899" s="20">
        <v>12.0</v>
      </c>
      <c r="O899" s="20">
        <v>5.0</v>
      </c>
      <c r="P899" s="20">
        <f t="shared" si="2"/>
        <v>8</v>
      </c>
      <c r="Q899" s="21">
        <v>20.0</v>
      </c>
      <c r="R899" s="22">
        <f t="shared" si="3"/>
        <v>94.49833333</v>
      </c>
      <c r="S899" s="23">
        <f t="shared" si="4"/>
        <v>3.333333333</v>
      </c>
      <c r="T899" s="24">
        <f t="shared" si="5"/>
        <v>1.25</v>
      </c>
      <c r="U899" s="26">
        <f t="shared" si="6"/>
        <v>0.2592592593</v>
      </c>
      <c r="V899" s="26">
        <f t="shared" si="7"/>
        <v>0.08230452675</v>
      </c>
      <c r="W899" s="19">
        <f t="shared" si="8"/>
        <v>0.7571428571</v>
      </c>
      <c r="X899" s="20">
        <f t="shared" si="9"/>
        <v>210</v>
      </c>
      <c r="Y899" s="27"/>
      <c r="Z899" s="17"/>
      <c r="AA899" s="17"/>
      <c r="AB899" s="17"/>
      <c r="AC899" s="17"/>
      <c r="AD899" s="27"/>
    </row>
    <row r="900" ht="15.75" customHeight="1">
      <c r="A900" s="16" t="s">
        <v>1548</v>
      </c>
      <c r="B900" s="16" t="s">
        <v>2509</v>
      </c>
      <c r="C900" s="16" t="s">
        <v>2510</v>
      </c>
      <c r="D900" s="17" t="s">
        <v>212</v>
      </c>
      <c r="E900" s="18" t="s">
        <v>34</v>
      </c>
      <c r="F900" s="18">
        <v>1.0</v>
      </c>
      <c r="G900" s="19">
        <f t="shared" si="10"/>
        <v>2.116439443</v>
      </c>
      <c r="H900" s="17">
        <v>60.0</v>
      </c>
      <c r="I900" s="10">
        <v>200.0</v>
      </c>
      <c r="J900" s="17">
        <v>4.0</v>
      </c>
      <c r="K900" s="17">
        <v>190.0</v>
      </c>
      <c r="L900" s="17">
        <v>60.0</v>
      </c>
      <c r="M900" s="20">
        <v>24.0</v>
      </c>
      <c r="N900" s="20">
        <v>16.0</v>
      </c>
      <c r="O900" s="20">
        <v>3.0</v>
      </c>
      <c r="P900" s="20">
        <f t="shared" si="2"/>
        <v>5</v>
      </c>
      <c r="Q900" s="21">
        <v>21.0</v>
      </c>
      <c r="R900" s="22">
        <f t="shared" si="3"/>
        <v>94.49833333</v>
      </c>
      <c r="S900" s="23">
        <f t="shared" si="4"/>
        <v>3.333333333</v>
      </c>
      <c r="T900" s="24">
        <f t="shared" si="5"/>
        <v>1.142857143</v>
      </c>
      <c r="U900" s="26">
        <f t="shared" si="6"/>
        <v>0.1666666667</v>
      </c>
      <c r="V900" s="26">
        <f t="shared" si="7"/>
        <v>0.05555555556</v>
      </c>
      <c r="W900" s="19">
        <f t="shared" si="8"/>
        <v>0.95</v>
      </c>
      <c r="X900" s="20">
        <f t="shared" si="9"/>
        <v>200</v>
      </c>
      <c r="Y900" s="27"/>
      <c r="Z900" s="17"/>
      <c r="AA900" s="17"/>
      <c r="AB900" s="17"/>
      <c r="AC900" s="17"/>
      <c r="AD900" s="27"/>
    </row>
    <row r="901" ht="15.75" customHeight="1">
      <c r="A901" s="27" t="s">
        <v>2387</v>
      </c>
      <c r="B901" s="27" t="s">
        <v>2511</v>
      </c>
      <c r="C901" s="16" t="s">
        <v>2512</v>
      </c>
      <c r="D901" s="17" t="s">
        <v>1648</v>
      </c>
      <c r="E901" s="18" t="s">
        <v>34</v>
      </c>
      <c r="F901" s="18">
        <v>1.0</v>
      </c>
      <c r="G901" s="19">
        <f t="shared" si="10"/>
        <v>1.48150761</v>
      </c>
      <c r="H901" s="17">
        <v>42.0</v>
      </c>
      <c r="I901" s="10">
        <v>140.0</v>
      </c>
      <c r="J901" s="17">
        <v>2.5</v>
      </c>
      <c r="K901" s="17">
        <v>510.0</v>
      </c>
      <c r="L901" s="17"/>
      <c r="M901" s="20">
        <v>16.0</v>
      </c>
      <c r="N901" s="20">
        <v>0.0</v>
      </c>
      <c r="O901" s="20">
        <v>15.0</v>
      </c>
      <c r="P901" s="20">
        <f t="shared" si="2"/>
        <v>1</v>
      </c>
      <c r="Q901" s="21">
        <v>14.0</v>
      </c>
      <c r="R901" s="22">
        <f t="shared" si="3"/>
        <v>94.49833333</v>
      </c>
      <c r="S901" s="23">
        <f t="shared" si="4"/>
        <v>3.333333333</v>
      </c>
      <c r="T901" s="24">
        <f t="shared" si="5"/>
        <v>1.142857143</v>
      </c>
      <c r="U901" s="26">
        <f t="shared" si="6"/>
        <v>0.1578947368</v>
      </c>
      <c r="V901" s="26">
        <f t="shared" si="7"/>
        <v>0.4210526316</v>
      </c>
      <c r="W901" s="19">
        <f t="shared" si="8"/>
        <v>3.642857143</v>
      </c>
      <c r="X901" s="20">
        <f t="shared" si="9"/>
        <v>140</v>
      </c>
      <c r="Y901" s="27"/>
      <c r="Z901" s="17"/>
      <c r="AA901" s="28"/>
      <c r="AB901" s="17"/>
      <c r="AC901" s="28"/>
      <c r="AD901" s="27"/>
    </row>
    <row r="902" ht="15.75" customHeight="1">
      <c r="A902" s="27" t="s">
        <v>1979</v>
      </c>
      <c r="B902" s="27" t="s">
        <v>2513</v>
      </c>
      <c r="C902" s="16" t="s">
        <v>2514</v>
      </c>
      <c r="D902" s="17" t="s">
        <v>99</v>
      </c>
      <c r="E902" s="18" t="s">
        <v>34</v>
      </c>
      <c r="F902" s="18">
        <v>1.0</v>
      </c>
      <c r="G902" s="19">
        <f t="shared" si="10"/>
        <v>1.798973527</v>
      </c>
      <c r="H902" s="17">
        <v>51.0</v>
      </c>
      <c r="I902" s="10">
        <v>170.0</v>
      </c>
      <c r="J902" s="17">
        <v>2.0</v>
      </c>
      <c r="K902" s="17">
        <v>160.0</v>
      </c>
      <c r="L902" s="17"/>
      <c r="M902" s="20">
        <v>9.0</v>
      </c>
      <c r="N902" s="20"/>
      <c r="O902" s="20">
        <v>2.0</v>
      </c>
      <c r="P902" s="20">
        <f t="shared" si="2"/>
        <v>7</v>
      </c>
      <c r="Q902" s="21">
        <v>30.0</v>
      </c>
      <c r="R902" s="22">
        <f t="shared" si="3"/>
        <v>94.49833333</v>
      </c>
      <c r="S902" s="23">
        <f t="shared" si="4"/>
        <v>3.333333333</v>
      </c>
      <c r="T902" s="24">
        <f t="shared" si="5"/>
        <v>0.3</v>
      </c>
      <c r="U902" s="26">
        <f t="shared" si="6"/>
        <v>0.1034482759</v>
      </c>
      <c r="V902" s="26">
        <f t="shared" si="7"/>
        <v>0.04597701149</v>
      </c>
      <c r="W902" s="19">
        <f t="shared" si="8"/>
        <v>0.9411764706</v>
      </c>
      <c r="X902" s="20">
        <f t="shared" si="9"/>
        <v>170</v>
      </c>
      <c r="Y902" s="27"/>
      <c r="Z902" s="17"/>
      <c r="AA902" s="28"/>
      <c r="AB902" s="17"/>
      <c r="AC902" s="28"/>
      <c r="AD902" s="16"/>
    </row>
    <row r="903" ht="15.75" customHeight="1">
      <c r="A903" s="27" t="s">
        <v>2515</v>
      </c>
      <c r="B903" s="27" t="s">
        <v>2516</v>
      </c>
      <c r="C903" s="16" t="s">
        <v>2517</v>
      </c>
      <c r="D903" s="17" t="s">
        <v>33</v>
      </c>
      <c r="E903" s="18" t="s">
        <v>34</v>
      </c>
      <c r="F903" s="18">
        <v>1.0</v>
      </c>
      <c r="G903" s="19">
        <f t="shared" si="10"/>
        <v>0.5291098608</v>
      </c>
      <c r="H903" s="17">
        <v>15.0</v>
      </c>
      <c r="I903" s="10">
        <v>50.0</v>
      </c>
      <c r="J903" s="17">
        <v>0.0</v>
      </c>
      <c r="K903" s="17">
        <v>230.0</v>
      </c>
      <c r="L903" s="17">
        <v>140.0</v>
      </c>
      <c r="M903" s="20">
        <v>1.0</v>
      </c>
      <c r="N903" s="20">
        <v>0.0</v>
      </c>
      <c r="O903" s="20">
        <v>0.0</v>
      </c>
      <c r="P903" s="20">
        <f t="shared" si="2"/>
        <v>1</v>
      </c>
      <c r="Q903" s="21">
        <v>10.0</v>
      </c>
      <c r="R903" s="22">
        <f t="shared" si="3"/>
        <v>94.49833333</v>
      </c>
      <c r="S903" s="23">
        <f t="shared" si="4"/>
        <v>3.333333333</v>
      </c>
      <c r="T903" s="24">
        <f t="shared" si="5"/>
        <v>0.1</v>
      </c>
      <c r="U903" s="26" t="str">
        <f t="shared" si="6"/>
        <v>0%</v>
      </c>
      <c r="V903" s="26" t="str">
        <f t="shared" si="7"/>
        <v>0%</v>
      </c>
      <c r="W903" s="19">
        <f t="shared" si="8"/>
        <v>4.6</v>
      </c>
      <c r="X903" s="20">
        <f t="shared" si="9"/>
        <v>50</v>
      </c>
      <c r="Y903" s="27"/>
      <c r="Z903" s="17"/>
      <c r="AA903" s="28"/>
      <c r="AB903" s="17"/>
      <c r="AC903" s="28"/>
      <c r="AD903" s="16"/>
    </row>
    <row r="904" ht="15.75" customHeight="1">
      <c r="A904" s="16" t="s">
        <v>2518</v>
      </c>
      <c r="B904" s="16" t="s">
        <v>2519</v>
      </c>
      <c r="C904" s="16" t="s">
        <v>2520</v>
      </c>
      <c r="D904" s="17" t="s">
        <v>240</v>
      </c>
      <c r="E904" s="18" t="s">
        <v>34</v>
      </c>
      <c r="F904" s="18">
        <v>1.0</v>
      </c>
      <c r="G904" s="19">
        <f t="shared" si="10"/>
        <v>0.7407538052</v>
      </c>
      <c r="H904" s="17">
        <v>21.0</v>
      </c>
      <c r="I904" s="10">
        <v>70.0</v>
      </c>
      <c r="J904" s="17">
        <v>6.0</v>
      </c>
      <c r="K904" s="17">
        <v>160.0</v>
      </c>
      <c r="L904" s="17"/>
      <c r="M904" s="20">
        <v>0.0</v>
      </c>
      <c r="N904" s="20">
        <v>0.0</v>
      </c>
      <c r="O904" s="20">
        <v>0.0</v>
      </c>
      <c r="P904" s="20">
        <f t="shared" si="2"/>
        <v>0</v>
      </c>
      <c r="Q904" s="21">
        <v>5.0</v>
      </c>
      <c r="R904" s="22">
        <f t="shared" si="3"/>
        <v>94.49833333</v>
      </c>
      <c r="S904" s="23">
        <f t="shared" si="4"/>
        <v>3.333333333</v>
      </c>
      <c r="T904" s="24">
        <f t="shared" si="5"/>
        <v>0</v>
      </c>
      <c r="U904" s="26">
        <f t="shared" si="6"/>
        <v>0.7297297297</v>
      </c>
      <c r="V904" s="26" t="str">
        <f t="shared" si="7"/>
        <v>0%</v>
      </c>
      <c r="W904" s="19">
        <f t="shared" si="8"/>
        <v>2.285714286</v>
      </c>
      <c r="X904" s="20">
        <f t="shared" si="9"/>
        <v>70</v>
      </c>
      <c r="Y904" s="27"/>
      <c r="Z904" s="17"/>
      <c r="AA904" s="28"/>
      <c r="AB904" s="17"/>
      <c r="AC904" s="28"/>
      <c r="AD904" s="27"/>
    </row>
    <row r="905" ht="15.75" customHeight="1">
      <c r="A905" s="27" t="s">
        <v>2521</v>
      </c>
      <c r="B905" s="27" t="s">
        <v>2502</v>
      </c>
      <c r="C905" s="16" t="s">
        <v>2522</v>
      </c>
      <c r="D905" s="17" t="s">
        <v>119</v>
      </c>
      <c r="E905" s="18" t="s">
        <v>34</v>
      </c>
      <c r="F905" s="18">
        <v>1.0</v>
      </c>
      <c r="G905" s="19">
        <f t="shared" si="10"/>
        <v>1.499144606</v>
      </c>
      <c r="H905" s="17">
        <v>42.5</v>
      </c>
      <c r="I905" s="10">
        <v>141.0</v>
      </c>
      <c r="J905" s="17">
        <v>0.0</v>
      </c>
      <c r="K905" s="17">
        <v>11.0</v>
      </c>
      <c r="L905" s="17"/>
      <c r="M905" s="20">
        <v>26.0</v>
      </c>
      <c r="N905" s="20">
        <v>5.0</v>
      </c>
      <c r="O905" s="20">
        <v>3.0</v>
      </c>
      <c r="P905" s="20">
        <f t="shared" si="2"/>
        <v>18</v>
      </c>
      <c r="Q905" s="21">
        <v>10.0</v>
      </c>
      <c r="R905" s="22">
        <f t="shared" si="3"/>
        <v>94.05363529</v>
      </c>
      <c r="S905" s="23">
        <f t="shared" si="4"/>
        <v>3.317647059</v>
      </c>
      <c r="T905" s="24">
        <f t="shared" si="5"/>
        <v>2.6</v>
      </c>
      <c r="U905" s="26" t="str">
        <f t="shared" si="6"/>
        <v>0%</v>
      </c>
      <c r="V905" s="26">
        <f t="shared" si="7"/>
        <v>0.08333333333</v>
      </c>
      <c r="W905" s="19">
        <f t="shared" si="8"/>
        <v>0.0780141844</v>
      </c>
      <c r="X905" s="20">
        <f t="shared" si="9"/>
        <v>141</v>
      </c>
      <c r="Y905" s="27"/>
      <c r="Z905" s="17"/>
      <c r="AA905" s="28"/>
      <c r="AB905" s="17"/>
      <c r="AC905" s="28"/>
      <c r="AD905" s="27"/>
    </row>
    <row r="906" ht="15.75" customHeight="1">
      <c r="A906" s="16" t="s">
        <v>2523</v>
      </c>
      <c r="B906" s="16" t="s">
        <v>2524</v>
      </c>
      <c r="C906" s="16" t="s">
        <v>2525</v>
      </c>
      <c r="D906" s="17" t="s">
        <v>2526</v>
      </c>
      <c r="E906" s="18" t="s">
        <v>34</v>
      </c>
      <c r="F906" s="18">
        <v>1.0</v>
      </c>
      <c r="G906" s="19">
        <f t="shared" si="10"/>
        <v>1.622603573</v>
      </c>
      <c r="H906" s="17">
        <v>46.0</v>
      </c>
      <c r="I906" s="10">
        <v>150.0</v>
      </c>
      <c r="J906" s="17">
        <v>3.5</v>
      </c>
      <c r="K906" s="17">
        <v>135.0</v>
      </c>
      <c r="L906" s="17"/>
      <c r="M906" s="20">
        <v>25.0</v>
      </c>
      <c r="N906" s="20">
        <v>1.0</v>
      </c>
      <c r="O906" s="20">
        <v>9.0</v>
      </c>
      <c r="P906" s="20">
        <f t="shared" si="2"/>
        <v>15</v>
      </c>
      <c r="Q906" s="21">
        <v>4.0</v>
      </c>
      <c r="R906" s="22">
        <f t="shared" si="3"/>
        <v>92.44402174</v>
      </c>
      <c r="S906" s="23">
        <f t="shared" si="4"/>
        <v>3.260869565</v>
      </c>
      <c r="T906" s="24">
        <f t="shared" si="5"/>
        <v>6.25</v>
      </c>
      <c r="U906" s="26">
        <f t="shared" si="6"/>
        <v>0.213559322</v>
      </c>
      <c r="V906" s="26">
        <f t="shared" si="7"/>
        <v>0.2440677966</v>
      </c>
      <c r="W906" s="19">
        <f t="shared" si="8"/>
        <v>0.9</v>
      </c>
      <c r="X906" s="20">
        <f t="shared" si="9"/>
        <v>150</v>
      </c>
      <c r="Y906" s="27"/>
      <c r="Z906" s="17"/>
      <c r="AA906" s="28"/>
      <c r="AB906" s="17"/>
      <c r="AC906" s="28"/>
      <c r="AD906" s="27"/>
    </row>
    <row r="907" ht="15.75" customHeight="1">
      <c r="A907" s="16" t="s">
        <v>1984</v>
      </c>
      <c r="B907" s="16" t="s">
        <v>2527</v>
      </c>
      <c r="C907" s="16" t="s">
        <v>2528</v>
      </c>
      <c r="D907" s="17" t="s">
        <v>247</v>
      </c>
      <c r="E907" s="18" t="s">
        <v>34</v>
      </c>
      <c r="F907" s="18">
        <v>1.0</v>
      </c>
      <c r="G907" s="19">
        <f t="shared" si="10"/>
        <v>1.516781601</v>
      </c>
      <c r="H907" s="17">
        <v>43.0</v>
      </c>
      <c r="I907" s="10">
        <v>140.0</v>
      </c>
      <c r="J907" s="17">
        <v>8.0</v>
      </c>
      <c r="K907" s="17">
        <v>210.0</v>
      </c>
      <c r="L907" s="17"/>
      <c r="M907" s="20">
        <v>9.0</v>
      </c>
      <c r="N907" s="20">
        <v>2.0</v>
      </c>
      <c r="O907" s="20">
        <v>5.0</v>
      </c>
      <c r="P907" s="20">
        <f t="shared" si="2"/>
        <v>2</v>
      </c>
      <c r="Q907" s="21">
        <v>10.0</v>
      </c>
      <c r="R907" s="22">
        <f t="shared" si="3"/>
        <v>92.30069767</v>
      </c>
      <c r="S907" s="23">
        <f t="shared" si="4"/>
        <v>3.255813953</v>
      </c>
      <c r="T907" s="24">
        <f t="shared" si="5"/>
        <v>0.9</v>
      </c>
      <c r="U907" s="26">
        <f t="shared" si="6"/>
        <v>0.4864864865</v>
      </c>
      <c r="V907" s="26">
        <f t="shared" si="7"/>
        <v>0.1351351351</v>
      </c>
      <c r="W907" s="19">
        <f t="shared" si="8"/>
        <v>1.5</v>
      </c>
      <c r="X907" s="20">
        <f t="shared" si="9"/>
        <v>140</v>
      </c>
      <c r="Y907" s="27"/>
      <c r="Z907" s="17"/>
      <c r="AA907" s="17"/>
      <c r="AB907" s="17"/>
      <c r="AC907" s="17"/>
      <c r="AD907" s="27"/>
    </row>
    <row r="908" ht="15.75" customHeight="1">
      <c r="A908" s="16" t="s">
        <v>1984</v>
      </c>
      <c r="B908" s="16" t="s">
        <v>2529</v>
      </c>
      <c r="C908" s="16" t="s">
        <v>2530</v>
      </c>
      <c r="D908" s="17" t="s">
        <v>247</v>
      </c>
      <c r="E908" s="18" t="s">
        <v>34</v>
      </c>
      <c r="F908" s="18">
        <v>1.0</v>
      </c>
      <c r="G908" s="19">
        <f t="shared" si="10"/>
        <v>1.516781601</v>
      </c>
      <c r="H908" s="17">
        <v>43.0</v>
      </c>
      <c r="I908" s="10">
        <v>140.0</v>
      </c>
      <c r="J908" s="17">
        <v>7.0</v>
      </c>
      <c r="K908" s="17">
        <v>420.0</v>
      </c>
      <c r="L908" s="17"/>
      <c r="M908" s="20">
        <v>5.0</v>
      </c>
      <c r="N908" s="20">
        <v>2.0</v>
      </c>
      <c r="O908" s="20">
        <v>2.0</v>
      </c>
      <c r="P908" s="20">
        <f t="shared" si="2"/>
        <v>1</v>
      </c>
      <c r="Q908" s="21">
        <v>13.0</v>
      </c>
      <c r="R908" s="22">
        <f t="shared" si="3"/>
        <v>92.30069767</v>
      </c>
      <c r="S908" s="23">
        <f t="shared" si="4"/>
        <v>3.255813953</v>
      </c>
      <c r="T908" s="24">
        <f t="shared" si="5"/>
        <v>0.3846153846</v>
      </c>
      <c r="U908" s="26">
        <f t="shared" si="6"/>
        <v>0.4666666667</v>
      </c>
      <c r="V908" s="26">
        <f t="shared" si="7"/>
        <v>0.05925925926</v>
      </c>
      <c r="W908" s="19">
        <f t="shared" si="8"/>
        <v>3</v>
      </c>
      <c r="X908" s="20">
        <f t="shared" si="9"/>
        <v>140</v>
      </c>
      <c r="Y908" s="27"/>
      <c r="Z908" s="17"/>
      <c r="AA908" s="28"/>
      <c r="AB908" s="17"/>
      <c r="AC908" s="28"/>
      <c r="AD908" s="27"/>
    </row>
    <row r="909" ht="15.75" customHeight="1">
      <c r="A909" s="27" t="s">
        <v>104</v>
      </c>
      <c r="B909" s="27" t="s">
        <v>2531</v>
      </c>
      <c r="C909" s="16" t="s">
        <v>2532</v>
      </c>
      <c r="D909" s="17" t="s">
        <v>81</v>
      </c>
      <c r="E909" s="18" t="s">
        <v>34</v>
      </c>
      <c r="F909" s="18">
        <v>1.0</v>
      </c>
      <c r="G909" s="19">
        <f t="shared" si="10"/>
        <v>1.410959629</v>
      </c>
      <c r="H909" s="17">
        <v>40.0</v>
      </c>
      <c r="I909" s="10">
        <v>130.0</v>
      </c>
      <c r="J909" s="17">
        <v>0.0</v>
      </c>
      <c r="K909" s="17">
        <v>1.0</v>
      </c>
      <c r="L909" s="17"/>
      <c r="M909" s="20">
        <v>32.0</v>
      </c>
      <c r="N909" s="20">
        <v>2.0</v>
      </c>
      <c r="O909" s="20">
        <v>26.0</v>
      </c>
      <c r="P909" s="20">
        <f t="shared" si="2"/>
        <v>4</v>
      </c>
      <c r="Q909" s="21">
        <v>0.0</v>
      </c>
      <c r="R909" s="22">
        <f t="shared" si="3"/>
        <v>92.135875</v>
      </c>
      <c r="S909" s="23">
        <f t="shared" si="4"/>
        <v>3.25</v>
      </c>
      <c r="T909" s="24" t="str">
        <f t="shared" si="5"/>
        <v>N/A</v>
      </c>
      <c r="U909" s="26" t="str">
        <f t="shared" si="6"/>
        <v>0%</v>
      </c>
      <c r="V909" s="26">
        <f t="shared" si="7"/>
        <v>0.8125</v>
      </c>
      <c r="W909" s="19">
        <f t="shared" si="8"/>
        <v>0.007692307692</v>
      </c>
      <c r="X909" s="20">
        <f t="shared" si="9"/>
        <v>130</v>
      </c>
      <c r="Y909" s="27"/>
      <c r="Z909" s="17"/>
      <c r="AA909" s="28"/>
      <c r="AB909" s="17"/>
      <c r="AC909" s="28"/>
      <c r="AD909" s="27"/>
    </row>
    <row r="910" ht="15.75" customHeight="1">
      <c r="A910" s="27" t="s">
        <v>64</v>
      </c>
      <c r="B910" s="27" t="s">
        <v>2533</v>
      </c>
      <c r="C910" s="16" t="s">
        <v>2534</v>
      </c>
      <c r="D910" s="17" t="s">
        <v>81</v>
      </c>
      <c r="E910" s="18" t="s">
        <v>34</v>
      </c>
      <c r="F910" s="18">
        <v>1.0</v>
      </c>
      <c r="G910" s="19">
        <f t="shared" si="10"/>
        <v>1.410959629</v>
      </c>
      <c r="H910" s="17">
        <v>40.0</v>
      </c>
      <c r="I910" s="10">
        <v>130.0</v>
      </c>
      <c r="J910" s="17">
        <v>0.0</v>
      </c>
      <c r="K910" s="17">
        <v>10.0</v>
      </c>
      <c r="L910" s="17"/>
      <c r="M910" s="20">
        <v>31.0</v>
      </c>
      <c r="N910" s="20">
        <v>2.0</v>
      </c>
      <c r="O910" s="20">
        <v>28.0</v>
      </c>
      <c r="P910" s="20">
        <f t="shared" si="2"/>
        <v>1</v>
      </c>
      <c r="Q910" s="21">
        <v>1.0</v>
      </c>
      <c r="R910" s="22">
        <f t="shared" si="3"/>
        <v>92.135875</v>
      </c>
      <c r="S910" s="23">
        <f t="shared" si="4"/>
        <v>3.25</v>
      </c>
      <c r="T910" s="24">
        <f t="shared" si="5"/>
        <v>31</v>
      </c>
      <c r="U910" s="26" t="str">
        <f t="shared" si="6"/>
        <v>0%</v>
      </c>
      <c r="V910" s="26">
        <f t="shared" si="7"/>
        <v>0.875</v>
      </c>
      <c r="W910" s="19">
        <f t="shared" si="8"/>
        <v>0.07692307692</v>
      </c>
      <c r="X910" s="20">
        <f t="shared" si="9"/>
        <v>130</v>
      </c>
      <c r="Y910" s="27"/>
      <c r="Z910" s="17"/>
      <c r="AA910" s="28"/>
      <c r="AB910" s="17"/>
      <c r="AC910" s="28"/>
      <c r="AD910" s="16"/>
    </row>
    <row r="911" ht="15.75" customHeight="1">
      <c r="A911" s="16" t="s">
        <v>104</v>
      </c>
      <c r="B911" s="16" t="s">
        <v>2535</v>
      </c>
      <c r="C911" s="16" t="s">
        <v>2536</v>
      </c>
      <c r="D911" s="17" t="s">
        <v>81</v>
      </c>
      <c r="E911" s="18" t="s">
        <v>34</v>
      </c>
      <c r="F911" s="18">
        <v>1.0</v>
      </c>
      <c r="G911" s="19">
        <f t="shared" si="10"/>
        <v>1.410959629</v>
      </c>
      <c r="H911" s="17">
        <v>40.0</v>
      </c>
      <c r="I911" s="10">
        <v>130.0</v>
      </c>
      <c r="J911" s="17">
        <v>0.0</v>
      </c>
      <c r="K911" s="17">
        <v>10.0</v>
      </c>
      <c r="L911" s="17"/>
      <c r="M911" s="20">
        <v>31.0</v>
      </c>
      <c r="N911" s="20">
        <v>2.0</v>
      </c>
      <c r="O911" s="20">
        <v>29.0</v>
      </c>
      <c r="P911" s="20">
        <f t="shared" si="2"/>
        <v>0</v>
      </c>
      <c r="Q911" s="21">
        <v>1.0</v>
      </c>
      <c r="R911" s="22">
        <f t="shared" si="3"/>
        <v>92.135875</v>
      </c>
      <c r="S911" s="23">
        <f t="shared" si="4"/>
        <v>3.25</v>
      </c>
      <c r="T911" s="24">
        <f t="shared" si="5"/>
        <v>31</v>
      </c>
      <c r="U911" s="26" t="str">
        <f t="shared" si="6"/>
        <v>0%</v>
      </c>
      <c r="V911" s="26">
        <f t="shared" si="7"/>
        <v>0.90625</v>
      </c>
      <c r="W911" s="19">
        <f t="shared" si="8"/>
        <v>0.07692307692</v>
      </c>
      <c r="X911" s="20">
        <f t="shared" si="9"/>
        <v>130</v>
      </c>
      <c r="Y911" s="27"/>
      <c r="Z911" s="17"/>
      <c r="AA911" s="28"/>
      <c r="AB911" s="17"/>
      <c r="AC911" s="28"/>
      <c r="AD911" s="27"/>
    </row>
    <row r="912" ht="15.75" customHeight="1">
      <c r="A912" s="27" t="s">
        <v>2537</v>
      </c>
      <c r="B912" s="27" t="s">
        <v>2538</v>
      </c>
      <c r="C912" s="16" t="s">
        <v>2539</v>
      </c>
      <c r="D912" s="17" t="s">
        <v>81</v>
      </c>
      <c r="E912" s="18" t="s">
        <v>34</v>
      </c>
      <c r="F912" s="18">
        <v>1.0</v>
      </c>
      <c r="G912" s="19">
        <f t="shared" si="10"/>
        <v>1.410959629</v>
      </c>
      <c r="H912" s="17">
        <v>40.0</v>
      </c>
      <c r="I912" s="10">
        <v>130.0</v>
      </c>
      <c r="J912" s="17">
        <v>0.0</v>
      </c>
      <c r="K912" s="17">
        <v>10.0</v>
      </c>
      <c r="L912" s="17">
        <v>310.0</v>
      </c>
      <c r="M912" s="20">
        <v>31.0</v>
      </c>
      <c r="N912" s="20">
        <v>2.0</v>
      </c>
      <c r="O912" s="20">
        <v>29.0</v>
      </c>
      <c r="P912" s="20">
        <f t="shared" si="2"/>
        <v>0</v>
      </c>
      <c r="Q912" s="21">
        <v>1.0</v>
      </c>
      <c r="R912" s="22">
        <f t="shared" si="3"/>
        <v>92.135875</v>
      </c>
      <c r="S912" s="23">
        <f t="shared" si="4"/>
        <v>3.25</v>
      </c>
      <c r="T912" s="24">
        <f t="shared" si="5"/>
        <v>31</v>
      </c>
      <c r="U912" s="26" t="str">
        <f t="shared" si="6"/>
        <v>0%</v>
      </c>
      <c r="V912" s="26">
        <f t="shared" si="7"/>
        <v>0.90625</v>
      </c>
      <c r="W912" s="19">
        <f t="shared" si="8"/>
        <v>0.07692307692</v>
      </c>
      <c r="X912" s="20">
        <f t="shared" si="9"/>
        <v>130</v>
      </c>
      <c r="Y912" s="27"/>
      <c r="Z912" s="17"/>
      <c r="AA912" s="28"/>
      <c r="AB912" s="17"/>
      <c r="AC912" s="28"/>
      <c r="AD912" s="27"/>
    </row>
    <row r="913" ht="15.75" customHeight="1">
      <c r="A913" s="16" t="s">
        <v>2540</v>
      </c>
      <c r="B913" s="16" t="s">
        <v>2541</v>
      </c>
      <c r="C913" s="16" t="s">
        <v>2542</v>
      </c>
      <c r="D913" s="17" t="s">
        <v>212</v>
      </c>
      <c r="E913" s="18" t="s">
        <v>34</v>
      </c>
      <c r="F913" s="18">
        <v>1.0</v>
      </c>
      <c r="G913" s="19">
        <f t="shared" si="10"/>
        <v>1.305137657</v>
      </c>
      <c r="H913" s="17">
        <v>37.0</v>
      </c>
      <c r="I913" s="10">
        <v>120.0</v>
      </c>
      <c r="J913" s="17">
        <v>3.0</v>
      </c>
      <c r="K913" s="17">
        <v>125.0</v>
      </c>
      <c r="L913" s="17"/>
      <c r="M913" s="20">
        <v>24.0</v>
      </c>
      <c r="N913" s="20">
        <v>3.0</v>
      </c>
      <c r="O913" s="20">
        <v>11.0</v>
      </c>
      <c r="P913" s="20">
        <f t="shared" si="2"/>
        <v>10</v>
      </c>
      <c r="Q913" s="21">
        <v>2.0</v>
      </c>
      <c r="R913" s="22">
        <f t="shared" si="3"/>
        <v>91.94432432</v>
      </c>
      <c r="S913" s="23">
        <f t="shared" si="4"/>
        <v>3.243243243</v>
      </c>
      <c r="T913" s="24">
        <f t="shared" si="5"/>
        <v>12</v>
      </c>
      <c r="U913" s="26">
        <f t="shared" si="6"/>
        <v>0.2061068702</v>
      </c>
      <c r="V913" s="26">
        <f t="shared" si="7"/>
        <v>0.3358778626</v>
      </c>
      <c r="W913" s="19">
        <f t="shared" si="8"/>
        <v>1.041666667</v>
      </c>
      <c r="X913" s="20">
        <f t="shared" si="9"/>
        <v>120</v>
      </c>
      <c r="Y913" s="27"/>
      <c r="Z913" s="17"/>
      <c r="AA913" s="28"/>
      <c r="AB913" s="17"/>
      <c r="AC913" s="28"/>
      <c r="AD913" s="16"/>
    </row>
    <row r="914" ht="15.75" customHeight="1">
      <c r="A914" s="16" t="s">
        <v>1984</v>
      </c>
      <c r="B914" s="16" t="s">
        <v>2543</v>
      </c>
      <c r="C914" s="16" t="s">
        <v>2544</v>
      </c>
      <c r="D914" s="17" t="s">
        <v>247</v>
      </c>
      <c r="E914" s="18" t="s">
        <v>34</v>
      </c>
      <c r="F914" s="18">
        <v>1.0</v>
      </c>
      <c r="G914" s="19">
        <f t="shared" si="10"/>
        <v>1.305137657</v>
      </c>
      <c r="H914" s="17">
        <v>37.0</v>
      </c>
      <c r="I914" s="10">
        <v>120.0</v>
      </c>
      <c r="J914" s="17">
        <v>8.0</v>
      </c>
      <c r="K914" s="17">
        <v>630.0</v>
      </c>
      <c r="L914" s="17"/>
      <c r="M914" s="20">
        <v>3.0</v>
      </c>
      <c r="N914" s="20">
        <v>2.0</v>
      </c>
      <c r="O914" s="20">
        <v>1.0</v>
      </c>
      <c r="P914" s="20">
        <f t="shared" si="2"/>
        <v>0</v>
      </c>
      <c r="Q914" s="21">
        <v>10.0</v>
      </c>
      <c r="R914" s="22">
        <f t="shared" si="3"/>
        <v>91.94432432</v>
      </c>
      <c r="S914" s="23">
        <f t="shared" si="4"/>
        <v>3.243243243</v>
      </c>
      <c r="T914" s="24">
        <f t="shared" si="5"/>
        <v>0.3</v>
      </c>
      <c r="U914" s="26">
        <f t="shared" si="6"/>
        <v>0.5806451613</v>
      </c>
      <c r="V914" s="26">
        <f t="shared" si="7"/>
        <v>0.03225806452</v>
      </c>
      <c r="W914" s="19">
        <f t="shared" si="8"/>
        <v>5.25</v>
      </c>
      <c r="X914" s="20">
        <f t="shared" si="9"/>
        <v>120</v>
      </c>
      <c r="Y914" s="27"/>
      <c r="Z914" s="17"/>
      <c r="AA914" s="28"/>
      <c r="AB914" s="17"/>
      <c r="AC914" s="28"/>
      <c r="AD914" s="27"/>
    </row>
    <row r="915" ht="15.75" customHeight="1">
      <c r="A915" s="16" t="s">
        <v>1638</v>
      </c>
      <c r="B915" s="16" t="s">
        <v>2545</v>
      </c>
      <c r="C915" s="16" t="s">
        <v>2546</v>
      </c>
      <c r="D915" s="17" t="s">
        <v>247</v>
      </c>
      <c r="E915" s="18" t="s">
        <v>34</v>
      </c>
      <c r="F915" s="18">
        <v>1.0</v>
      </c>
      <c r="G915" s="19">
        <f t="shared" si="10"/>
        <v>1.093493712</v>
      </c>
      <c r="H915" s="17">
        <v>31.0</v>
      </c>
      <c r="I915" s="10">
        <v>100.0</v>
      </c>
      <c r="J915" s="17">
        <v>3.5</v>
      </c>
      <c r="K915" s="17">
        <v>200.0</v>
      </c>
      <c r="L915" s="17"/>
      <c r="M915" s="20">
        <v>10.0</v>
      </c>
      <c r="N915" s="20">
        <v>1.0</v>
      </c>
      <c r="O915" s="20">
        <v>7.0</v>
      </c>
      <c r="P915" s="20">
        <f t="shared" si="2"/>
        <v>2</v>
      </c>
      <c r="Q915" s="21">
        <v>7.0</v>
      </c>
      <c r="R915" s="22">
        <f t="shared" si="3"/>
        <v>91.45</v>
      </c>
      <c r="S915" s="23">
        <f t="shared" si="4"/>
        <v>3.225806452</v>
      </c>
      <c r="T915" s="24">
        <f t="shared" si="5"/>
        <v>1.428571429</v>
      </c>
      <c r="U915" s="26">
        <f t="shared" si="6"/>
        <v>0.3165829146</v>
      </c>
      <c r="V915" s="26">
        <f t="shared" si="7"/>
        <v>0.2814070352</v>
      </c>
      <c r="W915" s="19">
        <f t="shared" si="8"/>
        <v>2</v>
      </c>
      <c r="X915" s="20">
        <f t="shared" si="9"/>
        <v>100</v>
      </c>
      <c r="Y915" s="27"/>
      <c r="Z915" s="17"/>
      <c r="AA915" s="28"/>
      <c r="AB915" s="17"/>
      <c r="AC915" s="28"/>
      <c r="AD915" s="16"/>
    </row>
    <row r="916" ht="15.75" customHeight="1">
      <c r="A916" s="16" t="s">
        <v>2147</v>
      </c>
      <c r="B916" s="16" t="s">
        <v>2547</v>
      </c>
      <c r="C916" s="16" t="s">
        <v>2548</v>
      </c>
      <c r="D916" s="17" t="s">
        <v>563</v>
      </c>
      <c r="E916" s="18" t="s">
        <v>34</v>
      </c>
      <c r="F916" s="18">
        <v>1.0</v>
      </c>
      <c r="G916" s="19">
        <f t="shared" si="10"/>
        <v>2.081165453</v>
      </c>
      <c r="H916" s="17">
        <v>59.0</v>
      </c>
      <c r="I916" s="10">
        <v>190.0</v>
      </c>
      <c r="J916" s="17">
        <v>1.0</v>
      </c>
      <c r="K916" s="17">
        <v>210.0</v>
      </c>
      <c r="L916" s="17">
        <v>390.0</v>
      </c>
      <c r="M916" s="20">
        <v>46.0</v>
      </c>
      <c r="N916" s="20">
        <v>7.0</v>
      </c>
      <c r="O916" s="20">
        <v>18.0</v>
      </c>
      <c r="P916" s="20">
        <f t="shared" si="2"/>
        <v>21</v>
      </c>
      <c r="Q916" s="21">
        <v>5.0</v>
      </c>
      <c r="R916" s="22">
        <f t="shared" si="3"/>
        <v>91.295</v>
      </c>
      <c r="S916" s="23">
        <f t="shared" si="4"/>
        <v>3.220338983</v>
      </c>
      <c r="T916" s="24">
        <f t="shared" si="5"/>
        <v>9.2</v>
      </c>
      <c r="U916" s="26">
        <f t="shared" si="6"/>
        <v>0.04225352113</v>
      </c>
      <c r="V916" s="26">
        <f t="shared" si="7"/>
        <v>0.338028169</v>
      </c>
      <c r="W916" s="19">
        <f t="shared" si="8"/>
        <v>1.105263158</v>
      </c>
      <c r="X916" s="20">
        <f t="shared" si="9"/>
        <v>190</v>
      </c>
      <c r="Y916" s="27"/>
      <c r="Z916" s="17"/>
      <c r="AA916" s="28"/>
      <c r="AB916" s="17"/>
      <c r="AC916" s="28"/>
      <c r="AD916" s="16"/>
    </row>
    <row r="917" ht="15.75" customHeight="1">
      <c r="A917" s="16" t="s">
        <v>2349</v>
      </c>
      <c r="B917" s="16" t="s">
        <v>2549</v>
      </c>
      <c r="C917" s="16" t="s">
        <v>2550</v>
      </c>
      <c r="D917" s="17" t="s">
        <v>81</v>
      </c>
      <c r="E917" s="18" t="s">
        <v>34</v>
      </c>
      <c r="F917" s="18">
        <v>1.0</v>
      </c>
      <c r="G917" s="19">
        <f t="shared" si="10"/>
        <v>0.4938358701</v>
      </c>
      <c r="H917" s="17">
        <v>14.0</v>
      </c>
      <c r="I917" s="10">
        <v>45.0</v>
      </c>
      <c r="J917" s="17">
        <v>0.0</v>
      </c>
      <c r="K917" s="17">
        <v>0.0</v>
      </c>
      <c r="L917" s="17">
        <v>130.0</v>
      </c>
      <c r="M917" s="20">
        <v>11.0</v>
      </c>
      <c r="N917" s="20">
        <v>1.0</v>
      </c>
      <c r="O917" s="20">
        <v>7.0</v>
      </c>
      <c r="P917" s="20">
        <f t="shared" si="2"/>
        <v>3</v>
      </c>
      <c r="Q917" s="21">
        <v>0.0</v>
      </c>
      <c r="R917" s="22">
        <f t="shared" si="3"/>
        <v>91.12339286</v>
      </c>
      <c r="S917" s="23">
        <f t="shared" si="4"/>
        <v>3.214285714</v>
      </c>
      <c r="T917" s="24" t="str">
        <f t="shared" si="5"/>
        <v>N/A</v>
      </c>
      <c r="U917" s="26" t="str">
        <f t="shared" si="6"/>
        <v>0%</v>
      </c>
      <c r="V917" s="26">
        <f t="shared" si="7"/>
        <v>0.6363636364</v>
      </c>
      <c r="W917" s="19">
        <f t="shared" si="8"/>
        <v>0</v>
      </c>
      <c r="X917" s="20">
        <f t="shared" si="9"/>
        <v>45</v>
      </c>
      <c r="Y917" s="16"/>
      <c r="Z917" s="17"/>
      <c r="AA917" s="28"/>
      <c r="AB917" s="17"/>
      <c r="AC917" s="28"/>
      <c r="AD917" s="16"/>
    </row>
    <row r="918" ht="15.75" customHeight="1">
      <c r="A918" s="27" t="s">
        <v>1293</v>
      </c>
      <c r="B918" s="27" t="s">
        <v>2551</v>
      </c>
      <c r="C918" s="16" t="s">
        <v>2552</v>
      </c>
      <c r="D918" s="17" t="s">
        <v>1648</v>
      </c>
      <c r="E918" s="18" t="s">
        <v>34</v>
      </c>
      <c r="F918" s="18">
        <v>1.0</v>
      </c>
      <c r="G918" s="19">
        <f t="shared" si="10"/>
        <v>0.9876717402</v>
      </c>
      <c r="H918" s="17">
        <v>28.0</v>
      </c>
      <c r="I918" s="10">
        <v>90.0</v>
      </c>
      <c r="J918" s="17">
        <v>1.0</v>
      </c>
      <c r="K918" s="17">
        <v>430.0</v>
      </c>
      <c r="L918" s="17"/>
      <c r="M918" s="20">
        <v>8.0</v>
      </c>
      <c r="N918" s="20">
        <v>0.0</v>
      </c>
      <c r="O918" s="20">
        <v>8.0</v>
      </c>
      <c r="P918" s="20">
        <f t="shared" si="2"/>
        <v>0</v>
      </c>
      <c r="Q918" s="21">
        <v>11.0</v>
      </c>
      <c r="R918" s="22">
        <f t="shared" si="3"/>
        <v>91.12339286</v>
      </c>
      <c r="S918" s="23">
        <f t="shared" si="4"/>
        <v>3.214285714</v>
      </c>
      <c r="T918" s="24">
        <f t="shared" si="5"/>
        <v>0.7272727273</v>
      </c>
      <c r="U918" s="26">
        <f t="shared" si="6"/>
        <v>0.1058823529</v>
      </c>
      <c r="V918" s="26">
        <f t="shared" si="7"/>
        <v>0.3764705882</v>
      </c>
      <c r="W918" s="19">
        <f t="shared" si="8"/>
        <v>4.777777778</v>
      </c>
      <c r="X918" s="20">
        <f t="shared" si="9"/>
        <v>90</v>
      </c>
      <c r="Y918" s="27"/>
      <c r="Z918" s="17"/>
      <c r="AA918" s="28"/>
      <c r="AB918" s="17"/>
      <c r="AC918" s="28"/>
      <c r="AD918" s="27"/>
    </row>
    <row r="919" ht="15.75" customHeight="1">
      <c r="A919" s="27" t="s">
        <v>2041</v>
      </c>
      <c r="B919" s="27" t="s">
        <v>2553</v>
      </c>
      <c r="C919" s="16" t="s">
        <v>2554</v>
      </c>
      <c r="D919" s="17" t="s">
        <v>247</v>
      </c>
      <c r="E919" s="18" t="s">
        <v>34</v>
      </c>
      <c r="F919" s="18">
        <v>1.0</v>
      </c>
      <c r="G919" s="19">
        <f t="shared" si="10"/>
        <v>0.9876717402</v>
      </c>
      <c r="H919" s="17">
        <v>28.0</v>
      </c>
      <c r="I919" s="10">
        <v>90.0</v>
      </c>
      <c r="J919" s="17">
        <v>6.0</v>
      </c>
      <c r="K919" s="17">
        <v>470.0</v>
      </c>
      <c r="L919" s="17"/>
      <c r="M919" s="20">
        <v>2.0</v>
      </c>
      <c r="N919" s="20">
        <v>0.0</v>
      </c>
      <c r="O919" s="20">
        <v>0.0</v>
      </c>
      <c r="P919" s="20">
        <f t="shared" si="2"/>
        <v>2</v>
      </c>
      <c r="Q919" s="21">
        <v>7.0</v>
      </c>
      <c r="R919" s="22">
        <f t="shared" si="3"/>
        <v>91.12339286</v>
      </c>
      <c r="S919" s="23">
        <f t="shared" si="4"/>
        <v>3.214285714</v>
      </c>
      <c r="T919" s="24">
        <f t="shared" si="5"/>
        <v>0.2857142857</v>
      </c>
      <c r="U919" s="26">
        <f t="shared" si="6"/>
        <v>0.6</v>
      </c>
      <c r="V919" s="26" t="str">
        <f t="shared" si="7"/>
        <v>0%</v>
      </c>
      <c r="W919" s="19">
        <f t="shared" si="8"/>
        <v>5.222222222</v>
      </c>
      <c r="X919" s="20">
        <f t="shared" si="9"/>
        <v>90</v>
      </c>
      <c r="Y919" s="27"/>
      <c r="Z919" s="17"/>
      <c r="AA919" s="28"/>
      <c r="AB919" s="17"/>
      <c r="AC919" s="28"/>
      <c r="AD919" s="27"/>
    </row>
    <row r="920" ht="15.75" customHeight="1">
      <c r="A920" s="27" t="s">
        <v>2555</v>
      </c>
      <c r="B920" s="27" t="s">
        <v>2556</v>
      </c>
      <c r="C920" s="16" t="s">
        <v>2557</v>
      </c>
      <c r="D920" s="17" t="s">
        <v>247</v>
      </c>
      <c r="E920" s="18" t="s">
        <v>34</v>
      </c>
      <c r="F920" s="18">
        <v>1.0</v>
      </c>
      <c r="G920" s="19">
        <f t="shared" si="10"/>
        <v>1.97534348</v>
      </c>
      <c r="H920" s="17">
        <v>56.0</v>
      </c>
      <c r="I920" s="10">
        <v>180.0</v>
      </c>
      <c r="J920" s="17">
        <v>15.0</v>
      </c>
      <c r="K920" s="17">
        <v>710.0</v>
      </c>
      <c r="L920" s="17"/>
      <c r="M920" s="20">
        <v>0.0</v>
      </c>
      <c r="N920" s="20">
        <v>0.0</v>
      </c>
      <c r="O920" s="20">
        <v>0.0</v>
      </c>
      <c r="P920" s="20">
        <f t="shared" si="2"/>
        <v>0</v>
      </c>
      <c r="Q920" s="21">
        <v>10.0</v>
      </c>
      <c r="R920" s="22">
        <f t="shared" si="3"/>
        <v>91.12339286</v>
      </c>
      <c r="S920" s="23">
        <f t="shared" si="4"/>
        <v>3.214285714</v>
      </c>
      <c r="T920" s="24">
        <f t="shared" si="5"/>
        <v>0</v>
      </c>
      <c r="U920" s="26">
        <f t="shared" si="6"/>
        <v>0.7714285714</v>
      </c>
      <c r="V920" s="26" t="str">
        <f t="shared" si="7"/>
        <v>0%</v>
      </c>
      <c r="W920" s="19">
        <f t="shared" si="8"/>
        <v>3.944444444</v>
      </c>
      <c r="X920" s="20">
        <f t="shared" si="9"/>
        <v>180</v>
      </c>
      <c r="Y920" s="27"/>
      <c r="Z920" s="17"/>
      <c r="AA920" s="28"/>
      <c r="AB920" s="17"/>
      <c r="AC920" s="28"/>
      <c r="AD920" s="27"/>
    </row>
    <row r="921" ht="15.75" customHeight="1">
      <c r="A921" s="27" t="s">
        <v>1697</v>
      </c>
      <c r="B921" s="27" t="s">
        <v>2558</v>
      </c>
      <c r="C921" s="16" t="s">
        <v>2559</v>
      </c>
      <c r="D921" s="17" t="s">
        <v>1648</v>
      </c>
      <c r="E921" s="18" t="s">
        <v>34</v>
      </c>
      <c r="F921" s="18">
        <v>1.0</v>
      </c>
      <c r="G921" s="19">
        <f t="shared" si="10"/>
        <v>0.9982539375</v>
      </c>
      <c r="H921" s="17">
        <v>28.3</v>
      </c>
      <c r="I921" s="10">
        <v>90.0</v>
      </c>
      <c r="J921" s="17">
        <v>5.0</v>
      </c>
      <c r="K921" s="17">
        <v>640.0</v>
      </c>
      <c r="L921" s="17"/>
      <c r="M921" s="20">
        <v>7.0</v>
      </c>
      <c r="N921" s="20">
        <v>0.0</v>
      </c>
      <c r="O921" s="20">
        <v>6.0</v>
      </c>
      <c r="P921" s="20">
        <f t="shared" si="2"/>
        <v>1</v>
      </c>
      <c r="Q921" s="21">
        <v>5.0</v>
      </c>
      <c r="R921" s="22">
        <f t="shared" si="3"/>
        <v>90.15742049</v>
      </c>
      <c r="S921" s="23">
        <f t="shared" si="4"/>
        <v>3.180212014</v>
      </c>
      <c r="T921" s="24">
        <f t="shared" si="5"/>
        <v>1.4</v>
      </c>
      <c r="U921" s="26">
        <f t="shared" si="6"/>
        <v>0.4838709677</v>
      </c>
      <c r="V921" s="26">
        <f t="shared" si="7"/>
        <v>0.2580645161</v>
      </c>
      <c r="W921" s="19">
        <f t="shared" si="8"/>
        <v>7.111111111</v>
      </c>
      <c r="X921" s="20">
        <f t="shared" si="9"/>
        <v>90</v>
      </c>
      <c r="Y921" s="27"/>
      <c r="Z921" s="17"/>
      <c r="AA921" s="28"/>
      <c r="AB921" s="17"/>
      <c r="AC921" s="28"/>
      <c r="AD921" s="27"/>
    </row>
    <row r="922" ht="15.75" customHeight="1">
      <c r="A922" s="16" t="s">
        <v>1703</v>
      </c>
      <c r="B922" s="16" t="s">
        <v>2560</v>
      </c>
      <c r="C922" s="16" t="s">
        <v>2561</v>
      </c>
      <c r="D922" s="17" t="s">
        <v>1648</v>
      </c>
      <c r="E922" s="18" t="s">
        <v>34</v>
      </c>
      <c r="F922" s="18">
        <v>1.0</v>
      </c>
      <c r="G922" s="19">
        <f t="shared" si="10"/>
        <v>1.499144606</v>
      </c>
      <c r="H922" s="17">
        <v>42.5</v>
      </c>
      <c r="I922" s="10">
        <v>135.0</v>
      </c>
      <c r="J922" s="17">
        <v>7.5</v>
      </c>
      <c r="K922" s="17">
        <v>960.0</v>
      </c>
      <c r="L922" s="17"/>
      <c r="M922" s="20">
        <v>10.5</v>
      </c>
      <c r="N922" s="20">
        <v>0.0</v>
      </c>
      <c r="O922" s="20">
        <v>9.0</v>
      </c>
      <c r="P922" s="20">
        <f t="shared" si="2"/>
        <v>1.5</v>
      </c>
      <c r="Q922" s="21">
        <v>7.5</v>
      </c>
      <c r="R922" s="22">
        <f t="shared" si="3"/>
        <v>90.05135294</v>
      </c>
      <c r="S922" s="23">
        <f t="shared" si="4"/>
        <v>3.176470588</v>
      </c>
      <c r="T922" s="24">
        <f t="shared" si="5"/>
        <v>1.4</v>
      </c>
      <c r="U922" s="26">
        <f t="shared" si="6"/>
        <v>0.4838709677</v>
      </c>
      <c r="V922" s="26">
        <f t="shared" si="7"/>
        <v>0.2580645161</v>
      </c>
      <c r="W922" s="19">
        <f t="shared" si="8"/>
        <v>7.111111111</v>
      </c>
      <c r="X922" s="20">
        <f t="shared" si="9"/>
        <v>135</v>
      </c>
      <c r="Y922" s="27"/>
      <c r="Z922" s="17"/>
      <c r="AA922" s="28"/>
      <c r="AB922" s="17"/>
      <c r="AC922" s="28"/>
      <c r="AD922" s="27"/>
    </row>
    <row r="923" ht="15.75" customHeight="1">
      <c r="A923" s="16" t="s">
        <v>2562</v>
      </c>
      <c r="B923" s="16" t="s">
        <v>1318</v>
      </c>
      <c r="C923" s="16" t="s">
        <v>2563</v>
      </c>
      <c r="D923" s="17" t="s">
        <v>212</v>
      </c>
      <c r="E923" s="18" t="s">
        <v>34</v>
      </c>
      <c r="F923" s="18">
        <v>1.0</v>
      </c>
      <c r="G923" s="19">
        <f t="shared" si="10"/>
        <v>2.116439443</v>
      </c>
      <c r="H923" s="17">
        <v>60.0</v>
      </c>
      <c r="I923" s="10">
        <v>190.0</v>
      </c>
      <c r="J923" s="17">
        <v>5.0</v>
      </c>
      <c r="K923" s="17">
        <v>220.0</v>
      </c>
      <c r="L923" s="17">
        <v>110.0</v>
      </c>
      <c r="M923" s="20">
        <v>25.0</v>
      </c>
      <c r="N923" s="20">
        <v>13.0</v>
      </c>
      <c r="O923" s="20">
        <v>2.0</v>
      </c>
      <c r="P923" s="20">
        <f t="shared" si="2"/>
        <v>10</v>
      </c>
      <c r="Q923" s="21">
        <v>20.0</v>
      </c>
      <c r="R923" s="22">
        <f t="shared" si="3"/>
        <v>89.77341667</v>
      </c>
      <c r="S923" s="23">
        <f t="shared" si="4"/>
        <v>3.166666667</v>
      </c>
      <c r="T923" s="24">
        <f t="shared" si="5"/>
        <v>1.25</v>
      </c>
      <c r="U923" s="26">
        <f t="shared" si="6"/>
        <v>0.2</v>
      </c>
      <c r="V923" s="26">
        <f t="shared" si="7"/>
        <v>0.03555555556</v>
      </c>
      <c r="W923" s="19">
        <f t="shared" si="8"/>
        <v>1.157894737</v>
      </c>
      <c r="X923" s="20">
        <f t="shared" si="9"/>
        <v>190</v>
      </c>
      <c r="Y923" s="27"/>
      <c r="Z923" s="17"/>
      <c r="AA923" s="28"/>
      <c r="AB923" s="17"/>
      <c r="AC923" s="28"/>
      <c r="AD923" s="16"/>
    </row>
    <row r="924" ht="15.75" customHeight="1">
      <c r="A924" s="16" t="s">
        <v>2564</v>
      </c>
      <c r="B924" s="16" t="s">
        <v>2161</v>
      </c>
      <c r="C924" s="16" t="s">
        <v>2565</v>
      </c>
      <c r="D924" s="17" t="s">
        <v>212</v>
      </c>
      <c r="E924" s="18" t="s">
        <v>34</v>
      </c>
      <c r="F924" s="18">
        <v>1.0</v>
      </c>
      <c r="G924" s="19">
        <f t="shared" si="10"/>
        <v>2.116439443</v>
      </c>
      <c r="H924" s="17">
        <v>60.0</v>
      </c>
      <c r="I924" s="10">
        <v>190.0</v>
      </c>
      <c r="J924" s="17">
        <v>6.0</v>
      </c>
      <c r="K924" s="17">
        <v>180.0</v>
      </c>
      <c r="L924" s="17"/>
      <c r="M924" s="20">
        <v>24.0</v>
      </c>
      <c r="N924" s="20">
        <v>20.0</v>
      </c>
      <c r="O924" s="20">
        <v>1.0</v>
      </c>
      <c r="P924" s="20">
        <f t="shared" si="2"/>
        <v>3</v>
      </c>
      <c r="Q924" s="21">
        <v>20.0</v>
      </c>
      <c r="R924" s="22">
        <f t="shared" si="3"/>
        <v>89.77341667</v>
      </c>
      <c r="S924" s="23">
        <f t="shared" si="4"/>
        <v>3.166666667</v>
      </c>
      <c r="T924" s="24">
        <f t="shared" si="5"/>
        <v>1.2</v>
      </c>
      <c r="U924" s="26">
        <f t="shared" si="6"/>
        <v>0.2347826087</v>
      </c>
      <c r="V924" s="26">
        <f t="shared" si="7"/>
        <v>0.01739130435</v>
      </c>
      <c r="W924" s="19">
        <f t="shared" si="8"/>
        <v>0.9473684211</v>
      </c>
      <c r="X924" s="20">
        <f t="shared" si="9"/>
        <v>190</v>
      </c>
      <c r="Y924" s="27"/>
      <c r="Z924" s="17"/>
      <c r="AA924" s="28"/>
      <c r="AB924" s="17"/>
      <c r="AC924" s="28"/>
      <c r="AD924" s="27"/>
    </row>
    <row r="925" ht="15.75" customHeight="1">
      <c r="A925" s="27" t="s">
        <v>2290</v>
      </c>
      <c r="B925" s="27" t="s">
        <v>2566</v>
      </c>
      <c r="C925" s="16" t="s">
        <v>2567</v>
      </c>
      <c r="D925" s="17" t="s">
        <v>212</v>
      </c>
      <c r="E925" s="18" t="s">
        <v>34</v>
      </c>
      <c r="F925" s="18">
        <v>1.0</v>
      </c>
      <c r="G925" s="19">
        <f t="shared" si="10"/>
        <v>2.116439443</v>
      </c>
      <c r="H925" s="17">
        <v>60.0</v>
      </c>
      <c r="I925" s="10">
        <v>190.0</v>
      </c>
      <c r="J925" s="17">
        <v>9.0</v>
      </c>
      <c r="K925" s="17">
        <v>210.0</v>
      </c>
      <c r="L925" s="17">
        <v>115.0</v>
      </c>
      <c r="M925" s="20">
        <v>20.0</v>
      </c>
      <c r="N925" s="20">
        <v>14.0</v>
      </c>
      <c r="O925" s="20">
        <v>1.0</v>
      </c>
      <c r="P925" s="20">
        <f t="shared" si="2"/>
        <v>5</v>
      </c>
      <c r="Q925" s="21">
        <v>21.0</v>
      </c>
      <c r="R925" s="22">
        <f t="shared" si="3"/>
        <v>89.77341667</v>
      </c>
      <c r="S925" s="23">
        <f t="shared" si="4"/>
        <v>3.166666667</v>
      </c>
      <c r="T925" s="24">
        <f t="shared" si="5"/>
        <v>0.9523809524</v>
      </c>
      <c r="U925" s="26">
        <f t="shared" si="6"/>
        <v>0.3306122449</v>
      </c>
      <c r="V925" s="26">
        <f t="shared" si="7"/>
        <v>0.01632653061</v>
      </c>
      <c r="W925" s="19">
        <f t="shared" si="8"/>
        <v>1.105263158</v>
      </c>
      <c r="X925" s="20">
        <f t="shared" si="9"/>
        <v>190</v>
      </c>
      <c r="Y925" s="27"/>
      <c r="Z925" s="17"/>
      <c r="AA925" s="28"/>
      <c r="AB925" s="17"/>
      <c r="AC925" s="28"/>
      <c r="AD925" s="27"/>
    </row>
    <row r="926" ht="15.75" customHeight="1">
      <c r="A926" s="16" t="s">
        <v>2568</v>
      </c>
      <c r="B926" s="16" t="s">
        <v>2569</v>
      </c>
      <c r="C926" s="16" t="s">
        <v>2570</v>
      </c>
      <c r="D926" s="17" t="s">
        <v>119</v>
      </c>
      <c r="E926" s="18" t="s">
        <v>34</v>
      </c>
      <c r="F926" s="18">
        <v>1.0</v>
      </c>
      <c r="G926" s="19">
        <f t="shared" si="10"/>
        <v>3.456851091</v>
      </c>
      <c r="H926" s="17">
        <v>98.0</v>
      </c>
      <c r="I926" s="10">
        <v>310.0</v>
      </c>
      <c r="J926" s="17">
        <v>11.0</v>
      </c>
      <c r="K926" s="17">
        <v>860.0</v>
      </c>
      <c r="L926" s="17"/>
      <c r="M926" s="20">
        <v>40.0</v>
      </c>
      <c r="N926" s="20">
        <v>1.0</v>
      </c>
      <c r="O926" s="20">
        <v>3.0</v>
      </c>
      <c r="P926" s="20">
        <f t="shared" si="2"/>
        <v>36</v>
      </c>
      <c r="Q926" s="21">
        <v>14.0</v>
      </c>
      <c r="R926" s="22">
        <f t="shared" si="3"/>
        <v>89.6769898</v>
      </c>
      <c r="S926" s="23">
        <f t="shared" si="4"/>
        <v>3.163265306</v>
      </c>
      <c r="T926" s="24">
        <f t="shared" si="5"/>
        <v>2.857142857</v>
      </c>
      <c r="U926" s="26">
        <f t="shared" si="6"/>
        <v>0.3142857143</v>
      </c>
      <c r="V926" s="26">
        <f t="shared" si="7"/>
        <v>0.0380952381</v>
      </c>
      <c r="W926" s="19">
        <f t="shared" si="8"/>
        <v>2.774193548</v>
      </c>
      <c r="X926" s="20">
        <f t="shared" si="9"/>
        <v>310</v>
      </c>
      <c r="Y926" s="27"/>
      <c r="Z926" s="17"/>
      <c r="AA926" s="28"/>
      <c r="AB926" s="17"/>
      <c r="AC926" s="28"/>
      <c r="AD926" s="27"/>
    </row>
    <row r="927" ht="15.75" customHeight="1">
      <c r="A927" s="27" t="s">
        <v>2571</v>
      </c>
      <c r="B927" s="27" t="s">
        <v>2572</v>
      </c>
      <c r="C927" s="16" t="s">
        <v>2573</v>
      </c>
      <c r="D927" s="17" t="s">
        <v>1648</v>
      </c>
      <c r="E927" s="18" t="s">
        <v>34</v>
      </c>
      <c r="F927" s="18">
        <v>1.0</v>
      </c>
      <c r="G927" s="19">
        <f t="shared" si="10"/>
        <v>0.9982539375</v>
      </c>
      <c r="H927" s="17">
        <v>28.3</v>
      </c>
      <c r="I927" s="10">
        <v>89.0</v>
      </c>
      <c r="J927" s="17">
        <v>1.5</v>
      </c>
      <c r="K927" s="17">
        <v>310.0</v>
      </c>
      <c r="L927" s="17"/>
      <c r="M927" s="20">
        <v>8.0</v>
      </c>
      <c r="N927" s="20">
        <v>0.0</v>
      </c>
      <c r="O927" s="20">
        <v>3.0</v>
      </c>
      <c r="P927" s="20">
        <f t="shared" si="2"/>
        <v>5</v>
      </c>
      <c r="Q927" s="21">
        <v>13.0</v>
      </c>
      <c r="R927" s="22">
        <f t="shared" si="3"/>
        <v>89.15567138</v>
      </c>
      <c r="S927" s="23">
        <f t="shared" si="4"/>
        <v>3.144876325</v>
      </c>
      <c r="T927" s="24">
        <f t="shared" si="5"/>
        <v>0.6153846154</v>
      </c>
      <c r="U927" s="26">
        <f t="shared" si="6"/>
        <v>0.1384615385</v>
      </c>
      <c r="V927" s="26">
        <f t="shared" si="7"/>
        <v>0.1230769231</v>
      </c>
      <c r="W927" s="19">
        <f t="shared" si="8"/>
        <v>3.483146067</v>
      </c>
      <c r="X927" s="20">
        <f t="shared" si="9"/>
        <v>89</v>
      </c>
      <c r="Y927" s="16"/>
      <c r="Z927" s="17"/>
      <c r="AA927" s="28"/>
      <c r="AB927" s="17"/>
      <c r="AC927" s="28"/>
      <c r="AD927" s="16"/>
    </row>
    <row r="928" ht="15.75" customHeight="1">
      <c r="A928" s="16" t="s">
        <v>2217</v>
      </c>
      <c r="B928" s="16" t="s">
        <v>2574</v>
      </c>
      <c r="C928" s="16" t="s">
        <v>2575</v>
      </c>
      <c r="D928" s="17" t="s">
        <v>212</v>
      </c>
      <c r="E928" s="18" t="s">
        <v>34</v>
      </c>
      <c r="F928" s="18">
        <v>1.0</v>
      </c>
      <c r="G928" s="19">
        <f t="shared" si="10"/>
        <v>1.234589675</v>
      </c>
      <c r="H928" s="17">
        <v>35.0</v>
      </c>
      <c r="I928" s="10">
        <v>110.0</v>
      </c>
      <c r="J928" s="17">
        <v>0.0</v>
      </c>
      <c r="K928" s="17">
        <v>45.0</v>
      </c>
      <c r="L928" s="17">
        <v>85.0</v>
      </c>
      <c r="M928" s="20">
        <v>27.0</v>
      </c>
      <c r="N928" s="20">
        <v>2.5</v>
      </c>
      <c r="O928" s="20">
        <v>18.0</v>
      </c>
      <c r="P928" s="20">
        <f t="shared" si="2"/>
        <v>6.5</v>
      </c>
      <c r="Q928" s="21">
        <v>1.0</v>
      </c>
      <c r="R928" s="22">
        <f t="shared" si="3"/>
        <v>89.09842857</v>
      </c>
      <c r="S928" s="23">
        <f t="shared" si="4"/>
        <v>3.142857143</v>
      </c>
      <c r="T928" s="24">
        <f t="shared" si="5"/>
        <v>27</v>
      </c>
      <c r="U928" s="26" t="str">
        <f t="shared" si="6"/>
        <v>0%</v>
      </c>
      <c r="V928" s="26">
        <f t="shared" si="7"/>
        <v>0.6428571429</v>
      </c>
      <c r="W928" s="19">
        <f t="shared" si="8"/>
        <v>0.4090909091</v>
      </c>
      <c r="X928" s="20">
        <f t="shared" si="9"/>
        <v>110</v>
      </c>
      <c r="Y928" s="27"/>
      <c r="Z928" s="17"/>
      <c r="AA928" s="17"/>
      <c r="AB928" s="17"/>
      <c r="AC928" s="17"/>
      <c r="AD928" s="27"/>
    </row>
    <row r="929" ht="15.75" customHeight="1">
      <c r="A929" s="16" t="s">
        <v>2217</v>
      </c>
      <c r="B929" s="16" t="s">
        <v>2576</v>
      </c>
      <c r="C929" s="16" t="s">
        <v>2577</v>
      </c>
      <c r="D929" s="17" t="s">
        <v>212</v>
      </c>
      <c r="E929" s="18" t="s">
        <v>34</v>
      </c>
      <c r="F929" s="18">
        <v>1.0</v>
      </c>
      <c r="G929" s="19">
        <f t="shared" si="10"/>
        <v>1.234589675</v>
      </c>
      <c r="H929" s="17">
        <v>35.0</v>
      </c>
      <c r="I929" s="10">
        <v>110.0</v>
      </c>
      <c r="J929" s="17">
        <v>1.0</v>
      </c>
      <c r="K929" s="17">
        <v>55.0</v>
      </c>
      <c r="L929" s="17">
        <v>125.0</v>
      </c>
      <c r="M929" s="20">
        <v>26.0</v>
      </c>
      <c r="N929" s="20">
        <v>4.0</v>
      </c>
      <c r="O929" s="20">
        <v>11.0</v>
      </c>
      <c r="P929" s="20">
        <f t="shared" si="2"/>
        <v>11</v>
      </c>
      <c r="Q929" s="21">
        <v>1.0</v>
      </c>
      <c r="R929" s="22">
        <f t="shared" si="3"/>
        <v>89.09842857</v>
      </c>
      <c r="S929" s="23">
        <f t="shared" si="4"/>
        <v>3.142857143</v>
      </c>
      <c r="T929" s="24">
        <f t="shared" si="5"/>
        <v>26</v>
      </c>
      <c r="U929" s="26">
        <f t="shared" si="6"/>
        <v>0.07692307692</v>
      </c>
      <c r="V929" s="26">
        <f t="shared" si="7"/>
        <v>0.3760683761</v>
      </c>
      <c r="W929" s="19">
        <f t="shared" si="8"/>
        <v>0.5</v>
      </c>
      <c r="X929" s="20">
        <f t="shared" si="9"/>
        <v>110</v>
      </c>
      <c r="Y929" s="27"/>
      <c r="Z929" s="17"/>
      <c r="AA929" s="28"/>
      <c r="AB929" s="17"/>
      <c r="AC929" s="28"/>
      <c r="AD929" s="16"/>
    </row>
    <row r="930" ht="15.75" customHeight="1">
      <c r="A930" s="27" t="s">
        <v>2217</v>
      </c>
      <c r="B930" s="27" t="s">
        <v>2578</v>
      </c>
      <c r="C930" s="16" t="s">
        <v>2579</v>
      </c>
      <c r="D930" s="17" t="s">
        <v>212</v>
      </c>
      <c r="E930" s="18" t="s">
        <v>34</v>
      </c>
      <c r="F930" s="18">
        <v>1.0</v>
      </c>
      <c r="G930" s="19">
        <f t="shared" si="10"/>
        <v>1.234589675</v>
      </c>
      <c r="H930" s="17">
        <v>35.0</v>
      </c>
      <c r="I930" s="10">
        <v>110.0</v>
      </c>
      <c r="J930" s="17">
        <v>0.5</v>
      </c>
      <c r="K930" s="17">
        <v>0.0</v>
      </c>
      <c r="L930" s="17"/>
      <c r="M930" s="20">
        <v>25.0</v>
      </c>
      <c r="N930" s="20">
        <v>4.0</v>
      </c>
      <c r="O930" s="20">
        <v>19.0</v>
      </c>
      <c r="P930" s="20">
        <f t="shared" si="2"/>
        <v>2</v>
      </c>
      <c r="Q930" s="21">
        <v>1.0</v>
      </c>
      <c r="R930" s="22">
        <f t="shared" si="3"/>
        <v>89.09842857</v>
      </c>
      <c r="S930" s="23">
        <f t="shared" si="4"/>
        <v>3.142857143</v>
      </c>
      <c r="T930" s="24">
        <f t="shared" si="5"/>
        <v>25</v>
      </c>
      <c r="U930" s="26">
        <f t="shared" si="6"/>
        <v>0.04147465438</v>
      </c>
      <c r="V930" s="26">
        <f t="shared" si="7"/>
        <v>0.7004608295</v>
      </c>
      <c r="W930" s="19">
        <f t="shared" si="8"/>
        <v>0</v>
      </c>
      <c r="X930" s="20">
        <f t="shared" si="9"/>
        <v>110</v>
      </c>
      <c r="Y930" s="27"/>
      <c r="Z930" s="17"/>
      <c r="AA930" s="28"/>
      <c r="AB930" s="17"/>
      <c r="AC930" s="28"/>
      <c r="AD930" s="16"/>
    </row>
    <row r="931" ht="15.75" customHeight="1">
      <c r="A931" s="27" t="s">
        <v>2463</v>
      </c>
      <c r="B931" s="27" t="s">
        <v>2580</v>
      </c>
      <c r="C931" s="16" t="s">
        <v>2581</v>
      </c>
      <c r="D931" s="17" t="s">
        <v>247</v>
      </c>
      <c r="E931" s="18" t="s">
        <v>34</v>
      </c>
      <c r="F931" s="18">
        <v>1.0</v>
      </c>
      <c r="G931" s="19">
        <f t="shared" si="10"/>
        <v>1.234589675</v>
      </c>
      <c r="H931" s="17">
        <v>35.0</v>
      </c>
      <c r="I931" s="10">
        <v>110.0</v>
      </c>
      <c r="J931" s="17">
        <v>3.5</v>
      </c>
      <c r="K931" s="17">
        <v>240.0</v>
      </c>
      <c r="L931" s="17"/>
      <c r="M931" s="20">
        <v>12.0</v>
      </c>
      <c r="N931" s="20">
        <v>1.0</v>
      </c>
      <c r="O931" s="20">
        <v>9.0</v>
      </c>
      <c r="P931" s="20">
        <f t="shared" si="2"/>
        <v>2</v>
      </c>
      <c r="Q931" s="21">
        <v>8.0</v>
      </c>
      <c r="R931" s="22">
        <f t="shared" si="3"/>
        <v>89.09842857</v>
      </c>
      <c r="S931" s="23">
        <f t="shared" si="4"/>
        <v>3.142857143</v>
      </c>
      <c r="T931" s="24">
        <f t="shared" si="5"/>
        <v>1.5</v>
      </c>
      <c r="U931" s="26">
        <f t="shared" si="6"/>
        <v>0.2825112108</v>
      </c>
      <c r="V931" s="26">
        <f t="shared" si="7"/>
        <v>0.3228699552</v>
      </c>
      <c r="W931" s="19">
        <f t="shared" si="8"/>
        <v>2.181818182</v>
      </c>
      <c r="X931" s="20">
        <f t="shared" si="9"/>
        <v>110</v>
      </c>
      <c r="Y931" s="27"/>
      <c r="Z931" s="17"/>
      <c r="AA931" s="28"/>
      <c r="AB931" s="17"/>
      <c r="AC931" s="28"/>
      <c r="AD931" s="16"/>
    </row>
    <row r="932" ht="15.75" customHeight="1">
      <c r="A932" s="16" t="s">
        <v>2463</v>
      </c>
      <c r="B932" s="16" t="s">
        <v>2582</v>
      </c>
      <c r="C932" s="16" t="s">
        <v>2583</v>
      </c>
      <c r="D932" s="17" t="s">
        <v>247</v>
      </c>
      <c r="E932" s="18" t="s">
        <v>34</v>
      </c>
      <c r="F932" s="18">
        <v>1.0</v>
      </c>
      <c r="G932" s="19">
        <f t="shared" si="10"/>
        <v>1.234589675</v>
      </c>
      <c r="H932" s="17">
        <v>35.0</v>
      </c>
      <c r="I932" s="10">
        <v>110.0</v>
      </c>
      <c r="J932" s="17">
        <v>2.0</v>
      </c>
      <c r="K932" s="17">
        <v>250.0</v>
      </c>
      <c r="L932" s="17"/>
      <c r="M932" s="20">
        <v>13.0</v>
      </c>
      <c r="N932" s="20">
        <v>1.0</v>
      </c>
      <c r="O932" s="20">
        <v>9.0</v>
      </c>
      <c r="P932" s="20">
        <f t="shared" si="2"/>
        <v>3</v>
      </c>
      <c r="Q932" s="21">
        <v>9.0</v>
      </c>
      <c r="R932" s="22">
        <f t="shared" si="3"/>
        <v>89.09842857</v>
      </c>
      <c r="S932" s="23">
        <f t="shared" si="4"/>
        <v>3.142857143</v>
      </c>
      <c r="T932" s="24">
        <f t="shared" si="5"/>
        <v>1.444444444</v>
      </c>
      <c r="U932" s="26">
        <f t="shared" si="6"/>
        <v>0.1698113208</v>
      </c>
      <c r="V932" s="26">
        <f t="shared" si="7"/>
        <v>0.3396226415</v>
      </c>
      <c r="W932" s="19">
        <f t="shared" si="8"/>
        <v>2.272727273</v>
      </c>
      <c r="X932" s="20">
        <f t="shared" si="9"/>
        <v>110</v>
      </c>
      <c r="Y932" s="27"/>
      <c r="Z932" s="17"/>
      <c r="AA932" s="28"/>
      <c r="AB932" s="17"/>
      <c r="AC932" s="28"/>
      <c r="AD932" s="16"/>
    </row>
    <row r="933" ht="15.75" customHeight="1">
      <c r="A933" s="16" t="s">
        <v>2463</v>
      </c>
      <c r="B933" s="16" t="s">
        <v>2584</v>
      </c>
      <c r="C933" s="16" t="s">
        <v>2585</v>
      </c>
      <c r="D933" s="17" t="s">
        <v>247</v>
      </c>
      <c r="E933" s="18" t="s">
        <v>34</v>
      </c>
      <c r="F933" s="18">
        <v>1.0</v>
      </c>
      <c r="G933" s="19">
        <f t="shared" si="10"/>
        <v>1.234589675</v>
      </c>
      <c r="H933" s="17">
        <v>35.0</v>
      </c>
      <c r="I933" s="10">
        <v>110.0</v>
      </c>
      <c r="J933" s="17">
        <v>1.5</v>
      </c>
      <c r="K933" s="17">
        <v>290.0</v>
      </c>
      <c r="L933" s="17"/>
      <c r="M933" s="20">
        <v>13.0</v>
      </c>
      <c r="N933" s="20">
        <v>0.0</v>
      </c>
      <c r="O933" s="20">
        <v>6.0</v>
      </c>
      <c r="P933" s="20">
        <f t="shared" si="2"/>
        <v>7</v>
      </c>
      <c r="Q933" s="21">
        <v>10.0</v>
      </c>
      <c r="R933" s="22">
        <f t="shared" si="3"/>
        <v>89.09842857</v>
      </c>
      <c r="S933" s="23">
        <f t="shared" si="4"/>
        <v>3.142857143</v>
      </c>
      <c r="T933" s="24">
        <f t="shared" si="5"/>
        <v>1.3</v>
      </c>
      <c r="U933" s="26">
        <f t="shared" si="6"/>
        <v>0.1279620853</v>
      </c>
      <c r="V933" s="26">
        <f t="shared" si="7"/>
        <v>0.2274881517</v>
      </c>
      <c r="W933" s="19">
        <f t="shared" si="8"/>
        <v>2.636363636</v>
      </c>
      <c r="X933" s="20">
        <f t="shared" si="9"/>
        <v>110</v>
      </c>
      <c r="Y933" s="27"/>
      <c r="Z933" s="17"/>
      <c r="AA933" s="28"/>
      <c r="AB933" s="17"/>
      <c r="AC933" s="28"/>
      <c r="AD933" s="27"/>
    </row>
    <row r="934" ht="15.75" customHeight="1">
      <c r="A934" s="27" t="s">
        <v>2586</v>
      </c>
      <c r="B934" s="27" t="s">
        <v>425</v>
      </c>
      <c r="C934" s="16" t="s">
        <v>2587</v>
      </c>
      <c r="D934" s="17" t="s">
        <v>2489</v>
      </c>
      <c r="E934" s="18" t="s">
        <v>34</v>
      </c>
      <c r="F934" s="18">
        <v>1.0</v>
      </c>
      <c r="G934" s="19">
        <f t="shared" si="10"/>
        <v>1.128767703</v>
      </c>
      <c r="H934" s="17">
        <v>32.0</v>
      </c>
      <c r="I934" s="10">
        <v>100.0</v>
      </c>
      <c r="J934" s="17">
        <v>0.0</v>
      </c>
      <c r="K934" s="17">
        <v>125.0</v>
      </c>
      <c r="L934" s="17">
        <v>40.0</v>
      </c>
      <c r="M934" s="20">
        <v>22.0</v>
      </c>
      <c r="N934" s="20"/>
      <c r="O934" s="20">
        <v>7.0</v>
      </c>
      <c r="P934" s="20">
        <f t="shared" si="2"/>
        <v>15</v>
      </c>
      <c r="Q934" s="21">
        <v>0.0</v>
      </c>
      <c r="R934" s="22">
        <f t="shared" si="3"/>
        <v>88.5921875</v>
      </c>
      <c r="S934" s="23">
        <f t="shared" si="4"/>
        <v>3.125</v>
      </c>
      <c r="T934" s="24" t="str">
        <f t="shared" si="5"/>
        <v>N/A</v>
      </c>
      <c r="U934" s="26" t="str">
        <f t="shared" si="6"/>
        <v>0%</v>
      </c>
      <c r="V934" s="26">
        <f t="shared" si="7"/>
        <v>0.3181818182</v>
      </c>
      <c r="W934" s="19">
        <f t="shared" si="8"/>
        <v>1.25</v>
      </c>
      <c r="X934" s="20">
        <f t="shared" si="9"/>
        <v>100</v>
      </c>
      <c r="Y934" s="27"/>
      <c r="Z934" s="17"/>
      <c r="AA934" s="28"/>
      <c r="AB934" s="17"/>
      <c r="AC934" s="28"/>
      <c r="AD934" s="27"/>
    </row>
    <row r="935" ht="15.75" customHeight="1">
      <c r="A935" s="27" t="s">
        <v>2586</v>
      </c>
      <c r="B935" s="27" t="s">
        <v>2588</v>
      </c>
      <c r="C935" s="16" t="s">
        <v>2589</v>
      </c>
      <c r="D935" s="17" t="s">
        <v>2489</v>
      </c>
      <c r="E935" s="18" t="s">
        <v>34</v>
      </c>
      <c r="F935" s="18">
        <v>1.0</v>
      </c>
      <c r="G935" s="19">
        <f t="shared" si="10"/>
        <v>1.128767703</v>
      </c>
      <c r="H935" s="17">
        <v>32.0</v>
      </c>
      <c r="I935" s="10">
        <v>100.0</v>
      </c>
      <c r="J935" s="17">
        <v>0.0</v>
      </c>
      <c r="K935" s="17">
        <v>55.0</v>
      </c>
      <c r="L935" s="17">
        <v>35.0</v>
      </c>
      <c r="M935" s="20">
        <v>22.0</v>
      </c>
      <c r="N935" s="20"/>
      <c r="O935" s="20">
        <v>6.0</v>
      </c>
      <c r="P935" s="20">
        <f t="shared" si="2"/>
        <v>16</v>
      </c>
      <c r="Q935" s="21">
        <v>0.0</v>
      </c>
      <c r="R935" s="22">
        <f t="shared" si="3"/>
        <v>88.5921875</v>
      </c>
      <c r="S935" s="23">
        <f t="shared" si="4"/>
        <v>3.125</v>
      </c>
      <c r="T935" s="24" t="str">
        <f t="shared" si="5"/>
        <v>N/A</v>
      </c>
      <c r="U935" s="26" t="str">
        <f t="shared" si="6"/>
        <v>0%</v>
      </c>
      <c r="V935" s="26">
        <f t="shared" si="7"/>
        <v>0.2727272727</v>
      </c>
      <c r="W935" s="19">
        <f t="shared" si="8"/>
        <v>0.55</v>
      </c>
      <c r="X935" s="20">
        <f t="shared" si="9"/>
        <v>100</v>
      </c>
      <c r="Y935" s="27"/>
      <c r="Z935" s="17"/>
      <c r="AA935" s="28"/>
      <c r="AB935" s="17"/>
      <c r="AC935" s="28"/>
      <c r="AD935" s="27"/>
    </row>
    <row r="936" ht="15.75" customHeight="1">
      <c r="A936" s="27" t="s">
        <v>2590</v>
      </c>
      <c r="B936" s="27" t="s">
        <v>2591</v>
      </c>
      <c r="C936" s="16" t="s">
        <v>2592</v>
      </c>
      <c r="D936" s="17" t="s">
        <v>33</v>
      </c>
      <c r="E936" s="18" t="s">
        <v>34</v>
      </c>
      <c r="F936" s="18">
        <v>1.0</v>
      </c>
      <c r="G936" s="19">
        <f t="shared" si="10"/>
        <v>0.5643838516</v>
      </c>
      <c r="H936" s="17">
        <v>16.0</v>
      </c>
      <c r="I936" s="10">
        <v>50.0</v>
      </c>
      <c r="J936" s="17">
        <v>0.0</v>
      </c>
      <c r="K936" s="17">
        <v>440.0</v>
      </c>
      <c r="L936" s="17">
        <v>110.0</v>
      </c>
      <c r="M936" s="20">
        <v>4.0</v>
      </c>
      <c r="N936" s="20">
        <v>3.0</v>
      </c>
      <c r="O936" s="20">
        <v>0.0</v>
      </c>
      <c r="P936" s="20">
        <f t="shared" si="2"/>
        <v>1</v>
      </c>
      <c r="Q936" s="21">
        <v>10.0</v>
      </c>
      <c r="R936" s="22">
        <f t="shared" si="3"/>
        <v>88.5921875</v>
      </c>
      <c r="S936" s="23">
        <f t="shared" si="4"/>
        <v>3.125</v>
      </c>
      <c r="T936" s="24">
        <f t="shared" si="5"/>
        <v>0.4</v>
      </c>
      <c r="U936" s="26" t="str">
        <f t="shared" si="6"/>
        <v>0%</v>
      </c>
      <c r="V936" s="26" t="str">
        <f t="shared" si="7"/>
        <v>0%</v>
      </c>
      <c r="W936" s="19">
        <f t="shared" si="8"/>
        <v>8.8</v>
      </c>
      <c r="X936" s="20">
        <f t="shared" si="9"/>
        <v>50</v>
      </c>
      <c r="Y936" s="27"/>
      <c r="Z936" s="17"/>
      <c r="AA936" s="28"/>
      <c r="AB936" s="17"/>
      <c r="AC936" s="28"/>
      <c r="AD936" s="27"/>
    </row>
    <row r="937" ht="15.75" customHeight="1">
      <c r="A937" s="16" t="s">
        <v>2593</v>
      </c>
      <c r="B937" s="16" t="s">
        <v>2594</v>
      </c>
      <c r="C937" s="16" t="s">
        <v>2595</v>
      </c>
      <c r="D937" s="17" t="s">
        <v>2526</v>
      </c>
      <c r="E937" s="18" t="s">
        <v>34</v>
      </c>
      <c r="F937" s="18">
        <v>1.0</v>
      </c>
      <c r="G937" s="19">
        <f t="shared" si="10"/>
        <v>1.728425545</v>
      </c>
      <c r="H937" s="17">
        <v>49.0</v>
      </c>
      <c r="I937" s="10">
        <v>150.0</v>
      </c>
      <c r="J937" s="17">
        <v>4.5</v>
      </c>
      <c r="K937" s="17">
        <v>380.0</v>
      </c>
      <c r="L937" s="17"/>
      <c r="M937" s="20">
        <v>24.0</v>
      </c>
      <c r="N937" s="20">
        <v>1.0</v>
      </c>
      <c r="O937" s="20">
        <v>1.0</v>
      </c>
      <c r="P937" s="20">
        <f t="shared" si="2"/>
        <v>22</v>
      </c>
      <c r="Q937" s="21">
        <v>3.0</v>
      </c>
      <c r="R937" s="22">
        <f t="shared" si="3"/>
        <v>86.78418367</v>
      </c>
      <c r="S937" s="23">
        <f t="shared" si="4"/>
        <v>3.06122449</v>
      </c>
      <c r="T937" s="24">
        <f t="shared" si="5"/>
        <v>8</v>
      </c>
      <c r="U937" s="26">
        <f t="shared" si="6"/>
        <v>0.2727272727</v>
      </c>
      <c r="V937" s="26">
        <f t="shared" si="7"/>
        <v>0.02693602694</v>
      </c>
      <c r="W937" s="19">
        <f t="shared" si="8"/>
        <v>2.533333333</v>
      </c>
      <c r="X937" s="20">
        <f t="shared" si="9"/>
        <v>150</v>
      </c>
      <c r="Y937" s="27"/>
      <c r="Z937" s="17"/>
      <c r="AA937" s="28"/>
      <c r="AB937" s="17"/>
      <c r="AC937" s="28"/>
      <c r="AD937" s="27"/>
    </row>
    <row r="938" ht="15.75" customHeight="1">
      <c r="A938" s="16" t="s">
        <v>2596</v>
      </c>
      <c r="B938" s="16" t="s">
        <v>2597</v>
      </c>
      <c r="C938" s="16" t="s">
        <v>2598</v>
      </c>
      <c r="D938" s="17" t="s">
        <v>2526</v>
      </c>
      <c r="E938" s="18" t="s">
        <v>34</v>
      </c>
      <c r="F938" s="18">
        <v>1.0</v>
      </c>
      <c r="G938" s="19">
        <f t="shared" si="10"/>
        <v>3.597947054</v>
      </c>
      <c r="H938" s="17">
        <v>102.0</v>
      </c>
      <c r="I938" s="10">
        <v>310.0</v>
      </c>
      <c r="J938" s="17">
        <v>9.0</v>
      </c>
      <c r="K938" s="17">
        <v>980.0</v>
      </c>
      <c r="L938" s="17"/>
      <c r="M938" s="20">
        <v>51.0</v>
      </c>
      <c r="N938" s="20">
        <v>1.0</v>
      </c>
      <c r="O938" s="20">
        <v>0.0</v>
      </c>
      <c r="P938" s="20">
        <f t="shared" si="2"/>
        <v>50</v>
      </c>
      <c r="Q938" s="21">
        <v>7.0</v>
      </c>
      <c r="R938" s="22">
        <f t="shared" si="3"/>
        <v>86.1602451</v>
      </c>
      <c r="S938" s="23">
        <f t="shared" si="4"/>
        <v>3.039215686</v>
      </c>
      <c r="T938" s="24">
        <f t="shared" si="5"/>
        <v>7.285714286</v>
      </c>
      <c r="U938" s="26">
        <f t="shared" si="6"/>
        <v>0.2587859425</v>
      </c>
      <c r="V938" s="26" t="str">
        <f t="shared" si="7"/>
        <v>0%</v>
      </c>
      <c r="W938" s="19">
        <f t="shared" si="8"/>
        <v>3.161290323</v>
      </c>
      <c r="X938" s="20">
        <f t="shared" si="9"/>
        <v>310</v>
      </c>
      <c r="Y938" s="27"/>
      <c r="Z938" s="17"/>
      <c r="AA938" s="28"/>
      <c r="AB938" s="17"/>
      <c r="AC938" s="28"/>
      <c r="AD938" s="27"/>
    </row>
    <row r="939" ht="15.75" customHeight="1">
      <c r="A939" s="27" t="s">
        <v>2599</v>
      </c>
      <c r="B939" s="27" t="s">
        <v>2600</v>
      </c>
      <c r="C939" s="16" t="s">
        <v>2601</v>
      </c>
      <c r="D939" s="17" t="s">
        <v>81</v>
      </c>
      <c r="E939" s="18" t="s">
        <v>34</v>
      </c>
      <c r="F939" s="18">
        <v>1.0</v>
      </c>
      <c r="G939" s="19">
        <f t="shared" si="10"/>
        <v>1.410959629</v>
      </c>
      <c r="H939" s="17">
        <v>40.0</v>
      </c>
      <c r="I939" s="10">
        <v>120.0</v>
      </c>
      <c r="J939" s="17">
        <v>0.0</v>
      </c>
      <c r="K939" s="17">
        <v>140.0</v>
      </c>
      <c r="L939" s="17"/>
      <c r="M939" s="20">
        <v>30.0</v>
      </c>
      <c r="N939" s="20">
        <v>5.0</v>
      </c>
      <c r="O939" s="20">
        <v>25.0</v>
      </c>
      <c r="P939" s="20">
        <f t="shared" si="2"/>
        <v>0</v>
      </c>
      <c r="Q939" s="21">
        <v>0.0</v>
      </c>
      <c r="R939" s="22">
        <f t="shared" si="3"/>
        <v>85.0485</v>
      </c>
      <c r="S939" s="23">
        <f t="shared" si="4"/>
        <v>3</v>
      </c>
      <c r="T939" s="24" t="str">
        <f t="shared" si="5"/>
        <v>N/A</v>
      </c>
      <c r="U939" s="26" t="str">
        <f t="shared" si="6"/>
        <v>0%</v>
      </c>
      <c r="V939" s="26">
        <f t="shared" si="7"/>
        <v>0.8333333333</v>
      </c>
      <c r="W939" s="19">
        <f t="shared" si="8"/>
        <v>1.166666667</v>
      </c>
      <c r="X939" s="20">
        <f t="shared" si="9"/>
        <v>120</v>
      </c>
      <c r="Y939" s="27"/>
      <c r="Z939" s="17"/>
      <c r="AA939" s="28"/>
      <c r="AB939" s="17"/>
      <c r="AC939" s="28"/>
      <c r="AD939" s="16"/>
    </row>
    <row r="940" ht="15.75" customHeight="1">
      <c r="A940" s="16" t="s">
        <v>2602</v>
      </c>
      <c r="B940" s="16" t="s">
        <v>2603</v>
      </c>
      <c r="C940" s="16" t="s">
        <v>2604</v>
      </c>
      <c r="D940" s="17" t="s">
        <v>2489</v>
      </c>
      <c r="E940" s="18" t="s">
        <v>34</v>
      </c>
      <c r="F940" s="18">
        <v>1.0</v>
      </c>
      <c r="G940" s="19">
        <f t="shared" si="10"/>
        <v>1.058219722</v>
      </c>
      <c r="H940" s="17">
        <v>30.0</v>
      </c>
      <c r="I940" s="10">
        <v>90.0</v>
      </c>
      <c r="J940" s="17">
        <v>0.0</v>
      </c>
      <c r="K940" s="17">
        <v>60.0</v>
      </c>
      <c r="L940" s="17">
        <v>45.0</v>
      </c>
      <c r="M940" s="20">
        <v>24.0</v>
      </c>
      <c r="N940" s="20">
        <v>0.0</v>
      </c>
      <c r="O940" s="20">
        <v>12.0</v>
      </c>
      <c r="P940" s="20">
        <f t="shared" si="2"/>
        <v>12</v>
      </c>
      <c r="Q940" s="21">
        <v>0.0</v>
      </c>
      <c r="R940" s="22">
        <f t="shared" si="3"/>
        <v>85.0485</v>
      </c>
      <c r="S940" s="23">
        <f t="shared" si="4"/>
        <v>3</v>
      </c>
      <c r="T940" s="24" t="str">
        <f t="shared" si="5"/>
        <v>N/A</v>
      </c>
      <c r="U940" s="26" t="str">
        <f t="shared" si="6"/>
        <v>0%</v>
      </c>
      <c r="V940" s="26">
        <f t="shared" si="7"/>
        <v>0.5</v>
      </c>
      <c r="W940" s="19">
        <f t="shared" si="8"/>
        <v>0.6666666667</v>
      </c>
      <c r="X940" s="20">
        <f t="shared" si="9"/>
        <v>90</v>
      </c>
      <c r="Y940" s="27"/>
      <c r="Z940" s="17"/>
      <c r="AA940" s="28"/>
      <c r="AB940" s="17"/>
      <c r="AC940" s="28"/>
      <c r="AD940" s="27"/>
    </row>
    <row r="941" ht="15.75" customHeight="1">
      <c r="A941" s="16" t="s">
        <v>2593</v>
      </c>
      <c r="B941" s="16" t="s">
        <v>2605</v>
      </c>
      <c r="C941" s="16" t="s">
        <v>2606</v>
      </c>
      <c r="D941" s="17" t="s">
        <v>2526</v>
      </c>
      <c r="E941" s="18" t="s">
        <v>34</v>
      </c>
      <c r="F941" s="18">
        <v>1.0</v>
      </c>
      <c r="G941" s="19">
        <f t="shared" si="10"/>
        <v>2.469179351</v>
      </c>
      <c r="H941" s="17">
        <v>70.0</v>
      </c>
      <c r="I941" s="10">
        <v>210.0</v>
      </c>
      <c r="J941" s="17">
        <v>4.5</v>
      </c>
      <c r="K941" s="17">
        <v>490.0</v>
      </c>
      <c r="L941" s="17"/>
      <c r="M941" s="20">
        <v>35.0</v>
      </c>
      <c r="N941" s="20">
        <v>1.0</v>
      </c>
      <c r="O941" s="20">
        <v>0.0</v>
      </c>
      <c r="P941" s="20">
        <f t="shared" si="2"/>
        <v>34</v>
      </c>
      <c r="Q941" s="21">
        <v>5.0</v>
      </c>
      <c r="R941" s="22">
        <f t="shared" si="3"/>
        <v>85.0485</v>
      </c>
      <c r="S941" s="23">
        <f t="shared" si="4"/>
        <v>3</v>
      </c>
      <c r="T941" s="24">
        <f t="shared" si="5"/>
        <v>7</v>
      </c>
      <c r="U941" s="26">
        <f t="shared" si="6"/>
        <v>0.2019950125</v>
      </c>
      <c r="V941" s="26" t="str">
        <f t="shared" si="7"/>
        <v>0%</v>
      </c>
      <c r="W941" s="19">
        <f t="shared" si="8"/>
        <v>2.333333333</v>
      </c>
      <c r="X941" s="20">
        <f t="shared" si="9"/>
        <v>210</v>
      </c>
      <c r="Y941" s="27"/>
      <c r="Z941" s="17"/>
      <c r="AA941" s="28"/>
      <c r="AB941" s="17"/>
      <c r="AC941" s="28"/>
      <c r="AD941" s="16"/>
    </row>
    <row r="942" ht="15.75" customHeight="1">
      <c r="A942" s="27" t="s">
        <v>2593</v>
      </c>
      <c r="B942" s="27" t="s">
        <v>2607</v>
      </c>
      <c r="C942" s="16" t="s">
        <v>2608</v>
      </c>
      <c r="D942" s="17" t="s">
        <v>2526</v>
      </c>
      <c r="E942" s="18" t="s">
        <v>34</v>
      </c>
      <c r="F942" s="18">
        <v>1.0</v>
      </c>
      <c r="G942" s="19">
        <f t="shared" si="10"/>
        <v>2.469179351</v>
      </c>
      <c r="H942" s="17">
        <v>70.0</v>
      </c>
      <c r="I942" s="10">
        <v>210.0</v>
      </c>
      <c r="J942" s="17">
        <v>4.5</v>
      </c>
      <c r="K942" s="17">
        <v>500.0</v>
      </c>
      <c r="L942" s="17"/>
      <c r="M942" s="20">
        <v>35.0</v>
      </c>
      <c r="N942" s="20">
        <v>2.0</v>
      </c>
      <c r="O942" s="20">
        <v>2.0</v>
      </c>
      <c r="P942" s="20">
        <f t="shared" si="2"/>
        <v>31</v>
      </c>
      <c r="Q942" s="21">
        <v>6.0</v>
      </c>
      <c r="R942" s="22">
        <f t="shared" si="3"/>
        <v>85.0485</v>
      </c>
      <c r="S942" s="23">
        <f t="shared" si="4"/>
        <v>3</v>
      </c>
      <c r="T942" s="24">
        <f t="shared" si="5"/>
        <v>5.833333333</v>
      </c>
      <c r="U942" s="26">
        <f t="shared" si="6"/>
        <v>0.1980440098</v>
      </c>
      <c r="V942" s="26">
        <f t="shared" si="7"/>
        <v>0.0391198044</v>
      </c>
      <c r="W942" s="19">
        <f t="shared" si="8"/>
        <v>2.380952381</v>
      </c>
      <c r="X942" s="20">
        <f t="shared" si="9"/>
        <v>210</v>
      </c>
      <c r="Y942" s="27"/>
      <c r="Z942" s="17"/>
      <c r="AA942" s="28"/>
      <c r="AB942" s="17"/>
      <c r="AC942" s="28"/>
      <c r="AD942" s="27"/>
    </row>
    <row r="943" ht="15.75" customHeight="1">
      <c r="A943" s="27" t="s">
        <v>1984</v>
      </c>
      <c r="B943" s="27" t="s">
        <v>2609</v>
      </c>
      <c r="C943" s="16" t="s">
        <v>2610</v>
      </c>
      <c r="D943" s="17" t="s">
        <v>247</v>
      </c>
      <c r="E943" s="18" t="s">
        <v>34</v>
      </c>
      <c r="F943" s="18">
        <v>1.0</v>
      </c>
      <c r="G943" s="19">
        <f t="shared" si="10"/>
        <v>1.305137657</v>
      </c>
      <c r="H943" s="17">
        <v>37.0</v>
      </c>
      <c r="I943" s="10">
        <v>110.0</v>
      </c>
      <c r="J943" s="17">
        <v>6.0</v>
      </c>
      <c r="K943" s="17">
        <v>620.0</v>
      </c>
      <c r="L943" s="17"/>
      <c r="M943" s="20">
        <v>4.0</v>
      </c>
      <c r="N943" s="20">
        <v>3.0</v>
      </c>
      <c r="O943" s="20">
        <v>0.0</v>
      </c>
      <c r="P943" s="20">
        <f t="shared" si="2"/>
        <v>1</v>
      </c>
      <c r="Q943" s="21">
        <v>11.0</v>
      </c>
      <c r="R943" s="22">
        <f t="shared" si="3"/>
        <v>84.2822973</v>
      </c>
      <c r="S943" s="23">
        <f t="shared" si="4"/>
        <v>2.972972973</v>
      </c>
      <c r="T943" s="24">
        <f t="shared" si="5"/>
        <v>0.3636363636</v>
      </c>
      <c r="U943" s="26">
        <f t="shared" si="6"/>
        <v>0.4736842105</v>
      </c>
      <c r="V943" s="26" t="str">
        <f t="shared" si="7"/>
        <v>0%</v>
      </c>
      <c r="W943" s="19">
        <f t="shared" si="8"/>
        <v>5.636363636</v>
      </c>
      <c r="X943" s="20">
        <f t="shared" si="9"/>
        <v>110</v>
      </c>
      <c r="Y943" s="27"/>
      <c r="Z943" s="17"/>
      <c r="AA943" s="28"/>
      <c r="AB943" s="17"/>
      <c r="AC943" s="28"/>
      <c r="AD943" s="16"/>
    </row>
    <row r="944" ht="15.75" customHeight="1">
      <c r="A944" s="16" t="s">
        <v>2611</v>
      </c>
      <c r="B944" s="16" t="s">
        <v>2612</v>
      </c>
      <c r="C944" s="16" t="s">
        <v>2613</v>
      </c>
      <c r="D944" s="17" t="s">
        <v>247</v>
      </c>
      <c r="E944" s="18" t="s">
        <v>34</v>
      </c>
      <c r="F944" s="18">
        <v>1.0</v>
      </c>
      <c r="G944" s="19">
        <f t="shared" si="10"/>
        <v>2.504453341</v>
      </c>
      <c r="H944" s="17">
        <v>71.0</v>
      </c>
      <c r="I944" s="10">
        <v>210.0</v>
      </c>
      <c r="J944" s="17">
        <v>18.0</v>
      </c>
      <c r="K944" s="17">
        <v>830.0</v>
      </c>
      <c r="L944" s="17"/>
      <c r="M944" s="20">
        <v>2.0</v>
      </c>
      <c r="N944" s="20">
        <v>0.0</v>
      </c>
      <c r="O944" s="20">
        <v>1.0</v>
      </c>
      <c r="P944" s="20">
        <f t="shared" si="2"/>
        <v>1</v>
      </c>
      <c r="Q944" s="21">
        <v>9.0</v>
      </c>
      <c r="R944" s="22">
        <f t="shared" si="3"/>
        <v>83.8506338</v>
      </c>
      <c r="S944" s="23">
        <f t="shared" si="4"/>
        <v>2.957746479</v>
      </c>
      <c r="T944" s="24">
        <f t="shared" si="5"/>
        <v>0.2222222222</v>
      </c>
      <c r="U944" s="26">
        <f t="shared" si="6"/>
        <v>0.786407767</v>
      </c>
      <c r="V944" s="26">
        <f t="shared" si="7"/>
        <v>0.01941747573</v>
      </c>
      <c r="W944" s="19">
        <f t="shared" si="8"/>
        <v>3.952380952</v>
      </c>
      <c r="X944" s="20">
        <f t="shared" si="9"/>
        <v>210</v>
      </c>
      <c r="Y944" s="27"/>
      <c r="Z944" s="17"/>
      <c r="AA944" s="28"/>
      <c r="AB944" s="17"/>
      <c r="AC944" s="28"/>
      <c r="AD944" s="16"/>
    </row>
    <row r="945" ht="15.75" customHeight="1">
      <c r="A945" s="16" t="s">
        <v>2614</v>
      </c>
      <c r="B945" s="16" t="s">
        <v>2615</v>
      </c>
      <c r="C945" s="16" t="s">
        <v>2616</v>
      </c>
      <c r="D945" s="17" t="s">
        <v>119</v>
      </c>
      <c r="E945" s="18" t="s">
        <v>34</v>
      </c>
      <c r="F945" s="18">
        <v>1.0</v>
      </c>
      <c r="G945" s="19">
        <f t="shared" si="10"/>
        <v>3.950686961</v>
      </c>
      <c r="H945" s="17">
        <v>112.0</v>
      </c>
      <c r="I945" s="10">
        <v>330.0</v>
      </c>
      <c r="J945" s="17">
        <v>4.0</v>
      </c>
      <c r="K945" s="17">
        <v>980.0</v>
      </c>
      <c r="L945" s="17"/>
      <c r="M945" s="20">
        <v>57.0</v>
      </c>
      <c r="N945" s="20">
        <v>2.0</v>
      </c>
      <c r="O945" s="20">
        <v>6.0</v>
      </c>
      <c r="P945" s="20">
        <f t="shared" si="2"/>
        <v>49</v>
      </c>
      <c r="Q945" s="21">
        <v>15.0</v>
      </c>
      <c r="R945" s="22">
        <f t="shared" si="3"/>
        <v>83.52977679</v>
      </c>
      <c r="S945" s="23">
        <f t="shared" si="4"/>
        <v>2.946428571</v>
      </c>
      <c r="T945" s="24">
        <f t="shared" si="5"/>
        <v>3.8</v>
      </c>
      <c r="U945" s="26">
        <f t="shared" si="6"/>
        <v>0.1111111111</v>
      </c>
      <c r="V945" s="26">
        <f t="shared" si="7"/>
        <v>0.07407407407</v>
      </c>
      <c r="W945" s="19">
        <f t="shared" si="8"/>
        <v>2.96969697</v>
      </c>
      <c r="X945" s="20">
        <f t="shared" si="9"/>
        <v>330</v>
      </c>
      <c r="Y945" s="27"/>
      <c r="Z945" s="17"/>
      <c r="AA945" s="28"/>
      <c r="AB945" s="17"/>
      <c r="AC945" s="28"/>
      <c r="AD945" s="16"/>
    </row>
    <row r="946" ht="15.75" customHeight="1">
      <c r="A946" s="16" t="s">
        <v>2442</v>
      </c>
      <c r="B946" s="16" t="s">
        <v>2617</v>
      </c>
      <c r="C946" s="16" t="s">
        <v>2618</v>
      </c>
      <c r="D946" s="17" t="s">
        <v>2489</v>
      </c>
      <c r="E946" s="18" t="s">
        <v>34</v>
      </c>
      <c r="F946" s="18">
        <v>1.0</v>
      </c>
      <c r="G946" s="19">
        <f t="shared" si="10"/>
        <v>1.199315685</v>
      </c>
      <c r="H946" s="17">
        <v>34.0</v>
      </c>
      <c r="I946" s="10">
        <v>100.0</v>
      </c>
      <c r="J946" s="17">
        <v>0.0</v>
      </c>
      <c r="K946" s="17">
        <v>60.0</v>
      </c>
      <c r="L946" s="17">
        <v>55.0</v>
      </c>
      <c r="M946" s="20">
        <v>24.0</v>
      </c>
      <c r="N946" s="20">
        <v>0.0</v>
      </c>
      <c r="O946" s="20">
        <v>12.0</v>
      </c>
      <c r="P946" s="20">
        <f t="shared" si="2"/>
        <v>12</v>
      </c>
      <c r="Q946" s="21">
        <v>0.0</v>
      </c>
      <c r="R946" s="22">
        <f t="shared" si="3"/>
        <v>83.38088235</v>
      </c>
      <c r="S946" s="23">
        <f t="shared" si="4"/>
        <v>2.941176471</v>
      </c>
      <c r="T946" s="24" t="str">
        <f t="shared" si="5"/>
        <v>N/A</v>
      </c>
      <c r="U946" s="26" t="str">
        <f t="shared" si="6"/>
        <v>0%</v>
      </c>
      <c r="V946" s="26">
        <f t="shared" si="7"/>
        <v>0.5</v>
      </c>
      <c r="W946" s="19">
        <f t="shared" si="8"/>
        <v>0.6</v>
      </c>
      <c r="X946" s="20">
        <f t="shared" si="9"/>
        <v>100</v>
      </c>
      <c r="Y946" s="27"/>
      <c r="Z946" s="17"/>
      <c r="AA946" s="28"/>
      <c r="AB946" s="17"/>
      <c r="AC946" s="28"/>
      <c r="AD946" s="27"/>
    </row>
    <row r="947" ht="15.75" customHeight="1">
      <c r="A947" s="27" t="s">
        <v>2442</v>
      </c>
      <c r="B947" s="27" t="s">
        <v>2619</v>
      </c>
      <c r="C947" s="16" t="s">
        <v>2620</v>
      </c>
      <c r="D947" s="17" t="s">
        <v>2489</v>
      </c>
      <c r="E947" s="18" t="s">
        <v>34</v>
      </c>
      <c r="F947" s="18">
        <v>1.0</v>
      </c>
      <c r="G947" s="19">
        <f t="shared" si="10"/>
        <v>1.199315685</v>
      </c>
      <c r="H947" s="17">
        <v>34.0</v>
      </c>
      <c r="I947" s="10">
        <v>100.0</v>
      </c>
      <c r="J947" s="17">
        <v>0.0</v>
      </c>
      <c r="K947" s="17">
        <v>90.0</v>
      </c>
      <c r="L947" s="17">
        <v>55.0</v>
      </c>
      <c r="M947" s="20">
        <v>24.0</v>
      </c>
      <c r="N947" s="20">
        <v>0.0</v>
      </c>
      <c r="O947" s="20">
        <v>12.0</v>
      </c>
      <c r="P947" s="20">
        <f t="shared" si="2"/>
        <v>12</v>
      </c>
      <c r="Q947" s="21">
        <v>0.0</v>
      </c>
      <c r="R947" s="22">
        <f t="shared" si="3"/>
        <v>83.38088235</v>
      </c>
      <c r="S947" s="23">
        <f t="shared" si="4"/>
        <v>2.941176471</v>
      </c>
      <c r="T947" s="24" t="str">
        <f t="shared" si="5"/>
        <v>N/A</v>
      </c>
      <c r="U947" s="26" t="str">
        <f t="shared" si="6"/>
        <v>0%</v>
      </c>
      <c r="V947" s="26">
        <f t="shared" si="7"/>
        <v>0.5</v>
      </c>
      <c r="W947" s="19">
        <f t="shared" si="8"/>
        <v>0.9</v>
      </c>
      <c r="X947" s="20">
        <f t="shared" si="9"/>
        <v>100</v>
      </c>
      <c r="Y947" s="27"/>
      <c r="Z947" s="17"/>
      <c r="AA947" s="17"/>
      <c r="AB947" s="17"/>
      <c r="AC947" s="17"/>
      <c r="AD947" s="27"/>
    </row>
    <row r="948" ht="15.75" customHeight="1">
      <c r="A948" s="16" t="s">
        <v>453</v>
      </c>
      <c r="B948" s="16" t="s">
        <v>2621</v>
      </c>
      <c r="C948" s="16" t="s">
        <v>2622</v>
      </c>
      <c r="D948" s="17" t="s">
        <v>2489</v>
      </c>
      <c r="E948" s="18" t="s">
        <v>34</v>
      </c>
      <c r="F948" s="18">
        <v>1.0</v>
      </c>
      <c r="G948" s="19">
        <f t="shared" si="10"/>
        <v>1.199315685</v>
      </c>
      <c r="H948" s="17">
        <v>34.0</v>
      </c>
      <c r="I948" s="10">
        <v>100.0</v>
      </c>
      <c r="J948" s="17">
        <v>0.0</v>
      </c>
      <c r="K948" s="17">
        <v>50.0</v>
      </c>
      <c r="L948" s="17">
        <v>85.0</v>
      </c>
      <c r="M948" s="20">
        <v>27.0</v>
      </c>
      <c r="N948" s="20">
        <v>0.0</v>
      </c>
      <c r="O948" s="20">
        <v>27.0</v>
      </c>
      <c r="P948" s="20">
        <f t="shared" si="2"/>
        <v>0</v>
      </c>
      <c r="Q948" s="21">
        <v>0.0</v>
      </c>
      <c r="R948" s="22">
        <f t="shared" si="3"/>
        <v>83.38088235</v>
      </c>
      <c r="S948" s="23">
        <f t="shared" si="4"/>
        <v>2.941176471</v>
      </c>
      <c r="T948" s="24" t="str">
        <f t="shared" si="5"/>
        <v>N/A</v>
      </c>
      <c r="U948" s="26" t="str">
        <f t="shared" si="6"/>
        <v>0%</v>
      </c>
      <c r="V948" s="26">
        <f t="shared" si="7"/>
        <v>1</v>
      </c>
      <c r="W948" s="19">
        <f t="shared" si="8"/>
        <v>0.5</v>
      </c>
      <c r="X948" s="20">
        <f t="shared" si="9"/>
        <v>100</v>
      </c>
      <c r="Y948" s="27"/>
      <c r="Z948" s="17"/>
      <c r="AA948" s="28"/>
      <c r="AB948" s="17"/>
      <c r="AC948" s="28"/>
      <c r="AD948" s="27"/>
    </row>
    <row r="949" ht="15.75" customHeight="1">
      <c r="A949" s="27" t="s">
        <v>453</v>
      </c>
      <c r="B949" s="27" t="s">
        <v>2623</v>
      </c>
      <c r="C949" s="16" t="s">
        <v>2624</v>
      </c>
      <c r="D949" s="17" t="s">
        <v>2489</v>
      </c>
      <c r="E949" s="18" t="s">
        <v>34</v>
      </c>
      <c r="F949" s="18">
        <v>1.0</v>
      </c>
      <c r="G949" s="19">
        <f t="shared" si="10"/>
        <v>1.199315685</v>
      </c>
      <c r="H949" s="17">
        <v>34.0</v>
      </c>
      <c r="I949" s="10">
        <v>100.0</v>
      </c>
      <c r="J949" s="17">
        <v>0.0</v>
      </c>
      <c r="K949" s="17">
        <v>50.0</v>
      </c>
      <c r="L949" s="17">
        <v>85.0</v>
      </c>
      <c r="M949" s="20">
        <v>27.0</v>
      </c>
      <c r="N949" s="20"/>
      <c r="O949" s="20">
        <v>27.0</v>
      </c>
      <c r="P949" s="20">
        <f t="shared" si="2"/>
        <v>0</v>
      </c>
      <c r="Q949" s="21">
        <v>0.0</v>
      </c>
      <c r="R949" s="22">
        <f t="shared" si="3"/>
        <v>83.38088235</v>
      </c>
      <c r="S949" s="23">
        <f t="shared" si="4"/>
        <v>2.941176471</v>
      </c>
      <c r="T949" s="24" t="str">
        <f t="shared" si="5"/>
        <v>N/A</v>
      </c>
      <c r="U949" s="26" t="str">
        <f t="shared" si="6"/>
        <v>0%</v>
      </c>
      <c r="V949" s="26">
        <f t="shared" si="7"/>
        <v>1</v>
      </c>
      <c r="W949" s="19">
        <f t="shared" si="8"/>
        <v>0.5</v>
      </c>
      <c r="X949" s="20">
        <f t="shared" si="9"/>
        <v>100</v>
      </c>
      <c r="Y949" s="27"/>
      <c r="Z949" s="17"/>
      <c r="AA949" s="28"/>
      <c r="AB949" s="17"/>
      <c r="AC949" s="28"/>
      <c r="AD949" s="27"/>
    </row>
    <row r="950" ht="15.75" customHeight="1">
      <c r="A950" s="27" t="s">
        <v>2593</v>
      </c>
      <c r="B950" s="27" t="s">
        <v>2625</v>
      </c>
      <c r="C950" s="16" t="s">
        <v>2626</v>
      </c>
      <c r="D950" s="17" t="s">
        <v>2526</v>
      </c>
      <c r="E950" s="18" t="s">
        <v>34</v>
      </c>
      <c r="F950" s="18">
        <v>1.0</v>
      </c>
      <c r="G950" s="19">
        <f t="shared" si="10"/>
        <v>1.798973527</v>
      </c>
      <c r="H950" s="17">
        <v>51.0</v>
      </c>
      <c r="I950" s="10">
        <v>150.0</v>
      </c>
      <c r="J950" s="17">
        <v>3.0</v>
      </c>
      <c r="K950" s="17">
        <v>410.0</v>
      </c>
      <c r="L950" s="17"/>
      <c r="M950" s="20">
        <v>26.0</v>
      </c>
      <c r="N950" s="20">
        <v>1.0</v>
      </c>
      <c r="O950" s="20">
        <v>1.0</v>
      </c>
      <c r="P950" s="20">
        <f t="shared" si="2"/>
        <v>24</v>
      </c>
      <c r="Q950" s="21">
        <v>4.0</v>
      </c>
      <c r="R950" s="22">
        <f t="shared" si="3"/>
        <v>83.38088235</v>
      </c>
      <c r="S950" s="23">
        <f t="shared" si="4"/>
        <v>2.941176471</v>
      </c>
      <c r="T950" s="24">
        <f t="shared" si="5"/>
        <v>6.5</v>
      </c>
      <c r="U950" s="26">
        <f t="shared" si="6"/>
        <v>0.1836734694</v>
      </c>
      <c r="V950" s="26">
        <f t="shared" si="7"/>
        <v>0.02721088435</v>
      </c>
      <c r="W950" s="19">
        <f t="shared" si="8"/>
        <v>2.733333333</v>
      </c>
      <c r="X950" s="20">
        <f t="shared" si="9"/>
        <v>150</v>
      </c>
      <c r="Y950" s="27"/>
      <c r="Z950" s="17"/>
      <c r="AA950" s="28"/>
      <c r="AB950" s="17"/>
      <c r="AC950" s="28"/>
      <c r="AD950" s="27"/>
    </row>
    <row r="951" ht="15.75" customHeight="1">
      <c r="A951" s="27" t="s">
        <v>104</v>
      </c>
      <c r="B951" s="27" t="s">
        <v>2627</v>
      </c>
      <c r="C951" s="16" t="s">
        <v>2628</v>
      </c>
      <c r="D951" s="17" t="s">
        <v>2526</v>
      </c>
      <c r="E951" s="18" t="s">
        <v>34</v>
      </c>
      <c r="F951" s="18">
        <v>1.0</v>
      </c>
      <c r="G951" s="19">
        <f t="shared" si="10"/>
        <v>1.44623362</v>
      </c>
      <c r="H951" s="17">
        <v>41.0</v>
      </c>
      <c r="I951" s="10">
        <v>120.0</v>
      </c>
      <c r="J951" s="17">
        <v>3.0</v>
      </c>
      <c r="K951" s="17">
        <v>340.0</v>
      </c>
      <c r="L951" s="17"/>
      <c r="M951" s="20">
        <v>20.0</v>
      </c>
      <c r="N951" s="20">
        <v>2.0</v>
      </c>
      <c r="O951" s="20">
        <v>2.0</v>
      </c>
      <c r="P951" s="20">
        <f t="shared" si="2"/>
        <v>16</v>
      </c>
      <c r="Q951" s="21">
        <v>3.0</v>
      </c>
      <c r="R951" s="22">
        <f t="shared" si="3"/>
        <v>82.97414634</v>
      </c>
      <c r="S951" s="23">
        <f t="shared" si="4"/>
        <v>2.926829268</v>
      </c>
      <c r="T951" s="24">
        <f t="shared" si="5"/>
        <v>6.666666667</v>
      </c>
      <c r="U951" s="26">
        <f t="shared" si="6"/>
        <v>0.2268907563</v>
      </c>
      <c r="V951" s="26">
        <f t="shared" si="7"/>
        <v>0.06722689076</v>
      </c>
      <c r="W951" s="19">
        <f t="shared" si="8"/>
        <v>2.833333333</v>
      </c>
      <c r="X951" s="20">
        <f t="shared" si="9"/>
        <v>120</v>
      </c>
      <c r="Y951" s="27"/>
      <c r="Z951" s="17"/>
      <c r="AA951" s="28"/>
      <c r="AB951" s="17"/>
      <c r="AC951" s="28"/>
      <c r="AD951" s="27"/>
    </row>
    <row r="952" ht="15.75" customHeight="1">
      <c r="A952" s="16" t="s">
        <v>1293</v>
      </c>
      <c r="B952" s="16" t="s">
        <v>2629</v>
      </c>
      <c r="C952" s="16" t="s">
        <v>2630</v>
      </c>
      <c r="D952" s="17" t="s">
        <v>1648</v>
      </c>
      <c r="E952" s="18" t="s">
        <v>34</v>
      </c>
      <c r="F952" s="18">
        <v>1.0</v>
      </c>
      <c r="G952" s="19">
        <f t="shared" si="10"/>
        <v>0.8465757774</v>
      </c>
      <c r="H952" s="17">
        <v>24.0</v>
      </c>
      <c r="I952" s="10">
        <v>70.0</v>
      </c>
      <c r="J952" s="17">
        <v>0.0</v>
      </c>
      <c r="K952" s="17">
        <v>420.0</v>
      </c>
      <c r="L952" s="17"/>
      <c r="M952" s="20">
        <v>4.0</v>
      </c>
      <c r="N952" s="20">
        <v>0.0</v>
      </c>
      <c r="O952" s="20">
        <v>3.0</v>
      </c>
      <c r="P952" s="20">
        <f t="shared" si="2"/>
        <v>1</v>
      </c>
      <c r="Q952" s="21">
        <v>12.0</v>
      </c>
      <c r="R952" s="22">
        <f t="shared" si="3"/>
        <v>82.68604167</v>
      </c>
      <c r="S952" s="23">
        <f t="shared" si="4"/>
        <v>2.916666667</v>
      </c>
      <c r="T952" s="24">
        <f t="shared" si="5"/>
        <v>0.3333333333</v>
      </c>
      <c r="U952" s="26" t="str">
        <f t="shared" si="6"/>
        <v>0%</v>
      </c>
      <c r="V952" s="26">
        <f t="shared" si="7"/>
        <v>0.1875</v>
      </c>
      <c r="W952" s="19">
        <f t="shared" si="8"/>
        <v>6</v>
      </c>
      <c r="X952" s="20">
        <f t="shared" si="9"/>
        <v>70</v>
      </c>
      <c r="Y952" s="27"/>
      <c r="Z952" s="17"/>
      <c r="AA952" s="28"/>
      <c r="AB952" s="17"/>
      <c r="AC952" s="28"/>
      <c r="AD952" s="27"/>
    </row>
    <row r="953" ht="15.75" customHeight="1">
      <c r="A953" s="16" t="s">
        <v>2631</v>
      </c>
      <c r="B953" s="16" t="s">
        <v>2632</v>
      </c>
      <c r="C953" s="16" t="s">
        <v>2633</v>
      </c>
      <c r="D953" s="17" t="s">
        <v>33</v>
      </c>
      <c r="E953" s="18" t="s">
        <v>34</v>
      </c>
      <c r="F953" s="18">
        <v>1.0</v>
      </c>
      <c r="G953" s="19">
        <f t="shared" si="10"/>
        <v>0.7407538052</v>
      </c>
      <c r="H953" s="17">
        <v>21.0</v>
      </c>
      <c r="I953" s="10">
        <v>60.0</v>
      </c>
      <c r="J953" s="17">
        <v>0.0</v>
      </c>
      <c r="K953" s="17">
        <v>0.0</v>
      </c>
      <c r="L953" s="17"/>
      <c r="M953" s="20">
        <v>17.0</v>
      </c>
      <c r="N953" s="20">
        <v>0.0</v>
      </c>
      <c r="O953" s="20">
        <v>16.0</v>
      </c>
      <c r="P953" s="20">
        <f t="shared" si="2"/>
        <v>1</v>
      </c>
      <c r="Q953" s="21">
        <v>0.0</v>
      </c>
      <c r="R953" s="22">
        <f t="shared" si="3"/>
        <v>80.99857143</v>
      </c>
      <c r="S953" s="23">
        <f t="shared" si="4"/>
        <v>2.857142857</v>
      </c>
      <c r="T953" s="24" t="str">
        <f t="shared" si="5"/>
        <v>N/A</v>
      </c>
      <c r="U953" s="26" t="str">
        <f t="shared" si="6"/>
        <v>0%</v>
      </c>
      <c r="V953" s="26">
        <f t="shared" si="7"/>
        <v>0.9411764706</v>
      </c>
      <c r="W953" s="19">
        <f t="shared" si="8"/>
        <v>0</v>
      </c>
      <c r="X953" s="20">
        <f t="shared" si="9"/>
        <v>60</v>
      </c>
      <c r="Y953" s="27"/>
      <c r="Z953" s="17"/>
      <c r="AA953" s="28"/>
      <c r="AB953" s="17"/>
      <c r="AC953" s="28"/>
      <c r="AD953" s="27"/>
    </row>
    <row r="954" ht="15.75" customHeight="1">
      <c r="A954" s="16" t="s">
        <v>64</v>
      </c>
      <c r="B954" s="16" t="s">
        <v>2634</v>
      </c>
      <c r="C954" s="16" t="s">
        <v>2635</v>
      </c>
      <c r="D954" s="17" t="s">
        <v>33</v>
      </c>
      <c r="E954" s="18" t="s">
        <v>34</v>
      </c>
      <c r="F954" s="18">
        <v>1.0</v>
      </c>
      <c r="G954" s="19">
        <f t="shared" si="10"/>
        <v>0.7407538052</v>
      </c>
      <c r="H954" s="17">
        <v>21.0</v>
      </c>
      <c r="I954" s="10">
        <v>60.0</v>
      </c>
      <c r="J954" s="17">
        <v>0.0</v>
      </c>
      <c r="K954" s="17">
        <v>0.0</v>
      </c>
      <c r="L954" s="17"/>
      <c r="M954" s="20">
        <v>17.0</v>
      </c>
      <c r="N954" s="20">
        <v>0.0</v>
      </c>
      <c r="O954" s="20">
        <v>16.0</v>
      </c>
      <c r="P954" s="20">
        <f t="shared" si="2"/>
        <v>1</v>
      </c>
      <c r="Q954" s="21">
        <v>0.0</v>
      </c>
      <c r="R954" s="22">
        <f t="shared" si="3"/>
        <v>80.99857143</v>
      </c>
      <c r="S954" s="23">
        <f t="shared" si="4"/>
        <v>2.857142857</v>
      </c>
      <c r="T954" s="24" t="str">
        <f t="shared" si="5"/>
        <v>N/A</v>
      </c>
      <c r="U954" s="26" t="str">
        <f t="shared" si="6"/>
        <v>0%</v>
      </c>
      <c r="V954" s="26">
        <f t="shared" si="7"/>
        <v>0.9411764706</v>
      </c>
      <c r="W954" s="19">
        <f t="shared" si="8"/>
        <v>0</v>
      </c>
      <c r="X954" s="20">
        <f t="shared" si="9"/>
        <v>60</v>
      </c>
      <c r="Y954" s="27"/>
      <c r="Z954" s="17"/>
      <c r="AA954" s="28"/>
      <c r="AB954" s="17"/>
      <c r="AC954" s="28"/>
      <c r="AD954" s="16"/>
    </row>
    <row r="955" ht="15.75" customHeight="1">
      <c r="A955" s="16" t="s">
        <v>2636</v>
      </c>
      <c r="B955" s="16" t="s">
        <v>2637</v>
      </c>
      <c r="C955" s="16" t="s">
        <v>2638</v>
      </c>
      <c r="D955" s="17" t="s">
        <v>247</v>
      </c>
      <c r="E955" s="18" t="s">
        <v>34</v>
      </c>
      <c r="F955" s="18">
        <v>1.0</v>
      </c>
      <c r="G955" s="19">
        <f t="shared" si="10"/>
        <v>0.9876717402</v>
      </c>
      <c r="H955" s="17">
        <v>28.0</v>
      </c>
      <c r="I955" s="10">
        <v>80.0</v>
      </c>
      <c r="J955" s="17">
        <v>2.0</v>
      </c>
      <c r="K955" s="17">
        <v>340.0</v>
      </c>
      <c r="L955" s="17"/>
      <c r="M955" s="20">
        <v>9.0</v>
      </c>
      <c r="N955" s="20">
        <v>1.0</v>
      </c>
      <c r="O955" s="20">
        <v>6.0</v>
      </c>
      <c r="P955" s="20">
        <f t="shared" si="2"/>
        <v>2</v>
      </c>
      <c r="Q955" s="21">
        <v>7.0</v>
      </c>
      <c r="R955" s="22">
        <f t="shared" si="3"/>
        <v>80.99857143</v>
      </c>
      <c r="S955" s="23">
        <f t="shared" si="4"/>
        <v>2.857142857</v>
      </c>
      <c r="T955" s="24">
        <f t="shared" si="5"/>
        <v>1.285714286</v>
      </c>
      <c r="U955" s="26">
        <f t="shared" si="6"/>
        <v>0.2195121951</v>
      </c>
      <c r="V955" s="26">
        <f t="shared" si="7"/>
        <v>0.2926829268</v>
      </c>
      <c r="W955" s="19">
        <f t="shared" si="8"/>
        <v>4.25</v>
      </c>
      <c r="X955" s="20">
        <f t="shared" si="9"/>
        <v>80</v>
      </c>
      <c r="Y955" s="27"/>
      <c r="Z955" s="17"/>
      <c r="AA955" s="28"/>
      <c r="AB955" s="17"/>
      <c r="AC955" s="28"/>
      <c r="AD955" s="27"/>
    </row>
    <row r="956" ht="15.75" customHeight="1">
      <c r="A956" s="16" t="s">
        <v>2387</v>
      </c>
      <c r="B956" s="16" t="s">
        <v>2639</v>
      </c>
      <c r="C956" s="16" t="s">
        <v>2640</v>
      </c>
      <c r="D956" s="17" t="s">
        <v>1648</v>
      </c>
      <c r="E956" s="18" t="s">
        <v>34</v>
      </c>
      <c r="F956" s="18">
        <v>1.0</v>
      </c>
      <c r="G956" s="19">
        <f t="shared" si="10"/>
        <v>0.9876717402</v>
      </c>
      <c r="H956" s="17">
        <v>28.0</v>
      </c>
      <c r="I956" s="10">
        <v>80.0</v>
      </c>
      <c r="J956" s="17">
        <v>0.5</v>
      </c>
      <c r="K956" s="17">
        <v>320.0</v>
      </c>
      <c r="L956" s="17"/>
      <c r="M956" s="20">
        <v>10.0</v>
      </c>
      <c r="N956" s="20">
        <v>0.0</v>
      </c>
      <c r="O956" s="20">
        <v>9.0</v>
      </c>
      <c r="P956" s="20">
        <f t="shared" si="2"/>
        <v>1</v>
      </c>
      <c r="Q956" s="21">
        <v>9.0</v>
      </c>
      <c r="R956" s="22">
        <f t="shared" si="3"/>
        <v>80.99857143</v>
      </c>
      <c r="S956" s="23">
        <f t="shared" si="4"/>
        <v>2.857142857</v>
      </c>
      <c r="T956" s="24">
        <f t="shared" si="5"/>
        <v>1.111111111</v>
      </c>
      <c r="U956" s="26">
        <f t="shared" si="6"/>
        <v>0.05590062112</v>
      </c>
      <c r="V956" s="26">
        <f t="shared" si="7"/>
        <v>0.4472049689</v>
      </c>
      <c r="W956" s="19">
        <f t="shared" si="8"/>
        <v>4</v>
      </c>
      <c r="X956" s="20">
        <f t="shared" si="9"/>
        <v>80</v>
      </c>
      <c r="Y956" s="27"/>
      <c r="Z956" s="17"/>
      <c r="AA956" s="28"/>
      <c r="AB956" s="17"/>
      <c r="AC956" s="28"/>
      <c r="AD956" s="27"/>
    </row>
    <row r="957" ht="15.75" customHeight="1">
      <c r="A957" s="27" t="s">
        <v>1293</v>
      </c>
      <c r="B957" s="27" t="s">
        <v>2641</v>
      </c>
      <c r="C957" s="16" t="s">
        <v>2642</v>
      </c>
      <c r="D957" s="17" t="s">
        <v>1648</v>
      </c>
      <c r="E957" s="18" t="s">
        <v>34</v>
      </c>
      <c r="F957" s="18">
        <v>1.0</v>
      </c>
      <c r="G957" s="19">
        <f t="shared" si="10"/>
        <v>0.9876717402</v>
      </c>
      <c r="H957" s="17">
        <v>28.0</v>
      </c>
      <c r="I957" s="10">
        <v>80.0</v>
      </c>
      <c r="J957" s="17">
        <v>1.0</v>
      </c>
      <c r="K957" s="17">
        <v>550.0</v>
      </c>
      <c r="L957" s="17"/>
      <c r="M957" s="20">
        <v>7.0</v>
      </c>
      <c r="N957" s="20">
        <v>0.0</v>
      </c>
      <c r="O957" s="20">
        <v>6.0</v>
      </c>
      <c r="P957" s="20">
        <f t="shared" si="2"/>
        <v>1</v>
      </c>
      <c r="Q957" s="21">
        <v>10.0</v>
      </c>
      <c r="R957" s="22">
        <f t="shared" si="3"/>
        <v>80.99857143</v>
      </c>
      <c r="S957" s="23">
        <f t="shared" si="4"/>
        <v>2.857142857</v>
      </c>
      <c r="T957" s="24">
        <f t="shared" si="5"/>
        <v>0.7</v>
      </c>
      <c r="U957" s="26">
        <f t="shared" si="6"/>
        <v>0.1168831169</v>
      </c>
      <c r="V957" s="26">
        <f t="shared" si="7"/>
        <v>0.3116883117</v>
      </c>
      <c r="W957" s="19">
        <f t="shared" si="8"/>
        <v>6.875</v>
      </c>
      <c r="X957" s="20">
        <f t="shared" si="9"/>
        <v>80</v>
      </c>
      <c r="Y957" s="27"/>
      <c r="Z957" s="17"/>
      <c r="AA957" s="28"/>
      <c r="AB957" s="17"/>
      <c r="AC957" s="28"/>
      <c r="AD957" s="27"/>
    </row>
    <row r="958" ht="15.75" customHeight="1">
      <c r="A958" s="27" t="s">
        <v>2643</v>
      </c>
      <c r="B958" s="27" t="s">
        <v>2644</v>
      </c>
      <c r="C958" s="16" t="s">
        <v>2645</v>
      </c>
      <c r="D958" s="17" t="s">
        <v>1648</v>
      </c>
      <c r="E958" s="18" t="s">
        <v>34</v>
      </c>
      <c r="F958" s="18">
        <v>1.0</v>
      </c>
      <c r="G958" s="19">
        <f t="shared" si="10"/>
        <v>0.9876717402</v>
      </c>
      <c r="H958" s="17">
        <v>28.0</v>
      </c>
      <c r="I958" s="10">
        <v>80.0</v>
      </c>
      <c r="J958" s="17">
        <v>1.0</v>
      </c>
      <c r="K958" s="17">
        <v>120.0</v>
      </c>
      <c r="L958" s="17"/>
      <c r="M958" s="20">
        <v>7.0</v>
      </c>
      <c r="N958" s="20">
        <v>0.0</v>
      </c>
      <c r="O958" s="20">
        <v>6.0</v>
      </c>
      <c r="P958" s="20">
        <f t="shared" si="2"/>
        <v>1</v>
      </c>
      <c r="Q958" s="21">
        <v>10.0</v>
      </c>
      <c r="R958" s="22">
        <f t="shared" si="3"/>
        <v>80.99857143</v>
      </c>
      <c r="S958" s="23">
        <f t="shared" si="4"/>
        <v>2.857142857</v>
      </c>
      <c r="T958" s="24">
        <f t="shared" si="5"/>
        <v>0.7</v>
      </c>
      <c r="U958" s="26">
        <f t="shared" si="6"/>
        <v>0.1168831169</v>
      </c>
      <c r="V958" s="26">
        <f t="shared" si="7"/>
        <v>0.3116883117</v>
      </c>
      <c r="W958" s="19">
        <f t="shared" si="8"/>
        <v>1.5</v>
      </c>
      <c r="X958" s="20">
        <f t="shared" si="9"/>
        <v>80</v>
      </c>
      <c r="Y958" s="27"/>
      <c r="Z958" s="17"/>
      <c r="AA958" s="28"/>
      <c r="AB958" s="17"/>
      <c r="AC958" s="28"/>
      <c r="AD958" s="16"/>
    </row>
    <row r="959" ht="15.75" customHeight="1">
      <c r="A959" s="27" t="s">
        <v>1293</v>
      </c>
      <c r="B959" s="27" t="s">
        <v>2646</v>
      </c>
      <c r="C959" s="16" t="s">
        <v>2647</v>
      </c>
      <c r="D959" s="17" t="s">
        <v>1648</v>
      </c>
      <c r="E959" s="18" t="s">
        <v>34</v>
      </c>
      <c r="F959" s="18">
        <v>1.0</v>
      </c>
      <c r="G959" s="19">
        <f t="shared" si="10"/>
        <v>0.9876717402</v>
      </c>
      <c r="H959" s="17">
        <v>28.0</v>
      </c>
      <c r="I959" s="10">
        <v>80.0</v>
      </c>
      <c r="J959" s="17">
        <v>1.0</v>
      </c>
      <c r="K959" s="17">
        <v>590.0</v>
      </c>
      <c r="L959" s="17"/>
      <c r="M959" s="20">
        <v>5.0</v>
      </c>
      <c r="N959" s="20">
        <v>0.0</v>
      </c>
      <c r="O959" s="20">
        <v>4.0</v>
      </c>
      <c r="P959" s="20">
        <f t="shared" si="2"/>
        <v>1</v>
      </c>
      <c r="Q959" s="21">
        <v>12.0</v>
      </c>
      <c r="R959" s="22">
        <f t="shared" si="3"/>
        <v>80.99857143</v>
      </c>
      <c r="S959" s="23">
        <f t="shared" si="4"/>
        <v>2.857142857</v>
      </c>
      <c r="T959" s="24">
        <f t="shared" si="5"/>
        <v>0.4166666667</v>
      </c>
      <c r="U959" s="26">
        <f t="shared" si="6"/>
        <v>0.1168831169</v>
      </c>
      <c r="V959" s="26">
        <f t="shared" si="7"/>
        <v>0.2077922078</v>
      </c>
      <c r="W959" s="19">
        <f t="shared" si="8"/>
        <v>7.375</v>
      </c>
      <c r="X959" s="20">
        <f t="shared" si="9"/>
        <v>80</v>
      </c>
      <c r="Y959" s="27"/>
      <c r="Z959" s="17"/>
      <c r="AA959" s="28"/>
      <c r="AB959" s="17"/>
      <c r="AC959" s="28"/>
      <c r="AD959" s="27"/>
    </row>
    <row r="960" ht="15.75" customHeight="1">
      <c r="A960" s="27" t="s">
        <v>2648</v>
      </c>
      <c r="B960" s="27" t="s">
        <v>2649</v>
      </c>
      <c r="C960" s="16" t="s">
        <v>2650</v>
      </c>
      <c r="D960" s="17" t="s">
        <v>247</v>
      </c>
      <c r="E960" s="18" t="s">
        <v>34</v>
      </c>
      <c r="F960" s="18">
        <v>1.0</v>
      </c>
      <c r="G960" s="19">
        <f t="shared" si="10"/>
        <v>0.9876717402</v>
      </c>
      <c r="H960" s="17">
        <v>28.0</v>
      </c>
      <c r="I960" s="10">
        <v>80.0</v>
      </c>
      <c r="J960" s="17">
        <v>5.0</v>
      </c>
      <c r="K960" s="17">
        <v>470.0</v>
      </c>
      <c r="L960" s="17"/>
      <c r="M960" s="20">
        <v>2.0</v>
      </c>
      <c r="N960" s="20">
        <v>0.0</v>
      </c>
      <c r="O960" s="20">
        <v>1.0</v>
      </c>
      <c r="P960" s="20">
        <f t="shared" si="2"/>
        <v>1</v>
      </c>
      <c r="Q960" s="21">
        <v>7.0</v>
      </c>
      <c r="R960" s="22">
        <f t="shared" si="3"/>
        <v>80.99857143</v>
      </c>
      <c r="S960" s="23">
        <f t="shared" si="4"/>
        <v>2.857142857</v>
      </c>
      <c r="T960" s="24">
        <f t="shared" si="5"/>
        <v>0.2857142857</v>
      </c>
      <c r="U960" s="26">
        <f t="shared" si="6"/>
        <v>0.5555555556</v>
      </c>
      <c r="V960" s="26">
        <f t="shared" si="7"/>
        <v>0.04938271605</v>
      </c>
      <c r="W960" s="19">
        <f t="shared" si="8"/>
        <v>5.875</v>
      </c>
      <c r="X960" s="20">
        <f t="shared" si="9"/>
        <v>80</v>
      </c>
      <c r="Y960" s="27"/>
      <c r="Z960" s="17"/>
      <c r="AA960" s="28"/>
      <c r="AB960" s="17"/>
      <c r="AC960" s="28"/>
      <c r="AD960" s="27"/>
    </row>
    <row r="961" ht="15.75" customHeight="1">
      <c r="A961" s="27" t="s">
        <v>2194</v>
      </c>
      <c r="B961" s="27" t="s">
        <v>2651</v>
      </c>
      <c r="C961" s="16" t="s">
        <v>2652</v>
      </c>
      <c r="D961" s="17" t="s">
        <v>240</v>
      </c>
      <c r="E961" s="18" t="s">
        <v>34</v>
      </c>
      <c r="F961" s="18">
        <v>1.0</v>
      </c>
      <c r="G961" s="19">
        <f t="shared" si="10"/>
        <v>0.9876717402</v>
      </c>
      <c r="H961" s="17">
        <v>28.0</v>
      </c>
      <c r="I961" s="10">
        <v>80.0</v>
      </c>
      <c r="J961" s="17">
        <v>6.0</v>
      </c>
      <c r="K961" s="17">
        <v>200.0</v>
      </c>
      <c r="L961" s="17"/>
      <c r="M961" s="20">
        <v>1.0</v>
      </c>
      <c r="N961" s="20">
        <v>0.0</v>
      </c>
      <c r="O961" s="20">
        <v>0.0</v>
      </c>
      <c r="P961" s="20">
        <f t="shared" si="2"/>
        <v>1</v>
      </c>
      <c r="Q961" s="21">
        <v>6.0</v>
      </c>
      <c r="R961" s="22">
        <f t="shared" si="3"/>
        <v>80.99857143</v>
      </c>
      <c r="S961" s="23">
        <f t="shared" si="4"/>
        <v>2.857142857</v>
      </c>
      <c r="T961" s="24">
        <f t="shared" si="5"/>
        <v>0.1666666667</v>
      </c>
      <c r="U961" s="26">
        <f t="shared" si="6"/>
        <v>0.6585365854</v>
      </c>
      <c r="V961" s="26" t="str">
        <f t="shared" si="7"/>
        <v>0%</v>
      </c>
      <c r="W961" s="19">
        <f t="shared" si="8"/>
        <v>2.5</v>
      </c>
      <c r="X961" s="20">
        <f t="shared" si="9"/>
        <v>80</v>
      </c>
      <c r="Y961" s="27"/>
      <c r="Z961" s="17"/>
      <c r="AA961" s="28"/>
      <c r="AB961" s="17"/>
      <c r="AC961" s="28"/>
      <c r="AD961" s="27"/>
    </row>
    <row r="962" ht="15.75" customHeight="1">
      <c r="A962" s="16" t="s">
        <v>2290</v>
      </c>
      <c r="B962" s="16" t="s">
        <v>2653</v>
      </c>
      <c r="C962" s="16" t="s">
        <v>2654</v>
      </c>
      <c r="D962" s="17" t="s">
        <v>212</v>
      </c>
      <c r="E962" s="18" t="s">
        <v>34</v>
      </c>
      <c r="F962" s="18">
        <v>1.0</v>
      </c>
      <c r="G962" s="19">
        <f t="shared" si="10"/>
        <v>2.116439443</v>
      </c>
      <c r="H962" s="17">
        <v>60.0</v>
      </c>
      <c r="I962" s="10">
        <v>170.0</v>
      </c>
      <c r="J962" s="17">
        <v>7.0</v>
      </c>
      <c r="K962" s="17">
        <v>200.0</v>
      </c>
      <c r="L962" s="17">
        <v>95.0</v>
      </c>
      <c r="M962" s="20">
        <v>23.0</v>
      </c>
      <c r="N962" s="20">
        <v>14.0</v>
      </c>
      <c r="O962" s="20">
        <v>1.0</v>
      </c>
      <c r="P962" s="20">
        <f t="shared" si="2"/>
        <v>8</v>
      </c>
      <c r="Q962" s="21">
        <v>20.0</v>
      </c>
      <c r="R962" s="22">
        <f t="shared" si="3"/>
        <v>80.32358333</v>
      </c>
      <c r="S962" s="23">
        <f t="shared" si="4"/>
        <v>2.833333333</v>
      </c>
      <c r="T962" s="24">
        <f t="shared" si="5"/>
        <v>1.15</v>
      </c>
      <c r="U962" s="26">
        <f t="shared" si="6"/>
        <v>0.2680851064</v>
      </c>
      <c r="V962" s="26">
        <f t="shared" si="7"/>
        <v>0.0170212766</v>
      </c>
      <c r="W962" s="19">
        <f t="shared" si="8"/>
        <v>1.176470588</v>
      </c>
      <c r="X962" s="20">
        <f t="shared" si="9"/>
        <v>170</v>
      </c>
      <c r="Y962" s="27"/>
      <c r="Z962" s="17"/>
      <c r="AA962" s="28"/>
      <c r="AB962" s="17"/>
      <c r="AC962" s="28"/>
      <c r="AD962" s="27"/>
    </row>
    <row r="963" ht="15.75" customHeight="1">
      <c r="A963" s="16" t="s">
        <v>2655</v>
      </c>
      <c r="B963" s="16" t="s">
        <v>2656</v>
      </c>
      <c r="C963" s="16" t="s">
        <v>2657</v>
      </c>
      <c r="D963" s="17" t="s">
        <v>247</v>
      </c>
      <c r="E963" s="18" t="s">
        <v>34</v>
      </c>
      <c r="F963" s="18">
        <v>1.0</v>
      </c>
      <c r="G963" s="19">
        <f t="shared" si="10"/>
        <v>0.8818497681</v>
      </c>
      <c r="H963" s="17">
        <v>25.0</v>
      </c>
      <c r="I963" s="10">
        <v>70.0</v>
      </c>
      <c r="J963" s="17">
        <v>4.5</v>
      </c>
      <c r="K963" s="17">
        <v>250.0</v>
      </c>
      <c r="L963" s="17"/>
      <c r="M963" s="20">
        <v>1.0</v>
      </c>
      <c r="N963" s="20">
        <v>0.0</v>
      </c>
      <c r="O963" s="20">
        <v>0.0</v>
      </c>
      <c r="P963" s="20">
        <f t="shared" si="2"/>
        <v>1</v>
      </c>
      <c r="Q963" s="21">
        <v>5.0</v>
      </c>
      <c r="R963" s="22">
        <f t="shared" si="3"/>
        <v>79.3786</v>
      </c>
      <c r="S963" s="23">
        <f t="shared" si="4"/>
        <v>2.8</v>
      </c>
      <c r="T963" s="24">
        <f t="shared" si="5"/>
        <v>0.2</v>
      </c>
      <c r="U963" s="26">
        <f t="shared" si="6"/>
        <v>0.6279069767</v>
      </c>
      <c r="V963" s="26" t="str">
        <f t="shared" si="7"/>
        <v>0%</v>
      </c>
      <c r="W963" s="19">
        <f t="shared" si="8"/>
        <v>3.571428571</v>
      </c>
      <c r="X963" s="20">
        <f t="shared" si="9"/>
        <v>70</v>
      </c>
      <c r="Y963" s="27"/>
      <c r="Z963" s="17"/>
      <c r="AA963" s="28"/>
      <c r="AB963" s="17"/>
      <c r="AC963" s="28"/>
      <c r="AD963" s="16"/>
    </row>
    <row r="964" ht="15.75" customHeight="1">
      <c r="A964" s="27" t="s">
        <v>1984</v>
      </c>
      <c r="B964" s="27" t="s">
        <v>2658</v>
      </c>
      <c r="C964" s="16" t="s">
        <v>2659</v>
      </c>
      <c r="D964" s="17" t="s">
        <v>247</v>
      </c>
      <c r="E964" s="18" t="s">
        <v>34</v>
      </c>
      <c r="F964" s="18">
        <v>1.0</v>
      </c>
      <c r="G964" s="19">
        <f t="shared" si="10"/>
        <v>1.516781601</v>
      </c>
      <c r="H964" s="17">
        <v>43.0</v>
      </c>
      <c r="I964" s="10">
        <v>120.0</v>
      </c>
      <c r="J964" s="17">
        <v>6.0</v>
      </c>
      <c r="K964" s="17">
        <v>600.0</v>
      </c>
      <c r="L964" s="17"/>
      <c r="M964" s="20">
        <v>5.0</v>
      </c>
      <c r="N964" s="20">
        <v>2.0</v>
      </c>
      <c r="O964" s="20">
        <v>3.0</v>
      </c>
      <c r="P964" s="20">
        <f t="shared" si="2"/>
        <v>0</v>
      </c>
      <c r="Q964" s="21">
        <v>13.0</v>
      </c>
      <c r="R964" s="22">
        <f t="shared" si="3"/>
        <v>79.11488372</v>
      </c>
      <c r="S964" s="23">
        <f t="shared" si="4"/>
        <v>2.790697674</v>
      </c>
      <c r="T964" s="24">
        <f t="shared" si="5"/>
        <v>0.3846153846</v>
      </c>
      <c r="U964" s="26">
        <f t="shared" si="6"/>
        <v>0.4285714286</v>
      </c>
      <c r="V964" s="26">
        <f t="shared" si="7"/>
        <v>0.09523809524</v>
      </c>
      <c r="W964" s="19">
        <f t="shared" si="8"/>
        <v>5</v>
      </c>
      <c r="X964" s="20">
        <f t="shared" si="9"/>
        <v>120</v>
      </c>
      <c r="Y964" s="16"/>
      <c r="Z964" s="17"/>
      <c r="AA964" s="28"/>
      <c r="AB964" s="17"/>
      <c r="AC964" s="28"/>
      <c r="AD964" s="16"/>
    </row>
    <row r="965" ht="15.75" customHeight="1">
      <c r="A965" s="16" t="s">
        <v>1984</v>
      </c>
      <c r="B965" s="16" t="s">
        <v>2660</v>
      </c>
      <c r="C965" s="16" t="s">
        <v>2661</v>
      </c>
      <c r="D965" s="17" t="s">
        <v>247</v>
      </c>
      <c r="E965" s="18" t="s">
        <v>34</v>
      </c>
      <c r="F965" s="18">
        <v>1.0</v>
      </c>
      <c r="G965" s="19">
        <f t="shared" si="10"/>
        <v>1.516781601</v>
      </c>
      <c r="H965" s="17">
        <v>43.0</v>
      </c>
      <c r="I965" s="10">
        <v>120.0</v>
      </c>
      <c r="J965" s="17">
        <v>6.0</v>
      </c>
      <c r="K965" s="17">
        <v>870.0</v>
      </c>
      <c r="L965" s="17"/>
      <c r="M965" s="20">
        <v>3.0</v>
      </c>
      <c r="N965" s="20">
        <v>2.0</v>
      </c>
      <c r="O965" s="20">
        <v>0.0</v>
      </c>
      <c r="P965" s="20">
        <f t="shared" si="2"/>
        <v>1</v>
      </c>
      <c r="Q965" s="21">
        <v>13.0</v>
      </c>
      <c r="R965" s="22">
        <f t="shared" si="3"/>
        <v>79.11488372</v>
      </c>
      <c r="S965" s="23">
        <f t="shared" si="4"/>
        <v>2.790697674</v>
      </c>
      <c r="T965" s="24">
        <f t="shared" si="5"/>
        <v>0.2307692308</v>
      </c>
      <c r="U965" s="26">
        <f t="shared" si="6"/>
        <v>0.4576271186</v>
      </c>
      <c r="V965" s="26" t="str">
        <f t="shared" si="7"/>
        <v>0%</v>
      </c>
      <c r="W965" s="19">
        <f t="shared" si="8"/>
        <v>7.25</v>
      </c>
      <c r="X965" s="20">
        <f t="shared" si="9"/>
        <v>120</v>
      </c>
      <c r="Y965" s="27"/>
      <c r="Z965" s="17"/>
      <c r="AA965" s="28"/>
      <c r="AB965" s="17"/>
      <c r="AC965" s="28"/>
      <c r="AD965" s="27"/>
    </row>
    <row r="966" ht="15.75" customHeight="1">
      <c r="A966" s="27" t="s">
        <v>104</v>
      </c>
      <c r="B966" s="27" t="s">
        <v>2662</v>
      </c>
      <c r="C966" s="16" t="s">
        <v>2663</v>
      </c>
      <c r="D966" s="17" t="s">
        <v>2526</v>
      </c>
      <c r="E966" s="18" t="s">
        <v>34</v>
      </c>
      <c r="F966" s="18">
        <v>1.0</v>
      </c>
      <c r="G966" s="19">
        <f t="shared" si="10"/>
        <v>1.657877564</v>
      </c>
      <c r="H966" s="17">
        <v>47.0</v>
      </c>
      <c r="I966" s="10">
        <v>130.0</v>
      </c>
      <c r="J966" s="17">
        <v>3.5</v>
      </c>
      <c r="K966" s="17">
        <v>280.0</v>
      </c>
      <c r="L966" s="17"/>
      <c r="M966" s="20">
        <v>21.0</v>
      </c>
      <c r="N966" s="20">
        <v>1.0</v>
      </c>
      <c r="O966" s="20">
        <v>1.0</v>
      </c>
      <c r="P966" s="20">
        <f t="shared" si="2"/>
        <v>19</v>
      </c>
      <c r="Q966" s="21">
        <v>3.0</v>
      </c>
      <c r="R966" s="22">
        <f t="shared" si="3"/>
        <v>78.41351064</v>
      </c>
      <c r="S966" s="23">
        <f t="shared" si="4"/>
        <v>2.765957447</v>
      </c>
      <c r="T966" s="24">
        <f t="shared" si="5"/>
        <v>7</v>
      </c>
      <c r="U966" s="26">
        <f t="shared" si="6"/>
        <v>0.2470588235</v>
      </c>
      <c r="V966" s="26">
        <f t="shared" si="7"/>
        <v>0.03137254902</v>
      </c>
      <c r="W966" s="19">
        <f t="shared" si="8"/>
        <v>2.153846154</v>
      </c>
      <c r="X966" s="20">
        <f t="shared" si="9"/>
        <v>130</v>
      </c>
      <c r="Y966" s="27"/>
      <c r="Z966" s="17"/>
      <c r="AA966" s="28"/>
      <c r="AB966" s="17"/>
      <c r="AC966" s="28"/>
      <c r="AD966" s="27"/>
    </row>
    <row r="967" ht="15.75" customHeight="1">
      <c r="A967" s="27" t="s">
        <v>2431</v>
      </c>
      <c r="B967" s="27" t="s">
        <v>2664</v>
      </c>
      <c r="C967" s="16" t="s">
        <v>2665</v>
      </c>
      <c r="D967" s="17" t="s">
        <v>81</v>
      </c>
      <c r="E967" s="18" t="s">
        <v>34</v>
      </c>
      <c r="F967" s="18">
        <v>1.0</v>
      </c>
      <c r="G967" s="19">
        <f t="shared" si="10"/>
        <v>1.410959629</v>
      </c>
      <c r="H967" s="17">
        <v>40.0</v>
      </c>
      <c r="I967" s="10">
        <v>110.0</v>
      </c>
      <c r="J967" s="17">
        <v>0.0</v>
      </c>
      <c r="K967" s="17">
        <v>10.0</v>
      </c>
      <c r="L967" s="17">
        <v>430.0</v>
      </c>
      <c r="M967" s="20">
        <v>25.0</v>
      </c>
      <c r="N967" s="20">
        <v>2.0</v>
      </c>
      <c r="O967" s="20">
        <v>15.0</v>
      </c>
      <c r="P967" s="20">
        <f t="shared" si="2"/>
        <v>8</v>
      </c>
      <c r="Q967" s="21">
        <v>1.0</v>
      </c>
      <c r="R967" s="22">
        <f t="shared" si="3"/>
        <v>77.961125</v>
      </c>
      <c r="S967" s="23">
        <f t="shared" si="4"/>
        <v>2.75</v>
      </c>
      <c r="T967" s="24">
        <f t="shared" si="5"/>
        <v>25</v>
      </c>
      <c r="U967" s="26" t="str">
        <f t="shared" si="6"/>
        <v>0%</v>
      </c>
      <c r="V967" s="26">
        <f t="shared" si="7"/>
        <v>0.5769230769</v>
      </c>
      <c r="W967" s="19">
        <f t="shared" si="8"/>
        <v>0.09090909091</v>
      </c>
      <c r="X967" s="20">
        <f t="shared" si="9"/>
        <v>110</v>
      </c>
      <c r="Y967" s="27"/>
      <c r="Z967" s="17"/>
      <c r="AA967" s="28"/>
      <c r="AB967" s="17"/>
      <c r="AC967" s="28"/>
      <c r="AD967" s="16"/>
    </row>
    <row r="968" ht="15.75" customHeight="1">
      <c r="A968" s="16" t="s">
        <v>2666</v>
      </c>
      <c r="B968" s="16" t="s">
        <v>2667</v>
      </c>
      <c r="C968" s="16" t="s">
        <v>2668</v>
      </c>
      <c r="D968" s="17" t="s">
        <v>2526</v>
      </c>
      <c r="E968" s="18" t="s">
        <v>34</v>
      </c>
      <c r="F968" s="18">
        <v>1.0</v>
      </c>
      <c r="G968" s="19">
        <f t="shared" si="10"/>
        <v>3.351029119</v>
      </c>
      <c r="H968" s="17">
        <v>95.0</v>
      </c>
      <c r="I968" s="10">
        <v>260.0</v>
      </c>
      <c r="J968" s="17">
        <v>1.0</v>
      </c>
      <c r="K968" s="17">
        <v>460.0</v>
      </c>
      <c r="L968" s="17"/>
      <c r="M968" s="20">
        <v>53.0</v>
      </c>
      <c r="N968" s="20">
        <v>2.0</v>
      </c>
      <c r="O968" s="20">
        <v>6.0</v>
      </c>
      <c r="P968" s="20">
        <f t="shared" si="2"/>
        <v>45</v>
      </c>
      <c r="Q968" s="21">
        <v>9.0</v>
      </c>
      <c r="R968" s="22">
        <f t="shared" si="3"/>
        <v>77.58810526</v>
      </c>
      <c r="S968" s="23">
        <f t="shared" si="4"/>
        <v>2.736842105</v>
      </c>
      <c r="T968" s="24">
        <f t="shared" si="5"/>
        <v>5.888888889</v>
      </c>
      <c r="U968" s="26">
        <f t="shared" si="6"/>
        <v>0.03501945525</v>
      </c>
      <c r="V968" s="26">
        <f t="shared" si="7"/>
        <v>0.09338521401</v>
      </c>
      <c r="W968" s="19">
        <f t="shared" si="8"/>
        <v>1.769230769</v>
      </c>
      <c r="X968" s="20">
        <f t="shared" si="9"/>
        <v>260</v>
      </c>
      <c r="Y968" s="27"/>
      <c r="Z968" s="17"/>
      <c r="AA968" s="28"/>
      <c r="AB968" s="17"/>
      <c r="AC968" s="28"/>
      <c r="AD968" s="16"/>
    </row>
    <row r="969" ht="15.75" customHeight="1">
      <c r="A969" s="16" t="s">
        <v>2669</v>
      </c>
      <c r="B969" s="16" t="s">
        <v>2670</v>
      </c>
      <c r="C969" s="16" t="s">
        <v>2671</v>
      </c>
      <c r="D969" s="17" t="s">
        <v>2526</v>
      </c>
      <c r="E969" s="18" t="s">
        <v>34</v>
      </c>
      <c r="F969" s="18">
        <v>1.0</v>
      </c>
      <c r="G969" s="19">
        <f t="shared" si="10"/>
        <v>1.693151555</v>
      </c>
      <c r="H969" s="17">
        <v>48.0</v>
      </c>
      <c r="I969" s="10">
        <v>130.0</v>
      </c>
      <c r="J969" s="17">
        <v>1.0</v>
      </c>
      <c r="K969" s="17">
        <v>300.0</v>
      </c>
      <c r="L969" s="17"/>
      <c r="M969" s="20">
        <v>25.0</v>
      </c>
      <c r="N969" s="20">
        <v>1.0</v>
      </c>
      <c r="O969" s="20">
        <v>2.0</v>
      </c>
      <c r="P969" s="20">
        <f t="shared" si="2"/>
        <v>22</v>
      </c>
      <c r="Q969" s="21">
        <v>6.0</v>
      </c>
      <c r="R969" s="22">
        <f t="shared" si="3"/>
        <v>76.77989583</v>
      </c>
      <c r="S969" s="23">
        <f t="shared" si="4"/>
        <v>2.708333333</v>
      </c>
      <c r="T969" s="24">
        <f t="shared" si="5"/>
        <v>4.166666667</v>
      </c>
      <c r="U969" s="26">
        <f t="shared" si="6"/>
        <v>0.06766917293</v>
      </c>
      <c r="V969" s="26">
        <f t="shared" si="7"/>
        <v>0.06015037594</v>
      </c>
      <c r="W969" s="19">
        <f t="shared" si="8"/>
        <v>2.307692308</v>
      </c>
      <c r="X969" s="20">
        <f t="shared" si="9"/>
        <v>130</v>
      </c>
      <c r="Y969" s="27"/>
      <c r="Z969" s="17"/>
      <c r="AA969" s="28"/>
      <c r="AB969" s="17"/>
      <c r="AC969" s="28"/>
      <c r="AD969" s="16"/>
    </row>
    <row r="970" ht="15.75" customHeight="1">
      <c r="A970" s="16" t="s">
        <v>2672</v>
      </c>
      <c r="B970" s="16" t="s">
        <v>2662</v>
      </c>
      <c r="C970" s="16" t="s">
        <v>2673</v>
      </c>
      <c r="D970" s="17" t="s">
        <v>2526</v>
      </c>
      <c r="E970" s="18" t="s">
        <v>34</v>
      </c>
      <c r="F970" s="18">
        <v>1.0</v>
      </c>
      <c r="G970" s="19">
        <f t="shared" si="10"/>
        <v>2.504453341</v>
      </c>
      <c r="H970" s="17">
        <v>71.0</v>
      </c>
      <c r="I970" s="10">
        <v>190.0</v>
      </c>
      <c r="J970" s="17">
        <v>2.5</v>
      </c>
      <c r="K970" s="17">
        <v>380.0</v>
      </c>
      <c r="L970" s="17"/>
      <c r="M970" s="20">
        <v>35.0</v>
      </c>
      <c r="N970" s="20">
        <v>1.0</v>
      </c>
      <c r="O970" s="20">
        <v>1.0</v>
      </c>
      <c r="P970" s="20">
        <f t="shared" si="2"/>
        <v>33</v>
      </c>
      <c r="Q970" s="21">
        <v>6.0</v>
      </c>
      <c r="R970" s="22">
        <f t="shared" si="3"/>
        <v>75.86485915</v>
      </c>
      <c r="S970" s="23">
        <f t="shared" si="4"/>
        <v>2.676056338</v>
      </c>
      <c r="T970" s="24">
        <f t="shared" si="5"/>
        <v>5.833333333</v>
      </c>
      <c r="U970" s="26">
        <f t="shared" si="6"/>
        <v>0.1206434316</v>
      </c>
      <c r="V970" s="26">
        <f t="shared" si="7"/>
        <v>0.02144772118</v>
      </c>
      <c r="W970" s="19">
        <f t="shared" si="8"/>
        <v>2</v>
      </c>
      <c r="X970" s="20">
        <f t="shared" si="9"/>
        <v>190</v>
      </c>
      <c r="Y970" s="27"/>
      <c r="Z970" s="17"/>
      <c r="AA970" s="28"/>
      <c r="AB970" s="17"/>
      <c r="AC970" s="28"/>
      <c r="AD970" s="27"/>
    </row>
    <row r="971" ht="15.75" customHeight="1">
      <c r="A971" s="16" t="s">
        <v>2674</v>
      </c>
      <c r="B971" s="16" t="s">
        <v>2675</v>
      </c>
      <c r="C971" s="16" t="s">
        <v>2676</v>
      </c>
      <c r="D971" s="17" t="s">
        <v>2526</v>
      </c>
      <c r="E971" s="18" t="s">
        <v>34</v>
      </c>
      <c r="F971" s="18">
        <v>1.0</v>
      </c>
      <c r="G971" s="19">
        <f t="shared" si="10"/>
        <v>2.257535406</v>
      </c>
      <c r="H971" s="17">
        <v>64.0</v>
      </c>
      <c r="I971" s="10">
        <v>170.0</v>
      </c>
      <c r="J971" s="17">
        <v>2.0</v>
      </c>
      <c r="K971" s="17">
        <v>400.0</v>
      </c>
      <c r="L971" s="17"/>
      <c r="M971" s="20">
        <v>33.0</v>
      </c>
      <c r="N971" s="20">
        <v>1.0</v>
      </c>
      <c r="O971" s="20">
        <v>3.0</v>
      </c>
      <c r="P971" s="20">
        <f t="shared" si="2"/>
        <v>29</v>
      </c>
      <c r="Q971" s="21">
        <v>5.0</v>
      </c>
      <c r="R971" s="22">
        <f t="shared" si="3"/>
        <v>75.30335938</v>
      </c>
      <c r="S971" s="23">
        <f t="shared" si="4"/>
        <v>2.65625</v>
      </c>
      <c r="T971" s="24">
        <f t="shared" si="5"/>
        <v>6.6</v>
      </c>
      <c r="U971" s="26">
        <f t="shared" si="6"/>
        <v>0.1058823529</v>
      </c>
      <c r="V971" s="26">
        <f t="shared" si="7"/>
        <v>0.07058823529</v>
      </c>
      <c r="W971" s="19">
        <f t="shared" si="8"/>
        <v>2.352941176</v>
      </c>
      <c r="X971" s="20">
        <f t="shared" si="9"/>
        <v>170</v>
      </c>
      <c r="Y971" s="27"/>
      <c r="Z971" s="17"/>
      <c r="AA971" s="28"/>
      <c r="AB971" s="17"/>
      <c r="AC971" s="28"/>
      <c r="AD971" s="16"/>
    </row>
    <row r="972" ht="15.75" customHeight="1">
      <c r="A972" s="16" t="s">
        <v>104</v>
      </c>
      <c r="B972" s="16" t="s">
        <v>2677</v>
      </c>
      <c r="C972" s="16" t="s">
        <v>2678</v>
      </c>
      <c r="D972" s="17" t="s">
        <v>2526</v>
      </c>
      <c r="E972" s="18" t="s">
        <v>34</v>
      </c>
      <c r="F972" s="18">
        <v>1.0</v>
      </c>
      <c r="G972" s="19">
        <f t="shared" si="10"/>
        <v>2.751371276</v>
      </c>
      <c r="H972" s="17">
        <v>78.0</v>
      </c>
      <c r="I972" s="10">
        <v>200.0</v>
      </c>
      <c r="J972" s="17">
        <v>2.5</v>
      </c>
      <c r="K972" s="17">
        <v>350.0</v>
      </c>
      <c r="L972" s="17"/>
      <c r="M972" s="20">
        <v>38.0</v>
      </c>
      <c r="N972" s="20">
        <v>1.0</v>
      </c>
      <c r="O972" s="20">
        <v>1.0</v>
      </c>
      <c r="P972" s="20">
        <f t="shared" si="2"/>
        <v>36</v>
      </c>
      <c r="Q972" s="21">
        <v>7.0</v>
      </c>
      <c r="R972" s="22">
        <f t="shared" si="3"/>
        <v>72.69102564</v>
      </c>
      <c r="S972" s="23">
        <f t="shared" si="4"/>
        <v>2.564102564</v>
      </c>
      <c r="T972" s="24">
        <f t="shared" si="5"/>
        <v>5.428571429</v>
      </c>
      <c r="U972" s="26">
        <f t="shared" si="6"/>
        <v>0.1111111111</v>
      </c>
      <c r="V972" s="26">
        <f t="shared" si="7"/>
        <v>0.01975308642</v>
      </c>
      <c r="W972" s="19">
        <f t="shared" si="8"/>
        <v>1.75</v>
      </c>
      <c r="X972" s="20">
        <f t="shared" si="9"/>
        <v>200</v>
      </c>
      <c r="Y972" s="16"/>
      <c r="Z972" s="17"/>
      <c r="AA972" s="28"/>
      <c r="AB972" s="17"/>
      <c r="AC972" s="28"/>
      <c r="AD972" s="16"/>
    </row>
    <row r="973" ht="15.75" customHeight="1">
      <c r="A973" s="27" t="s">
        <v>2679</v>
      </c>
      <c r="B973" s="27" t="s">
        <v>2680</v>
      </c>
      <c r="C973" s="16" t="s">
        <v>2681</v>
      </c>
      <c r="D973" s="17" t="s">
        <v>33</v>
      </c>
      <c r="E973" s="18" t="s">
        <v>34</v>
      </c>
      <c r="F973" s="18">
        <v>1.0</v>
      </c>
      <c r="G973" s="19">
        <f t="shared" si="10"/>
        <v>0.7054798145</v>
      </c>
      <c r="H973" s="17">
        <v>20.0</v>
      </c>
      <c r="I973" s="10">
        <v>50.0</v>
      </c>
      <c r="J973" s="17">
        <v>0.0</v>
      </c>
      <c r="K973" s="17">
        <v>15.0</v>
      </c>
      <c r="L973" s="17"/>
      <c r="M973" s="20">
        <v>13.0</v>
      </c>
      <c r="N973" s="20">
        <v>0.0</v>
      </c>
      <c r="O973" s="20">
        <v>13.0</v>
      </c>
      <c r="P973" s="20">
        <f t="shared" si="2"/>
        <v>0</v>
      </c>
      <c r="Q973" s="21">
        <v>0.0</v>
      </c>
      <c r="R973" s="22">
        <f t="shared" si="3"/>
        <v>70.87375</v>
      </c>
      <c r="S973" s="23">
        <f t="shared" si="4"/>
        <v>2.5</v>
      </c>
      <c r="T973" s="24" t="str">
        <f t="shared" si="5"/>
        <v>N/A</v>
      </c>
      <c r="U973" s="26" t="str">
        <f t="shared" si="6"/>
        <v>0%</v>
      </c>
      <c r="V973" s="26">
        <f t="shared" si="7"/>
        <v>1</v>
      </c>
      <c r="W973" s="19">
        <f t="shared" si="8"/>
        <v>0.3</v>
      </c>
      <c r="X973" s="20">
        <f t="shared" si="9"/>
        <v>50</v>
      </c>
      <c r="Y973" s="27"/>
      <c r="Z973" s="17"/>
      <c r="AA973" s="28"/>
      <c r="AB973" s="17"/>
      <c r="AC973" s="28"/>
      <c r="AD973" s="16"/>
    </row>
    <row r="974" ht="15.75" customHeight="1">
      <c r="A974" s="27" t="s">
        <v>2431</v>
      </c>
      <c r="B974" s="27" t="s">
        <v>2682</v>
      </c>
      <c r="C974" s="16" t="s">
        <v>2683</v>
      </c>
      <c r="D974" s="17" t="s">
        <v>81</v>
      </c>
      <c r="E974" s="18" t="s">
        <v>34</v>
      </c>
      <c r="F974" s="18">
        <v>1.0</v>
      </c>
      <c r="G974" s="19">
        <f t="shared" si="10"/>
        <v>1.410959629</v>
      </c>
      <c r="H974" s="17">
        <v>40.0</v>
      </c>
      <c r="I974" s="10">
        <v>100.0</v>
      </c>
      <c r="J974" s="17">
        <v>0.0</v>
      </c>
      <c r="K974" s="17">
        <v>0.0</v>
      </c>
      <c r="L974" s="17">
        <v>180.0</v>
      </c>
      <c r="M974" s="20">
        <v>25.0</v>
      </c>
      <c r="N974" s="20">
        <v>3.0</v>
      </c>
      <c r="O974" s="20">
        <v>13.0</v>
      </c>
      <c r="P974" s="20">
        <f t="shared" si="2"/>
        <v>9</v>
      </c>
      <c r="Q974" s="21">
        <v>1.0</v>
      </c>
      <c r="R974" s="22">
        <f t="shared" si="3"/>
        <v>70.87375</v>
      </c>
      <c r="S974" s="23">
        <f t="shared" si="4"/>
        <v>2.5</v>
      </c>
      <c r="T974" s="24">
        <f t="shared" si="5"/>
        <v>25</v>
      </c>
      <c r="U974" s="26" t="str">
        <f t="shared" si="6"/>
        <v>0%</v>
      </c>
      <c r="V974" s="26">
        <f t="shared" si="7"/>
        <v>0.5</v>
      </c>
      <c r="W974" s="19">
        <f t="shared" si="8"/>
        <v>0</v>
      </c>
      <c r="X974" s="20">
        <f t="shared" si="9"/>
        <v>100</v>
      </c>
      <c r="Y974" s="27"/>
      <c r="Z974" s="17"/>
      <c r="AA974" s="28"/>
      <c r="AB974" s="17"/>
      <c r="AC974" s="28"/>
      <c r="AD974" s="27"/>
    </row>
    <row r="975" ht="15.75" customHeight="1">
      <c r="A975" s="27" t="s">
        <v>104</v>
      </c>
      <c r="B975" s="27" t="s">
        <v>2682</v>
      </c>
      <c r="C975" s="16" t="s">
        <v>2684</v>
      </c>
      <c r="D975" s="17" t="s">
        <v>81</v>
      </c>
      <c r="E975" s="18" t="s">
        <v>34</v>
      </c>
      <c r="F975" s="18">
        <v>1.0</v>
      </c>
      <c r="G975" s="19">
        <f t="shared" si="10"/>
        <v>1.410959629</v>
      </c>
      <c r="H975" s="17">
        <v>40.0</v>
      </c>
      <c r="I975" s="10">
        <v>100.0</v>
      </c>
      <c r="J975" s="17">
        <v>0.0</v>
      </c>
      <c r="K975" s="17">
        <v>1.0</v>
      </c>
      <c r="L975" s="17"/>
      <c r="M975" s="20">
        <v>20.0</v>
      </c>
      <c r="N975" s="20">
        <v>2.0</v>
      </c>
      <c r="O975" s="20">
        <v>11.0</v>
      </c>
      <c r="P975" s="20">
        <f t="shared" si="2"/>
        <v>7</v>
      </c>
      <c r="Q975" s="21">
        <v>1.0</v>
      </c>
      <c r="R975" s="22">
        <f t="shared" si="3"/>
        <v>70.87375</v>
      </c>
      <c r="S975" s="23">
        <f t="shared" si="4"/>
        <v>2.5</v>
      </c>
      <c r="T975" s="24">
        <f t="shared" si="5"/>
        <v>20</v>
      </c>
      <c r="U975" s="26" t="str">
        <f t="shared" si="6"/>
        <v>0%</v>
      </c>
      <c r="V975" s="26">
        <f t="shared" si="7"/>
        <v>0.5238095238</v>
      </c>
      <c r="W975" s="19">
        <f t="shared" si="8"/>
        <v>0.01</v>
      </c>
      <c r="X975" s="20">
        <f t="shared" si="9"/>
        <v>100</v>
      </c>
      <c r="Y975" s="27"/>
      <c r="Z975" s="17"/>
      <c r="AA975" s="28"/>
      <c r="AB975" s="17"/>
      <c r="AC975" s="28"/>
      <c r="AD975" s="16"/>
    </row>
    <row r="976" ht="15.75" customHeight="1">
      <c r="A976" s="27" t="s">
        <v>2636</v>
      </c>
      <c r="B976" s="27" t="s">
        <v>2685</v>
      </c>
      <c r="C976" s="16" t="s">
        <v>2686</v>
      </c>
      <c r="D976" s="17" t="s">
        <v>247</v>
      </c>
      <c r="E976" s="18" t="s">
        <v>34</v>
      </c>
      <c r="F976" s="18">
        <v>1.0</v>
      </c>
      <c r="G976" s="19">
        <f t="shared" si="10"/>
        <v>0.9876717402</v>
      </c>
      <c r="H976" s="17">
        <v>28.0</v>
      </c>
      <c r="I976" s="10">
        <v>70.0</v>
      </c>
      <c r="J976" s="17">
        <v>1.5</v>
      </c>
      <c r="K976" s="17">
        <v>260.0</v>
      </c>
      <c r="L976" s="17"/>
      <c r="M976" s="20">
        <v>7.0</v>
      </c>
      <c r="N976" s="20">
        <v>1.0</v>
      </c>
      <c r="O976" s="20">
        <v>6.0</v>
      </c>
      <c r="P976" s="20">
        <f t="shared" si="2"/>
        <v>0</v>
      </c>
      <c r="Q976" s="21">
        <v>7.0</v>
      </c>
      <c r="R976" s="22">
        <f t="shared" si="3"/>
        <v>70.87375</v>
      </c>
      <c r="S976" s="23">
        <f t="shared" si="4"/>
        <v>2.5</v>
      </c>
      <c r="T976" s="24">
        <f t="shared" si="5"/>
        <v>1</v>
      </c>
      <c r="U976" s="26">
        <f t="shared" si="6"/>
        <v>0.1942446043</v>
      </c>
      <c r="V976" s="26">
        <f t="shared" si="7"/>
        <v>0.345323741</v>
      </c>
      <c r="W976" s="19">
        <f t="shared" si="8"/>
        <v>3.714285714</v>
      </c>
      <c r="X976" s="20">
        <f t="shared" si="9"/>
        <v>70</v>
      </c>
      <c r="Y976" s="16"/>
      <c r="Z976" s="17"/>
      <c r="AA976" s="28"/>
      <c r="AB976" s="17"/>
      <c r="AC976" s="28"/>
      <c r="AD976" s="16"/>
    </row>
    <row r="977" ht="15.75" customHeight="1">
      <c r="A977" s="27" t="s">
        <v>2636</v>
      </c>
      <c r="B977" s="27" t="s">
        <v>2687</v>
      </c>
      <c r="C977" s="16" t="s">
        <v>2688</v>
      </c>
      <c r="D977" s="17" t="s">
        <v>247</v>
      </c>
      <c r="E977" s="18" t="s">
        <v>34</v>
      </c>
      <c r="F977" s="18">
        <v>1.0</v>
      </c>
      <c r="G977" s="19">
        <f t="shared" si="10"/>
        <v>0.9876717402</v>
      </c>
      <c r="H977" s="17">
        <v>28.0</v>
      </c>
      <c r="I977" s="10">
        <v>70.0</v>
      </c>
      <c r="J977" s="17">
        <v>2.0</v>
      </c>
      <c r="K977" s="17">
        <v>260.0</v>
      </c>
      <c r="L977" s="17"/>
      <c r="M977" s="20">
        <v>7.0</v>
      </c>
      <c r="N977" s="20">
        <v>1.0</v>
      </c>
      <c r="O977" s="20">
        <v>6.0</v>
      </c>
      <c r="P977" s="20">
        <f t="shared" si="2"/>
        <v>0</v>
      </c>
      <c r="Q977" s="21">
        <v>7.0</v>
      </c>
      <c r="R977" s="22">
        <f t="shared" si="3"/>
        <v>70.87375</v>
      </c>
      <c r="S977" s="23">
        <f t="shared" si="4"/>
        <v>2.5</v>
      </c>
      <c r="T977" s="24">
        <f t="shared" si="5"/>
        <v>1</v>
      </c>
      <c r="U977" s="26">
        <f t="shared" si="6"/>
        <v>0.2432432432</v>
      </c>
      <c r="V977" s="26">
        <f t="shared" si="7"/>
        <v>0.3243243243</v>
      </c>
      <c r="W977" s="19">
        <f t="shared" si="8"/>
        <v>3.714285714</v>
      </c>
      <c r="X977" s="20">
        <f t="shared" si="9"/>
        <v>70</v>
      </c>
      <c r="Y977" s="27"/>
      <c r="Z977" s="17"/>
      <c r="AA977" s="28"/>
      <c r="AB977" s="17"/>
      <c r="AC977" s="28"/>
      <c r="AD977" s="16"/>
    </row>
    <row r="978" ht="15.75" customHeight="1">
      <c r="A978" s="27" t="s">
        <v>2636</v>
      </c>
      <c r="B978" s="27" t="s">
        <v>2689</v>
      </c>
      <c r="C978" s="16" t="s">
        <v>2690</v>
      </c>
      <c r="D978" s="17" t="s">
        <v>247</v>
      </c>
      <c r="E978" s="18" t="s">
        <v>34</v>
      </c>
      <c r="F978" s="18">
        <v>1.0</v>
      </c>
      <c r="G978" s="19">
        <f t="shared" si="10"/>
        <v>0.9876717402</v>
      </c>
      <c r="H978" s="17">
        <v>28.0</v>
      </c>
      <c r="I978" s="10">
        <v>70.0</v>
      </c>
      <c r="J978" s="17">
        <v>3.0</v>
      </c>
      <c r="K978" s="17">
        <v>230.0</v>
      </c>
      <c r="L978" s="17"/>
      <c r="M978" s="20">
        <v>6.0</v>
      </c>
      <c r="N978" s="20">
        <v>1.0</v>
      </c>
      <c r="O978" s="20">
        <v>4.0</v>
      </c>
      <c r="P978" s="20">
        <f t="shared" si="2"/>
        <v>1</v>
      </c>
      <c r="Q978" s="21">
        <v>7.0</v>
      </c>
      <c r="R978" s="22">
        <f t="shared" si="3"/>
        <v>70.87375</v>
      </c>
      <c r="S978" s="23">
        <f t="shared" si="4"/>
        <v>2.5</v>
      </c>
      <c r="T978" s="24">
        <f t="shared" si="5"/>
        <v>0.8571428571</v>
      </c>
      <c r="U978" s="26">
        <f t="shared" si="6"/>
        <v>0.3417721519</v>
      </c>
      <c r="V978" s="26">
        <f t="shared" si="7"/>
        <v>0.2025316456</v>
      </c>
      <c r="W978" s="19">
        <f t="shared" si="8"/>
        <v>3.285714286</v>
      </c>
      <c r="X978" s="20">
        <f t="shared" si="9"/>
        <v>70</v>
      </c>
      <c r="Y978" s="27"/>
      <c r="Z978" s="17"/>
      <c r="AA978" s="28"/>
      <c r="AB978" s="17"/>
      <c r="AC978" s="28"/>
      <c r="AD978" s="27"/>
    </row>
    <row r="979" ht="15.75" customHeight="1">
      <c r="A979" s="16" t="s">
        <v>244</v>
      </c>
      <c r="B979" s="16" t="s">
        <v>2388</v>
      </c>
      <c r="C979" s="16" t="s">
        <v>2691</v>
      </c>
      <c r="D979" s="17" t="s">
        <v>1648</v>
      </c>
      <c r="E979" s="18" t="s">
        <v>34</v>
      </c>
      <c r="F979" s="18">
        <v>1.0</v>
      </c>
      <c r="G979" s="19">
        <f t="shared" si="10"/>
        <v>0.9876717402</v>
      </c>
      <c r="H979" s="17">
        <v>28.0</v>
      </c>
      <c r="I979" s="10">
        <v>70.0</v>
      </c>
      <c r="J979" s="17">
        <v>0.5</v>
      </c>
      <c r="K979" s="17">
        <v>500.0</v>
      </c>
      <c r="L979" s="17"/>
      <c r="M979" s="20">
        <v>8.0</v>
      </c>
      <c r="N979" s="20">
        <v>0.0</v>
      </c>
      <c r="O979" s="20">
        <v>7.0</v>
      </c>
      <c r="P979" s="20">
        <f t="shared" si="2"/>
        <v>1</v>
      </c>
      <c r="Q979" s="21">
        <v>10.0</v>
      </c>
      <c r="R979" s="22">
        <f t="shared" si="3"/>
        <v>70.87375</v>
      </c>
      <c r="S979" s="23">
        <f t="shared" si="4"/>
        <v>2.5</v>
      </c>
      <c r="T979" s="24">
        <f t="shared" si="5"/>
        <v>0.8</v>
      </c>
      <c r="U979" s="26">
        <f t="shared" si="6"/>
        <v>0.05882352941</v>
      </c>
      <c r="V979" s="26">
        <f t="shared" si="7"/>
        <v>0.3660130719</v>
      </c>
      <c r="W979" s="19">
        <f t="shared" si="8"/>
        <v>7.142857143</v>
      </c>
      <c r="X979" s="20">
        <f t="shared" si="9"/>
        <v>70</v>
      </c>
      <c r="Y979" s="27"/>
      <c r="Z979" s="17"/>
      <c r="AA979" s="28"/>
      <c r="AB979" s="17"/>
      <c r="AC979" s="28"/>
      <c r="AD979" s="27"/>
    </row>
    <row r="980" ht="15.75" customHeight="1">
      <c r="A980" s="16" t="s">
        <v>1668</v>
      </c>
      <c r="B980" s="16" t="s">
        <v>2692</v>
      </c>
      <c r="C980" s="16" t="s">
        <v>2693</v>
      </c>
      <c r="D980" s="17" t="s">
        <v>247</v>
      </c>
      <c r="E980" s="18" t="s">
        <v>34</v>
      </c>
      <c r="F980" s="18">
        <v>1.0</v>
      </c>
      <c r="G980" s="19">
        <f t="shared" si="10"/>
        <v>0.9876717402</v>
      </c>
      <c r="H980" s="17">
        <v>28.0</v>
      </c>
      <c r="I980" s="10">
        <v>70.0</v>
      </c>
      <c r="J980" s="17">
        <v>5.0</v>
      </c>
      <c r="K980" s="17">
        <v>480.0</v>
      </c>
      <c r="L980" s="17"/>
      <c r="M980" s="20">
        <v>1.0</v>
      </c>
      <c r="N980" s="20">
        <v>0.0</v>
      </c>
      <c r="O980" s="20">
        <v>0.0</v>
      </c>
      <c r="P980" s="20">
        <f t="shared" si="2"/>
        <v>1</v>
      </c>
      <c r="Q980" s="21">
        <v>8.0</v>
      </c>
      <c r="R980" s="22">
        <f t="shared" si="3"/>
        <v>70.87375</v>
      </c>
      <c r="S980" s="23">
        <f t="shared" si="4"/>
        <v>2.5</v>
      </c>
      <c r="T980" s="24">
        <f t="shared" si="5"/>
        <v>0.125</v>
      </c>
      <c r="U980" s="26">
        <f t="shared" si="6"/>
        <v>0.5555555556</v>
      </c>
      <c r="V980" s="26" t="str">
        <f t="shared" si="7"/>
        <v>0%</v>
      </c>
      <c r="W980" s="19">
        <f t="shared" si="8"/>
        <v>6.857142857</v>
      </c>
      <c r="X980" s="20">
        <f t="shared" si="9"/>
        <v>70</v>
      </c>
      <c r="Y980" s="27"/>
      <c r="Z980" s="17"/>
      <c r="AA980" s="28"/>
      <c r="AB980" s="17"/>
      <c r="AC980" s="28"/>
      <c r="AD980" s="27"/>
    </row>
    <row r="981" ht="15.75" customHeight="1">
      <c r="A981" s="16" t="s">
        <v>2694</v>
      </c>
      <c r="B981" s="16" t="s">
        <v>2695</v>
      </c>
      <c r="C981" s="16" t="s">
        <v>2696</v>
      </c>
      <c r="D981" s="17" t="s">
        <v>247</v>
      </c>
      <c r="E981" s="18" t="s">
        <v>34</v>
      </c>
      <c r="F981" s="18">
        <v>1.0</v>
      </c>
      <c r="G981" s="19">
        <f t="shared" si="10"/>
        <v>2.610275313</v>
      </c>
      <c r="H981" s="17">
        <v>74.0</v>
      </c>
      <c r="I981" s="10">
        <v>180.0</v>
      </c>
      <c r="J981" s="17">
        <v>12.0</v>
      </c>
      <c r="K981" s="17">
        <v>200.0</v>
      </c>
      <c r="L981" s="17"/>
      <c r="M981" s="20">
        <v>0.0</v>
      </c>
      <c r="N981" s="20">
        <v>0.0</v>
      </c>
      <c r="O981" s="20">
        <v>0.0</v>
      </c>
      <c r="P981" s="20">
        <f t="shared" si="2"/>
        <v>0</v>
      </c>
      <c r="Q981" s="21">
        <v>18.0</v>
      </c>
      <c r="R981" s="22">
        <f t="shared" si="3"/>
        <v>68.95824324</v>
      </c>
      <c r="S981" s="23">
        <f t="shared" si="4"/>
        <v>2.432432432</v>
      </c>
      <c r="T981" s="24">
        <f t="shared" si="5"/>
        <v>0</v>
      </c>
      <c r="U981" s="26">
        <f t="shared" si="6"/>
        <v>0.6</v>
      </c>
      <c r="V981" s="26" t="str">
        <f t="shared" si="7"/>
        <v>0%</v>
      </c>
      <c r="W981" s="19">
        <f t="shared" si="8"/>
        <v>1.111111111</v>
      </c>
      <c r="X981" s="20">
        <f t="shared" si="9"/>
        <v>180</v>
      </c>
      <c r="Y981" s="27"/>
      <c r="Z981" s="17"/>
      <c r="AA981" s="28"/>
      <c r="AB981" s="17"/>
      <c r="AC981" s="28"/>
      <c r="AD981" s="27"/>
    </row>
    <row r="982" ht="15.75" customHeight="1">
      <c r="A982" s="16" t="s">
        <v>2697</v>
      </c>
      <c r="B982" s="16" t="s">
        <v>2698</v>
      </c>
      <c r="C982" s="16" t="s">
        <v>2699</v>
      </c>
      <c r="D982" s="17" t="s">
        <v>240</v>
      </c>
      <c r="E982" s="18" t="s">
        <v>34</v>
      </c>
      <c r="F982" s="18">
        <v>1.0</v>
      </c>
      <c r="G982" s="19">
        <f t="shared" si="10"/>
        <v>0.7407538052</v>
      </c>
      <c r="H982" s="17">
        <v>21.0</v>
      </c>
      <c r="I982" s="10">
        <v>50.0</v>
      </c>
      <c r="J982" s="17">
        <v>4.0</v>
      </c>
      <c r="K982" s="17">
        <v>190.0</v>
      </c>
      <c r="L982" s="17"/>
      <c r="M982" s="20">
        <v>1.0</v>
      </c>
      <c r="N982" s="20">
        <v>0.0</v>
      </c>
      <c r="O982" s="20">
        <v>1.0</v>
      </c>
      <c r="P982" s="20">
        <f t="shared" si="2"/>
        <v>0</v>
      </c>
      <c r="Q982" s="21">
        <v>2.0</v>
      </c>
      <c r="R982" s="22">
        <f t="shared" si="3"/>
        <v>67.49880952</v>
      </c>
      <c r="S982" s="23">
        <f t="shared" si="4"/>
        <v>2.380952381</v>
      </c>
      <c r="T982" s="24">
        <f t="shared" si="5"/>
        <v>0.5</v>
      </c>
      <c r="U982" s="26">
        <f t="shared" si="6"/>
        <v>0.75</v>
      </c>
      <c r="V982" s="26">
        <f t="shared" si="7"/>
        <v>0.08333333333</v>
      </c>
      <c r="W982" s="19">
        <f t="shared" si="8"/>
        <v>3.8</v>
      </c>
      <c r="X982" s="20">
        <f t="shared" si="9"/>
        <v>50</v>
      </c>
      <c r="Y982" s="27"/>
      <c r="Z982" s="17"/>
      <c r="AA982" s="28"/>
      <c r="AB982" s="17"/>
      <c r="AC982" s="28"/>
      <c r="AD982" s="27"/>
    </row>
    <row r="983" ht="15.75" customHeight="1">
      <c r="A983" s="16" t="s">
        <v>2674</v>
      </c>
      <c r="B983" s="16" t="s">
        <v>2700</v>
      </c>
      <c r="C983" s="16" t="s">
        <v>2701</v>
      </c>
      <c r="D983" s="17" t="s">
        <v>2526</v>
      </c>
      <c r="E983" s="18" t="s">
        <v>34</v>
      </c>
      <c r="F983" s="18">
        <v>1.0</v>
      </c>
      <c r="G983" s="19">
        <f t="shared" si="10"/>
        <v>1.340411647</v>
      </c>
      <c r="H983" s="17">
        <v>38.0</v>
      </c>
      <c r="I983" s="10">
        <v>90.0</v>
      </c>
      <c r="J983" s="17">
        <v>2.0</v>
      </c>
      <c r="K983" s="17">
        <v>150.0</v>
      </c>
      <c r="L983" s="17"/>
      <c r="M983" s="20">
        <v>17.0</v>
      </c>
      <c r="N983" s="20">
        <v>3.0</v>
      </c>
      <c r="O983" s="20">
        <v>2.0</v>
      </c>
      <c r="P983" s="20">
        <f t="shared" si="2"/>
        <v>12</v>
      </c>
      <c r="Q983" s="21">
        <v>4.0</v>
      </c>
      <c r="R983" s="22">
        <f t="shared" si="3"/>
        <v>67.14355263</v>
      </c>
      <c r="S983" s="23">
        <f t="shared" si="4"/>
        <v>2.368421053</v>
      </c>
      <c r="T983" s="24">
        <f t="shared" si="5"/>
        <v>4.25</v>
      </c>
      <c r="U983" s="26">
        <f t="shared" si="6"/>
        <v>0.1764705882</v>
      </c>
      <c r="V983" s="26">
        <f t="shared" si="7"/>
        <v>0.07843137255</v>
      </c>
      <c r="W983" s="19">
        <f t="shared" si="8"/>
        <v>1.666666667</v>
      </c>
      <c r="X983" s="20">
        <f t="shared" si="9"/>
        <v>90</v>
      </c>
      <c r="Y983" s="27"/>
      <c r="Z983" s="17"/>
      <c r="AA983" s="28"/>
      <c r="AB983" s="17"/>
      <c r="AC983" s="28"/>
      <c r="AD983" s="16"/>
    </row>
    <row r="984" ht="15.75" customHeight="1">
      <c r="A984" s="16" t="s">
        <v>2674</v>
      </c>
      <c r="B984" s="16" t="s">
        <v>2702</v>
      </c>
      <c r="C984" s="16" t="s">
        <v>2703</v>
      </c>
      <c r="D984" s="17" t="s">
        <v>2526</v>
      </c>
      <c r="E984" s="18" t="s">
        <v>34</v>
      </c>
      <c r="F984" s="18">
        <v>1.0</v>
      </c>
      <c r="G984" s="19">
        <f t="shared" si="10"/>
        <v>1.516781601</v>
      </c>
      <c r="H984" s="17">
        <v>43.0</v>
      </c>
      <c r="I984" s="10">
        <v>100.0</v>
      </c>
      <c r="J984" s="17">
        <v>1.0</v>
      </c>
      <c r="K984" s="17">
        <v>170.0</v>
      </c>
      <c r="L984" s="17"/>
      <c r="M984" s="20">
        <v>22.0</v>
      </c>
      <c r="N984" s="20">
        <v>5.0</v>
      </c>
      <c r="O984" s="20">
        <v>2.0</v>
      </c>
      <c r="P984" s="20">
        <f t="shared" si="2"/>
        <v>15</v>
      </c>
      <c r="Q984" s="21">
        <v>5.0</v>
      </c>
      <c r="R984" s="22">
        <f t="shared" si="3"/>
        <v>65.92906977</v>
      </c>
      <c r="S984" s="23">
        <f t="shared" si="4"/>
        <v>2.325581395</v>
      </c>
      <c r="T984" s="24">
        <f t="shared" si="5"/>
        <v>4.4</v>
      </c>
      <c r="U984" s="26">
        <f t="shared" si="6"/>
        <v>0.07692307692</v>
      </c>
      <c r="V984" s="26">
        <f t="shared" si="7"/>
        <v>0.06837606838</v>
      </c>
      <c r="W984" s="19">
        <f t="shared" si="8"/>
        <v>1.7</v>
      </c>
      <c r="X984" s="20">
        <f t="shared" si="9"/>
        <v>100</v>
      </c>
      <c r="Y984" s="27"/>
      <c r="Z984" s="17"/>
      <c r="AA984" s="28"/>
      <c r="AB984" s="17"/>
      <c r="AC984" s="28"/>
      <c r="AD984" s="27"/>
    </row>
    <row r="985" ht="15.75" customHeight="1">
      <c r="A985" s="27" t="s">
        <v>2669</v>
      </c>
      <c r="B985" s="27" t="s">
        <v>2704</v>
      </c>
      <c r="C985" s="16" t="s">
        <v>2705</v>
      </c>
      <c r="D985" s="17" t="s">
        <v>2526</v>
      </c>
      <c r="E985" s="18" t="s">
        <v>34</v>
      </c>
      <c r="F985" s="18">
        <v>1.0</v>
      </c>
      <c r="G985" s="19">
        <f t="shared" si="10"/>
        <v>2.010617471</v>
      </c>
      <c r="H985" s="17">
        <v>57.0</v>
      </c>
      <c r="I985" s="10">
        <v>130.0</v>
      </c>
      <c r="J985" s="17">
        <v>2.0</v>
      </c>
      <c r="K985" s="17">
        <v>300.0</v>
      </c>
      <c r="L985" s="17"/>
      <c r="M985" s="20">
        <v>17.0</v>
      </c>
      <c r="N985" s="20">
        <v>8.0</v>
      </c>
      <c r="O985" s="20">
        <v>1.0</v>
      </c>
      <c r="P985" s="20">
        <f t="shared" si="2"/>
        <v>8</v>
      </c>
      <c r="Q985" s="21">
        <v>12.0</v>
      </c>
      <c r="R985" s="22">
        <f t="shared" si="3"/>
        <v>64.65675439</v>
      </c>
      <c r="S985" s="23">
        <f t="shared" si="4"/>
        <v>2.280701754</v>
      </c>
      <c r="T985" s="24">
        <f t="shared" si="5"/>
        <v>1.416666667</v>
      </c>
      <c r="U985" s="26">
        <f t="shared" si="6"/>
        <v>0.1343283582</v>
      </c>
      <c r="V985" s="26">
        <f t="shared" si="7"/>
        <v>0.02985074627</v>
      </c>
      <c r="W985" s="19">
        <f t="shared" si="8"/>
        <v>2.307692308</v>
      </c>
      <c r="X985" s="20">
        <f t="shared" si="9"/>
        <v>130</v>
      </c>
      <c r="Y985" s="27"/>
      <c r="Z985" s="17"/>
      <c r="AA985" s="28"/>
      <c r="AB985" s="17"/>
      <c r="AC985" s="28"/>
      <c r="AD985" s="16"/>
    </row>
    <row r="986" ht="15.75" customHeight="1">
      <c r="A986" s="16" t="s">
        <v>104</v>
      </c>
      <c r="B986" s="16" t="s">
        <v>2706</v>
      </c>
      <c r="C986" s="16" t="s">
        <v>2707</v>
      </c>
      <c r="D986" s="17" t="s">
        <v>81</v>
      </c>
      <c r="E986" s="18" t="s">
        <v>34</v>
      </c>
      <c r="F986" s="18">
        <v>1.0</v>
      </c>
      <c r="G986" s="19">
        <f t="shared" si="10"/>
        <v>1.410959629</v>
      </c>
      <c r="H986" s="17">
        <v>40.0</v>
      </c>
      <c r="I986" s="10">
        <v>90.0</v>
      </c>
      <c r="J986" s="17">
        <v>0.0</v>
      </c>
      <c r="K986" s="17">
        <v>10.0</v>
      </c>
      <c r="L986" s="17"/>
      <c r="M986" s="20">
        <v>22.0</v>
      </c>
      <c r="N986" s="20">
        <v>3.0</v>
      </c>
      <c r="O986" s="20">
        <v>19.0</v>
      </c>
      <c r="P986" s="20">
        <f t="shared" si="2"/>
        <v>0</v>
      </c>
      <c r="Q986" s="21">
        <v>1.0</v>
      </c>
      <c r="R986" s="22">
        <f t="shared" si="3"/>
        <v>63.786375</v>
      </c>
      <c r="S986" s="23">
        <f t="shared" si="4"/>
        <v>2.25</v>
      </c>
      <c r="T986" s="24">
        <f t="shared" si="5"/>
        <v>22</v>
      </c>
      <c r="U986" s="26" t="str">
        <f t="shared" si="6"/>
        <v>0%</v>
      </c>
      <c r="V986" s="26">
        <f t="shared" si="7"/>
        <v>0.8260869565</v>
      </c>
      <c r="W986" s="19">
        <f t="shared" si="8"/>
        <v>0.1111111111</v>
      </c>
      <c r="X986" s="20">
        <f t="shared" si="9"/>
        <v>90</v>
      </c>
      <c r="Y986" s="27"/>
      <c r="Z986" s="17"/>
      <c r="AA986" s="28"/>
      <c r="AB986" s="17"/>
      <c r="AC986" s="28"/>
      <c r="AD986" s="16"/>
    </row>
    <row r="987" ht="15.75" customHeight="1">
      <c r="A987" s="27" t="s">
        <v>2694</v>
      </c>
      <c r="B987" s="27" t="s">
        <v>2708</v>
      </c>
      <c r="C987" s="16" t="s">
        <v>2709</v>
      </c>
      <c r="D987" s="17" t="s">
        <v>247</v>
      </c>
      <c r="E987" s="18" t="s">
        <v>34</v>
      </c>
      <c r="F987" s="18">
        <v>1.0</v>
      </c>
      <c r="G987" s="19">
        <f t="shared" si="10"/>
        <v>2.610275313</v>
      </c>
      <c r="H987" s="17">
        <v>74.0</v>
      </c>
      <c r="I987" s="10">
        <v>160.0</v>
      </c>
      <c r="J987" s="17">
        <v>10.0</v>
      </c>
      <c r="K987" s="17">
        <v>290.0</v>
      </c>
      <c r="L987" s="17">
        <v>200.0</v>
      </c>
      <c r="M987" s="20">
        <v>0.0</v>
      </c>
      <c r="N987" s="20">
        <v>0.0</v>
      </c>
      <c r="O987" s="20">
        <v>0.0</v>
      </c>
      <c r="P987" s="20">
        <f t="shared" si="2"/>
        <v>0</v>
      </c>
      <c r="Q987" s="21">
        <v>17.0</v>
      </c>
      <c r="R987" s="22">
        <f t="shared" si="3"/>
        <v>61.29621622</v>
      </c>
      <c r="S987" s="23">
        <f t="shared" si="4"/>
        <v>2.162162162</v>
      </c>
      <c r="T987" s="24">
        <f t="shared" si="5"/>
        <v>0</v>
      </c>
      <c r="U987" s="26">
        <f t="shared" si="6"/>
        <v>0.5696202532</v>
      </c>
      <c r="V987" s="26" t="str">
        <f t="shared" si="7"/>
        <v>0%</v>
      </c>
      <c r="W987" s="19">
        <f t="shared" si="8"/>
        <v>1.8125</v>
      </c>
      <c r="X987" s="20">
        <f t="shared" si="9"/>
        <v>160</v>
      </c>
      <c r="Y987" s="27"/>
      <c r="Z987" s="17"/>
      <c r="AA987" s="28"/>
      <c r="AB987" s="17"/>
      <c r="AC987" s="28"/>
      <c r="AD987" s="27"/>
    </row>
    <row r="988" ht="15.75" customHeight="1">
      <c r="A988" s="16" t="s">
        <v>64</v>
      </c>
      <c r="B988" s="16" t="s">
        <v>2710</v>
      </c>
      <c r="C988" s="16" t="s">
        <v>2711</v>
      </c>
      <c r="D988" s="17" t="s">
        <v>1648</v>
      </c>
      <c r="E988" s="18" t="s">
        <v>34</v>
      </c>
      <c r="F988" s="18">
        <v>1.0</v>
      </c>
      <c r="G988" s="19">
        <f t="shared" si="10"/>
        <v>0.9876717402</v>
      </c>
      <c r="H988" s="17">
        <v>28.0</v>
      </c>
      <c r="I988" s="10">
        <v>60.0</v>
      </c>
      <c r="J988" s="17">
        <v>0.5</v>
      </c>
      <c r="K988" s="17">
        <v>330.0</v>
      </c>
      <c r="L988" s="17"/>
      <c r="M988" s="20">
        <v>5.0</v>
      </c>
      <c r="N988" s="20">
        <v>0.0</v>
      </c>
      <c r="O988" s="20">
        <v>4.0</v>
      </c>
      <c r="P988" s="20">
        <f t="shared" si="2"/>
        <v>1</v>
      </c>
      <c r="Q988" s="21">
        <v>9.0</v>
      </c>
      <c r="R988" s="22">
        <f t="shared" si="3"/>
        <v>60.74892857</v>
      </c>
      <c r="S988" s="23">
        <f t="shared" si="4"/>
        <v>2.142857143</v>
      </c>
      <c r="T988" s="24">
        <f t="shared" si="5"/>
        <v>0.5555555556</v>
      </c>
      <c r="U988" s="26">
        <f t="shared" si="6"/>
        <v>0.07438016529</v>
      </c>
      <c r="V988" s="26">
        <f t="shared" si="7"/>
        <v>0.2644628099</v>
      </c>
      <c r="W988" s="19">
        <f t="shared" si="8"/>
        <v>5.5</v>
      </c>
      <c r="X988" s="20">
        <f t="shared" si="9"/>
        <v>60</v>
      </c>
      <c r="Y988" s="27"/>
      <c r="Z988" s="17"/>
      <c r="AA988" s="28"/>
      <c r="AB988" s="17"/>
      <c r="AC988" s="28"/>
      <c r="AD988" s="27"/>
    </row>
    <row r="989" ht="15.75" customHeight="1">
      <c r="A989" s="16" t="s">
        <v>2712</v>
      </c>
      <c r="B989" s="16" t="s">
        <v>2713</v>
      </c>
      <c r="C989" s="16" t="s">
        <v>2714</v>
      </c>
      <c r="D989" s="17" t="s">
        <v>33</v>
      </c>
      <c r="E989" s="18" t="s">
        <v>34</v>
      </c>
      <c r="F989" s="18">
        <v>1.0</v>
      </c>
      <c r="G989" s="19">
        <f t="shared" si="10"/>
        <v>0.6702058237</v>
      </c>
      <c r="H989" s="17">
        <v>19.0</v>
      </c>
      <c r="I989" s="10">
        <v>40.0</v>
      </c>
      <c r="J989" s="17">
        <v>0.0</v>
      </c>
      <c r="K989" s="17">
        <v>0.0</v>
      </c>
      <c r="L989" s="17"/>
      <c r="M989" s="20">
        <v>10.0</v>
      </c>
      <c r="N989" s="20">
        <v>0.0</v>
      </c>
      <c r="O989" s="20">
        <v>8.0</v>
      </c>
      <c r="P989" s="20">
        <f t="shared" si="2"/>
        <v>2</v>
      </c>
      <c r="Q989" s="21">
        <v>0.0</v>
      </c>
      <c r="R989" s="22">
        <f t="shared" si="3"/>
        <v>59.68315789</v>
      </c>
      <c r="S989" s="23">
        <f t="shared" si="4"/>
        <v>2.105263158</v>
      </c>
      <c r="T989" s="24" t="str">
        <f t="shared" si="5"/>
        <v>N/A</v>
      </c>
      <c r="U989" s="26" t="str">
        <f t="shared" si="6"/>
        <v>0%</v>
      </c>
      <c r="V989" s="26">
        <f t="shared" si="7"/>
        <v>0.8</v>
      </c>
      <c r="W989" s="19">
        <f t="shared" si="8"/>
        <v>0</v>
      </c>
      <c r="X989" s="20">
        <f t="shared" si="9"/>
        <v>40</v>
      </c>
      <c r="Y989" s="27"/>
      <c r="Z989" s="17"/>
      <c r="AA989" s="28"/>
      <c r="AB989" s="17"/>
      <c r="AC989" s="28"/>
      <c r="AD989" s="27"/>
    </row>
    <row r="990" ht="15.75" customHeight="1">
      <c r="A990" s="16" t="s">
        <v>2694</v>
      </c>
      <c r="B990" s="16" t="s">
        <v>2715</v>
      </c>
      <c r="C990" s="16" t="s">
        <v>2716</v>
      </c>
      <c r="D990" s="17" t="s">
        <v>247</v>
      </c>
      <c r="E990" s="18" t="s">
        <v>34</v>
      </c>
      <c r="F990" s="18">
        <v>1.0</v>
      </c>
      <c r="G990" s="19">
        <f t="shared" si="10"/>
        <v>2.610275313</v>
      </c>
      <c r="H990" s="17">
        <v>74.0</v>
      </c>
      <c r="I990" s="10">
        <v>150.0</v>
      </c>
      <c r="J990" s="17">
        <v>9.0</v>
      </c>
      <c r="K990" s="17">
        <v>360.0</v>
      </c>
      <c r="L990" s="17"/>
      <c r="M990" s="20">
        <v>2.0</v>
      </c>
      <c r="N990" s="20">
        <v>0.0</v>
      </c>
      <c r="O990" s="20">
        <v>1.0</v>
      </c>
      <c r="P990" s="20">
        <f t="shared" si="2"/>
        <v>1</v>
      </c>
      <c r="Q990" s="21">
        <v>14.0</v>
      </c>
      <c r="R990" s="22">
        <f t="shared" si="3"/>
        <v>57.4652027</v>
      </c>
      <c r="S990" s="23">
        <f t="shared" si="4"/>
        <v>2.027027027</v>
      </c>
      <c r="T990" s="24">
        <f t="shared" si="5"/>
        <v>0.1428571429</v>
      </c>
      <c r="U990" s="26">
        <f t="shared" si="6"/>
        <v>0.5586206897</v>
      </c>
      <c r="V990" s="26">
        <f t="shared" si="7"/>
        <v>0.0275862069</v>
      </c>
      <c r="W990" s="19">
        <f t="shared" si="8"/>
        <v>2.4</v>
      </c>
      <c r="X990" s="20">
        <f t="shared" si="9"/>
        <v>150</v>
      </c>
      <c r="Y990" s="27"/>
      <c r="Z990" s="17"/>
      <c r="AA990" s="28"/>
      <c r="AB990" s="17"/>
      <c r="AC990" s="28"/>
      <c r="AD990" s="27"/>
    </row>
    <row r="991" ht="15.75" customHeight="1">
      <c r="A991" s="27" t="s">
        <v>2501</v>
      </c>
      <c r="B991" s="27" t="s">
        <v>2717</v>
      </c>
      <c r="C991" s="16" t="s">
        <v>2718</v>
      </c>
      <c r="D991" s="17" t="s">
        <v>119</v>
      </c>
      <c r="E991" s="18" t="s">
        <v>34</v>
      </c>
      <c r="F991" s="18">
        <v>1.0</v>
      </c>
      <c r="G991" s="19">
        <f t="shared" si="10"/>
        <v>1.234589675</v>
      </c>
      <c r="H991" s="17">
        <v>35.0</v>
      </c>
      <c r="I991" s="10">
        <v>70.0</v>
      </c>
      <c r="J991" s="17">
        <v>0.0</v>
      </c>
      <c r="K991" s="17">
        <v>20.0</v>
      </c>
      <c r="L991" s="17"/>
      <c r="M991" s="20">
        <v>22.0</v>
      </c>
      <c r="N991" s="20">
        <v>12.0</v>
      </c>
      <c r="O991" s="20">
        <v>1.0</v>
      </c>
      <c r="P991" s="20">
        <f t="shared" si="2"/>
        <v>9</v>
      </c>
      <c r="Q991" s="21">
        <v>7.0</v>
      </c>
      <c r="R991" s="22">
        <f t="shared" si="3"/>
        <v>56.699</v>
      </c>
      <c r="S991" s="23">
        <f t="shared" si="4"/>
        <v>2</v>
      </c>
      <c r="T991" s="24">
        <f t="shared" si="5"/>
        <v>3.142857143</v>
      </c>
      <c r="U991" s="26" t="str">
        <f t="shared" si="6"/>
        <v>0%</v>
      </c>
      <c r="V991" s="26">
        <f t="shared" si="7"/>
        <v>0.03448275862</v>
      </c>
      <c r="W991" s="19">
        <f t="shared" si="8"/>
        <v>0.2857142857</v>
      </c>
      <c r="X991" s="20">
        <f t="shared" si="9"/>
        <v>70</v>
      </c>
      <c r="Y991" s="27"/>
      <c r="Z991" s="17"/>
      <c r="AA991" s="28"/>
      <c r="AB991" s="17"/>
      <c r="AC991" s="28"/>
      <c r="AD991" s="27"/>
    </row>
    <row r="992" ht="15.75" customHeight="1">
      <c r="A992" s="16" t="s">
        <v>104</v>
      </c>
      <c r="B992" s="16" t="s">
        <v>2719</v>
      </c>
      <c r="C992" s="16" t="s">
        <v>2720</v>
      </c>
      <c r="D992" s="17" t="s">
        <v>81</v>
      </c>
      <c r="E992" s="18" t="s">
        <v>34</v>
      </c>
      <c r="F992" s="18">
        <v>1.0</v>
      </c>
      <c r="G992" s="19">
        <f t="shared" si="10"/>
        <v>1.410959629</v>
      </c>
      <c r="H992" s="17">
        <v>40.0</v>
      </c>
      <c r="I992" s="10">
        <v>79.0</v>
      </c>
      <c r="J992" s="17">
        <v>1.0</v>
      </c>
      <c r="K992" s="17">
        <v>393.0</v>
      </c>
      <c r="L992" s="17"/>
      <c r="M992" s="20">
        <v>19.0</v>
      </c>
      <c r="N992" s="20">
        <v>5.0</v>
      </c>
      <c r="O992" s="20">
        <v>9.0</v>
      </c>
      <c r="P992" s="20">
        <f t="shared" si="2"/>
        <v>5</v>
      </c>
      <c r="Q992" s="21">
        <v>5.0</v>
      </c>
      <c r="R992" s="22">
        <f t="shared" si="3"/>
        <v>55.9902625</v>
      </c>
      <c r="S992" s="23">
        <f t="shared" si="4"/>
        <v>1.975</v>
      </c>
      <c r="T992" s="24">
        <f t="shared" si="5"/>
        <v>3.8</v>
      </c>
      <c r="U992" s="26">
        <f t="shared" si="6"/>
        <v>0.08571428571</v>
      </c>
      <c r="V992" s="26">
        <f t="shared" si="7"/>
        <v>0.3428571429</v>
      </c>
      <c r="W992" s="19">
        <f t="shared" si="8"/>
        <v>4.974683544</v>
      </c>
      <c r="X992" s="20">
        <f t="shared" si="9"/>
        <v>79</v>
      </c>
      <c r="Y992" s="27"/>
      <c r="Z992" s="17"/>
      <c r="AA992" s="28"/>
      <c r="AB992" s="17"/>
      <c r="AC992" s="28"/>
      <c r="AD992" s="16"/>
    </row>
    <row r="993" ht="15.75" customHeight="1">
      <c r="A993" s="16" t="s">
        <v>2721</v>
      </c>
      <c r="B993" s="16" t="s">
        <v>2722</v>
      </c>
      <c r="C993" s="16" t="s">
        <v>2723</v>
      </c>
      <c r="D993" s="17" t="s">
        <v>2526</v>
      </c>
      <c r="E993" s="18" t="s">
        <v>34</v>
      </c>
      <c r="F993" s="18">
        <v>1.0</v>
      </c>
      <c r="G993" s="19">
        <f t="shared" si="10"/>
        <v>2.010617471</v>
      </c>
      <c r="H993" s="17">
        <v>57.0</v>
      </c>
      <c r="I993" s="10">
        <v>100.0</v>
      </c>
      <c r="J993" s="17">
        <v>0.3</v>
      </c>
      <c r="K993" s="17">
        <v>320.0</v>
      </c>
      <c r="L993" s="17">
        <v>36.7</v>
      </c>
      <c r="M993" s="20">
        <v>21.2</v>
      </c>
      <c r="N993" s="20">
        <v>0.8</v>
      </c>
      <c r="O993" s="20">
        <v>1.4</v>
      </c>
      <c r="P993" s="20">
        <f t="shared" si="2"/>
        <v>19</v>
      </c>
      <c r="Q993" s="21">
        <v>2.7</v>
      </c>
      <c r="R993" s="22">
        <f t="shared" si="3"/>
        <v>49.73596491</v>
      </c>
      <c r="S993" s="23">
        <f t="shared" si="4"/>
        <v>1.754385965</v>
      </c>
      <c r="T993" s="24">
        <f t="shared" si="5"/>
        <v>7.851851852</v>
      </c>
      <c r="U993" s="26">
        <f t="shared" si="6"/>
        <v>0.02746693795</v>
      </c>
      <c r="V993" s="26">
        <f t="shared" si="7"/>
        <v>0.05696846389</v>
      </c>
      <c r="W993" s="19">
        <f t="shared" si="8"/>
        <v>3.2</v>
      </c>
      <c r="X993" s="20">
        <f t="shared" si="9"/>
        <v>100</v>
      </c>
      <c r="Y993" s="27"/>
      <c r="Z993" s="17"/>
      <c r="AA993" s="17"/>
      <c r="AB993" s="17"/>
      <c r="AC993" s="17"/>
      <c r="AD993" s="27"/>
    </row>
    <row r="994" ht="15.75" customHeight="1">
      <c r="A994" s="16" t="s">
        <v>2724</v>
      </c>
      <c r="B994" s="16" t="s">
        <v>2725</v>
      </c>
      <c r="C994" s="16" t="s">
        <v>2726</v>
      </c>
      <c r="D994" s="17" t="s">
        <v>2526</v>
      </c>
      <c r="E994" s="18" t="s">
        <v>34</v>
      </c>
      <c r="F994" s="18">
        <v>1.0</v>
      </c>
      <c r="G994" s="19">
        <f t="shared" si="10"/>
        <v>2.010617471</v>
      </c>
      <c r="H994" s="17">
        <v>57.0</v>
      </c>
      <c r="I994" s="10">
        <v>100.0</v>
      </c>
      <c r="J994" s="17">
        <v>0.3</v>
      </c>
      <c r="K994" s="17">
        <v>320.0</v>
      </c>
      <c r="L994" s="17">
        <v>37.0</v>
      </c>
      <c r="M994" s="20">
        <v>21.0</v>
      </c>
      <c r="N994" s="20">
        <v>1.0</v>
      </c>
      <c r="O994" s="20">
        <v>1.0</v>
      </c>
      <c r="P994" s="20">
        <f t="shared" si="2"/>
        <v>19</v>
      </c>
      <c r="Q994" s="21">
        <v>3.0</v>
      </c>
      <c r="R994" s="22">
        <f t="shared" si="3"/>
        <v>49.73596491</v>
      </c>
      <c r="S994" s="23">
        <f t="shared" si="4"/>
        <v>1.754385965</v>
      </c>
      <c r="T994" s="24">
        <f t="shared" si="5"/>
        <v>7</v>
      </c>
      <c r="U994" s="26">
        <f t="shared" si="6"/>
        <v>0.0273556231</v>
      </c>
      <c r="V994" s="26">
        <f t="shared" si="7"/>
        <v>0.04052684904</v>
      </c>
      <c r="W994" s="19">
        <f t="shared" si="8"/>
        <v>3.2</v>
      </c>
      <c r="X994" s="20">
        <f t="shared" si="9"/>
        <v>100</v>
      </c>
      <c r="Y994" s="27"/>
      <c r="Z994" s="17"/>
      <c r="AA994" s="28"/>
      <c r="AB994" s="17"/>
      <c r="AC994" s="28"/>
      <c r="AD994" s="27"/>
    </row>
    <row r="995" ht="15.75" customHeight="1">
      <c r="A995" s="27" t="s">
        <v>2371</v>
      </c>
      <c r="B995" s="27" t="s">
        <v>2727</v>
      </c>
      <c r="C995" s="16" t="s">
        <v>2728</v>
      </c>
      <c r="D995" s="17" t="s">
        <v>119</v>
      </c>
      <c r="E995" s="18" t="s">
        <v>34</v>
      </c>
      <c r="F995" s="18">
        <v>1.0</v>
      </c>
      <c r="G995" s="19">
        <f t="shared" si="10"/>
        <v>4.268152877</v>
      </c>
      <c r="H995" s="17">
        <v>121.0</v>
      </c>
      <c r="I995" s="10">
        <v>210.0</v>
      </c>
      <c r="J995" s="17">
        <v>2.0</v>
      </c>
      <c r="K995" s="17">
        <v>210.0</v>
      </c>
      <c r="L995" s="17"/>
      <c r="M995" s="20">
        <v>42.0</v>
      </c>
      <c r="N995" s="20">
        <v>2.0</v>
      </c>
      <c r="O995" s="20">
        <v>2.0</v>
      </c>
      <c r="P995" s="20">
        <f t="shared" si="2"/>
        <v>38</v>
      </c>
      <c r="Q995" s="21">
        <v>7.0</v>
      </c>
      <c r="R995" s="22">
        <f t="shared" si="3"/>
        <v>49.20161157</v>
      </c>
      <c r="S995" s="23">
        <f t="shared" si="4"/>
        <v>1.73553719</v>
      </c>
      <c r="T995" s="24">
        <f t="shared" si="5"/>
        <v>6</v>
      </c>
      <c r="U995" s="26">
        <f t="shared" si="6"/>
        <v>0.08411214953</v>
      </c>
      <c r="V995" s="26">
        <f t="shared" si="7"/>
        <v>0.03738317757</v>
      </c>
      <c r="W995" s="19">
        <f t="shared" si="8"/>
        <v>1</v>
      </c>
      <c r="X995" s="20">
        <f t="shared" si="9"/>
        <v>210</v>
      </c>
      <c r="Y995" s="27"/>
      <c r="Z995" s="17"/>
      <c r="AA995" s="28"/>
      <c r="AB995" s="17"/>
      <c r="AC995" s="28"/>
      <c r="AD995" s="16"/>
    </row>
    <row r="996" ht="15.75" customHeight="1">
      <c r="A996" s="27" t="s">
        <v>2371</v>
      </c>
      <c r="B996" s="27" t="s">
        <v>2729</v>
      </c>
      <c r="C996" s="16" t="s">
        <v>2730</v>
      </c>
      <c r="D996" s="17" t="s">
        <v>119</v>
      </c>
      <c r="E996" s="18" t="s">
        <v>34</v>
      </c>
      <c r="F996" s="18">
        <v>1.0</v>
      </c>
      <c r="G996" s="19">
        <f t="shared" si="10"/>
        <v>4.268152877</v>
      </c>
      <c r="H996" s="17">
        <v>121.0</v>
      </c>
      <c r="I996" s="10">
        <v>210.0</v>
      </c>
      <c r="J996" s="17">
        <v>2.0</v>
      </c>
      <c r="K996" s="17">
        <v>210.0</v>
      </c>
      <c r="L996" s="17"/>
      <c r="M996" s="20">
        <v>42.0</v>
      </c>
      <c r="N996" s="20">
        <v>2.0</v>
      </c>
      <c r="O996" s="20">
        <v>2.0</v>
      </c>
      <c r="P996" s="20">
        <f t="shared" si="2"/>
        <v>38</v>
      </c>
      <c r="Q996" s="21">
        <v>7.0</v>
      </c>
      <c r="R996" s="22">
        <f t="shared" si="3"/>
        <v>49.20161157</v>
      </c>
      <c r="S996" s="23">
        <f t="shared" si="4"/>
        <v>1.73553719</v>
      </c>
      <c r="T996" s="24">
        <f t="shared" si="5"/>
        <v>6</v>
      </c>
      <c r="U996" s="26">
        <f t="shared" si="6"/>
        <v>0.08411214953</v>
      </c>
      <c r="V996" s="26">
        <f t="shared" si="7"/>
        <v>0.03738317757</v>
      </c>
      <c r="W996" s="19">
        <f t="shared" si="8"/>
        <v>1</v>
      </c>
      <c r="X996" s="20">
        <f t="shared" si="9"/>
        <v>210</v>
      </c>
      <c r="Y996" s="16"/>
      <c r="Z996" s="17"/>
      <c r="AA996" s="28"/>
      <c r="AB996" s="17"/>
      <c r="AC996" s="28"/>
      <c r="AD996" s="16"/>
    </row>
    <row r="997" ht="15.75" customHeight="1">
      <c r="A997" s="27" t="s">
        <v>2731</v>
      </c>
      <c r="B997" s="27" t="s">
        <v>2732</v>
      </c>
      <c r="C997" s="16" t="s">
        <v>2733</v>
      </c>
      <c r="D997" s="17" t="s">
        <v>33</v>
      </c>
      <c r="E997" s="18" t="s">
        <v>34</v>
      </c>
      <c r="F997" s="18">
        <v>1.0</v>
      </c>
      <c r="G997" s="19">
        <f t="shared" si="10"/>
        <v>2.504453341</v>
      </c>
      <c r="H997" s="17">
        <v>71.0</v>
      </c>
      <c r="I997" s="10">
        <v>120.0</v>
      </c>
      <c r="J997" s="17">
        <v>6.0</v>
      </c>
      <c r="K997" s="17">
        <v>150.0</v>
      </c>
      <c r="L997" s="17"/>
      <c r="M997" s="20">
        <v>14.0</v>
      </c>
      <c r="N997" s="20">
        <v>4.0</v>
      </c>
      <c r="O997" s="20">
        <v>2.0</v>
      </c>
      <c r="P997" s="20">
        <f t="shared" si="2"/>
        <v>8</v>
      </c>
      <c r="Q997" s="21">
        <v>5.0</v>
      </c>
      <c r="R997" s="22">
        <f t="shared" si="3"/>
        <v>47.91464789</v>
      </c>
      <c r="S997" s="23">
        <f t="shared" si="4"/>
        <v>1.690140845</v>
      </c>
      <c r="T997" s="24">
        <f t="shared" si="5"/>
        <v>2.8</v>
      </c>
      <c r="U997" s="26">
        <f t="shared" si="6"/>
        <v>0.4153846154</v>
      </c>
      <c r="V997" s="26">
        <f t="shared" si="7"/>
        <v>0.06153846154</v>
      </c>
      <c r="W997" s="19">
        <f t="shared" si="8"/>
        <v>1.25</v>
      </c>
      <c r="X997" s="20">
        <f t="shared" si="9"/>
        <v>120</v>
      </c>
      <c r="Y997" s="27"/>
      <c r="Z997" s="17"/>
      <c r="AA997" s="17"/>
      <c r="AB997" s="17"/>
      <c r="AC997" s="17"/>
      <c r="AD997" s="27"/>
    </row>
    <row r="998" ht="15.75" customHeight="1">
      <c r="A998" s="16" t="s">
        <v>2731</v>
      </c>
      <c r="B998" s="16" t="s">
        <v>2734</v>
      </c>
      <c r="C998" s="16" t="s">
        <v>2735</v>
      </c>
      <c r="D998" s="17" t="s">
        <v>33</v>
      </c>
      <c r="E998" s="18" t="s">
        <v>34</v>
      </c>
      <c r="F998" s="18">
        <v>1.0</v>
      </c>
      <c r="G998" s="19">
        <f t="shared" si="10"/>
        <v>2.504453341</v>
      </c>
      <c r="H998" s="17">
        <v>71.0</v>
      </c>
      <c r="I998" s="10">
        <v>120.0</v>
      </c>
      <c r="J998" s="17">
        <v>6.0</v>
      </c>
      <c r="K998" s="17">
        <v>160.0</v>
      </c>
      <c r="L998" s="17"/>
      <c r="M998" s="20">
        <v>13.0</v>
      </c>
      <c r="N998" s="20">
        <v>3.0</v>
      </c>
      <c r="O998" s="20">
        <v>2.0</v>
      </c>
      <c r="P998" s="20">
        <f t="shared" si="2"/>
        <v>8</v>
      </c>
      <c r="Q998" s="21">
        <v>5.0</v>
      </c>
      <c r="R998" s="22">
        <f t="shared" si="3"/>
        <v>47.91464789</v>
      </c>
      <c r="S998" s="23">
        <f t="shared" si="4"/>
        <v>1.690140845</v>
      </c>
      <c r="T998" s="24">
        <f t="shared" si="5"/>
        <v>2.6</v>
      </c>
      <c r="U998" s="26">
        <f t="shared" si="6"/>
        <v>0.4285714286</v>
      </c>
      <c r="V998" s="26">
        <f t="shared" si="7"/>
        <v>0.06349206349</v>
      </c>
      <c r="W998" s="19">
        <f t="shared" si="8"/>
        <v>1.333333333</v>
      </c>
      <c r="X998" s="20">
        <f t="shared" si="9"/>
        <v>120</v>
      </c>
      <c r="Y998" s="27"/>
      <c r="Z998" s="17"/>
      <c r="AA998" s="17"/>
      <c r="AB998" s="17"/>
      <c r="AC998" s="17"/>
      <c r="AD998" s="27"/>
    </row>
    <row r="999" ht="15.75" customHeight="1">
      <c r="A999" s="16" t="s">
        <v>2736</v>
      </c>
      <c r="B999" s="16" t="s">
        <v>2737</v>
      </c>
      <c r="C999" s="16" t="s">
        <v>2738</v>
      </c>
      <c r="D999" s="17" t="s">
        <v>81</v>
      </c>
      <c r="E999" s="18" t="s">
        <v>34</v>
      </c>
      <c r="F999" s="18">
        <v>1.0</v>
      </c>
      <c r="G999" s="19">
        <f t="shared" si="10"/>
        <v>3.527399072</v>
      </c>
      <c r="H999" s="17">
        <v>100.0</v>
      </c>
      <c r="I999" s="10">
        <v>167.0</v>
      </c>
      <c r="J999" s="17">
        <v>15.4</v>
      </c>
      <c r="K999" s="17">
        <v>8.0</v>
      </c>
      <c r="L999" s="17">
        <v>507.0</v>
      </c>
      <c r="M999" s="20">
        <v>8.6</v>
      </c>
      <c r="N999" s="20">
        <v>6.8</v>
      </c>
      <c r="O999" s="20">
        <v>0.3</v>
      </c>
      <c r="P999" s="20">
        <f t="shared" si="2"/>
        <v>1.5</v>
      </c>
      <c r="Q999" s="21">
        <v>2.0</v>
      </c>
      <c r="R999" s="22">
        <f t="shared" si="3"/>
        <v>47.343665</v>
      </c>
      <c r="S999" s="23">
        <f t="shared" si="4"/>
        <v>1.67</v>
      </c>
      <c r="T999" s="24">
        <f t="shared" si="5"/>
        <v>4.3</v>
      </c>
      <c r="U999" s="26">
        <f t="shared" si="6"/>
        <v>0.7657458564</v>
      </c>
      <c r="V999" s="26">
        <f t="shared" si="7"/>
        <v>0.006629834254</v>
      </c>
      <c r="W999" s="19">
        <f t="shared" si="8"/>
        <v>0.04790419162</v>
      </c>
      <c r="X999" s="20">
        <f t="shared" si="9"/>
        <v>167</v>
      </c>
      <c r="Y999" s="27"/>
      <c r="Z999" s="17"/>
      <c r="AA999" s="28"/>
      <c r="AB999" s="17"/>
      <c r="AC999" s="28"/>
      <c r="AD999" s="27"/>
    </row>
    <row r="1000" ht="15.75" customHeight="1">
      <c r="A1000" s="27" t="s">
        <v>2739</v>
      </c>
      <c r="B1000" s="27" t="s">
        <v>2740</v>
      </c>
      <c r="C1000" s="16" t="s">
        <v>2741</v>
      </c>
      <c r="D1000" s="17" t="s">
        <v>119</v>
      </c>
      <c r="E1000" s="18" t="s">
        <v>34</v>
      </c>
      <c r="F1000" s="18">
        <v>1.0</v>
      </c>
      <c r="G1000" s="19">
        <f t="shared" si="10"/>
        <v>1.269863666</v>
      </c>
      <c r="H1000" s="17">
        <v>36.0</v>
      </c>
      <c r="I1000" s="10">
        <v>60.0</v>
      </c>
      <c r="J1000" s="17">
        <v>0.0</v>
      </c>
      <c r="K1000" s="17">
        <v>25.0</v>
      </c>
      <c r="L1000" s="17"/>
      <c r="M1000" s="20">
        <v>23.0</v>
      </c>
      <c r="N1000" s="20">
        <v>16.0</v>
      </c>
      <c r="O1000" s="20">
        <v>1.0</v>
      </c>
      <c r="P1000" s="20">
        <f t="shared" si="2"/>
        <v>6</v>
      </c>
      <c r="Q1000" s="21">
        <v>8.0</v>
      </c>
      <c r="R1000" s="22">
        <f t="shared" si="3"/>
        <v>47.24916667</v>
      </c>
      <c r="S1000" s="23">
        <f t="shared" si="4"/>
        <v>1.666666667</v>
      </c>
      <c r="T1000" s="24">
        <f t="shared" si="5"/>
        <v>2.875</v>
      </c>
      <c r="U1000" s="26" t="str">
        <f t="shared" si="6"/>
        <v>0%</v>
      </c>
      <c r="V1000" s="26">
        <f t="shared" si="7"/>
        <v>0.03225806452</v>
      </c>
      <c r="W1000" s="19">
        <f t="shared" si="8"/>
        <v>0.4166666667</v>
      </c>
      <c r="X1000" s="20">
        <f t="shared" si="9"/>
        <v>60</v>
      </c>
      <c r="Y1000" s="27"/>
      <c r="Z1000" s="17"/>
      <c r="AA1000" s="28"/>
      <c r="AB1000" s="17"/>
      <c r="AC1000" s="28"/>
      <c r="AD1000" s="27"/>
    </row>
    <row r="1001" ht="15.75" customHeight="1">
      <c r="A1001" s="16" t="s">
        <v>2697</v>
      </c>
      <c r="B1001" s="16" t="s">
        <v>2742</v>
      </c>
      <c r="C1001" s="16" t="s">
        <v>2743</v>
      </c>
      <c r="D1001" s="17" t="s">
        <v>240</v>
      </c>
      <c r="E1001" s="18" t="s">
        <v>34</v>
      </c>
      <c r="F1001" s="18">
        <v>1.0</v>
      </c>
      <c r="G1001" s="19">
        <f t="shared" si="10"/>
        <v>0.7407538052</v>
      </c>
      <c r="H1001" s="17">
        <v>21.0</v>
      </c>
      <c r="I1001" s="10">
        <v>35.0</v>
      </c>
      <c r="J1001" s="17">
        <v>1.5</v>
      </c>
      <c r="K1001" s="17">
        <v>180.0</v>
      </c>
      <c r="L1001" s="17"/>
      <c r="M1001" s="20">
        <v>1.0</v>
      </c>
      <c r="N1001" s="20">
        <v>0.0</v>
      </c>
      <c r="O1001" s="20">
        <v>1.0</v>
      </c>
      <c r="P1001" s="20">
        <f t="shared" si="2"/>
        <v>0</v>
      </c>
      <c r="Q1001" s="21">
        <v>2.0</v>
      </c>
      <c r="R1001" s="22">
        <f t="shared" si="3"/>
        <v>47.24916667</v>
      </c>
      <c r="S1001" s="23">
        <f t="shared" si="4"/>
        <v>1.666666667</v>
      </c>
      <c r="T1001" s="24">
        <f t="shared" si="5"/>
        <v>0.5</v>
      </c>
      <c r="U1001" s="26">
        <f t="shared" si="6"/>
        <v>0.5294117647</v>
      </c>
      <c r="V1001" s="26">
        <f t="shared" si="7"/>
        <v>0.1568627451</v>
      </c>
      <c r="W1001" s="19">
        <f t="shared" si="8"/>
        <v>5.142857143</v>
      </c>
      <c r="X1001" s="20">
        <f t="shared" si="9"/>
        <v>35</v>
      </c>
      <c r="Y1001" s="27"/>
      <c r="Z1001" s="17"/>
      <c r="AA1001" s="28"/>
      <c r="AB1001" s="17"/>
      <c r="AC1001" s="28"/>
      <c r="AD1001" s="27"/>
    </row>
    <row r="1002" ht="15.75" customHeight="1">
      <c r="A1002" s="16" t="s">
        <v>2744</v>
      </c>
      <c r="B1002" s="16" t="s">
        <v>2745</v>
      </c>
      <c r="C1002" s="16" t="s">
        <v>2746</v>
      </c>
      <c r="D1002" s="17" t="s">
        <v>2526</v>
      </c>
      <c r="E1002" s="18" t="s">
        <v>34</v>
      </c>
      <c r="F1002" s="18">
        <v>1.0</v>
      </c>
      <c r="G1002" s="19">
        <f t="shared" si="10"/>
        <v>1.305137657</v>
      </c>
      <c r="H1002" s="17">
        <v>37.0</v>
      </c>
      <c r="I1002" s="10">
        <v>60.0</v>
      </c>
      <c r="J1002" s="17">
        <v>2.0</v>
      </c>
      <c r="K1002" s="17">
        <v>300.0</v>
      </c>
      <c r="L1002" s="17"/>
      <c r="M1002" s="20">
        <v>8.0</v>
      </c>
      <c r="N1002" s="20">
        <v>4.0</v>
      </c>
      <c r="O1002" s="20">
        <v>0.0</v>
      </c>
      <c r="P1002" s="20">
        <f t="shared" si="2"/>
        <v>4</v>
      </c>
      <c r="Q1002" s="21">
        <v>6.0</v>
      </c>
      <c r="R1002" s="22">
        <f t="shared" si="3"/>
        <v>45.97216216</v>
      </c>
      <c r="S1002" s="23">
        <f t="shared" si="4"/>
        <v>1.621621622</v>
      </c>
      <c r="T1002" s="24">
        <f t="shared" si="5"/>
        <v>1.333333333</v>
      </c>
      <c r="U1002" s="26">
        <f t="shared" si="6"/>
        <v>0.2432432432</v>
      </c>
      <c r="V1002" s="26" t="str">
        <f t="shared" si="7"/>
        <v>0%</v>
      </c>
      <c r="W1002" s="19">
        <f t="shared" si="8"/>
        <v>5</v>
      </c>
      <c r="X1002" s="20">
        <f t="shared" si="9"/>
        <v>60</v>
      </c>
      <c r="Y1002" s="27"/>
      <c r="Z1002" s="17"/>
      <c r="AA1002" s="17"/>
      <c r="AB1002" s="17"/>
      <c r="AC1002" s="17"/>
      <c r="AD1002" s="27"/>
    </row>
    <row r="1003" ht="15.75" customHeight="1">
      <c r="A1003" s="16" t="s">
        <v>2747</v>
      </c>
      <c r="B1003" s="16" t="s">
        <v>2748</v>
      </c>
      <c r="C1003" s="16" t="s">
        <v>2749</v>
      </c>
      <c r="D1003" s="17" t="s">
        <v>2489</v>
      </c>
      <c r="E1003" s="18" t="s">
        <v>34</v>
      </c>
      <c r="F1003" s="18">
        <v>1.0</v>
      </c>
      <c r="G1003" s="19">
        <f t="shared" si="10"/>
        <v>1.305137657</v>
      </c>
      <c r="H1003" s="17">
        <v>37.0</v>
      </c>
      <c r="I1003" s="10">
        <v>60.0</v>
      </c>
      <c r="J1003" s="17">
        <v>0.0</v>
      </c>
      <c r="K1003" s="17">
        <v>51.0</v>
      </c>
      <c r="L1003" s="17">
        <v>9.0</v>
      </c>
      <c r="M1003" s="20">
        <v>0.0</v>
      </c>
      <c r="N1003" s="20">
        <v>0.0</v>
      </c>
      <c r="O1003" s="20">
        <v>0.0</v>
      </c>
      <c r="P1003" s="20">
        <f t="shared" si="2"/>
        <v>0</v>
      </c>
      <c r="Q1003" s="21">
        <v>16.0</v>
      </c>
      <c r="R1003" s="22">
        <f t="shared" si="3"/>
        <v>45.97216216</v>
      </c>
      <c r="S1003" s="23">
        <f t="shared" si="4"/>
        <v>1.621621622</v>
      </c>
      <c r="T1003" s="24">
        <f t="shared" si="5"/>
        <v>0</v>
      </c>
      <c r="U1003" s="26" t="str">
        <f t="shared" si="6"/>
        <v>0%</v>
      </c>
      <c r="V1003" s="26" t="str">
        <f t="shared" si="7"/>
        <v>0%</v>
      </c>
      <c r="W1003" s="19">
        <f t="shared" si="8"/>
        <v>0.85</v>
      </c>
      <c r="X1003" s="20">
        <f t="shared" si="9"/>
        <v>60</v>
      </c>
      <c r="Y1003" s="27"/>
      <c r="Z1003" s="17"/>
      <c r="AA1003" s="28"/>
      <c r="AB1003" s="17"/>
      <c r="AC1003" s="28"/>
      <c r="AD1003" s="27"/>
    </row>
    <row r="1004" ht="15.75" customHeight="1">
      <c r="A1004" s="16" t="s">
        <v>1163</v>
      </c>
      <c r="B1004" s="16" t="s">
        <v>2750</v>
      </c>
      <c r="C1004" s="16" t="s">
        <v>2751</v>
      </c>
      <c r="D1004" s="17" t="s">
        <v>2752</v>
      </c>
      <c r="E1004" s="18" t="s">
        <v>34</v>
      </c>
      <c r="F1004" s="18">
        <v>1.0</v>
      </c>
      <c r="G1004" s="19">
        <f t="shared" si="10"/>
        <v>8.324661811</v>
      </c>
      <c r="H1004" s="17">
        <v>236.0</v>
      </c>
      <c r="I1004" s="10">
        <v>380.0</v>
      </c>
      <c r="J1004" s="17">
        <v>24.0</v>
      </c>
      <c r="K1004" s="17">
        <v>970.0</v>
      </c>
      <c r="L1004" s="17"/>
      <c r="M1004" s="20">
        <v>23.0</v>
      </c>
      <c r="N1004" s="20">
        <v>2.0</v>
      </c>
      <c r="O1004" s="20">
        <v>1.0</v>
      </c>
      <c r="P1004" s="20">
        <f t="shared" si="2"/>
        <v>20</v>
      </c>
      <c r="Q1004" s="21">
        <v>17.0</v>
      </c>
      <c r="R1004" s="22">
        <f t="shared" si="3"/>
        <v>45.6475</v>
      </c>
      <c r="S1004" s="23">
        <f t="shared" si="4"/>
        <v>1.610169492</v>
      </c>
      <c r="T1004" s="24">
        <f t="shared" si="5"/>
        <v>1.352941176</v>
      </c>
      <c r="U1004" s="26">
        <f t="shared" si="6"/>
        <v>0.5744680851</v>
      </c>
      <c r="V1004" s="26">
        <f t="shared" si="7"/>
        <v>0.01063829787</v>
      </c>
      <c r="W1004" s="19">
        <f t="shared" si="8"/>
        <v>2.552631579</v>
      </c>
      <c r="X1004" s="20">
        <f t="shared" si="9"/>
        <v>380</v>
      </c>
      <c r="Y1004" s="27"/>
      <c r="Z1004" s="17"/>
      <c r="AA1004" s="28"/>
      <c r="AB1004" s="17"/>
      <c r="AC1004" s="28"/>
      <c r="AD1004" s="27"/>
    </row>
    <row r="1005" ht="15.75" customHeight="1">
      <c r="A1005" s="16" t="s">
        <v>2753</v>
      </c>
      <c r="B1005" s="16" t="s">
        <v>2754</v>
      </c>
      <c r="C1005" s="16" t="s">
        <v>2755</v>
      </c>
      <c r="D1005" s="17" t="s">
        <v>119</v>
      </c>
      <c r="E1005" s="18" t="s">
        <v>34</v>
      </c>
      <c r="F1005" s="18">
        <v>1.0</v>
      </c>
      <c r="G1005" s="19">
        <f t="shared" si="10"/>
        <v>4.938358701</v>
      </c>
      <c r="H1005" s="17">
        <v>140.0</v>
      </c>
      <c r="I1005" s="10">
        <v>224.0</v>
      </c>
      <c r="J1005" s="17">
        <v>6.0</v>
      </c>
      <c r="K1005" s="17">
        <v>274.0</v>
      </c>
      <c r="L1005" s="17"/>
      <c r="M1005" s="20">
        <v>31.0</v>
      </c>
      <c r="N1005" s="20">
        <v>7.0</v>
      </c>
      <c r="O1005" s="20">
        <v>2.0</v>
      </c>
      <c r="P1005" s="20">
        <f t="shared" si="2"/>
        <v>22</v>
      </c>
      <c r="Q1005" s="21">
        <v>8.0</v>
      </c>
      <c r="R1005" s="22">
        <f t="shared" si="3"/>
        <v>45.3592</v>
      </c>
      <c r="S1005" s="23">
        <f t="shared" si="4"/>
        <v>1.6</v>
      </c>
      <c r="T1005" s="24">
        <f t="shared" si="5"/>
        <v>3.875</v>
      </c>
      <c r="U1005" s="26">
        <f t="shared" si="6"/>
        <v>0.2571428571</v>
      </c>
      <c r="V1005" s="26">
        <f t="shared" si="7"/>
        <v>0.0380952381</v>
      </c>
      <c r="W1005" s="19">
        <f t="shared" si="8"/>
        <v>1.223214286</v>
      </c>
      <c r="X1005" s="20">
        <f t="shared" si="9"/>
        <v>224</v>
      </c>
      <c r="Y1005" s="27"/>
      <c r="Z1005" s="17"/>
      <c r="AA1005" s="28"/>
      <c r="AB1005" s="17"/>
      <c r="AC1005" s="28"/>
      <c r="AD1005" s="27"/>
    </row>
    <row r="1006" ht="15.75" customHeight="1">
      <c r="A1006" s="16" t="s">
        <v>2744</v>
      </c>
      <c r="B1006" s="16" t="s">
        <v>2756</v>
      </c>
      <c r="C1006" s="16" t="s">
        <v>2757</v>
      </c>
      <c r="D1006" s="17" t="s">
        <v>2526</v>
      </c>
      <c r="E1006" s="18" t="s">
        <v>34</v>
      </c>
      <c r="F1006" s="18">
        <v>1.0</v>
      </c>
      <c r="G1006" s="19">
        <f t="shared" si="10"/>
        <v>1.128767703</v>
      </c>
      <c r="H1006" s="17">
        <v>32.0</v>
      </c>
      <c r="I1006" s="10">
        <v>50.0</v>
      </c>
      <c r="J1006" s="17">
        <v>1.5</v>
      </c>
      <c r="K1006" s="17">
        <v>260.0</v>
      </c>
      <c r="L1006" s="17"/>
      <c r="M1006" s="20">
        <v>8.0</v>
      </c>
      <c r="N1006" s="20">
        <v>3.0</v>
      </c>
      <c r="O1006" s="20">
        <v>0.0</v>
      </c>
      <c r="P1006" s="20">
        <f t="shared" si="2"/>
        <v>5</v>
      </c>
      <c r="Q1006" s="21">
        <v>5.0</v>
      </c>
      <c r="R1006" s="22">
        <f t="shared" si="3"/>
        <v>44.29609375</v>
      </c>
      <c r="S1006" s="23">
        <f t="shared" si="4"/>
        <v>1.5625</v>
      </c>
      <c r="T1006" s="24">
        <f t="shared" si="5"/>
        <v>1.6</v>
      </c>
      <c r="U1006" s="26">
        <f t="shared" si="6"/>
        <v>0.2061068702</v>
      </c>
      <c r="V1006" s="26" t="str">
        <f t="shared" si="7"/>
        <v>0%</v>
      </c>
      <c r="W1006" s="19">
        <f t="shared" si="8"/>
        <v>5.2</v>
      </c>
      <c r="X1006" s="20">
        <f t="shared" si="9"/>
        <v>50</v>
      </c>
      <c r="Y1006" s="27"/>
      <c r="Z1006" s="17"/>
      <c r="AA1006" s="28"/>
      <c r="AB1006" s="17"/>
      <c r="AC1006" s="28"/>
      <c r="AD1006" s="27"/>
    </row>
    <row r="1007" ht="15.75" customHeight="1">
      <c r="A1007" s="27" t="s">
        <v>2694</v>
      </c>
      <c r="B1007" s="27" t="s">
        <v>2758</v>
      </c>
      <c r="C1007" s="16" t="s">
        <v>2759</v>
      </c>
      <c r="D1007" s="17" t="s">
        <v>247</v>
      </c>
      <c r="E1007" s="18" t="s">
        <v>34</v>
      </c>
      <c r="F1007" s="18">
        <v>1.0</v>
      </c>
      <c r="G1007" s="19">
        <f t="shared" si="10"/>
        <v>2.610275313</v>
      </c>
      <c r="H1007" s="17">
        <v>74.0</v>
      </c>
      <c r="I1007" s="10">
        <v>110.0</v>
      </c>
      <c r="J1007" s="17">
        <v>3.5</v>
      </c>
      <c r="K1007" s="17">
        <v>340.0</v>
      </c>
      <c r="L1007" s="17">
        <v>220.0</v>
      </c>
      <c r="M1007" s="20">
        <v>0.0</v>
      </c>
      <c r="N1007" s="20">
        <v>0.0</v>
      </c>
      <c r="O1007" s="20">
        <v>0.0</v>
      </c>
      <c r="P1007" s="20">
        <f t="shared" si="2"/>
        <v>0</v>
      </c>
      <c r="Q1007" s="21">
        <v>19.0</v>
      </c>
      <c r="R1007" s="22">
        <f t="shared" si="3"/>
        <v>42.14114865</v>
      </c>
      <c r="S1007" s="23">
        <f t="shared" si="4"/>
        <v>1.486486486</v>
      </c>
      <c r="T1007" s="24">
        <f t="shared" si="5"/>
        <v>0</v>
      </c>
      <c r="U1007" s="26">
        <f t="shared" si="6"/>
        <v>0.2930232558</v>
      </c>
      <c r="V1007" s="26" t="str">
        <f t="shared" si="7"/>
        <v>0%</v>
      </c>
      <c r="W1007" s="19">
        <f t="shared" si="8"/>
        <v>3.090909091</v>
      </c>
      <c r="X1007" s="20">
        <f t="shared" si="9"/>
        <v>110</v>
      </c>
      <c r="Y1007" s="27"/>
      <c r="Z1007" s="17"/>
      <c r="AA1007" s="17"/>
      <c r="AB1007" s="17"/>
      <c r="AC1007" s="17"/>
      <c r="AD1007" s="27"/>
    </row>
    <row r="1008" ht="15.75" customHeight="1">
      <c r="A1008" s="27" t="s">
        <v>2760</v>
      </c>
      <c r="B1008" s="27" t="s">
        <v>2761</v>
      </c>
      <c r="C1008" s="16" t="s">
        <v>2762</v>
      </c>
      <c r="D1008" s="17" t="s">
        <v>119</v>
      </c>
      <c r="E1008" s="18" t="s">
        <v>34</v>
      </c>
      <c r="F1008" s="18">
        <v>1.0</v>
      </c>
      <c r="G1008" s="19">
        <f t="shared" si="10"/>
        <v>5.079454664</v>
      </c>
      <c r="H1008" s="17">
        <v>144.0</v>
      </c>
      <c r="I1008" s="10">
        <v>200.0</v>
      </c>
      <c r="J1008" s="17">
        <v>2.5</v>
      </c>
      <c r="K1008" s="17">
        <v>630.0</v>
      </c>
      <c r="L1008" s="17">
        <v>115.0</v>
      </c>
      <c r="M1008" s="20">
        <v>40.0</v>
      </c>
      <c r="N1008" s="20">
        <v>2.0</v>
      </c>
      <c r="O1008" s="20">
        <v>3.0</v>
      </c>
      <c r="P1008" s="20">
        <f t="shared" si="2"/>
        <v>35</v>
      </c>
      <c r="Q1008" s="21">
        <v>4.0</v>
      </c>
      <c r="R1008" s="22">
        <f t="shared" si="3"/>
        <v>39.37430556</v>
      </c>
      <c r="S1008" s="23">
        <f t="shared" si="4"/>
        <v>1.388888889</v>
      </c>
      <c r="T1008" s="24">
        <f t="shared" si="5"/>
        <v>10</v>
      </c>
      <c r="U1008" s="26">
        <f t="shared" si="6"/>
        <v>0.1133501259</v>
      </c>
      <c r="V1008" s="26">
        <f t="shared" si="7"/>
        <v>0.0604534005</v>
      </c>
      <c r="W1008" s="19">
        <f t="shared" si="8"/>
        <v>3.15</v>
      </c>
      <c r="X1008" s="20">
        <f t="shared" si="9"/>
        <v>200</v>
      </c>
      <c r="Y1008" s="27"/>
      <c r="Z1008" s="17"/>
      <c r="AA1008" s="28"/>
      <c r="AB1008" s="17"/>
      <c r="AC1008" s="28"/>
      <c r="AD1008" s="27"/>
    </row>
    <row r="1009" ht="15.75" customHeight="1">
      <c r="A1009" s="27" t="s">
        <v>2763</v>
      </c>
      <c r="B1009" s="27" t="s">
        <v>2764</v>
      </c>
      <c r="C1009" s="16" t="s">
        <v>2765</v>
      </c>
      <c r="D1009" s="17" t="s">
        <v>119</v>
      </c>
      <c r="E1009" s="18" t="s">
        <v>34</v>
      </c>
      <c r="F1009" s="18">
        <v>1.0</v>
      </c>
      <c r="G1009" s="19">
        <f t="shared" si="10"/>
        <v>8.994867634</v>
      </c>
      <c r="H1009" s="17">
        <v>255.0</v>
      </c>
      <c r="I1009" s="10">
        <v>350.0</v>
      </c>
      <c r="J1009" s="17">
        <v>9.0</v>
      </c>
      <c r="K1009" s="17">
        <v>790.0</v>
      </c>
      <c r="L1009" s="17"/>
      <c r="M1009" s="20">
        <v>55.0</v>
      </c>
      <c r="N1009" s="20">
        <v>2.0</v>
      </c>
      <c r="O1009" s="20">
        <v>15.0</v>
      </c>
      <c r="P1009" s="20">
        <f t="shared" si="2"/>
        <v>38</v>
      </c>
      <c r="Q1009" s="21">
        <v>13.0</v>
      </c>
      <c r="R1009" s="22">
        <f t="shared" si="3"/>
        <v>38.91107843</v>
      </c>
      <c r="S1009" s="23">
        <f t="shared" si="4"/>
        <v>1.37254902</v>
      </c>
      <c r="T1009" s="24">
        <f t="shared" si="5"/>
        <v>4.230769231</v>
      </c>
      <c r="U1009" s="26">
        <f t="shared" si="6"/>
        <v>0.2294617564</v>
      </c>
      <c r="V1009" s="26">
        <f t="shared" si="7"/>
        <v>0.1699716714</v>
      </c>
      <c r="W1009" s="19">
        <f t="shared" si="8"/>
        <v>2.257142857</v>
      </c>
      <c r="X1009" s="20">
        <f t="shared" si="9"/>
        <v>350</v>
      </c>
      <c r="Y1009" s="27"/>
      <c r="Z1009" s="17"/>
      <c r="AA1009" s="28"/>
      <c r="AB1009" s="17"/>
      <c r="AC1009" s="28"/>
      <c r="AD1009" s="27"/>
    </row>
    <row r="1010" ht="15.75" customHeight="1">
      <c r="A1010" s="27" t="s">
        <v>2766</v>
      </c>
      <c r="B1010" s="27" t="s">
        <v>2767</v>
      </c>
      <c r="C1010" s="16" t="s">
        <v>2768</v>
      </c>
      <c r="D1010" s="17" t="s">
        <v>2752</v>
      </c>
      <c r="E1010" s="18" t="s">
        <v>34</v>
      </c>
      <c r="F1010" s="18">
        <v>1.0</v>
      </c>
      <c r="G1010" s="19">
        <f t="shared" si="10"/>
        <v>8.924319653</v>
      </c>
      <c r="H1010" s="17">
        <v>253.0</v>
      </c>
      <c r="I1010" s="10">
        <v>340.0</v>
      </c>
      <c r="J1010" s="17">
        <v>14.0</v>
      </c>
      <c r="K1010" s="17">
        <v>980.0</v>
      </c>
      <c r="L1010" s="17">
        <v>960.0</v>
      </c>
      <c r="M1010" s="20">
        <v>34.0</v>
      </c>
      <c r="N1010" s="20">
        <v>12.0</v>
      </c>
      <c r="O1010" s="20">
        <v>2.0</v>
      </c>
      <c r="P1010" s="20">
        <f t="shared" si="2"/>
        <v>20</v>
      </c>
      <c r="Q1010" s="21">
        <v>20.0</v>
      </c>
      <c r="R1010" s="22">
        <f t="shared" si="3"/>
        <v>38.09814229</v>
      </c>
      <c r="S1010" s="23">
        <f t="shared" si="4"/>
        <v>1.343873518</v>
      </c>
      <c r="T1010" s="24">
        <f t="shared" si="5"/>
        <v>1.7</v>
      </c>
      <c r="U1010" s="26">
        <f t="shared" si="6"/>
        <v>0.3684210526</v>
      </c>
      <c r="V1010" s="26">
        <f t="shared" si="7"/>
        <v>0.02339181287</v>
      </c>
      <c r="W1010" s="19">
        <f t="shared" si="8"/>
        <v>2.882352941</v>
      </c>
      <c r="X1010" s="20">
        <f t="shared" si="9"/>
        <v>340</v>
      </c>
      <c r="Y1010" s="27"/>
      <c r="Z1010" s="17"/>
      <c r="AA1010" s="17"/>
      <c r="AB1010" s="17"/>
      <c r="AC1010" s="17"/>
      <c r="AD1010" s="27"/>
    </row>
    <row r="1011" ht="15.75" customHeight="1">
      <c r="A1011" s="16" t="s">
        <v>2769</v>
      </c>
      <c r="B1011" s="16" t="s">
        <v>2770</v>
      </c>
      <c r="C1011" s="16" t="s">
        <v>2771</v>
      </c>
      <c r="D1011" s="17" t="s">
        <v>33</v>
      </c>
      <c r="E1011" s="18" t="s">
        <v>34</v>
      </c>
      <c r="F1011" s="18">
        <v>1.0</v>
      </c>
      <c r="G1011" s="19">
        <f t="shared" si="10"/>
        <v>1.763699536</v>
      </c>
      <c r="H1011" s="17">
        <v>50.0</v>
      </c>
      <c r="I1011" s="10">
        <v>67.0</v>
      </c>
      <c r="J1011" s="17">
        <v>3.0</v>
      </c>
      <c r="K1011" s="17">
        <v>120.0</v>
      </c>
      <c r="L1011" s="17"/>
      <c r="M1011" s="20">
        <v>7.0</v>
      </c>
      <c r="N1011" s="20">
        <v>2.0</v>
      </c>
      <c r="O1011" s="20">
        <v>2.0</v>
      </c>
      <c r="P1011" s="20">
        <f t="shared" si="2"/>
        <v>3</v>
      </c>
      <c r="Q1011" s="21">
        <v>3.0</v>
      </c>
      <c r="R1011" s="22">
        <f t="shared" si="3"/>
        <v>37.98833</v>
      </c>
      <c r="S1011" s="23">
        <f t="shared" si="4"/>
        <v>1.34</v>
      </c>
      <c r="T1011" s="24">
        <f t="shared" si="5"/>
        <v>2.333333333</v>
      </c>
      <c r="U1011" s="26">
        <f t="shared" si="6"/>
        <v>0.4029850746</v>
      </c>
      <c r="V1011" s="26">
        <f t="shared" si="7"/>
        <v>0.1194029851</v>
      </c>
      <c r="W1011" s="19">
        <f t="shared" si="8"/>
        <v>1.791044776</v>
      </c>
      <c r="X1011" s="20">
        <f t="shared" si="9"/>
        <v>67</v>
      </c>
      <c r="Y1011" s="27"/>
      <c r="Z1011" s="17"/>
      <c r="AA1011" s="17"/>
      <c r="AB1011" s="17"/>
      <c r="AC1011" s="17"/>
      <c r="AD1011" s="27"/>
    </row>
    <row r="1012" ht="15.75" customHeight="1">
      <c r="A1012" s="16" t="s">
        <v>2763</v>
      </c>
      <c r="B1012" s="16" t="s">
        <v>2772</v>
      </c>
      <c r="C1012" s="16" t="s">
        <v>2773</v>
      </c>
      <c r="D1012" s="17" t="s">
        <v>119</v>
      </c>
      <c r="E1012" s="18" t="s">
        <v>34</v>
      </c>
      <c r="F1012" s="18">
        <v>1.0</v>
      </c>
      <c r="G1012" s="19">
        <f t="shared" si="10"/>
        <v>8.994867634</v>
      </c>
      <c r="H1012" s="17">
        <v>255.0</v>
      </c>
      <c r="I1012" s="10">
        <v>340.0</v>
      </c>
      <c r="J1012" s="17">
        <v>16.0</v>
      </c>
      <c r="K1012" s="17">
        <v>790.0</v>
      </c>
      <c r="L1012" s="17"/>
      <c r="M1012" s="20">
        <v>38.0</v>
      </c>
      <c r="N1012" s="20">
        <v>2.0</v>
      </c>
      <c r="O1012" s="20">
        <v>3.0</v>
      </c>
      <c r="P1012" s="20">
        <f t="shared" si="2"/>
        <v>33</v>
      </c>
      <c r="Q1012" s="21">
        <v>12.0</v>
      </c>
      <c r="R1012" s="22">
        <f t="shared" si="3"/>
        <v>37.79933333</v>
      </c>
      <c r="S1012" s="23">
        <f t="shared" si="4"/>
        <v>1.333333333</v>
      </c>
      <c r="T1012" s="24">
        <f t="shared" si="5"/>
        <v>3.166666667</v>
      </c>
      <c r="U1012" s="26">
        <f t="shared" si="6"/>
        <v>0.4186046512</v>
      </c>
      <c r="V1012" s="26">
        <f t="shared" si="7"/>
        <v>0.03488372093</v>
      </c>
      <c r="W1012" s="19">
        <f t="shared" si="8"/>
        <v>2.323529412</v>
      </c>
      <c r="X1012" s="20">
        <f t="shared" si="9"/>
        <v>340</v>
      </c>
      <c r="Y1012" s="27"/>
      <c r="Z1012" s="17"/>
      <c r="AA1012" s="28"/>
      <c r="AB1012" s="17"/>
      <c r="AC1012" s="28"/>
      <c r="AD1012" s="27"/>
    </row>
    <row r="1013" ht="15.75" customHeight="1">
      <c r="A1013" s="16" t="s">
        <v>2774</v>
      </c>
      <c r="B1013" s="16" t="s">
        <v>2775</v>
      </c>
      <c r="C1013" s="16" t="s">
        <v>2776</v>
      </c>
      <c r="D1013" s="17" t="s">
        <v>2752</v>
      </c>
      <c r="E1013" s="18" t="s">
        <v>34</v>
      </c>
      <c r="F1013" s="18">
        <v>1.0</v>
      </c>
      <c r="G1013" s="19">
        <f t="shared" si="10"/>
        <v>8.712675709</v>
      </c>
      <c r="H1013" s="17">
        <v>247.0</v>
      </c>
      <c r="I1013" s="10">
        <v>320.0</v>
      </c>
      <c r="J1013" s="17">
        <v>15.0</v>
      </c>
      <c r="K1013" s="17">
        <v>920.0</v>
      </c>
      <c r="L1013" s="17"/>
      <c r="M1013" s="20">
        <v>30.0</v>
      </c>
      <c r="N1013" s="20">
        <v>6.0</v>
      </c>
      <c r="O1013" s="20">
        <v>8.0</v>
      </c>
      <c r="P1013" s="20">
        <f t="shared" si="2"/>
        <v>16</v>
      </c>
      <c r="Q1013" s="21">
        <v>16.0</v>
      </c>
      <c r="R1013" s="22">
        <f t="shared" si="3"/>
        <v>36.72809717</v>
      </c>
      <c r="S1013" s="23">
        <f t="shared" si="4"/>
        <v>1.295546559</v>
      </c>
      <c r="T1013" s="24">
        <f t="shared" si="5"/>
        <v>1.875</v>
      </c>
      <c r="U1013" s="26">
        <f t="shared" si="6"/>
        <v>0.4231974922</v>
      </c>
      <c r="V1013" s="26">
        <f t="shared" si="7"/>
        <v>0.1003134796</v>
      </c>
      <c r="W1013" s="19">
        <f t="shared" si="8"/>
        <v>2.875</v>
      </c>
      <c r="X1013" s="20">
        <f t="shared" si="9"/>
        <v>320</v>
      </c>
      <c r="Y1013" s="27"/>
      <c r="Z1013" s="17"/>
      <c r="AA1013" s="28"/>
      <c r="AB1013" s="17"/>
      <c r="AC1013" s="28"/>
      <c r="AD1013" s="27"/>
    </row>
    <row r="1014" ht="15.75" customHeight="1">
      <c r="A1014" s="27" t="s">
        <v>2777</v>
      </c>
      <c r="B1014" s="27" t="s">
        <v>2778</v>
      </c>
      <c r="C1014" s="16" t="s">
        <v>2779</v>
      </c>
      <c r="D1014" s="17" t="s">
        <v>81</v>
      </c>
      <c r="E1014" s="18" t="s">
        <v>34</v>
      </c>
      <c r="F1014" s="18">
        <v>1.0</v>
      </c>
      <c r="G1014" s="19">
        <f t="shared" si="10"/>
        <v>5.008906683</v>
      </c>
      <c r="H1014" s="17">
        <v>142.0</v>
      </c>
      <c r="I1014" s="10">
        <v>180.0</v>
      </c>
      <c r="J1014" s="17">
        <v>5.0</v>
      </c>
      <c r="K1014" s="17">
        <v>35.0</v>
      </c>
      <c r="L1014" s="17">
        <v>280.0</v>
      </c>
      <c r="M1014" s="20">
        <v>19.0</v>
      </c>
      <c r="N1014" s="20">
        <v>1.0</v>
      </c>
      <c r="O1014" s="20">
        <v>16.0</v>
      </c>
      <c r="P1014" s="20">
        <f t="shared" si="2"/>
        <v>2</v>
      </c>
      <c r="Q1014" s="21">
        <v>14.0</v>
      </c>
      <c r="R1014" s="22">
        <f t="shared" si="3"/>
        <v>35.93598592</v>
      </c>
      <c r="S1014" s="23">
        <f t="shared" si="4"/>
        <v>1.267605634</v>
      </c>
      <c r="T1014" s="24">
        <f t="shared" si="5"/>
        <v>1.357142857</v>
      </c>
      <c r="U1014" s="26">
        <f t="shared" si="6"/>
        <v>0.2542372881</v>
      </c>
      <c r="V1014" s="26">
        <f t="shared" si="7"/>
        <v>0.3615819209</v>
      </c>
      <c r="W1014" s="19">
        <f t="shared" si="8"/>
        <v>0.1944444444</v>
      </c>
      <c r="X1014" s="20">
        <f t="shared" si="9"/>
        <v>180</v>
      </c>
      <c r="Y1014" s="27"/>
      <c r="Z1014" s="17"/>
      <c r="AA1014" s="17"/>
      <c r="AB1014" s="17"/>
      <c r="AC1014" s="17"/>
      <c r="AD1014" s="27"/>
    </row>
    <row r="1015" ht="15.75" customHeight="1">
      <c r="A1015" s="16" t="s">
        <v>2731</v>
      </c>
      <c r="B1015" s="16" t="s">
        <v>2780</v>
      </c>
      <c r="C1015" s="16" t="s">
        <v>2781</v>
      </c>
      <c r="D1015" s="17" t="s">
        <v>33</v>
      </c>
      <c r="E1015" s="18" t="s">
        <v>34</v>
      </c>
      <c r="F1015" s="18">
        <v>1.0</v>
      </c>
      <c r="G1015" s="19">
        <f t="shared" si="10"/>
        <v>2.504453341</v>
      </c>
      <c r="H1015" s="17">
        <v>71.0</v>
      </c>
      <c r="I1015" s="10">
        <v>90.0</v>
      </c>
      <c r="J1015" s="17">
        <v>6.0</v>
      </c>
      <c r="K1015" s="17">
        <v>150.0</v>
      </c>
      <c r="L1015" s="17"/>
      <c r="M1015" s="20">
        <v>6.0</v>
      </c>
      <c r="N1015" s="20">
        <v>3.0</v>
      </c>
      <c r="O1015" s="20">
        <v>1.0</v>
      </c>
      <c r="P1015" s="20">
        <f t="shared" si="2"/>
        <v>2</v>
      </c>
      <c r="Q1015" s="21">
        <v>5.0</v>
      </c>
      <c r="R1015" s="22">
        <f t="shared" si="3"/>
        <v>35.93598592</v>
      </c>
      <c r="S1015" s="23">
        <f t="shared" si="4"/>
        <v>1.267605634</v>
      </c>
      <c r="T1015" s="24">
        <f t="shared" si="5"/>
        <v>1.2</v>
      </c>
      <c r="U1015" s="26">
        <f t="shared" si="6"/>
        <v>0.5510204082</v>
      </c>
      <c r="V1015" s="26">
        <f t="shared" si="7"/>
        <v>0.04081632653</v>
      </c>
      <c r="W1015" s="19">
        <f t="shared" si="8"/>
        <v>1.666666667</v>
      </c>
      <c r="X1015" s="20">
        <f t="shared" si="9"/>
        <v>90</v>
      </c>
      <c r="Y1015" s="27"/>
      <c r="Z1015" s="17"/>
      <c r="AA1015" s="28"/>
      <c r="AB1015" s="17"/>
      <c r="AC1015" s="28"/>
      <c r="AD1015" s="16"/>
    </row>
    <row r="1016" ht="15.75" customHeight="1">
      <c r="A1016" s="16" t="s">
        <v>304</v>
      </c>
      <c r="B1016" s="16" t="s">
        <v>2782</v>
      </c>
      <c r="C1016" s="16" t="s">
        <v>2783</v>
      </c>
      <c r="D1016" s="17" t="s">
        <v>119</v>
      </c>
      <c r="E1016" s="18" t="s">
        <v>34</v>
      </c>
      <c r="F1016" s="18">
        <v>1.0</v>
      </c>
      <c r="G1016" s="19">
        <f t="shared" si="10"/>
        <v>1.128767703</v>
      </c>
      <c r="H1016" s="17">
        <v>32.0</v>
      </c>
      <c r="I1016" s="10">
        <v>40.0</v>
      </c>
      <c r="J1016" s="17">
        <v>2.5</v>
      </c>
      <c r="K1016" s="17">
        <v>220.0</v>
      </c>
      <c r="L1016" s="17"/>
      <c r="M1016" s="20">
        <v>3.0</v>
      </c>
      <c r="N1016" s="20">
        <v>0.0</v>
      </c>
      <c r="O1016" s="20">
        <v>1.0</v>
      </c>
      <c r="P1016" s="20">
        <f t="shared" si="2"/>
        <v>2</v>
      </c>
      <c r="Q1016" s="21">
        <v>1.0</v>
      </c>
      <c r="R1016" s="22">
        <f t="shared" si="3"/>
        <v>35.436875</v>
      </c>
      <c r="S1016" s="23">
        <f t="shared" si="4"/>
        <v>1.25</v>
      </c>
      <c r="T1016" s="24">
        <f t="shared" si="5"/>
        <v>3</v>
      </c>
      <c r="U1016" s="26">
        <f t="shared" si="6"/>
        <v>0.5844155844</v>
      </c>
      <c r="V1016" s="26">
        <f t="shared" si="7"/>
        <v>0.1038961039</v>
      </c>
      <c r="W1016" s="19">
        <f t="shared" si="8"/>
        <v>5.5</v>
      </c>
      <c r="X1016" s="20">
        <f t="shared" si="9"/>
        <v>40</v>
      </c>
      <c r="Y1016" s="27"/>
      <c r="Z1016" s="17"/>
      <c r="AA1016" s="28"/>
      <c r="AB1016" s="17"/>
      <c r="AC1016" s="28"/>
      <c r="AD1016" s="27"/>
    </row>
    <row r="1017" ht="15.75" customHeight="1">
      <c r="A1017" s="16" t="s">
        <v>2784</v>
      </c>
      <c r="B1017" s="16" t="s">
        <v>2785</v>
      </c>
      <c r="C1017" s="16" t="s">
        <v>2786</v>
      </c>
      <c r="D1017" s="17" t="s">
        <v>247</v>
      </c>
      <c r="E1017" s="18" t="s">
        <v>34</v>
      </c>
      <c r="F1017" s="18">
        <v>1.0</v>
      </c>
      <c r="G1017" s="19">
        <f t="shared" si="10"/>
        <v>1.97534348</v>
      </c>
      <c r="H1017" s="17">
        <v>56.0</v>
      </c>
      <c r="I1017" s="10">
        <v>70.0</v>
      </c>
      <c r="J1017" s="17">
        <v>2.0</v>
      </c>
      <c r="K1017" s="17">
        <v>270.0</v>
      </c>
      <c r="L1017" s="17"/>
      <c r="M1017" s="20">
        <v>0.0</v>
      </c>
      <c r="N1017" s="20">
        <v>0.0</v>
      </c>
      <c r="O1017" s="20">
        <v>0.0</v>
      </c>
      <c r="P1017" s="20">
        <f t="shared" si="2"/>
        <v>0</v>
      </c>
      <c r="Q1017" s="21">
        <v>12.0</v>
      </c>
      <c r="R1017" s="22">
        <f t="shared" si="3"/>
        <v>35.436875</v>
      </c>
      <c r="S1017" s="23">
        <f t="shared" si="4"/>
        <v>1.25</v>
      </c>
      <c r="T1017" s="24">
        <f t="shared" si="5"/>
        <v>0</v>
      </c>
      <c r="U1017" s="26">
        <f t="shared" si="6"/>
        <v>0.2727272727</v>
      </c>
      <c r="V1017" s="26" t="str">
        <f t="shared" si="7"/>
        <v>0%</v>
      </c>
      <c r="W1017" s="19">
        <f t="shared" si="8"/>
        <v>3.857142857</v>
      </c>
      <c r="X1017" s="20">
        <f t="shared" si="9"/>
        <v>70</v>
      </c>
      <c r="Y1017" s="27"/>
      <c r="Z1017" s="17"/>
      <c r="AA1017" s="28"/>
      <c r="AB1017" s="17"/>
      <c r="AC1017" s="28"/>
      <c r="AD1017" s="27"/>
    </row>
    <row r="1018" ht="15.75" customHeight="1">
      <c r="A1018" s="16" t="s">
        <v>2787</v>
      </c>
      <c r="B1018" s="16" t="s">
        <v>2788</v>
      </c>
      <c r="C1018" s="16" t="s">
        <v>2789</v>
      </c>
      <c r="D1018" s="17" t="s">
        <v>2489</v>
      </c>
      <c r="E1018" s="18" t="s">
        <v>34</v>
      </c>
      <c r="F1018" s="18">
        <v>1.0</v>
      </c>
      <c r="G1018" s="19">
        <f t="shared" si="10"/>
        <v>5.326372599</v>
      </c>
      <c r="H1018" s="17">
        <v>151.0</v>
      </c>
      <c r="I1018" s="10">
        <v>180.0</v>
      </c>
      <c r="J1018" s="17">
        <v>0.0</v>
      </c>
      <c r="K1018" s="17">
        <v>100.0</v>
      </c>
      <c r="L1018" s="17">
        <v>50.0</v>
      </c>
      <c r="M1018" s="20">
        <v>2.0</v>
      </c>
      <c r="N1018" s="20">
        <v>0.0</v>
      </c>
      <c r="O1018" s="20">
        <v>0.0</v>
      </c>
      <c r="P1018" s="20">
        <f t="shared" si="2"/>
        <v>2</v>
      </c>
      <c r="Q1018" s="21">
        <v>42.0</v>
      </c>
      <c r="R1018" s="22">
        <f t="shared" si="3"/>
        <v>33.79410596</v>
      </c>
      <c r="S1018" s="23">
        <f t="shared" si="4"/>
        <v>1.19205298</v>
      </c>
      <c r="T1018" s="24">
        <f t="shared" si="5"/>
        <v>0.04761904762</v>
      </c>
      <c r="U1018" s="26" t="str">
        <f t="shared" si="6"/>
        <v>0%</v>
      </c>
      <c r="V1018" s="26" t="str">
        <f t="shared" si="7"/>
        <v>0%</v>
      </c>
      <c r="W1018" s="19">
        <f t="shared" si="8"/>
        <v>0.5555555556</v>
      </c>
      <c r="X1018" s="20">
        <f t="shared" si="9"/>
        <v>180</v>
      </c>
      <c r="Y1018" s="27"/>
      <c r="Z1018" s="17"/>
      <c r="AA1018" s="17"/>
      <c r="AB1018" s="17"/>
      <c r="AC1018" s="17"/>
      <c r="AD1018" s="27"/>
    </row>
    <row r="1019" ht="15.75" customHeight="1">
      <c r="A1019" s="27" t="s">
        <v>2694</v>
      </c>
      <c r="B1019" s="27" t="s">
        <v>2790</v>
      </c>
      <c r="C1019" s="16" t="s">
        <v>2791</v>
      </c>
      <c r="D1019" s="17" t="s">
        <v>247</v>
      </c>
      <c r="E1019" s="18" t="s">
        <v>34</v>
      </c>
      <c r="F1019" s="18">
        <v>1.0</v>
      </c>
      <c r="G1019" s="19">
        <f t="shared" si="10"/>
        <v>2.998289211</v>
      </c>
      <c r="H1019" s="17">
        <v>85.0</v>
      </c>
      <c r="I1019" s="10">
        <v>100.0</v>
      </c>
      <c r="J1019" s="17">
        <v>3.5</v>
      </c>
      <c r="K1019" s="17">
        <v>460.0</v>
      </c>
      <c r="L1019" s="17">
        <v>190.0</v>
      </c>
      <c r="M1019" s="20">
        <v>3.0</v>
      </c>
      <c r="N1019" s="20">
        <v>1.0</v>
      </c>
      <c r="O1019" s="20">
        <v>0.5</v>
      </c>
      <c r="P1019" s="20">
        <f t="shared" si="2"/>
        <v>1.5</v>
      </c>
      <c r="Q1019" s="21">
        <v>14.0</v>
      </c>
      <c r="R1019" s="22">
        <f t="shared" si="3"/>
        <v>33.35235294</v>
      </c>
      <c r="S1019" s="23">
        <f t="shared" si="4"/>
        <v>1.176470588</v>
      </c>
      <c r="T1019" s="24">
        <f t="shared" si="5"/>
        <v>0.2142857143</v>
      </c>
      <c r="U1019" s="26">
        <f t="shared" si="6"/>
        <v>0.3165829146</v>
      </c>
      <c r="V1019" s="26">
        <f t="shared" si="7"/>
        <v>0.02010050251</v>
      </c>
      <c r="W1019" s="19">
        <f t="shared" si="8"/>
        <v>4.6</v>
      </c>
      <c r="X1019" s="20">
        <f t="shared" si="9"/>
        <v>100</v>
      </c>
      <c r="Y1019" s="27"/>
      <c r="Z1019" s="17"/>
      <c r="AA1019" s="28"/>
      <c r="AB1019" s="17"/>
      <c r="AC1019" s="28"/>
      <c r="AD1019" s="16"/>
    </row>
    <row r="1020" ht="15.75" customHeight="1">
      <c r="A1020" s="27" t="s">
        <v>2694</v>
      </c>
      <c r="B1020" s="27" t="s">
        <v>2792</v>
      </c>
      <c r="C1020" s="16" t="s">
        <v>2793</v>
      </c>
      <c r="D1020" s="17" t="s">
        <v>247</v>
      </c>
      <c r="E1020" s="18" t="s">
        <v>34</v>
      </c>
      <c r="F1020" s="18">
        <v>1.0</v>
      </c>
      <c r="G1020" s="19">
        <f t="shared" si="10"/>
        <v>4.515070813</v>
      </c>
      <c r="H1020" s="17">
        <v>128.0</v>
      </c>
      <c r="I1020" s="10">
        <v>130.0</v>
      </c>
      <c r="J1020" s="17">
        <v>1.0</v>
      </c>
      <c r="K1020" s="17">
        <v>590.0</v>
      </c>
      <c r="L1020" s="17"/>
      <c r="M1020" s="20">
        <v>1.0</v>
      </c>
      <c r="N1020" s="20">
        <v>0.0</v>
      </c>
      <c r="O1020" s="20">
        <v>1.0</v>
      </c>
      <c r="P1020" s="20">
        <f t="shared" si="2"/>
        <v>0</v>
      </c>
      <c r="Q1020" s="21">
        <v>29.0</v>
      </c>
      <c r="R1020" s="22">
        <f t="shared" si="3"/>
        <v>28.79246094</v>
      </c>
      <c r="S1020" s="23">
        <f t="shared" si="4"/>
        <v>1.015625</v>
      </c>
      <c r="T1020" s="24">
        <f t="shared" si="5"/>
        <v>0.03448275862</v>
      </c>
      <c r="U1020" s="26">
        <f t="shared" si="6"/>
        <v>0.06976744186</v>
      </c>
      <c r="V1020" s="26">
        <f t="shared" si="7"/>
        <v>0.03100775194</v>
      </c>
      <c r="W1020" s="19">
        <f t="shared" si="8"/>
        <v>4.538461538</v>
      </c>
      <c r="X1020" s="20">
        <f t="shared" si="9"/>
        <v>130</v>
      </c>
      <c r="Y1020" s="27"/>
      <c r="Z1020" s="17"/>
      <c r="AA1020" s="28"/>
      <c r="AB1020" s="17"/>
      <c r="AC1020" s="28"/>
      <c r="AD1020" s="27"/>
    </row>
    <row r="1021" ht="15.75" customHeight="1">
      <c r="A1021" s="16" t="s">
        <v>304</v>
      </c>
      <c r="B1021" s="16" t="s">
        <v>2794</v>
      </c>
      <c r="C1021" s="16" t="s">
        <v>2795</v>
      </c>
      <c r="D1021" s="17" t="s">
        <v>119</v>
      </c>
      <c r="E1021" s="18" t="s">
        <v>34</v>
      </c>
      <c r="F1021" s="18">
        <v>1.0</v>
      </c>
      <c r="G1021" s="19">
        <f t="shared" si="10"/>
        <v>1.234589675</v>
      </c>
      <c r="H1021" s="17">
        <v>35.0</v>
      </c>
      <c r="I1021" s="10">
        <v>35.0</v>
      </c>
      <c r="J1021" s="17">
        <v>1.0</v>
      </c>
      <c r="K1021" s="17">
        <v>190.0</v>
      </c>
      <c r="L1021" s="17"/>
      <c r="M1021" s="20">
        <v>5.0</v>
      </c>
      <c r="N1021" s="20">
        <v>2.0</v>
      </c>
      <c r="O1021" s="20">
        <v>0.0</v>
      </c>
      <c r="P1021" s="20">
        <f t="shared" si="2"/>
        <v>3</v>
      </c>
      <c r="Q1021" s="21">
        <v>2.0</v>
      </c>
      <c r="R1021" s="22">
        <f t="shared" si="3"/>
        <v>28.3495</v>
      </c>
      <c r="S1021" s="23">
        <f t="shared" si="4"/>
        <v>1</v>
      </c>
      <c r="T1021" s="24">
        <f t="shared" si="5"/>
        <v>2.5</v>
      </c>
      <c r="U1021" s="26">
        <f t="shared" si="6"/>
        <v>0.2432432432</v>
      </c>
      <c r="V1021" s="26" t="str">
        <f t="shared" si="7"/>
        <v>0%</v>
      </c>
      <c r="W1021" s="19">
        <f t="shared" si="8"/>
        <v>5.428571429</v>
      </c>
      <c r="X1021" s="20">
        <f t="shared" si="9"/>
        <v>35</v>
      </c>
      <c r="Y1021" s="27"/>
      <c r="Z1021" s="17"/>
      <c r="AA1021" s="28"/>
      <c r="AB1021" s="17"/>
      <c r="AC1021" s="28"/>
      <c r="AD1021" s="27"/>
    </row>
    <row r="1022" ht="15.75" customHeight="1">
      <c r="A1022" s="16" t="s">
        <v>2694</v>
      </c>
      <c r="B1022" s="16" t="s">
        <v>2796</v>
      </c>
      <c r="C1022" s="16" t="s">
        <v>2797</v>
      </c>
      <c r="D1022" s="17" t="s">
        <v>247</v>
      </c>
      <c r="E1022" s="18" t="s">
        <v>34</v>
      </c>
      <c r="F1022" s="18">
        <v>1.0</v>
      </c>
      <c r="G1022" s="19">
        <f t="shared" si="10"/>
        <v>2.610275313</v>
      </c>
      <c r="H1022" s="17">
        <v>74.0</v>
      </c>
      <c r="I1022" s="10">
        <v>70.0</v>
      </c>
      <c r="J1022" s="17">
        <v>0.5</v>
      </c>
      <c r="K1022" s="17">
        <v>300.0</v>
      </c>
      <c r="L1022" s="17">
        <v>200.0</v>
      </c>
      <c r="M1022" s="20">
        <v>0.0</v>
      </c>
      <c r="N1022" s="20">
        <v>0.0</v>
      </c>
      <c r="O1022" s="20">
        <v>0.0</v>
      </c>
      <c r="P1022" s="20">
        <f t="shared" si="2"/>
        <v>0</v>
      </c>
      <c r="Q1022" s="21">
        <v>17.0</v>
      </c>
      <c r="R1022" s="22">
        <f t="shared" si="3"/>
        <v>26.81709459</v>
      </c>
      <c r="S1022" s="23">
        <f t="shared" si="4"/>
        <v>0.9459459459</v>
      </c>
      <c r="T1022" s="24">
        <f t="shared" si="5"/>
        <v>0</v>
      </c>
      <c r="U1022" s="26">
        <f t="shared" si="6"/>
        <v>0.06206896552</v>
      </c>
      <c r="V1022" s="26" t="str">
        <f t="shared" si="7"/>
        <v>0%</v>
      </c>
      <c r="W1022" s="19">
        <f t="shared" si="8"/>
        <v>4.285714286</v>
      </c>
      <c r="X1022" s="20">
        <f t="shared" si="9"/>
        <v>70</v>
      </c>
      <c r="Y1022" s="27"/>
      <c r="Z1022" s="17"/>
      <c r="AA1022" s="28"/>
      <c r="AB1022" s="17"/>
      <c r="AC1022" s="28"/>
      <c r="AD1022" s="27"/>
    </row>
    <row r="1023" ht="15.75" customHeight="1">
      <c r="A1023" s="16" t="s">
        <v>2763</v>
      </c>
      <c r="B1023" s="16" t="s">
        <v>2798</v>
      </c>
      <c r="C1023" s="16" t="s">
        <v>2799</v>
      </c>
      <c r="D1023" s="17" t="s">
        <v>119</v>
      </c>
      <c r="E1023" s="18" t="s">
        <v>34</v>
      </c>
      <c r="F1023" s="18">
        <v>1.0</v>
      </c>
      <c r="G1023" s="19">
        <f t="shared" si="10"/>
        <v>8.994867634</v>
      </c>
      <c r="H1023" s="17">
        <v>255.0</v>
      </c>
      <c r="I1023" s="10">
        <v>230.0</v>
      </c>
      <c r="J1023" s="17">
        <v>2.0</v>
      </c>
      <c r="K1023" s="17">
        <v>760.0</v>
      </c>
      <c r="L1023" s="17"/>
      <c r="M1023" s="20">
        <v>45.0</v>
      </c>
      <c r="N1023" s="20">
        <v>4.0</v>
      </c>
      <c r="O1023" s="20">
        <v>3.0</v>
      </c>
      <c r="P1023" s="20">
        <f t="shared" si="2"/>
        <v>38</v>
      </c>
      <c r="Q1023" s="21">
        <v>9.0</v>
      </c>
      <c r="R1023" s="22">
        <f t="shared" si="3"/>
        <v>25.57013725</v>
      </c>
      <c r="S1023" s="23">
        <f t="shared" si="4"/>
        <v>0.9019607843</v>
      </c>
      <c r="T1023" s="24">
        <f t="shared" si="5"/>
        <v>5</v>
      </c>
      <c r="U1023" s="26">
        <f t="shared" si="6"/>
        <v>0.07692307692</v>
      </c>
      <c r="V1023" s="26">
        <f t="shared" si="7"/>
        <v>0.05128205128</v>
      </c>
      <c r="W1023" s="19">
        <f t="shared" si="8"/>
        <v>3.304347826</v>
      </c>
      <c r="X1023" s="20">
        <f t="shared" si="9"/>
        <v>230</v>
      </c>
      <c r="Y1023" s="27"/>
      <c r="Z1023" s="17"/>
      <c r="AA1023" s="17"/>
      <c r="AB1023" s="17"/>
      <c r="AC1023" s="17"/>
      <c r="AD1023" s="27"/>
    </row>
    <row r="1024" ht="15.75" customHeight="1">
      <c r="A1024" s="16" t="s">
        <v>2800</v>
      </c>
      <c r="B1024" s="16" t="s">
        <v>2801</v>
      </c>
      <c r="C1024" s="16" t="s">
        <v>2802</v>
      </c>
      <c r="D1024" s="17" t="s">
        <v>2752</v>
      </c>
      <c r="E1024" s="18" t="s">
        <v>34</v>
      </c>
      <c r="F1024" s="18">
        <v>1.0</v>
      </c>
      <c r="G1024" s="19">
        <f t="shared" si="10"/>
        <v>8.606853736</v>
      </c>
      <c r="H1024" s="17">
        <v>244.0</v>
      </c>
      <c r="I1024" s="10">
        <v>220.0</v>
      </c>
      <c r="J1024" s="17">
        <v>7.0</v>
      </c>
      <c r="K1024" s="17">
        <v>800.0</v>
      </c>
      <c r="L1024" s="17">
        <v>380.0</v>
      </c>
      <c r="M1024" s="20">
        <v>32.0</v>
      </c>
      <c r="N1024" s="20">
        <v>3.0</v>
      </c>
      <c r="O1024" s="20">
        <v>6.0</v>
      </c>
      <c r="P1024" s="20">
        <f t="shared" si="2"/>
        <v>23</v>
      </c>
      <c r="Q1024" s="21">
        <v>7.0</v>
      </c>
      <c r="R1024" s="22">
        <f t="shared" si="3"/>
        <v>25.56102459</v>
      </c>
      <c r="S1024" s="23">
        <f t="shared" si="4"/>
        <v>0.9016393443</v>
      </c>
      <c r="T1024" s="24">
        <f t="shared" si="5"/>
        <v>4.571428571</v>
      </c>
      <c r="U1024" s="26">
        <f t="shared" si="6"/>
        <v>0.2876712329</v>
      </c>
      <c r="V1024" s="26">
        <f t="shared" si="7"/>
        <v>0.1095890411</v>
      </c>
      <c r="W1024" s="19">
        <f t="shared" si="8"/>
        <v>3.636363636</v>
      </c>
      <c r="X1024" s="20">
        <f t="shared" si="9"/>
        <v>220</v>
      </c>
      <c r="Y1024" s="27"/>
      <c r="Z1024" s="17"/>
      <c r="AA1024" s="28"/>
      <c r="AB1024" s="17"/>
      <c r="AC1024" s="28"/>
      <c r="AD1024" s="27"/>
    </row>
    <row r="1025" ht="15.75" customHeight="1">
      <c r="A1025" s="27" t="s">
        <v>2736</v>
      </c>
      <c r="B1025" s="27" t="s">
        <v>2803</v>
      </c>
      <c r="C1025" s="16" t="s">
        <v>2804</v>
      </c>
      <c r="D1025" s="17" t="s">
        <v>81</v>
      </c>
      <c r="E1025" s="18" t="s">
        <v>34</v>
      </c>
      <c r="F1025" s="18">
        <v>1.0</v>
      </c>
      <c r="G1025" s="19">
        <f t="shared" si="10"/>
        <v>3.527399072</v>
      </c>
      <c r="H1025" s="17">
        <v>100.0</v>
      </c>
      <c r="I1025" s="10">
        <v>89.0</v>
      </c>
      <c r="J1025" s="17">
        <v>0.3</v>
      </c>
      <c r="K1025" s="17">
        <v>1.0</v>
      </c>
      <c r="L1025" s="17">
        <v>358.0</v>
      </c>
      <c r="M1025" s="20">
        <v>22.8</v>
      </c>
      <c r="N1025" s="20">
        <v>2.6</v>
      </c>
      <c r="O1025" s="20">
        <v>12.2</v>
      </c>
      <c r="P1025" s="20">
        <f t="shared" si="2"/>
        <v>8</v>
      </c>
      <c r="Q1025" s="21">
        <v>1.1</v>
      </c>
      <c r="R1025" s="22">
        <f t="shared" si="3"/>
        <v>25.231055</v>
      </c>
      <c r="S1025" s="23">
        <f t="shared" si="4"/>
        <v>0.89</v>
      </c>
      <c r="T1025" s="24">
        <f t="shared" si="5"/>
        <v>20.72727273</v>
      </c>
      <c r="U1025" s="26">
        <f t="shared" si="6"/>
        <v>0.02746693795</v>
      </c>
      <c r="V1025" s="26">
        <f t="shared" si="7"/>
        <v>0.496439471</v>
      </c>
      <c r="W1025" s="19">
        <f t="shared" si="8"/>
        <v>0.01123595506</v>
      </c>
      <c r="X1025" s="20">
        <f t="shared" si="9"/>
        <v>89</v>
      </c>
      <c r="Y1025" s="27"/>
      <c r="Z1025" s="17"/>
      <c r="AA1025" s="17"/>
      <c r="AB1025" s="17"/>
      <c r="AC1025" s="17"/>
      <c r="AD1025" s="27"/>
    </row>
    <row r="1026" ht="15.75" customHeight="1">
      <c r="A1026" s="16" t="s">
        <v>2805</v>
      </c>
      <c r="B1026" s="16" t="s">
        <v>2806</v>
      </c>
      <c r="C1026" s="16" t="s">
        <v>2807</v>
      </c>
      <c r="D1026" s="17" t="s">
        <v>81</v>
      </c>
      <c r="E1026" s="18" t="s">
        <v>34</v>
      </c>
      <c r="F1026" s="18">
        <v>1.0</v>
      </c>
      <c r="G1026" s="19">
        <f t="shared" si="10"/>
        <v>3.985960952</v>
      </c>
      <c r="H1026" s="17">
        <v>113.0</v>
      </c>
      <c r="I1026" s="10">
        <v>100.0</v>
      </c>
      <c r="J1026" s="17">
        <v>0.0</v>
      </c>
      <c r="K1026" s="17">
        <v>10.0</v>
      </c>
      <c r="L1026" s="17"/>
      <c r="M1026" s="20">
        <v>26.0</v>
      </c>
      <c r="N1026" s="20">
        <v>1.0</v>
      </c>
      <c r="O1026" s="20">
        <v>22.0</v>
      </c>
      <c r="P1026" s="20">
        <f t="shared" si="2"/>
        <v>3</v>
      </c>
      <c r="Q1026" s="21">
        <v>0.0</v>
      </c>
      <c r="R1026" s="22">
        <f t="shared" si="3"/>
        <v>25.0880531</v>
      </c>
      <c r="S1026" s="23">
        <f t="shared" si="4"/>
        <v>0.8849557522</v>
      </c>
      <c r="T1026" s="24" t="str">
        <f t="shared" si="5"/>
        <v>N/A</v>
      </c>
      <c r="U1026" s="26" t="str">
        <f t="shared" si="6"/>
        <v>0%</v>
      </c>
      <c r="V1026" s="26">
        <f t="shared" si="7"/>
        <v>0.8461538462</v>
      </c>
      <c r="W1026" s="19">
        <f t="shared" si="8"/>
        <v>0.1</v>
      </c>
      <c r="X1026" s="20">
        <f t="shared" si="9"/>
        <v>100</v>
      </c>
      <c r="Y1026" s="27"/>
      <c r="Z1026" s="17"/>
      <c r="AA1026" s="28"/>
      <c r="AB1026" s="17"/>
      <c r="AC1026" s="28"/>
      <c r="AD1026" s="27"/>
    </row>
    <row r="1027" ht="15.75" customHeight="1">
      <c r="A1027" s="27" t="s">
        <v>2808</v>
      </c>
      <c r="B1027" s="27" t="s">
        <v>2809</v>
      </c>
      <c r="C1027" s="16" t="s">
        <v>2810</v>
      </c>
      <c r="D1027" s="17" t="s">
        <v>2752</v>
      </c>
      <c r="E1027" s="18" t="s">
        <v>34</v>
      </c>
      <c r="F1027" s="18">
        <v>1.0</v>
      </c>
      <c r="G1027" s="19">
        <f t="shared" si="10"/>
        <v>8.324661811</v>
      </c>
      <c r="H1027" s="17">
        <v>236.0</v>
      </c>
      <c r="I1027" s="10">
        <v>200.0</v>
      </c>
      <c r="J1027" s="17">
        <v>10.0</v>
      </c>
      <c r="K1027" s="17">
        <v>990.0</v>
      </c>
      <c r="L1027" s="17"/>
      <c r="M1027" s="20">
        <v>17.0</v>
      </c>
      <c r="N1027" s="20">
        <v>1.0</v>
      </c>
      <c r="O1027" s="20">
        <v>3.0</v>
      </c>
      <c r="P1027" s="20">
        <f t="shared" si="2"/>
        <v>13</v>
      </c>
      <c r="Q1027" s="21">
        <v>10.0</v>
      </c>
      <c r="R1027" s="22">
        <f t="shared" si="3"/>
        <v>24.025</v>
      </c>
      <c r="S1027" s="23">
        <f t="shared" si="4"/>
        <v>0.8474576271</v>
      </c>
      <c r="T1027" s="24">
        <f t="shared" si="5"/>
        <v>1.7</v>
      </c>
      <c r="U1027" s="26">
        <f t="shared" si="6"/>
        <v>0.4545454545</v>
      </c>
      <c r="V1027" s="26">
        <f t="shared" si="7"/>
        <v>0.06060606061</v>
      </c>
      <c r="W1027" s="19">
        <f t="shared" si="8"/>
        <v>4.95</v>
      </c>
      <c r="X1027" s="20">
        <f t="shared" si="9"/>
        <v>200</v>
      </c>
      <c r="Y1027" s="27"/>
      <c r="Z1027" s="17"/>
      <c r="AA1027" s="28"/>
      <c r="AB1027" s="17"/>
      <c r="AC1027" s="28"/>
      <c r="AD1027" s="27"/>
    </row>
    <row r="1028" ht="15.75" customHeight="1">
      <c r="A1028" s="27" t="s">
        <v>104</v>
      </c>
      <c r="B1028" s="27" t="s">
        <v>2811</v>
      </c>
      <c r="C1028" s="16" t="s">
        <v>2812</v>
      </c>
      <c r="D1028" s="17" t="s">
        <v>81</v>
      </c>
      <c r="E1028" s="18" t="s">
        <v>34</v>
      </c>
      <c r="F1028" s="18">
        <v>1.0</v>
      </c>
      <c r="G1028" s="19">
        <f t="shared" si="10"/>
        <v>2.504453341</v>
      </c>
      <c r="H1028" s="17">
        <v>71.0</v>
      </c>
      <c r="I1028" s="10">
        <v>60.0</v>
      </c>
      <c r="J1028" s="17">
        <v>0.5</v>
      </c>
      <c r="K1028" s="17">
        <v>0.0</v>
      </c>
      <c r="L1028" s="17"/>
      <c r="M1028" s="20">
        <v>13.0</v>
      </c>
      <c r="N1028" s="20">
        <v>0.0</v>
      </c>
      <c r="O1028" s="20">
        <v>10.0</v>
      </c>
      <c r="P1028" s="20">
        <f t="shared" si="2"/>
        <v>3</v>
      </c>
      <c r="Q1028" s="21">
        <v>0.0</v>
      </c>
      <c r="R1028" s="22">
        <f t="shared" si="3"/>
        <v>23.95732394</v>
      </c>
      <c r="S1028" s="23">
        <f t="shared" si="4"/>
        <v>0.8450704225</v>
      </c>
      <c r="T1028" s="24" t="str">
        <f t="shared" si="5"/>
        <v>N/A</v>
      </c>
      <c r="U1028" s="26">
        <f t="shared" si="6"/>
        <v>0.0796460177</v>
      </c>
      <c r="V1028" s="26">
        <f t="shared" si="7"/>
        <v>0.7079646018</v>
      </c>
      <c r="W1028" s="19">
        <f t="shared" si="8"/>
        <v>0</v>
      </c>
      <c r="X1028" s="20">
        <f t="shared" si="9"/>
        <v>60</v>
      </c>
      <c r="Y1028" s="27"/>
      <c r="Z1028" s="17"/>
      <c r="AA1028" s="28"/>
      <c r="AB1028" s="17"/>
      <c r="AC1028" s="28"/>
      <c r="AD1028" s="16"/>
    </row>
    <row r="1029" ht="15.75" customHeight="1">
      <c r="A1029" s="27" t="s">
        <v>2813</v>
      </c>
      <c r="B1029" s="27" t="s">
        <v>2814</v>
      </c>
      <c r="C1029" s="16" t="s">
        <v>2815</v>
      </c>
      <c r="D1029" s="17" t="s">
        <v>81</v>
      </c>
      <c r="E1029" s="18" t="s">
        <v>34</v>
      </c>
      <c r="F1029" s="18">
        <v>1.0</v>
      </c>
      <c r="G1029" s="19">
        <f t="shared" si="10"/>
        <v>3.492125082</v>
      </c>
      <c r="H1029" s="17">
        <v>99.0</v>
      </c>
      <c r="I1029" s="10">
        <v>70.0</v>
      </c>
      <c r="J1029" s="17">
        <v>2.0</v>
      </c>
      <c r="K1029" s="17">
        <v>10.0</v>
      </c>
      <c r="L1029" s="17">
        <v>70.0</v>
      </c>
      <c r="M1029" s="20">
        <v>10.0</v>
      </c>
      <c r="N1029" s="20">
        <v>4.0</v>
      </c>
      <c r="O1029" s="20">
        <v>7.0</v>
      </c>
      <c r="P1029" s="20">
        <f t="shared" si="2"/>
        <v>-1</v>
      </c>
      <c r="Q1029" s="21">
        <v>2.0</v>
      </c>
      <c r="R1029" s="22">
        <f t="shared" si="3"/>
        <v>20.04510101</v>
      </c>
      <c r="S1029" s="23">
        <f t="shared" si="4"/>
        <v>0.7070707071</v>
      </c>
      <c r="T1029" s="24">
        <f t="shared" si="5"/>
        <v>5</v>
      </c>
      <c r="U1029" s="26">
        <f t="shared" si="6"/>
        <v>0.2727272727</v>
      </c>
      <c r="V1029" s="26">
        <f t="shared" si="7"/>
        <v>0.4242424242</v>
      </c>
      <c r="W1029" s="19">
        <f t="shared" si="8"/>
        <v>0.1428571429</v>
      </c>
      <c r="X1029" s="20">
        <f t="shared" si="9"/>
        <v>70</v>
      </c>
      <c r="Y1029" s="27"/>
      <c r="Z1029" s="17"/>
      <c r="AA1029" s="28"/>
      <c r="AB1029" s="17"/>
      <c r="AC1029" s="28"/>
      <c r="AD1029" s="27"/>
    </row>
    <row r="1030" ht="15.75" customHeight="1">
      <c r="A1030" s="16" t="s">
        <v>2816</v>
      </c>
      <c r="B1030" s="16" t="s">
        <v>2817</v>
      </c>
      <c r="C1030" s="16" t="s">
        <v>2818</v>
      </c>
      <c r="D1030" s="17" t="s">
        <v>81</v>
      </c>
      <c r="E1030" s="18" t="s">
        <v>34</v>
      </c>
      <c r="F1030" s="18">
        <v>1.0</v>
      </c>
      <c r="G1030" s="19">
        <f t="shared" si="10"/>
        <v>3.174659165</v>
      </c>
      <c r="H1030" s="17">
        <v>90.0</v>
      </c>
      <c r="I1030" s="10">
        <v>60.0</v>
      </c>
      <c r="J1030" s="17">
        <v>0.0</v>
      </c>
      <c r="K1030" s="17">
        <v>0.0</v>
      </c>
      <c r="L1030" s="17"/>
      <c r="M1030" s="20">
        <v>15.0</v>
      </c>
      <c r="N1030" s="20">
        <v>1.0</v>
      </c>
      <c r="O1030" s="20">
        <v>12.0</v>
      </c>
      <c r="P1030" s="20">
        <f t="shared" si="2"/>
        <v>2</v>
      </c>
      <c r="Q1030" s="21">
        <v>0.0</v>
      </c>
      <c r="R1030" s="22">
        <f t="shared" si="3"/>
        <v>18.89966667</v>
      </c>
      <c r="S1030" s="23">
        <f t="shared" si="4"/>
        <v>0.6666666667</v>
      </c>
      <c r="T1030" s="24" t="str">
        <f t="shared" si="5"/>
        <v>N/A</v>
      </c>
      <c r="U1030" s="26" t="str">
        <f t="shared" si="6"/>
        <v>0%</v>
      </c>
      <c r="V1030" s="26">
        <f t="shared" si="7"/>
        <v>0.8</v>
      </c>
      <c r="W1030" s="19">
        <f t="shared" si="8"/>
        <v>0</v>
      </c>
      <c r="X1030" s="20">
        <f t="shared" si="9"/>
        <v>60</v>
      </c>
      <c r="Y1030" s="27"/>
      <c r="Z1030" s="17"/>
      <c r="AA1030" s="28"/>
      <c r="AB1030" s="17"/>
      <c r="AC1030" s="28"/>
      <c r="AD1030" s="27"/>
    </row>
    <row r="1031" ht="15.75" customHeight="1">
      <c r="A1031" s="16" t="s">
        <v>2736</v>
      </c>
      <c r="B1031" s="16" t="s">
        <v>2819</v>
      </c>
      <c r="C1031" s="16" t="s">
        <v>2820</v>
      </c>
      <c r="D1031" s="17" t="s">
        <v>81</v>
      </c>
      <c r="E1031" s="18" t="s">
        <v>34</v>
      </c>
      <c r="F1031" s="18">
        <v>1.0</v>
      </c>
      <c r="G1031" s="19">
        <f t="shared" si="10"/>
        <v>3.527399072</v>
      </c>
      <c r="H1031" s="17">
        <v>100.0</v>
      </c>
      <c r="I1031" s="10">
        <v>63.0</v>
      </c>
      <c r="J1031" s="17">
        <v>0.3</v>
      </c>
      <c r="K1031" s="17">
        <v>2.0</v>
      </c>
      <c r="L1031" s="17">
        <v>196.0</v>
      </c>
      <c r="M1031" s="20">
        <v>15.5</v>
      </c>
      <c r="N1031" s="20">
        <v>4.5</v>
      </c>
      <c r="O1031" s="20">
        <v>11.0</v>
      </c>
      <c r="P1031" s="20">
        <f t="shared" si="2"/>
        <v>0</v>
      </c>
      <c r="Q1031" s="21">
        <v>1.3</v>
      </c>
      <c r="R1031" s="22">
        <f t="shared" si="3"/>
        <v>17.860185</v>
      </c>
      <c r="S1031" s="23">
        <f t="shared" si="4"/>
        <v>0.63</v>
      </c>
      <c r="T1031" s="24">
        <f t="shared" si="5"/>
        <v>11.92307692</v>
      </c>
      <c r="U1031" s="26">
        <f t="shared" si="6"/>
        <v>0.03862660944</v>
      </c>
      <c r="V1031" s="26">
        <f t="shared" si="7"/>
        <v>0.6294706724</v>
      </c>
      <c r="W1031" s="19">
        <f t="shared" si="8"/>
        <v>0.03174603175</v>
      </c>
      <c r="X1031" s="20">
        <f t="shared" si="9"/>
        <v>63</v>
      </c>
      <c r="Y1031" s="27"/>
      <c r="Z1031" s="17"/>
      <c r="AA1031" s="28"/>
      <c r="AB1031" s="17"/>
      <c r="AC1031" s="28"/>
      <c r="AD1031" s="27"/>
    </row>
    <row r="1032" ht="15.75" customHeight="1">
      <c r="A1032" s="27" t="s">
        <v>2805</v>
      </c>
      <c r="B1032" s="27" t="s">
        <v>2821</v>
      </c>
      <c r="C1032" s="16" t="s">
        <v>2822</v>
      </c>
      <c r="D1032" s="17" t="s">
        <v>81</v>
      </c>
      <c r="E1032" s="18" t="s">
        <v>34</v>
      </c>
      <c r="F1032" s="18">
        <v>1.0</v>
      </c>
      <c r="G1032" s="19">
        <f t="shared" si="10"/>
        <v>3.985960952</v>
      </c>
      <c r="H1032" s="17">
        <v>113.0</v>
      </c>
      <c r="I1032" s="10">
        <v>60.0</v>
      </c>
      <c r="J1032" s="17">
        <v>0.0</v>
      </c>
      <c r="K1032" s="17">
        <v>5.0</v>
      </c>
      <c r="L1032" s="17"/>
      <c r="M1032" s="20">
        <v>14.0</v>
      </c>
      <c r="N1032" s="20">
        <v>2.0</v>
      </c>
      <c r="O1032" s="20">
        <v>13.0</v>
      </c>
      <c r="P1032" s="20">
        <f t="shared" si="2"/>
        <v>-1</v>
      </c>
      <c r="Q1032" s="21">
        <v>1.0</v>
      </c>
      <c r="R1032" s="22">
        <f t="shared" si="3"/>
        <v>15.05283186</v>
      </c>
      <c r="S1032" s="23">
        <f t="shared" si="4"/>
        <v>0.5309734513</v>
      </c>
      <c r="T1032" s="24">
        <f t="shared" si="5"/>
        <v>14</v>
      </c>
      <c r="U1032" s="26" t="str">
        <f t="shared" si="6"/>
        <v>0%</v>
      </c>
      <c r="V1032" s="26">
        <f t="shared" si="7"/>
        <v>0.8666666667</v>
      </c>
      <c r="W1032" s="19">
        <f t="shared" si="8"/>
        <v>0.08333333333</v>
      </c>
      <c r="X1032" s="20">
        <f t="shared" si="9"/>
        <v>60</v>
      </c>
      <c r="Y1032" s="27"/>
      <c r="Z1032" s="17"/>
      <c r="AA1032" s="28"/>
      <c r="AB1032" s="17"/>
      <c r="AC1032" s="28"/>
      <c r="AD1032" s="16"/>
    </row>
    <row r="1033" ht="15.75" customHeight="1">
      <c r="A1033" s="16" t="s">
        <v>491</v>
      </c>
      <c r="B1033" s="16" t="s">
        <v>2823</v>
      </c>
      <c r="C1033" s="16" t="s">
        <v>2824</v>
      </c>
      <c r="D1033" s="17" t="s">
        <v>81</v>
      </c>
      <c r="E1033" s="18" t="s">
        <v>34</v>
      </c>
      <c r="F1033" s="18">
        <v>1.0</v>
      </c>
      <c r="G1033" s="19">
        <f t="shared" si="10"/>
        <v>2.010617471</v>
      </c>
      <c r="H1033" s="17">
        <v>57.0</v>
      </c>
      <c r="I1033" s="10">
        <v>30.0</v>
      </c>
      <c r="J1033" s="17">
        <v>0.0</v>
      </c>
      <c r="K1033" s="17">
        <v>0.0</v>
      </c>
      <c r="L1033" s="17"/>
      <c r="M1033" s="20">
        <v>7.0</v>
      </c>
      <c r="N1033" s="20">
        <v>1.0</v>
      </c>
      <c r="O1033" s="20">
        <v>5.0</v>
      </c>
      <c r="P1033" s="20">
        <f t="shared" si="2"/>
        <v>1</v>
      </c>
      <c r="Q1033" s="21">
        <v>0.0</v>
      </c>
      <c r="R1033" s="22">
        <f t="shared" si="3"/>
        <v>14.92078947</v>
      </c>
      <c r="S1033" s="23">
        <f t="shared" si="4"/>
        <v>0.5263157895</v>
      </c>
      <c r="T1033" s="24" t="str">
        <f t="shared" si="5"/>
        <v>N/A</v>
      </c>
      <c r="U1033" s="26" t="str">
        <f t="shared" si="6"/>
        <v>0%</v>
      </c>
      <c r="V1033" s="26">
        <f t="shared" si="7"/>
        <v>0.7142857143</v>
      </c>
      <c r="W1033" s="19">
        <f t="shared" si="8"/>
        <v>0</v>
      </c>
      <c r="X1033" s="20">
        <f t="shared" si="9"/>
        <v>30</v>
      </c>
      <c r="Y1033" s="27"/>
      <c r="Z1033" s="17"/>
      <c r="AA1033" s="28"/>
      <c r="AB1033" s="17"/>
      <c r="AC1033" s="28"/>
      <c r="AD1033" s="27"/>
    </row>
    <row r="1034" ht="15.75" customHeight="1">
      <c r="A1034" s="16" t="s">
        <v>2825</v>
      </c>
      <c r="B1034" s="16" t="s">
        <v>2826</v>
      </c>
      <c r="C1034" s="16" t="s">
        <v>2827</v>
      </c>
      <c r="D1034" s="17" t="s">
        <v>2752</v>
      </c>
      <c r="E1034" s="18" t="s">
        <v>34</v>
      </c>
      <c r="F1034" s="18">
        <v>1.0</v>
      </c>
      <c r="G1034" s="19">
        <f t="shared" si="10"/>
        <v>8.430483783</v>
      </c>
      <c r="H1034" s="17">
        <v>239.0</v>
      </c>
      <c r="I1034" s="10">
        <v>110.0</v>
      </c>
      <c r="J1034" s="17">
        <v>1.0</v>
      </c>
      <c r="K1034" s="17">
        <v>650.0</v>
      </c>
      <c r="L1034" s="17">
        <v>330.0</v>
      </c>
      <c r="M1034" s="20">
        <v>22.0</v>
      </c>
      <c r="N1034" s="20">
        <v>2.0</v>
      </c>
      <c r="O1034" s="20">
        <v>2.0</v>
      </c>
      <c r="P1034" s="20">
        <f t="shared" si="2"/>
        <v>18</v>
      </c>
      <c r="Q1034" s="21">
        <v>6.0</v>
      </c>
      <c r="R1034" s="22">
        <f t="shared" si="3"/>
        <v>13.04788703</v>
      </c>
      <c r="S1034" s="23">
        <f t="shared" si="4"/>
        <v>0.460251046</v>
      </c>
      <c r="T1034" s="24">
        <f t="shared" si="5"/>
        <v>3.666666667</v>
      </c>
      <c r="U1034" s="26">
        <f t="shared" si="6"/>
        <v>0.07438016529</v>
      </c>
      <c r="V1034" s="26">
        <f t="shared" si="7"/>
        <v>0.06611570248</v>
      </c>
      <c r="W1034" s="19">
        <f t="shared" si="8"/>
        <v>5.909090909</v>
      </c>
      <c r="X1034" s="20">
        <f t="shared" si="9"/>
        <v>110</v>
      </c>
      <c r="Y1034" s="27"/>
      <c r="Z1034" s="17"/>
      <c r="AA1034" s="28"/>
      <c r="AB1034" s="17"/>
      <c r="AC1034" s="28"/>
      <c r="AD1034" s="27"/>
    </row>
    <row r="1035" ht="15.75" customHeight="1">
      <c r="A1035" s="16" t="s">
        <v>2828</v>
      </c>
      <c r="B1035" s="16" t="s">
        <v>2829</v>
      </c>
      <c r="C1035" s="16" t="s">
        <v>2830</v>
      </c>
      <c r="D1035" s="17" t="s">
        <v>2752</v>
      </c>
      <c r="E1035" s="18" t="s">
        <v>34</v>
      </c>
      <c r="F1035" s="18">
        <v>1.0</v>
      </c>
      <c r="G1035" s="19">
        <f t="shared" si="10"/>
        <v>8.677401718</v>
      </c>
      <c r="H1035" s="17">
        <v>246.0</v>
      </c>
      <c r="I1035" s="10">
        <v>60.0</v>
      </c>
      <c r="J1035" s="17">
        <v>0.5</v>
      </c>
      <c r="K1035" s="17">
        <v>660.0</v>
      </c>
      <c r="L1035" s="17"/>
      <c r="M1035" s="20">
        <v>9.0</v>
      </c>
      <c r="N1035" s="20">
        <v>1.0</v>
      </c>
      <c r="O1035" s="20">
        <v>1.0</v>
      </c>
      <c r="P1035" s="20">
        <f t="shared" si="2"/>
        <v>7</v>
      </c>
      <c r="Q1035" s="21">
        <v>4.0</v>
      </c>
      <c r="R1035" s="22">
        <f t="shared" si="3"/>
        <v>6.914512195</v>
      </c>
      <c r="S1035" s="23">
        <f t="shared" si="4"/>
        <v>0.243902439</v>
      </c>
      <c r="T1035" s="24">
        <f t="shared" si="5"/>
        <v>2.25</v>
      </c>
      <c r="U1035" s="26">
        <f t="shared" si="6"/>
        <v>0.0796460177</v>
      </c>
      <c r="V1035" s="26">
        <f t="shared" si="7"/>
        <v>0.07079646018</v>
      </c>
      <c r="W1035" s="19">
        <f t="shared" si="8"/>
        <v>11</v>
      </c>
      <c r="X1035" s="20">
        <f t="shared" si="9"/>
        <v>60</v>
      </c>
      <c r="Y1035" s="27"/>
      <c r="Z1035" s="17"/>
      <c r="AA1035" s="28"/>
      <c r="AB1035" s="17"/>
      <c r="AC1035" s="28"/>
      <c r="AD1035" s="16"/>
    </row>
    <row r="1036" ht="15.75" customHeight="1">
      <c r="A1036" s="16" t="s">
        <v>717</v>
      </c>
      <c r="B1036" s="16" t="s">
        <v>777</v>
      </c>
      <c r="C1036" s="16" t="s">
        <v>2831</v>
      </c>
      <c r="D1036" s="17" t="s">
        <v>99</v>
      </c>
      <c r="E1036" s="18" t="s">
        <v>34</v>
      </c>
      <c r="F1036" s="19"/>
      <c r="G1036" s="19">
        <f t="shared" si="10"/>
        <v>0.1199315685</v>
      </c>
      <c r="H1036" s="17">
        <v>3.4</v>
      </c>
      <c r="I1036" s="10">
        <v>0.0</v>
      </c>
      <c r="J1036" s="17">
        <v>0.0</v>
      </c>
      <c r="K1036" s="17">
        <v>780.0</v>
      </c>
      <c r="L1036" s="17">
        <v>400.0</v>
      </c>
      <c r="M1036" s="20">
        <v>0.0</v>
      </c>
      <c r="N1036" s="20">
        <v>0.0</v>
      </c>
      <c r="O1036" s="20">
        <v>0.0</v>
      </c>
      <c r="P1036" s="20">
        <f t="shared" si="2"/>
        <v>0</v>
      </c>
      <c r="Q1036" s="21">
        <v>0.0</v>
      </c>
      <c r="R1036" s="22">
        <f t="shared" si="3"/>
        <v>0</v>
      </c>
      <c r="S1036" s="23">
        <f t="shared" si="4"/>
        <v>0</v>
      </c>
      <c r="T1036" s="24" t="str">
        <f t="shared" si="5"/>
        <v>N/A</v>
      </c>
      <c r="U1036" s="26" t="str">
        <f t="shared" si="6"/>
        <v>0%</v>
      </c>
      <c r="V1036" s="26" t="str">
        <f t="shared" si="7"/>
        <v>0%</v>
      </c>
      <c r="W1036" s="19" t="str">
        <f t="shared" si="8"/>
        <v>N/A</v>
      </c>
      <c r="X1036" s="20">
        <f t="shared" si="9"/>
        <v>0</v>
      </c>
      <c r="Y1036" s="27"/>
      <c r="Z1036" s="17"/>
      <c r="AA1036" s="28"/>
      <c r="AB1036" s="17"/>
      <c r="AC1036" s="28"/>
      <c r="AD1036" s="27"/>
    </row>
    <row r="1037" ht="15.75" customHeight="1">
      <c r="A1037" s="16" t="s">
        <v>2832</v>
      </c>
      <c r="B1037" s="16" t="s">
        <v>72</v>
      </c>
      <c r="C1037" s="16" t="str">
        <f t="shared" ref="C1037:C1353" si="11">A1037&amp;" "&amp;B1037</f>
        <v>PackIt Gourmet Butter Powder</v>
      </c>
      <c r="D1037" s="17" t="s">
        <v>33</v>
      </c>
      <c r="E1037" s="17" t="s">
        <v>2833</v>
      </c>
      <c r="F1037" s="17">
        <v>1.0</v>
      </c>
      <c r="G1037" s="19">
        <f t="shared" si="10"/>
        <v>2.010617471</v>
      </c>
      <c r="H1037" s="17">
        <v>57.0</v>
      </c>
      <c r="I1037" s="10">
        <v>400.0</v>
      </c>
      <c r="J1037" s="17">
        <v>39.0</v>
      </c>
      <c r="K1037" s="17">
        <v>950.0</v>
      </c>
      <c r="L1037" s="17">
        <v>170.0</v>
      </c>
      <c r="M1037" s="20">
        <v>4.0</v>
      </c>
      <c r="N1037" s="20">
        <v>0.0</v>
      </c>
      <c r="O1037" s="20">
        <v>4.0</v>
      </c>
      <c r="P1037" s="20">
        <f t="shared" si="2"/>
        <v>0</v>
      </c>
      <c r="Q1037" s="21">
        <v>7.0</v>
      </c>
      <c r="R1037" s="86">
        <f t="shared" si="3"/>
        <v>198.9438596</v>
      </c>
      <c r="S1037" s="23">
        <f t="shared" si="4"/>
        <v>7.01754386</v>
      </c>
      <c r="T1037" s="24">
        <f t="shared" si="5"/>
        <v>0.5714285714</v>
      </c>
      <c r="U1037" s="26">
        <f t="shared" si="6"/>
        <v>0.8886075949</v>
      </c>
      <c r="V1037" s="26">
        <f t="shared" si="7"/>
        <v>0.04050632911</v>
      </c>
      <c r="W1037" s="19">
        <f t="shared" si="8"/>
        <v>2.375</v>
      </c>
      <c r="X1037" s="20">
        <f t="shared" si="9"/>
        <v>400</v>
      </c>
      <c r="Y1037" s="27"/>
      <c r="Z1037" s="17"/>
      <c r="AA1037" s="28"/>
      <c r="AB1037" s="17"/>
      <c r="AC1037" s="28"/>
      <c r="AD1037" s="27"/>
    </row>
    <row r="1038" ht="15.75" customHeight="1">
      <c r="A1038" s="16" t="s">
        <v>2832</v>
      </c>
      <c r="B1038" s="16" t="s">
        <v>2834</v>
      </c>
      <c r="C1038" s="16" t="str">
        <f t="shared" si="11"/>
        <v>PackIt Gourmet Pork Sausage - Crumbles (Freeze-Dried)</v>
      </c>
      <c r="D1038" s="17" t="s">
        <v>33</v>
      </c>
      <c r="E1038" s="17" t="s">
        <v>2833</v>
      </c>
      <c r="F1038" s="17">
        <v>1.0</v>
      </c>
      <c r="G1038" s="19">
        <f t="shared" si="10"/>
        <v>2.010617471</v>
      </c>
      <c r="H1038" s="17">
        <v>57.0</v>
      </c>
      <c r="I1038" s="10">
        <v>400.0</v>
      </c>
      <c r="J1038" s="17">
        <v>36.0</v>
      </c>
      <c r="K1038" s="17">
        <v>1180.0</v>
      </c>
      <c r="L1038" s="17">
        <v>310.0</v>
      </c>
      <c r="M1038" s="20">
        <v>1.0</v>
      </c>
      <c r="N1038" s="20">
        <v>0.0</v>
      </c>
      <c r="O1038" s="20">
        <v>0.0</v>
      </c>
      <c r="P1038" s="20">
        <f t="shared" si="2"/>
        <v>1</v>
      </c>
      <c r="Q1038" s="21">
        <v>17.0</v>
      </c>
      <c r="R1038" s="86">
        <f t="shared" si="3"/>
        <v>198.9438596</v>
      </c>
      <c r="S1038" s="23">
        <f t="shared" si="4"/>
        <v>7.01754386</v>
      </c>
      <c r="T1038" s="24">
        <f t="shared" si="5"/>
        <v>0.05882352941</v>
      </c>
      <c r="U1038" s="26">
        <f t="shared" si="6"/>
        <v>0.8181818182</v>
      </c>
      <c r="V1038" s="26" t="str">
        <f t="shared" si="7"/>
        <v>0%</v>
      </c>
      <c r="W1038" s="19">
        <f t="shared" si="8"/>
        <v>2.95</v>
      </c>
      <c r="X1038" s="20">
        <f t="shared" si="9"/>
        <v>400</v>
      </c>
      <c r="Y1038" s="27"/>
      <c r="Z1038" s="17"/>
      <c r="AA1038" s="28"/>
      <c r="AB1038" s="17"/>
      <c r="AC1038" s="28"/>
      <c r="AD1038" s="16"/>
    </row>
    <row r="1039" ht="15.75" customHeight="1">
      <c r="A1039" s="16" t="s">
        <v>2835</v>
      </c>
      <c r="B1039" s="16" t="s">
        <v>2836</v>
      </c>
      <c r="C1039" s="16" t="str">
        <f t="shared" si="11"/>
        <v>Trailtopia Egg Scramble</v>
      </c>
      <c r="D1039" s="17" t="s">
        <v>92</v>
      </c>
      <c r="E1039" s="17" t="s">
        <v>2837</v>
      </c>
      <c r="F1039" s="17">
        <v>2.0</v>
      </c>
      <c r="G1039" s="19">
        <f t="shared" si="10"/>
        <v>1.657877564</v>
      </c>
      <c r="H1039" s="17">
        <v>47.0</v>
      </c>
      <c r="I1039" s="10">
        <v>310.0</v>
      </c>
      <c r="J1039" s="17">
        <v>23.0</v>
      </c>
      <c r="K1039" s="17">
        <v>375.0</v>
      </c>
      <c r="L1039" s="17">
        <v>0.0</v>
      </c>
      <c r="M1039" s="20">
        <v>2.0</v>
      </c>
      <c r="N1039" s="20">
        <v>1.0</v>
      </c>
      <c r="O1039" s="20">
        <v>1.0</v>
      </c>
      <c r="P1039" s="20">
        <f t="shared" si="2"/>
        <v>0</v>
      </c>
      <c r="Q1039" s="21">
        <v>20.0</v>
      </c>
      <c r="R1039" s="205">
        <f t="shared" si="3"/>
        <v>186.9860638</v>
      </c>
      <c r="S1039" s="19">
        <f t="shared" si="4"/>
        <v>6.595744681</v>
      </c>
      <c r="T1039" s="24">
        <f t="shared" si="5"/>
        <v>0.1</v>
      </c>
      <c r="U1039" s="26">
        <f t="shared" si="6"/>
        <v>0.7016949153</v>
      </c>
      <c r="V1039" s="26">
        <f t="shared" si="7"/>
        <v>0.01355932203</v>
      </c>
      <c r="W1039" s="19">
        <f t="shared" si="8"/>
        <v>1.209677419</v>
      </c>
      <c r="X1039" s="20">
        <f t="shared" si="9"/>
        <v>620</v>
      </c>
      <c r="Y1039" s="27"/>
      <c r="Z1039" s="17"/>
      <c r="AA1039" s="17"/>
      <c r="AB1039" s="17"/>
      <c r="AC1039" s="17"/>
      <c r="AD1039" s="27"/>
    </row>
    <row r="1040" ht="15.75" customHeight="1">
      <c r="A1040" s="16" t="s">
        <v>2832</v>
      </c>
      <c r="B1040" s="16" t="s">
        <v>2838</v>
      </c>
      <c r="C1040" s="16" t="str">
        <f t="shared" si="11"/>
        <v>PackIt Gourmet Cheese, Mozzarella - Shredded (Freeze-Dried)</v>
      </c>
      <c r="D1040" s="17" t="s">
        <v>33</v>
      </c>
      <c r="E1040" s="17" t="s">
        <v>2839</v>
      </c>
      <c r="F1040" s="17">
        <v>1.0</v>
      </c>
      <c r="G1040" s="19">
        <f t="shared" si="10"/>
        <v>2.998289211</v>
      </c>
      <c r="H1040" s="17">
        <v>85.0</v>
      </c>
      <c r="I1040" s="10">
        <v>550.0</v>
      </c>
      <c r="J1040" s="17">
        <v>41.0</v>
      </c>
      <c r="K1040" s="17">
        <v>550.0</v>
      </c>
      <c r="L1040" s="17">
        <v>0.0</v>
      </c>
      <c r="M1040" s="20">
        <v>0.0</v>
      </c>
      <c r="N1040" s="20">
        <v>0.0</v>
      </c>
      <c r="O1040" s="20">
        <v>0.0</v>
      </c>
      <c r="P1040" s="20">
        <f t="shared" si="2"/>
        <v>0</v>
      </c>
      <c r="Q1040" s="21">
        <v>34.0</v>
      </c>
      <c r="R1040" s="205">
        <f t="shared" si="3"/>
        <v>183.4379412</v>
      </c>
      <c r="S1040" s="19">
        <f t="shared" si="4"/>
        <v>6.470588235</v>
      </c>
      <c r="T1040" s="24">
        <f t="shared" si="5"/>
        <v>0</v>
      </c>
      <c r="U1040" s="26">
        <f t="shared" si="6"/>
        <v>0.7306930693</v>
      </c>
      <c r="V1040" s="26" t="str">
        <f t="shared" si="7"/>
        <v>0%</v>
      </c>
      <c r="W1040" s="19">
        <f t="shared" si="8"/>
        <v>1</v>
      </c>
      <c r="X1040" s="20">
        <f t="shared" si="9"/>
        <v>550</v>
      </c>
      <c r="Y1040" s="27"/>
      <c r="Z1040" s="17"/>
      <c r="AA1040" s="17"/>
      <c r="AB1040" s="17"/>
      <c r="AC1040" s="17"/>
      <c r="AD1040" s="27"/>
    </row>
    <row r="1041" ht="15.75" customHeight="1">
      <c r="A1041" s="16" t="s">
        <v>2840</v>
      </c>
      <c r="B1041" s="16" t="s">
        <v>2841</v>
      </c>
      <c r="C1041" s="16" t="str">
        <f t="shared" si="11"/>
        <v>Next Mile Meals Sausage Scramble</v>
      </c>
      <c r="D1041" s="17" t="s">
        <v>92</v>
      </c>
      <c r="E1041" s="17" t="s">
        <v>2833</v>
      </c>
      <c r="F1041" s="17">
        <v>1.0</v>
      </c>
      <c r="G1041" s="19">
        <f t="shared" si="10"/>
        <v>2.998289211</v>
      </c>
      <c r="H1041" s="17">
        <v>85.0</v>
      </c>
      <c r="I1041" s="10">
        <v>530.0</v>
      </c>
      <c r="J1041" s="17">
        <v>41.0</v>
      </c>
      <c r="K1041" s="17">
        <v>1240.0</v>
      </c>
      <c r="L1041" s="17"/>
      <c r="M1041" s="20">
        <v>6.0</v>
      </c>
      <c r="N1041" s="20">
        <v>0.0</v>
      </c>
      <c r="O1041" s="20">
        <v>2.0</v>
      </c>
      <c r="P1041" s="20">
        <f t="shared" si="2"/>
        <v>4</v>
      </c>
      <c r="Q1041" s="21">
        <v>32.0</v>
      </c>
      <c r="R1041" s="205">
        <f t="shared" si="3"/>
        <v>176.7674706</v>
      </c>
      <c r="S1041" s="19">
        <f t="shared" si="4"/>
        <v>6.235294118</v>
      </c>
      <c r="T1041" s="24">
        <f t="shared" si="5"/>
        <v>0.1875</v>
      </c>
      <c r="U1041" s="26">
        <f t="shared" si="6"/>
        <v>0.7082533589</v>
      </c>
      <c r="V1041" s="26">
        <f t="shared" si="7"/>
        <v>0.01535508637</v>
      </c>
      <c r="W1041" s="19">
        <f t="shared" si="8"/>
        <v>2.339622642</v>
      </c>
      <c r="X1041" s="20">
        <f t="shared" si="9"/>
        <v>530</v>
      </c>
      <c r="Y1041" s="27"/>
      <c r="Z1041" s="17"/>
      <c r="AA1041" s="17"/>
      <c r="AB1041" s="17"/>
      <c r="AC1041" s="17"/>
      <c r="AD1041" s="27"/>
    </row>
    <row r="1042" ht="15.75" customHeight="1">
      <c r="A1042" s="16" t="s">
        <v>2832</v>
      </c>
      <c r="B1042" s="16" t="s">
        <v>2842</v>
      </c>
      <c r="C1042" s="16" t="str">
        <f t="shared" si="11"/>
        <v>PackIt Gourmet Cheese, Cheddar - Shredded (Freeze-Dried)</v>
      </c>
      <c r="D1042" s="17" t="s">
        <v>33</v>
      </c>
      <c r="E1042" s="17" t="s">
        <v>2839</v>
      </c>
      <c r="F1042" s="17">
        <v>1.0</v>
      </c>
      <c r="G1042" s="19">
        <f t="shared" si="10"/>
        <v>2.998289211</v>
      </c>
      <c r="H1042" s="17">
        <v>85.0</v>
      </c>
      <c r="I1042" s="10">
        <v>530.0</v>
      </c>
      <c r="J1042" s="17">
        <v>43.0</v>
      </c>
      <c r="K1042" s="17">
        <v>810.0</v>
      </c>
      <c r="L1042" s="17">
        <v>130.0</v>
      </c>
      <c r="M1042" s="20">
        <v>2.0</v>
      </c>
      <c r="N1042" s="20">
        <v>0.0</v>
      </c>
      <c r="O1042" s="20">
        <v>2.0</v>
      </c>
      <c r="P1042" s="20">
        <f t="shared" si="2"/>
        <v>0</v>
      </c>
      <c r="Q1042" s="21">
        <v>32.0</v>
      </c>
      <c r="R1042" s="205">
        <f t="shared" si="3"/>
        <v>176.7674706</v>
      </c>
      <c r="S1042" s="19">
        <f t="shared" si="4"/>
        <v>6.235294118</v>
      </c>
      <c r="T1042" s="24">
        <f t="shared" si="5"/>
        <v>0.0625</v>
      </c>
      <c r="U1042" s="26">
        <f t="shared" si="6"/>
        <v>0.7399617591</v>
      </c>
      <c r="V1042" s="26">
        <f t="shared" si="7"/>
        <v>0.01529636711</v>
      </c>
      <c r="W1042" s="19">
        <f t="shared" si="8"/>
        <v>1.528301887</v>
      </c>
      <c r="X1042" s="20">
        <f t="shared" si="9"/>
        <v>530</v>
      </c>
      <c r="Y1042" s="27"/>
      <c r="Z1042" s="17"/>
      <c r="AA1042" s="17"/>
      <c r="AB1042" s="17"/>
      <c r="AC1042" s="17"/>
      <c r="AD1042" s="27"/>
    </row>
    <row r="1043" ht="15.75" customHeight="1">
      <c r="A1043" s="16" t="s">
        <v>2832</v>
      </c>
      <c r="B1043" s="16" t="s">
        <v>2843</v>
      </c>
      <c r="C1043" s="16" t="str">
        <f t="shared" si="11"/>
        <v>PackIt Gourmet TexMex Breakfast Tacos (BYOB)</v>
      </c>
      <c r="D1043" s="17" t="s">
        <v>92</v>
      </c>
      <c r="E1043" s="17" t="s">
        <v>2833</v>
      </c>
      <c r="F1043" s="17">
        <v>1.0</v>
      </c>
      <c r="G1043" s="19">
        <f t="shared" si="10"/>
        <v>2.151713434</v>
      </c>
      <c r="H1043" s="17">
        <v>61.0</v>
      </c>
      <c r="I1043" s="10">
        <v>380.0</v>
      </c>
      <c r="J1043" s="17">
        <v>30.0</v>
      </c>
      <c r="K1043" s="17">
        <v>440.0</v>
      </c>
      <c r="L1043" s="17">
        <v>490.0</v>
      </c>
      <c r="M1043" s="20">
        <v>10.0</v>
      </c>
      <c r="N1043" s="20">
        <v>2.0</v>
      </c>
      <c r="O1043" s="20">
        <v>1.0</v>
      </c>
      <c r="P1043" s="20">
        <f t="shared" si="2"/>
        <v>7</v>
      </c>
      <c r="Q1043" s="21">
        <v>18.0</v>
      </c>
      <c r="R1043" s="205">
        <f t="shared" si="3"/>
        <v>176.6034426</v>
      </c>
      <c r="S1043" s="19">
        <f t="shared" si="4"/>
        <v>6.229508197</v>
      </c>
      <c r="T1043" s="24">
        <f t="shared" si="5"/>
        <v>0.5555555556</v>
      </c>
      <c r="U1043" s="26">
        <f t="shared" si="6"/>
        <v>0.7068062827</v>
      </c>
      <c r="V1043" s="26">
        <f t="shared" si="7"/>
        <v>0.01047120419</v>
      </c>
      <c r="W1043" s="19">
        <f t="shared" si="8"/>
        <v>1.157894737</v>
      </c>
      <c r="X1043" s="20">
        <f t="shared" si="9"/>
        <v>380</v>
      </c>
      <c r="Y1043" s="27"/>
      <c r="Z1043" s="17"/>
      <c r="AA1043" s="17"/>
      <c r="AB1043" s="17"/>
      <c r="AC1043" s="17"/>
      <c r="AD1043" s="27"/>
    </row>
    <row r="1044" ht="15.75" customHeight="1">
      <c r="A1044" s="16" t="s">
        <v>2844</v>
      </c>
      <c r="B1044" s="16" t="s">
        <v>2845</v>
      </c>
      <c r="C1044" s="16" t="str">
        <f t="shared" si="11"/>
        <v>Peak Refuel Chicken Alfredo Pasta</v>
      </c>
      <c r="D1044" s="17" t="s">
        <v>2846</v>
      </c>
      <c r="E1044" s="17" t="s">
        <v>2833</v>
      </c>
      <c r="F1044" s="17">
        <v>2.0</v>
      </c>
      <c r="G1044" s="19">
        <f t="shared" si="10"/>
        <v>2.469179351</v>
      </c>
      <c r="H1044" s="17">
        <v>70.0</v>
      </c>
      <c r="I1044" s="10">
        <v>430.0</v>
      </c>
      <c r="J1044" s="17">
        <v>24.0</v>
      </c>
      <c r="K1044" s="17">
        <v>410.0</v>
      </c>
      <c r="L1044" s="17">
        <v>315.0</v>
      </c>
      <c r="M1044" s="20">
        <v>27.0</v>
      </c>
      <c r="N1044" s="20">
        <v>1.0</v>
      </c>
      <c r="O1044" s="20">
        <v>3.0</v>
      </c>
      <c r="P1044" s="20">
        <f t="shared" si="2"/>
        <v>23</v>
      </c>
      <c r="Q1044" s="21">
        <v>26.0</v>
      </c>
      <c r="R1044" s="205">
        <f t="shared" si="3"/>
        <v>174.1469286</v>
      </c>
      <c r="S1044" s="19">
        <f t="shared" si="4"/>
        <v>6.142857143</v>
      </c>
      <c r="T1044" s="24">
        <f t="shared" si="5"/>
        <v>1.038461538</v>
      </c>
      <c r="U1044" s="26">
        <f t="shared" si="6"/>
        <v>0.5046728972</v>
      </c>
      <c r="V1044" s="26">
        <f t="shared" si="7"/>
        <v>0.02803738318</v>
      </c>
      <c r="W1044" s="19">
        <f t="shared" si="8"/>
        <v>0.9534883721</v>
      </c>
      <c r="X1044" s="20">
        <f t="shared" si="9"/>
        <v>860</v>
      </c>
      <c r="Y1044" s="27"/>
      <c r="Z1044" s="17"/>
      <c r="AA1044" s="17"/>
      <c r="AB1044" s="17"/>
      <c r="AC1044" s="17"/>
      <c r="AD1044" s="27"/>
    </row>
    <row r="1045" ht="15.75" customHeight="1">
      <c r="A1045" s="16" t="s">
        <v>2832</v>
      </c>
      <c r="B1045" s="16" t="s">
        <v>2847</v>
      </c>
      <c r="C1045" s="16" t="str">
        <f t="shared" si="11"/>
        <v>PackIt Gourmet Ground Beef (Freeze-Dried)</v>
      </c>
      <c r="D1045" s="17" t="s">
        <v>33</v>
      </c>
      <c r="E1045" s="17" t="s">
        <v>2833</v>
      </c>
      <c r="F1045" s="17">
        <v>1.0</v>
      </c>
      <c r="G1045" s="19">
        <f t="shared" si="10"/>
        <v>2.010617471</v>
      </c>
      <c r="H1045" s="17">
        <v>57.0</v>
      </c>
      <c r="I1045" s="10">
        <v>350.0</v>
      </c>
      <c r="J1045" s="17">
        <v>24.0</v>
      </c>
      <c r="K1045" s="17">
        <v>730.0</v>
      </c>
      <c r="L1045" s="17">
        <v>0.0</v>
      </c>
      <c r="M1045" s="20">
        <v>0.0</v>
      </c>
      <c r="N1045" s="20">
        <v>0.0</v>
      </c>
      <c r="O1045" s="20">
        <v>0.0</v>
      </c>
      <c r="P1045" s="20">
        <f t="shared" si="2"/>
        <v>0</v>
      </c>
      <c r="Q1045" s="21">
        <v>31.0</v>
      </c>
      <c r="R1045" s="205">
        <f t="shared" si="3"/>
        <v>174.0758772</v>
      </c>
      <c r="S1045" s="19">
        <f t="shared" si="4"/>
        <v>6.140350877</v>
      </c>
      <c r="T1045" s="24">
        <f t="shared" si="5"/>
        <v>0</v>
      </c>
      <c r="U1045" s="26">
        <f t="shared" si="6"/>
        <v>0.6352941176</v>
      </c>
      <c r="V1045" s="26" t="str">
        <f t="shared" si="7"/>
        <v>0%</v>
      </c>
      <c r="W1045" s="19">
        <f t="shared" si="8"/>
        <v>2.085714286</v>
      </c>
      <c r="X1045" s="20">
        <f t="shared" si="9"/>
        <v>350</v>
      </c>
      <c r="Y1045" s="27"/>
      <c r="Z1045" s="17"/>
      <c r="AA1045" s="17"/>
      <c r="AB1045" s="17"/>
      <c r="AC1045" s="17"/>
      <c r="AD1045" s="27"/>
    </row>
    <row r="1046" ht="15.75" customHeight="1">
      <c r="A1046" s="16" t="s">
        <v>2832</v>
      </c>
      <c r="B1046" s="16" t="s">
        <v>2848</v>
      </c>
      <c r="C1046" s="16" t="str">
        <f t="shared" si="11"/>
        <v>PackIt Gourmet Sour Cream Powder</v>
      </c>
      <c r="D1046" s="17" t="s">
        <v>33</v>
      </c>
      <c r="E1046" s="17" t="s">
        <v>2839</v>
      </c>
      <c r="F1046" s="17">
        <v>1.0</v>
      </c>
      <c r="G1046" s="19">
        <f t="shared" si="10"/>
        <v>2.010617471</v>
      </c>
      <c r="H1046" s="17">
        <v>57.0</v>
      </c>
      <c r="I1046" s="10">
        <v>350.0</v>
      </c>
      <c r="J1046" s="17">
        <v>30.0</v>
      </c>
      <c r="K1046" s="17">
        <v>310.0</v>
      </c>
      <c r="L1046" s="17">
        <v>0.0</v>
      </c>
      <c r="M1046" s="20">
        <v>12.0</v>
      </c>
      <c r="N1046" s="20">
        <v>0.0</v>
      </c>
      <c r="O1046" s="20">
        <v>12.0</v>
      </c>
      <c r="P1046" s="20">
        <f t="shared" si="2"/>
        <v>0</v>
      </c>
      <c r="Q1046" s="21">
        <v>9.0</v>
      </c>
      <c r="R1046" s="205">
        <f t="shared" si="3"/>
        <v>174.0758772</v>
      </c>
      <c r="S1046" s="19">
        <f t="shared" si="4"/>
        <v>6.140350877</v>
      </c>
      <c r="T1046" s="24">
        <f t="shared" si="5"/>
        <v>1.333333333</v>
      </c>
      <c r="U1046" s="26">
        <f t="shared" si="6"/>
        <v>0.7627118644</v>
      </c>
      <c r="V1046" s="26">
        <f t="shared" si="7"/>
        <v>0.1355932203</v>
      </c>
      <c r="W1046" s="19">
        <f t="shared" si="8"/>
        <v>0.8857142857</v>
      </c>
      <c r="X1046" s="20">
        <f t="shared" si="9"/>
        <v>350</v>
      </c>
      <c r="Y1046" s="27"/>
      <c r="Z1046" s="17"/>
      <c r="AA1046" s="17"/>
      <c r="AB1046" s="17"/>
      <c r="AC1046" s="17"/>
      <c r="AD1046" s="27"/>
    </row>
    <row r="1047" ht="15.75" customHeight="1">
      <c r="A1047" s="16" t="s">
        <v>2832</v>
      </c>
      <c r="B1047" s="16" t="s">
        <v>2849</v>
      </c>
      <c r="C1047" s="16" t="str">
        <f t="shared" si="11"/>
        <v>PackIt Gourmet Cheese, Monterey Jack - Shredded (Freeze-Dried)</v>
      </c>
      <c r="D1047" s="17" t="s">
        <v>33</v>
      </c>
      <c r="E1047" s="17" t="s">
        <v>2839</v>
      </c>
      <c r="F1047" s="17">
        <v>1.0</v>
      </c>
      <c r="G1047" s="19">
        <f t="shared" si="10"/>
        <v>2.998289211</v>
      </c>
      <c r="H1047" s="17">
        <v>85.0</v>
      </c>
      <c r="I1047" s="10">
        <v>520.0</v>
      </c>
      <c r="J1047" s="17">
        <v>42.0</v>
      </c>
      <c r="K1047" s="17">
        <v>740.0</v>
      </c>
      <c r="L1047" s="17">
        <v>110.0</v>
      </c>
      <c r="M1047" s="20">
        <v>1.0</v>
      </c>
      <c r="N1047" s="20">
        <v>0.0</v>
      </c>
      <c r="O1047" s="20">
        <v>1.0</v>
      </c>
      <c r="P1047" s="20">
        <f t="shared" si="2"/>
        <v>0</v>
      </c>
      <c r="Q1047" s="21">
        <v>34.0</v>
      </c>
      <c r="R1047" s="205">
        <f t="shared" si="3"/>
        <v>173.4322353</v>
      </c>
      <c r="S1047" s="19">
        <f t="shared" si="4"/>
        <v>6.117647059</v>
      </c>
      <c r="T1047" s="24">
        <f t="shared" si="5"/>
        <v>0.02941176471</v>
      </c>
      <c r="U1047" s="26">
        <f t="shared" si="6"/>
        <v>0.7297297297</v>
      </c>
      <c r="V1047" s="26">
        <f t="shared" si="7"/>
        <v>0.007722007722</v>
      </c>
      <c r="W1047" s="19">
        <f t="shared" si="8"/>
        <v>1.423076923</v>
      </c>
      <c r="X1047" s="20">
        <f t="shared" si="9"/>
        <v>520</v>
      </c>
      <c r="Y1047" s="27"/>
      <c r="Z1047" s="17"/>
      <c r="AA1047" s="17"/>
      <c r="AB1047" s="17"/>
      <c r="AC1047" s="17"/>
      <c r="AD1047" s="27"/>
    </row>
    <row r="1048" ht="15.75" customHeight="1">
      <c r="A1048" s="16" t="s">
        <v>2832</v>
      </c>
      <c r="B1048" s="16" t="s">
        <v>2850</v>
      </c>
      <c r="C1048" s="16" t="str">
        <f t="shared" si="11"/>
        <v>PackIt Gourmet Pizza Margherita Wrap (BYOB)</v>
      </c>
      <c r="D1048" s="17" t="s">
        <v>2846</v>
      </c>
      <c r="E1048" s="17" t="s">
        <v>2833</v>
      </c>
      <c r="F1048" s="17">
        <v>1.0</v>
      </c>
      <c r="G1048" s="19">
        <f t="shared" si="10"/>
        <v>3.633221044</v>
      </c>
      <c r="H1048" s="17">
        <v>103.0</v>
      </c>
      <c r="I1048" s="10">
        <v>620.0</v>
      </c>
      <c r="J1048" s="17">
        <v>49.0</v>
      </c>
      <c r="K1048" s="17">
        <v>740.0</v>
      </c>
      <c r="L1048" s="17">
        <v>150.0</v>
      </c>
      <c r="M1048" s="20">
        <v>9.0</v>
      </c>
      <c r="N1048" s="20">
        <v>3.0</v>
      </c>
      <c r="O1048" s="20">
        <v>5.0</v>
      </c>
      <c r="P1048" s="20">
        <f t="shared" si="2"/>
        <v>1</v>
      </c>
      <c r="Q1048" s="21">
        <v>32.0</v>
      </c>
      <c r="R1048" s="205">
        <f t="shared" si="3"/>
        <v>170.6474757</v>
      </c>
      <c r="S1048" s="19">
        <f t="shared" si="4"/>
        <v>6.019417476</v>
      </c>
      <c r="T1048" s="24">
        <f t="shared" si="5"/>
        <v>0.28125</v>
      </c>
      <c r="U1048" s="26">
        <f t="shared" si="6"/>
        <v>0.7289256198</v>
      </c>
      <c r="V1048" s="26">
        <f t="shared" si="7"/>
        <v>0.03305785124</v>
      </c>
      <c r="W1048" s="19">
        <f t="shared" si="8"/>
        <v>1.193548387</v>
      </c>
      <c r="X1048" s="20">
        <f t="shared" si="9"/>
        <v>620</v>
      </c>
      <c r="Y1048" s="27"/>
      <c r="Z1048" s="17"/>
      <c r="AA1048" s="17"/>
      <c r="AB1048" s="17"/>
      <c r="AC1048" s="17"/>
      <c r="AD1048" s="27"/>
    </row>
    <row r="1049" ht="15.75" customHeight="1">
      <c r="A1049" s="16" t="s">
        <v>1526</v>
      </c>
      <c r="B1049" s="16" t="s">
        <v>2851</v>
      </c>
      <c r="C1049" s="16" t="str">
        <f t="shared" si="11"/>
        <v>Mountain House Ground Beef</v>
      </c>
      <c r="D1049" s="17" t="s">
        <v>33</v>
      </c>
      <c r="E1049" s="17" t="s">
        <v>2833</v>
      </c>
      <c r="F1049" s="17">
        <v>22.0</v>
      </c>
      <c r="G1049" s="19">
        <f t="shared" si="10"/>
        <v>1.305137657</v>
      </c>
      <c r="H1049" s="17">
        <v>37.0</v>
      </c>
      <c r="I1049" s="10">
        <v>220.0</v>
      </c>
      <c r="J1049" s="17">
        <v>15.0</v>
      </c>
      <c r="K1049" s="17">
        <v>470.0</v>
      </c>
      <c r="L1049" s="17">
        <v>191.0</v>
      </c>
      <c r="M1049" s="20">
        <v>0.0</v>
      </c>
      <c r="N1049" s="20">
        <v>0.0</v>
      </c>
      <c r="O1049" s="20">
        <v>0.0</v>
      </c>
      <c r="P1049" s="20">
        <f t="shared" si="2"/>
        <v>0</v>
      </c>
      <c r="Q1049" s="21">
        <v>20.0</v>
      </c>
      <c r="R1049" s="205">
        <f t="shared" si="3"/>
        <v>168.5645946</v>
      </c>
      <c r="S1049" s="19">
        <f t="shared" si="4"/>
        <v>5.945945946</v>
      </c>
      <c r="T1049" s="24">
        <f t="shared" si="5"/>
        <v>0</v>
      </c>
      <c r="U1049" s="26">
        <f t="shared" si="6"/>
        <v>0.6279069767</v>
      </c>
      <c r="V1049" s="26" t="str">
        <f t="shared" si="7"/>
        <v>0%</v>
      </c>
      <c r="W1049" s="19">
        <f t="shared" si="8"/>
        <v>2.136363636</v>
      </c>
      <c r="X1049" s="20">
        <f t="shared" si="9"/>
        <v>4840</v>
      </c>
      <c r="Y1049" s="27"/>
      <c r="Z1049" s="17"/>
      <c r="AA1049" s="17"/>
      <c r="AB1049" s="17"/>
      <c r="AC1049" s="17"/>
      <c r="AD1049" s="27"/>
    </row>
    <row r="1050" ht="15.75" customHeight="1">
      <c r="A1050" s="16" t="s">
        <v>2844</v>
      </c>
      <c r="B1050" s="16" t="s">
        <v>2852</v>
      </c>
      <c r="C1050" s="16" t="str">
        <f t="shared" si="11"/>
        <v>Peak Refuel Beef Pasta Marinara</v>
      </c>
      <c r="D1050" s="17" t="s">
        <v>2846</v>
      </c>
      <c r="E1050" s="17" t="s">
        <v>2833</v>
      </c>
      <c r="F1050" s="17">
        <v>2.0</v>
      </c>
      <c r="G1050" s="19">
        <f t="shared" si="10"/>
        <v>3.174659165</v>
      </c>
      <c r="H1050" s="17">
        <v>90.0</v>
      </c>
      <c r="I1050" s="10">
        <v>520.0</v>
      </c>
      <c r="J1050" s="17">
        <v>27.0</v>
      </c>
      <c r="K1050" s="17">
        <v>470.0</v>
      </c>
      <c r="L1050" s="17">
        <v>312.0</v>
      </c>
      <c r="M1050" s="20">
        <v>28.0</v>
      </c>
      <c r="N1050" s="20">
        <v>2.0</v>
      </c>
      <c r="O1050" s="20">
        <v>3.0</v>
      </c>
      <c r="P1050" s="20">
        <f t="shared" si="2"/>
        <v>23</v>
      </c>
      <c r="Q1050" s="21">
        <v>24.0</v>
      </c>
      <c r="R1050" s="205">
        <f t="shared" si="3"/>
        <v>163.7971111</v>
      </c>
      <c r="S1050" s="19">
        <f t="shared" si="4"/>
        <v>5.777777778</v>
      </c>
      <c r="T1050" s="24">
        <f t="shared" si="5"/>
        <v>1.166666667</v>
      </c>
      <c r="U1050" s="26">
        <f t="shared" si="6"/>
        <v>0.5388026608</v>
      </c>
      <c r="V1050" s="26">
        <f t="shared" si="7"/>
        <v>0.0266075388</v>
      </c>
      <c r="W1050" s="19">
        <f t="shared" si="8"/>
        <v>0.9038461538</v>
      </c>
      <c r="X1050" s="20">
        <f t="shared" si="9"/>
        <v>1040</v>
      </c>
      <c r="Y1050" s="27"/>
      <c r="Z1050" s="17"/>
      <c r="AA1050" s="17"/>
      <c r="AB1050" s="17"/>
      <c r="AC1050" s="17"/>
      <c r="AD1050" s="27"/>
    </row>
    <row r="1051" ht="15.75" customHeight="1">
      <c r="A1051" s="16" t="s">
        <v>2840</v>
      </c>
      <c r="B1051" s="16" t="s">
        <v>2853</v>
      </c>
      <c r="C1051" s="16" t="str">
        <f t="shared" si="11"/>
        <v>Next Mile Meals Beef Tacos</v>
      </c>
      <c r="D1051" s="17" t="s">
        <v>2846</v>
      </c>
      <c r="E1051" s="17" t="s">
        <v>2833</v>
      </c>
      <c r="F1051" s="17">
        <v>1.0</v>
      </c>
      <c r="G1051" s="19">
        <f t="shared" si="10"/>
        <v>3.597947054</v>
      </c>
      <c r="H1051" s="17">
        <v>102.0</v>
      </c>
      <c r="I1051" s="10">
        <v>580.0</v>
      </c>
      <c r="J1051" s="17">
        <v>42.0</v>
      </c>
      <c r="K1051" s="17">
        <v>1960.0</v>
      </c>
      <c r="L1051" s="17"/>
      <c r="M1051" s="20">
        <v>6.0</v>
      </c>
      <c r="N1051" s="20">
        <v>2.0</v>
      </c>
      <c r="O1051" s="20">
        <v>2.0</v>
      </c>
      <c r="P1051" s="20">
        <f t="shared" si="2"/>
        <v>2</v>
      </c>
      <c r="Q1051" s="21">
        <v>42.0</v>
      </c>
      <c r="R1051" s="205">
        <f t="shared" si="3"/>
        <v>161.2030392</v>
      </c>
      <c r="S1051" s="19">
        <f t="shared" si="4"/>
        <v>5.68627451</v>
      </c>
      <c r="T1051" s="24">
        <f t="shared" si="5"/>
        <v>0.1428571429</v>
      </c>
      <c r="U1051" s="26">
        <f t="shared" si="6"/>
        <v>0.6631578947</v>
      </c>
      <c r="V1051" s="26">
        <f t="shared" si="7"/>
        <v>0.01403508772</v>
      </c>
      <c r="W1051" s="19">
        <f t="shared" si="8"/>
        <v>3.379310345</v>
      </c>
      <c r="X1051" s="20">
        <f t="shared" si="9"/>
        <v>580</v>
      </c>
      <c r="Y1051" s="27"/>
      <c r="Z1051" s="17"/>
      <c r="AA1051" s="17"/>
      <c r="AB1051" s="17"/>
      <c r="AC1051" s="17"/>
      <c r="AD1051" s="27"/>
    </row>
    <row r="1052" ht="15.75" customHeight="1">
      <c r="A1052" s="16" t="s">
        <v>2840</v>
      </c>
      <c r="B1052" s="16" t="s">
        <v>2854</v>
      </c>
      <c r="C1052" s="16" t="str">
        <f t="shared" si="11"/>
        <v>Next Mile Meals Italian Beef Marinara</v>
      </c>
      <c r="D1052" s="17" t="s">
        <v>2846</v>
      </c>
      <c r="E1052" s="17" t="s">
        <v>2833</v>
      </c>
      <c r="F1052" s="17">
        <v>1.0</v>
      </c>
      <c r="G1052" s="19">
        <f t="shared" si="10"/>
        <v>3.597947054</v>
      </c>
      <c r="H1052" s="17">
        <v>102.0</v>
      </c>
      <c r="I1052" s="10">
        <v>580.0</v>
      </c>
      <c r="J1052" s="17">
        <v>39.0</v>
      </c>
      <c r="K1052" s="17"/>
      <c r="L1052" s="17"/>
      <c r="M1052" s="20">
        <v>11.0</v>
      </c>
      <c r="N1052" s="20">
        <v>3.0</v>
      </c>
      <c r="O1052" s="20">
        <v>3.0</v>
      </c>
      <c r="P1052" s="20">
        <f t="shared" si="2"/>
        <v>5</v>
      </c>
      <c r="Q1052" s="21">
        <v>42.0</v>
      </c>
      <c r="R1052" s="205">
        <f t="shared" si="3"/>
        <v>161.2030392</v>
      </c>
      <c r="S1052" s="19">
        <f t="shared" si="4"/>
        <v>5.68627451</v>
      </c>
      <c r="T1052" s="24">
        <f t="shared" si="5"/>
        <v>0.2619047619</v>
      </c>
      <c r="U1052" s="26">
        <f t="shared" si="6"/>
        <v>0.6234458259</v>
      </c>
      <c r="V1052" s="26">
        <f t="shared" si="7"/>
        <v>0.02131438721</v>
      </c>
      <c r="W1052" s="19">
        <f t="shared" si="8"/>
        <v>0</v>
      </c>
      <c r="X1052" s="20">
        <f t="shared" si="9"/>
        <v>580</v>
      </c>
      <c r="Y1052" s="27"/>
      <c r="Z1052" s="17"/>
      <c r="AA1052" s="17"/>
      <c r="AB1052" s="17"/>
      <c r="AC1052" s="17"/>
      <c r="AD1052" s="27"/>
    </row>
    <row r="1053" ht="15.75" customHeight="1">
      <c r="A1053" s="16" t="s">
        <v>2844</v>
      </c>
      <c r="B1053" s="16" t="s">
        <v>2855</v>
      </c>
      <c r="C1053" s="16" t="str">
        <f t="shared" si="11"/>
        <v>Peak Refuel Chicken Pesto Pasta</v>
      </c>
      <c r="D1053" s="17" t="s">
        <v>2846</v>
      </c>
      <c r="E1053" s="17" t="s">
        <v>2833</v>
      </c>
      <c r="F1053" s="17">
        <v>2.0</v>
      </c>
      <c r="G1053" s="19">
        <f t="shared" si="10"/>
        <v>2.857193249</v>
      </c>
      <c r="H1053" s="17">
        <v>81.0</v>
      </c>
      <c r="I1053" s="10">
        <v>460.0</v>
      </c>
      <c r="J1053" s="17">
        <v>32.0</v>
      </c>
      <c r="K1053" s="17">
        <v>450.0</v>
      </c>
      <c r="L1053" s="17">
        <v>281.0</v>
      </c>
      <c r="M1053" s="20">
        <v>21.0</v>
      </c>
      <c r="N1053" s="20">
        <v>1.0</v>
      </c>
      <c r="O1053" s="20">
        <v>2.0</v>
      </c>
      <c r="P1053" s="20">
        <f t="shared" si="2"/>
        <v>18</v>
      </c>
      <c r="Q1053" s="21">
        <v>22.0</v>
      </c>
      <c r="R1053" s="205">
        <f t="shared" si="3"/>
        <v>160.9971605</v>
      </c>
      <c r="S1053" s="19">
        <f t="shared" si="4"/>
        <v>5.679012346</v>
      </c>
      <c r="T1053" s="24">
        <f t="shared" si="5"/>
        <v>0.9545454545</v>
      </c>
      <c r="U1053" s="26">
        <f t="shared" si="6"/>
        <v>0.6260869565</v>
      </c>
      <c r="V1053" s="26">
        <f t="shared" si="7"/>
        <v>0.01739130435</v>
      </c>
      <c r="W1053" s="19">
        <f t="shared" si="8"/>
        <v>0.9782608696</v>
      </c>
      <c r="X1053" s="20">
        <f t="shared" si="9"/>
        <v>920</v>
      </c>
      <c r="Y1053" s="27"/>
      <c r="Z1053" s="17"/>
      <c r="AA1053" s="17"/>
      <c r="AB1053" s="17"/>
      <c r="AC1053" s="17"/>
      <c r="AD1053" s="27"/>
    </row>
    <row r="1054" ht="15.75" customHeight="1">
      <c r="A1054" s="16" t="s">
        <v>2840</v>
      </c>
      <c r="B1054" s="16" t="s">
        <v>2856</v>
      </c>
      <c r="C1054" s="16" t="str">
        <f t="shared" si="11"/>
        <v>Next Mile Meals Steak Omelette</v>
      </c>
      <c r="D1054" s="17" t="s">
        <v>92</v>
      </c>
      <c r="E1054" s="17" t="s">
        <v>2833</v>
      </c>
      <c r="F1054" s="17">
        <v>1.0</v>
      </c>
      <c r="G1054" s="19">
        <f t="shared" si="10"/>
        <v>2.998289211</v>
      </c>
      <c r="H1054" s="17">
        <v>85.0</v>
      </c>
      <c r="I1054" s="10">
        <v>480.0</v>
      </c>
      <c r="J1054" s="17">
        <v>30.0</v>
      </c>
      <c r="K1054" s="17">
        <v>1460.0</v>
      </c>
      <c r="L1054" s="17"/>
      <c r="M1054" s="20">
        <v>7.0</v>
      </c>
      <c r="N1054" s="20">
        <v>2.0</v>
      </c>
      <c r="O1054" s="20">
        <v>2.0</v>
      </c>
      <c r="P1054" s="20">
        <f t="shared" si="2"/>
        <v>3</v>
      </c>
      <c r="Q1054" s="21">
        <v>28.0</v>
      </c>
      <c r="R1054" s="205">
        <f t="shared" si="3"/>
        <v>160.0912941</v>
      </c>
      <c r="S1054" s="19">
        <f t="shared" si="4"/>
        <v>5.647058824</v>
      </c>
      <c r="T1054" s="24">
        <f t="shared" si="5"/>
        <v>0.25</v>
      </c>
      <c r="U1054" s="26">
        <f t="shared" si="6"/>
        <v>0.6585365854</v>
      </c>
      <c r="V1054" s="26">
        <f t="shared" si="7"/>
        <v>0.01951219512</v>
      </c>
      <c r="W1054" s="19">
        <f t="shared" si="8"/>
        <v>3.041666667</v>
      </c>
      <c r="X1054" s="20">
        <f t="shared" si="9"/>
        <v>480</v>
      </c>
      <c r="Y1054" s="27"/>
      <c r="Z1054" s="17"/>
      <c r="AA1054" s="17"/>
      <c r="AB1054" s="17"/>
      <c r="AC1054" s="17"/>
      <c r="AD1054" s="27"/>
    </row>
    <row r="1055" ht="15.75" customHeight="1">
      <c r="A1055" s="16" t="s">
        <v>2844</v>
      </c>
      <c r="B1055" s="16" t="s">
        <v>2857</v>
      </c>
      <c r="C1055" s="16" t="str">
        <f t="shared" si="11"/>
        <v>Peak Refuel Beef Stroganoff</v>
      </c>
      <c r="D1055" s="17" t="s">
        <v>2846</v>
      </c>
      <c r="E1055" s="17" t="s">
        <v>2833</v>
      </c>
      <c r="F1055" s="17">
        <v>2.0</v>
      </c>
      <c r="G1055" s="19">
        <f t="shared" si="10"/>
        <v>2.504453341</v>
      </c>
      <c r="H1055" s="17">
        <v>71.0</v>
      </c>
      <c r="I1055" s="10">
        <v>400.0</v>
      </c>
      <c r="J1055" s="17">
        <v>23.0</v>
      </c>
      <c r="K1055" s="17">
        <v>470.0</v>
      </c>
      <c r="L1055" s="17">
        <v>71.0</v>
      </c>
      <c r="M1055" s="20">
        <v>25.0</v>
      </c>
      <c r="N1055" s="20">
        <v>1.0</v>
      </c>
      <c r="O1055" s="20">
        <v>4.0</v>
      </c>
      <c r="P1055" s="20">
        <f t="shared" si="2"/>
        <v>20</v>
      </c>
      <c r="Q1055" s="21">
        <v>20.0</v>
      </c>
      <c r="R1055" s="205">
        <f t="shared" si="3"/>
        <v>159.715493</v>
      </c>
      <c r="S1055" s="19">
        <f t="shared" si="4"/>
        <v>5.633802817</v>
      </c>
      <c r="T1055" s="24">
        <f t="shared" si="5"/>
        <v>1.25</v>
      </c>
      <c r="U1055" s="26">
        <f t="shared" si="6"/>
        <v>0.5348837209</v>
      </c>
      <c r="V1055" s="26">
        <f t="shared" si="7"/>
        <v>0.04134366925</v>
      </c>
      <c r="W1055" s="19">
        <f t="shared" si="8"/>
        <v>1.175</v>
      </c>
      <c r="X1055" s="20">
        <f t="shared" si="9"/>
        <v>800</v>
      </c>
      <c r="Y1055" s="27"/>
      <c r="Z1055" s="17"/>
      <c r="AA1055" s="17"/>
      <c r="AB1055" s="17"/>
      <c r="AC1055" s="17"/>
      <c r="AD1055" s="27"/>
    </row>
    <row r="1056" ht="15.75" customHeight="1">
      <c r="A1056" s="16" t="s">
        <v>1526</v>
      </c>
      <c r="B1056" s="16" t="s">
        <v>2858</v>
      </c>
      <c r="C1056" s="16" t="str">
        <f t="shared" si="11"/>
        <v>Mountain House Scrambled Eggs with Bacon</v>
      </c>
      <c r="D1056" s="17" t="s">
        <v>92</v>
      </c>
      <c r="E1056" s="17" t="s">
        <v>2833</v>
      </c>
      <c r="F1056" s="17">
        <v>1.0</v>
      </c>
      <c r="G1056" s="19">
        <f t="shared" si="10"/>
        <v>2.222261416</v>
      </c>
      <c r="H1056" s="17">
        <v>63.0</v>
      </c>
      <c r="I1056" s="10">
        <v>350.0</v>
      </c>
      <c r="J1056" s="17">
        <v>23.0</v>
      </c>
      <c r="K1056" s="17">
        <v>860.0</v>
      </c>
      <c r="L1056" s="17">
        <v>455.0</v>
      </c>
      <c r="M1056" s="20">
        <v>12.0</v>
      </c>
      <c r="N1056" s="20">
        <v>0.0</v>
      </c>
      <c r="O1056" s="20">
        <v>8.0</v>
      </c>
      <c r="P1056" s="20">
        <f t="shared" si="2"/>
        <v>4</v>
      </c>
      <c r="Q1056" s="21">
        <v>23.0</v>
      </c>
      <c r="R1056" s="205">
        <f t="shared" si="3"/>
        <v>157.4972222</v>
      </c>
      <c r="S1056" s="19">
        <f t="shared" si="4"/>
        <v>5.555555556</v>
      </c>
      <c r="T1056" s="24">
        <f t="shared" si="5"/>
        <v>0.5217391304</v>
      </c>
      <c r="U1056" s="26">
        <f t="shared" si="6"/>
        <v>0.5965417867</v>
      </c>
      <c r="V1056" s="26">
        <f t="shared" si="7"/>
        <v>0.09221902017</v>
      </c>
      <c r="W1056" s="19">
        <f t="shared" si="8"/>
        <v>2.457142857</v>
      </c>
      <c r="X1056" s="20">
        <f t="shared" si="9"/>
        <v>350</v>
      </c>
      <c r="Y1056" s="27"/>
      <c r="Z1056" s="17"/>
      <c r="AA1056" s="17"/>
      <c r="AB1056" s="17"/>
      <c r="AC1056" s="17"/>
      <c r="AD1056" s="27"/>
    </row>
    <row r="1057" ht="15.75" customHeight="1">
      <c r="A1057" s="16" t="s">
        <v>2832</v>
      </c>
      <c r="B1057" s="16" t="s">
        <v>2859</v>
      </c>
      <c r="C1057" s="16" t="str">
        <f t="shared" si="11"/>
        <v>PackIt Gourmet Diner Deluxe Eggs with Sausage</v>
      </c>
      <c r="D1057" s="17" t="s">
        <v>92</v>
      </c>
      <c r="E1057" s="17" t="s">
        <v>2837</v>
      </c>
      <c r="F1057" s="17">
        <v>1.0</v>
      </c>
      <c r="G1057" s="19">
        <f t="shared" si="10"/>
        <v>2.92774123</v>
      </c>
      <c r="H1057" s="17">
        <v>83.0</v>
      </c>
      <c r="I1057" s="10">
        <v>460.0</v>
      </c>
      <c r="J1057" s="17">
        <v>38.0</v>
      </c>
      <c r="K1057" s="17">
        <v>450.0</v>
      </c>
      <c r="L1057" s="17">
        <v>400.0</v>
      </c>
      <c r="M1057" s="20">
        <v>3.0</v>
      </c>
      <c r="N1057" s="20">
        <v>0.0</v>
      </c>
      <c r="O1057" s="20">
        <v>0.0</v>
      </c>
      <c r="P1057" s="20">
        <f t="shared" si="2"/>
        <v>3</v>
      </c>
      <c r="Q1057" s="21">
        <v>24.0</v>
      </c>
      <c r="R1057" s="205">
        <f t="shared" si="3"/>
        <v>157.1177108</v>
      </c>
      <c r="S1057" s="19">
        <f t="shared" si="4"/>
        <v>5.542168675</v>
      </c>
      <c r="T1057" s="24">
        <f t="shared" si="5"/>
        <v>0.125</v>
      </c>
      <c r="U1057" s="26">
        <f t="shared" si="6"/>
        <v>0.76</v>
      </c>
      <c r="V1057" s="26" t="str">
        <f t="shared" si="7"/>
        <v>0%</v>
      </c>
      <c r="W1057" s="19">
        <f t="shared" si="8"/>
        <v>0.9782608696</v>
      </c>
      <c r="X1057" s="20">
        <f t="shared" si="9"/>
        <v>460</v>
      </c>
      <c r="Y1057" s="27"/>
      <c r="Z1057" s="17"/>
      <c r="AA1057" s="17"/>
      <c r="AB1057" s="17"/>
      <c r="AC1057" s="17"/>
      <c r="AD1057" s="27"/>
    </row>
    <row r="1058" ht="15.75" customHeight="1">
      <c r="A1058" s="16" t="s">
        <v>1526</v>
      </c>
      <c r="B1058" s="16" t="s">
        <v>2860</v>
      </c>
      <c r="C1058" s="16" t="str">
        <f t="shared" si="11"/>
        <v>Mountain House Scrambled Eggs with Bacon (PRO-PAK)</v>
      </c>
      <c r="D1058" s="17" t="s">
        <v>92</v>
      </c>
      <c r="E1058" s="17" t="s">
        <v>2833</v>
      </c>
      <c r="F1058" s="17">
        <v>1.0</v>
      </c>
      <c r="G1058" s="19">
        <f t="shared" si="10"/>
        <v>2.610275313</v>
      </c>
      <c r="H1058" s="17">
        <v>74.0</v>
      </c>
      <c r="I1058" s="10">
        <v>410.0</v>
      </c>
      <c r="J1058" s="17">
        <v>27.0</v>
      </c>
      <c r="K1058" s="17">
        <v>1000.0</v>
      </c>
      <c r="L1058" s="17"/>
      <c r="M1058" s="20">
        <v>14.0</v>
      </c>
      <c r="N1058" s="20">
        <v>0.0</v>
      </c>
      <c r="O1058" s="20">
        <v>9.0</v>
      </c>
      <c r="P1058" s="20">
        <f t="shared" si="2"/>
        <v>5</v>
      </c>
      <c r="Q1058" s="21">
        <v>27.0</v>
      </c>
      <c r="R1058" s="205">
        <f t="shared" si="3"/>
        <v>157.0715541</v>
      </c>
      <c r="S1058" s="19">
        <f t="shared" si="4"/>
        <v>5.540540541</v>
      </c>
      <c r="T1058" s="24">
        <f t="shared" si="5"/>
        <v>0.5185185185</v>
      </c>
      <c r="U1058" s="26">
        <f t="shared" si="6"/>
        <v>0.5970515971</v>
      </c>
      <c r="V1058" s="26">
        <f t="shared" si="7"/>
        <v>0.08845208845</v>
      </c>
      <c r="W1058" s="19">
        <f t="shared" si="8"/>
        <v>2.43902439</v>
      </c>
      <c r="X1058" s="20">
        <f t="shared" si="9"/>
        <v>410</v>
      </c>
      <c r="Y1058" s="27"/>
      <c r="Z1058" s="17"/>
      <c r="AA1058" s="17"/>
      <c r="AB1058" s="17"/>
      <c r="AC1058" s="17"/>
      <c r="AD1058" s="27"/>
    </row>
    <row r="1059" ht="15.75" customHeight="1">
      <c r="A1059" s="184" t="s">
        <v>1526</v>
      </c>
      <c r="B1059" s="184" t="s">
        <v>2861</v>
      </c>
      <c r="C1059" s="16" t="str">
        <f t="shared" si="11"/>
        <v>Mountain House Scrambled Eggs with Bacon (LRP)</v>
      </c>
      <c r="D1059" s="206" t="s">
        <v>92</v>
      </c>
      <c r="E1059" s="17" t="s">
        <v>2833</v>
      </c>
      <c r="F1059" s="206">
        <v>1.0</v>
      </c>
      <c r="G1059" s="207">
        <f t="shared" si="10"/>
        <v>2.645549304</v>
      </c>
      <c r="H1059" s="206">
        <v>75.0</v>
      </c>
      <c r="I1059" s="208">
        <v>410.0</v>
      </c>
      <c r="J1059" s="206">
        <v>25.0</v>
      </c>
      <c r="K1059" s="206">
        <v>1190.0</v>
      </c>
      <c r="L1059" s="206"/>
      <c r="M1059" s="209">
        <v>13.0</v>
      </c>
      <c r="N1059" s="209">
        <v>0.0</v>
      </c>
      <c r="O1059" s="209">
        <v>8.0</v>
      </c>
      <c r="P1059" s="209">
        <f t="shared" si="2"/>
        <v>5</v>
      </c>
      <c r="Q1059" s="210">
        <v>30.0</v>
      </c>
      <c r="R1059" s="205">
        <f t="shared" si="3"/>
        <v>154.9772667</v>
      </c>
      <c r="S1059" s="19">
        <f t="shared" si="4"/>
        <v>5.466666667</v>
      </c>
      <c r="T1059" s="24">
        <f t="shared" si="5"/>
        <v>0.4333333333</v>
      </c>
      <c r="U1059" s="26">
        <f t="shared" si="6"/>
        <v>0.5667506297</v>
      </c>
      <c r="V1059" s="26">
        <f t="shared" si="7"/>
        <v>0.08060453401</v>
      </c>
      <c r="W1059" s="19">
        <f t="shared" si="8"/>
        <v>2.902439024</v>
      </c>
      <c r="X1059" s="209">
        <f t="shared" si="9"/>
        <v>410</v>
      </c>
      <c r="Y1059" s="27"/>
      <c r="Z1059" s="17"/>
      <c r="AA1059" s="17"/>
      <c r="AB1059" s="17"/>
      <c r="AC1059" s="17"/>
      <c r="AD1059" s="27"/>
    </row>
    <row r="1060" ht="15.75" customHeight="1">
      <c r="A1060" s="184" t="s">
        <v>1526</v>
      </c>
      <c r="B1060" s="184" t="s">
        <v>2862</v>
      </c>
      <c r="C1060" s="16" t="str">
        <f t="shared" si="11"/>
        <v>Mountain House Western Style Eggs (LRP)</v>
      </c>
      <c r="D1060" s="206" t="s">
        <v>92</v>
      </c>
      <c r="E1060" s="17" t="s">
        <v>2833</v>
      </c>
      <c r="F1060" s="206">
        <v>1.0</v>
      </c>
      <c r="G1060" s="207">
        <f t="shared" si="10"/>
        <v>2.645549304</v>
      </c>
      <c r="H1060" s="206">
        <v>75.0</v>
      </c>
      <c r="I1060" s="208">
        <v>400.0</v>
      </c>
      <c r="J1060" s="206">
        <v>23.0</v>
      </c>
      <c r="K1060" s="206">
        <v>1290.0</v>
      </c>
      <c r="L1060" s="206"/>
      <c r="M1060" s="209">
        <v>15.0</v>
      </c>
      <c r="N1060" s="209">
        <v>1.0</v>
      </c>
      <c r="O1060" s="209">
        <v>8.0</v>
      </c>
      <c r="P1060" s="209">
        <f t="shared" si="2"/>
        <v>6</v>
      </c>
      <c r="Q1060" s="210">
        <v>30.0</v>
      </c>
      <c r="R1060" s="205">
        <f t="shared" si="3"/>
        <v>151.1973333</v>
      </c>
      <c r="S1060" s="19">
        <f t="shared" si="4"/>
        <v>5.333333333</v>
      </c>
      <c r="T1060" s="24">
        <f t="shared" si="5"/>
        <v>0.5</v>
      </c>
      <c r="U1060" s="26">
        <f t="shared" si="6"/>
        <v>0.5348837209</v>
      </c>
      <c r="V1060" s="26">
        <f t="shared" si="7"/>
        <v>0.0826873385</v>
      </c>
      <c r="W1060" s="19">
        <f t="shared" si="8"/>
        <v>3.225</v>
      </c>
      <c r="X1060" s="209">
        <f t="shared" si="9"/>
        <v>400</v>
      </c>
      <c r="Y1060" s="27"/>
      <c r="Z1060" s="17"/>
      <c r="AA1060" s="17"/>
      <c r="AB1060" s="17"/>
      <c r="AC1060" s="17"/>
      <c r="AD1060" s="27"/>
    </row>
    <row r="1061" ht="15.75" customHeight="1">
      <c r="A1061" s="16" t="s">
        <v>2863</v>
      </c>
      <c r="B1061" s="16" t="s">
        <v>2864</v>
      </c>
      <c r="C1061" s="16" t="str">
        <f t="shared" si="11"/>
        <v>Paleo Meals To Go Cliffside Coconut Berry Porridge</v>
      </c>
      <c r="D1061" s="17" t="s">
        <v>92</v>
      </c>
      <c r="E1061" s="17" t="s">
        <v>2833</v>
      </c>
      <c r="F1061" s="17">
        <v>1.0</v>
      </c>
      <c r="G1061" s="19">
        <f t="shared" si="10"/>
        <v>3.245207147</v>
      </c>
      <c r="H1061" s="17">
        <v>92.0</v>
      </c>
      <c r="I1061" s="10">
        <v>490.0</v>
      </c>
      <c r="J1061" s="17">
        <v>36.0</v>
      </c>
      <c r="K1061" s="17">
        <v>140.0</v>
      </c>
      <c r="L1061" s="17">
        <v>460.0</v>
      </c>
      <c r="M1061" s="20">
        <v>38.0</v>
      </c>
      <c r="N1061" s="20">
        <v>13.0</v>
      </c>
      <c r="O1061" s="20">
        <v>13.0</v>
      </c>
      <c r="P1061" s="20">
        <f t="shared" si="2"/>
        <v>12</v>
      </c>
      <c r="Q1061" s="21">
        <v>10.0</v>
      </c>
      <c r="R1061" s="205">
        <f t="shared" si="3"/>
        <v>150.9919022</v>
      </c>
      <c r="S1061" s="19">
        <f t="shared" si="4"/>
        <v>5.326086957</v>
      </c>
      <c r="T1061" s="24">
        <f t="shared" si="5"/>
        <v>3.8</v>
      </c>
      <c r="U1061" s="26">
        <f t="shared" si="6"/>
        <v>0.6279069767</v>
      </c>
      <c r="V1061" s="26">
        <f t="shared" si="7"/>
        <v>0.1007751938</v>
      </c>
      <c r="W1061" s="19">
        <f t="shared" si="8"/>
        <v>0.2857142857</v>
      </c>
      <c r="X1061" s="20">
        <f t="shared" si="9"/>
        <v>490</v>
      </c>
      <c r="Y1061" s="27"/>
      <c r="Z1061" s="17"/>
      <c r="AA1061" s="17"/>
      <c r="AB1061" s="17"/>
      <c r="AC1061" s="17"/>
      <c r="AD1061" s="27"/>
    </row>
    <row r="1062" ht="15.75" customHeight="1">
      <c r="A1062" s="16" t="s">
        <v>2863</v>
      </c>
      <c r="B1062" s="16" t="s">
        <v>2865</v>
      </c>
      <c r="C1062" s="16" t="str">
        <f t="shared" si="11"/>
        <v>Paleo Meals To Go Palisade Pineapple Mango Porridge</v>
      </c>
      <c r="D1062" s="17" t="s">
        <v>92</v>
      </c>
      <c r="E1062" s="17" t="s">
        <v>2833</v>
      </c>
      <c r="F1062" s="17">
        <v>1.0</v>
      </c>
      <c r="G1062" s="19">
        <f t="shared" si="10"/>
        <v>3.245207147</v>
      </c>
      <c r="H1062" s="17">
        <v>92.0</v>
      </c>
      <c r="I1062" s="10">
        <v>490.0</v>
      </c>
      <c r="J1062" s="17">
        <v>34.0</v>
      </c>
      <c r="K1062" s="17">
        <v>140.0</v>
      </c>
      <c r="L1062" s="17">
        <v>590.0</v>
      </c>
      <c r="M1062" s="20">
        <v>41.0</v>
      </c>
      <c r="N1062" s="20">
        <v>12.0</v>
      </c>
      <c r="O1062" s="20">
        <v>18.0</v>
      </c>
      <c r="P1062" s="20">
        <f t="shared" si="2"/>
        <v>11</v>
      </c>
      <c r="Q1062" s="21">
        <v>10.0</v>
      </c>
      <c r="R1062" s="205">
        <f t="shared" si="3"/>
        <v>150.9919022</v>
      </c>
      <c r="S1062" s="19">
        <f t="shared" si="4"/>
        <v>5.326086957</v>
      </c>
      <c r="T1062" s="24">
        <f t="shared" si="5"/>
        <v>4.1</v>
      </c>
      <c r="U1062" s="26">
        <f t="shared" si="6"/>
        <v>0.6</v>
      </c>
      <c r="V1062" s="26">
        <f t="shared" si="7"/>
        <v>0.1411764706</v>
      </c>
      <c r="W1062" s="19">
        <f t="shared" si="8"/>
        <v>0.2857142857</v>
      </c>
      <c r="X1062" s="20">
        <f t="shared" si="9"/>
        <v>490</v>
      </c>
      <c r="Y1062" s="27"/>
      <c r="Z1062" s="17"/>
      <c r="AA1062" s="17"/>
      <c r="AB1062" s="17"/>
      <c r="AC1062" s="17"/>
      <c r="AD1062" s="27"/>
    </row>
    <row r="1063" ht="15.75" customHeight="1">
      <c r="A1063" s="211" t="s">
        <v>1526</v>
      </c>
      <c r="B1063" s="211" t="s">
        <v>2866</v>
      </c>
      <c r="C1063" s="16" t="str">
        <f t="shared" si="11"/>
        <v>Mountain House Scrambled Eggs with Ham, Peppers</v>
      </c>
      <c r="D1063" s="162" t="s">
        <v>92</v>
      </c>
      <c r="E1063" s="17" t="s">
        <v>2833</v>
      </c>
      <c r="F1063" s="162">
        <v>2.0</v>
      </c>
      <c r="G1063" s="212">
        <f t="shared" si="10"/>
        <v>1.269863666</v>
      </c>
      <c r="H1063" s="162">
        <v>36.0</v>
      </c>
      <c r="I1063" s="213">
        <v>190.0</v>
      </c>
      <c r="J1063" s="162">
        <v>11.0</v>
      </c>
      <c r="K1063" s="162">
        <v>330.0</v>
      </c>
      <c r="L1063" s="162"/>
      <c r="M1063" s="214">
        <v>7.0</v>
      </c>
      <c r="N1063" s="214">
        <v>1.0</v>
      </c>
      <c r="O1063" s="214">
        <v>4.0</v>
      </c>
      <c r="P1063" s="214">
        <f t="shared" si="2"/>
        <v>2</v>
      </c>
      <c r="Q1063" s="215">
        <v>15.0</v>
      </c>
      <c r="R1063" s="205">
        <f t="shared" si="3"/>
        <v>149.6223611</v>
      </c>
      <c r="S1063" s="19">
        <f t="shared" si="4"/>
        <v>5.277777778</v>
      </c>
      <c r="T1063" s="24">
        <f t="shared" si="5"/>
        <v>0.4666666667</v>
      </c>
      <c r="U1063" s="26">
        <f t="shared" si="6"/>
        <v>0.5294117647</v>
      </c>
      <c r="V1063" s="26">
        <f t="shared" si="7"/>
        <v>0.08556149733</v>
      </c>
      <c r="W1063" s="19">
        <f t="shared" si="8"/>
        <v>1.736842105</v>
      </c>
      <c r="X1063" s="214">
        <f t="shared" si="9"/>
        <v>380</v>
      </c>
      <c r="Y1063" s="27"/>
      <c r="Z1063" s="17"/>
      <c r="AA1063" s="17"/>
      <c r="AB1063" s="17"/>
      <c r="AC1063" s="17"/>
      <c r="AD1063" s="27"/>
    </row>
    <row r="1064" ht="15.75" customHeight="1">
      <c r="A1064" s="16" t="s">
        <v>2832</v>
      </c>
      <c r="B1064" s="16" t="s">
        <v>2867</v>
      </c>
      <c r="C1064" s="16" t="str">
        <f t="shared" si="11"/>
        <v>PackIt Gourmet Roast Beef Dices (Freeze-Dried)</v>
      </c>
      <c r="D1064" s="17" t="s">
        <v>33</v>
      </c>
      <c r="E1064" s="17" t="s">
        <v>2833</v>
      </c>
      <c r="F1064" s="17">
        <v>1.0</v>
      </c>
      <c r="G1064" s="19">
        <f t="shared" si="10"/>
        <v>2.010617471</v>
      </c>
      <c r="H1064" s="17">
        <v>57.0</v>
      </c>
      <c r="I1064" s="10">
        <v>300.0</v>
      </c>
      <c r="J1064" s="17">
        <v>11.0</v>
      </c>
      <c r="K1064" s="17">
        <v>1020.0</v>
      </c>
      <c r="L1064" s="17">
        <v>540.0</v>
      </c>
      <c r="M1064" s="20">
        <v>0.0</v>
      </c>
      <c r="N1064" s="20">
        <v>0.0</v>
      </c>
      <c r="O1064" s="20">
        <v>0.0</v>
      </c>
      <c r="P1064" s="20">
        <f t="shared" si="2"/>
        <v>0</v>
      </c>
      <c r="Q1064" s="21">
        <v>41.0</v>
      </c>
      <c r="R1064" s="205">
        <f t="shared" si="3"/>
        <v>149.2078947</v>
      </c>
      <c r="S1064" s="19">
        <f t="shared" si="4"/>
        <v>5.263157895</v>
      </c>
      <c r="T1064" s="24">
        <f t="shared" si="5"/>
        <v>0</v>
      </c>
      <c r="U1064" s="26">
        <f t="shared" si="6"/>
        <v>0.3764258555</v>
      </c>
      <c r="V1064" s="26" t="str">
        <f t="shared" si="7"/>
        <v>0%</v>
      </c>
      <c r="W1064" s="19">
        <f t="shared" si="8"/>
        <v>3.4</v>
      </c>
      <c r="X1064" s="20">
        <f t="shared" si="9"/>
        <v>300</v>
      </c>
      <c r="Y1064" s="27"/>
      <c r="Z1064" s="17"/>
      <c r="AA1064" s="17"/>
      <c r="AB1064" s="17"/>
      <c r="AC1064" s="17"/>
      <c r="AD1064" s="27"/>
    </row>
    <row r="1065" ht="15.75" customHeight="1">
      <c r="A1065" s="16" t="s">
        <v>1526</v>
      </c>
      <c r="B1065" s="16" t="s">
        <v>2868</v>
      </c>
      <c r="C1065" s="16" t="str">
        <f t="shared" si="11"/>
        <v>Mountain House Fettuccine Alfredo with Cheese</v>
      </c>
      <c r="D1065" s="17" t="s">
        <v>2846</v>
      </c>
      <c r="E1065" s="17" t="s">
        <v>2833</v>
      </c>
      <c r="F1065" s="17">
        <v>2.0</v>
      </c>
      <c r="G1065" s="19">
        <f t="shared" si="10"/>
        <v>2.751371276</v>
      </c>
      <c r="H1065" s="17">
        <v>78.0</v>
      </c>
      <c r="I1065" s="10">
        <v>410.0</v>
      </c>
      <c r="J1065" s="17">
        <v>23.0</v>
      </c>
      <c r="K1065" s="17">
        <v>710.0</v>
      </c>
      <c r="L1065" s="17">
        <v>338.0</v>
      </c>
      <c r="M1065" s="20">
        <v>32.0</v>
      </c>
      <c r="N1065" s="20">
        <v>1.0</v>
      </c>
      <c r="O1065" s="20">
        <v>3.0</v>
      </c>
      <c r="P1065" s="20">
        <f t="shared" si="2"/>
        <v>28</v>
      </c>
      <c r="Q1065" s="21">
        <v>17.0</v>
      </c>
      <c r="R1065" s="205">
        <f t="shared" si="3"/>
        <v>149.0166026</v>
      </c>
      <c r="S1065" s="19">
        <f t="shared" si="4"/>
        <v>5.256410256</v>
      </c>
      <c r="T1065" s="24">
        <f t="shared" si="5"/>
        <v>1.882352941</v>
      </c>
      <c r="U1065" s="26">
        <f t="shared" si="6"/>
        <v>0.5136476427</v>
      </c>
      <c r="V1065" s="26">
        <f t="shared" si="7"/>
        <v>0.02977667494</v>
      </c>
      <c r="W1065" s="19">
        <f t="shared" si="8"/>
        <v>1.731707317</v>
      </c>
      <c r="X1065" s="20">
        <f t="shared" si="9"/>
        <v>820</v>
      </c>
      <c r="Y1065" s="27"/>
      <c r="Z1065" s="17"/>
      <c r="AA1065" s="17"/>
      <c r="AB1065" s="17"/>
      <c r="AC1065" s="17"/>
      <c r="AD1065" s="27"/>
    </row>
    <row r="1066" ht="15.75" customHeight="1">
      <c r="A1066" s="16" t="s">
        <v>2840</v>
      </c>
      <c r="B1066" s="16" t="s">
        <v>2869</v>
      </c>
      <c r="C1066" s="16" t="str">
        <f t="shared" si="11"/>
        <v>Next Mile Meals Buffalo Ranch Chicken</v>
      </c>
      <c r="D1066" s="17" t="s">
        <v>2846</v>
      </c>
      <c r="E1066" s="17" t="s">
        <v>2833</v>
      </c>
      <c r="F1066" s="17">
        <v>1.0</v>
      </c>
      <c r="G1066" s="19">
        <f t="shared" si="10"/>
        <v>3.492125082</v>
      </c>
      <c r="H1066" s="17">
        <v>99.0</v>
      </c>
      <c r="I1066" s="10">
        <v>520.0</v>
      </c>
      <c r="J1066" s="17">
        <v>26.0</v>
      </c>
      <c r="K1066" s="17"/>
      <c r="L1066" s="17"/>
      <c r="M1066" s="20">
        <v>10.0</v>
      </c>
      <c r="N1066" s="20">
        <v>1.0</v>
      </c>
      <c r="O1066" s="20">
        <v>2.0</v>
      </c>
      <c r="P1066" s="20">
        <f t="shared" si="2"/>
        <v>7</v>
      </c>
      <c r="Q1066" s="21">
        <v>57.0</v>
      </c>
      <c r="R1066" s="205">
        <f t="shared" si="3"/>
        <v>148.9064646</v>
      </c>
      <c r="S1066" s="19">
        <f t="shared" si="4"/>
        <v>5.252525253</v>
      </c>
      <c r="T1066" s="24">
        <f t="shared" si="5"/>
        <v>0.1754385965</v>
      </c>
      <c r="U1066" s="26">
        <f t="shared" si="6"/>
        <v>0.4661354582</v>
      </c>
      <c r="V1066" s="26">
        <f t="shared" si="7"/>
        <v>0.01593625498</v>
      </c>
      <c r="W1066" s="19">
        <f t="shared" si="8"/>
        <v>0</v>
      </c>
      <c r="X1066" s="20">
        <f t="shared" si="9"/>
        <v>520</v>
      </c>
      <c r="Y1066" s="27"/>
      <c r="Z1066" s="17"/>
      <c r="AA1066" s="17"/>
      <c r="AB1066" s="17"/>
      <c r="AC1066" s="17"/>
      <c r="AD1066" s="27"/>
    </row>
    <row r="1067" ht="15.75" customHeight="1">
      <c r="A1067" s="16" t="s">
        <v>2832</v>
      </c>
      <c r="B1067" s="16" t="s">
        <v>2870</v>
      </c>
      <c r="C1067" s="16" t="str">
        <f t="shared" si="11"/>
        <v>PackIt Gourmet All-American Works Burger (BYOB)</v>
      </c>
      <c r="D1067" s="17" t="s">
        <v>2846</v>
      </c>
      <c r="E1067" s="17" t="s">
        <v>2833</v>
      </c>
      <c r="F1067" s="17">
        <v>1.0</v>
      </c>
      <c r="G1067" s="19">
        <f t="shared" si="10"/>
        <v>3.174659165</v>
      </c>
      <c r="H1067" s="17">
        <v>90.0</v>
      </c>
      <c r="I1067" s="10">
        <v>470.0</v>
      </c>
      <c r="J1067" s="17">
        <v>33.0</v>
      </c>
      <c r="K1067" s="17">
        <v>1470.0</v>
      </c>
      <c r="L1067" s="17">
        <v>350.0</v>
      </c>
      <c r="M1067" s="20">
        <v>6.0</v>
      </c>
      <c r="N1067" s="20">
        <v>1.0</v>
      </c>
      <c r="O1067" s="20">
        <v>2.0</v>
      </c>
      <c r="P1067" s="20">
        <f t="shared" si="2"/>
        <v>3</v>
      </c>
      <c r="Q1067" s="21">
        <v>36.0</v>
      </c>
      <c r="R1067" s="205">
        <f t="shared" si="3"/>
        <v>148.0473889</v>
      </c>
      <c r="S1067" s="19">
        <f t="shared" si="4"/>
        <v>5.222222222</v>
      </c>
      <c r="T1067" s="24">
        <f t="shared" si="5"/>
        <v>0.1666666667</v>
      </c>
      <c r="U1067" s="26">
        <f t="shared" si="6"/>
        <v>0.6387096774</v>
      </c>
      <c r="V1067" s="26">
        <f t="shared" si="7"/>
        <v>0.01720430108</v>
      </c>
      <c r="W1067" s="19">
        <f t="shared" si="8"/>
        <v>3.127659574</v>
      </c>
      <c r="X1067" s="20">
        <f t="shared" si="9"/>
        <v>470</v>
      </c>
      <c r="Y1067" s="27"/>
      <c r="Z1067" s="17"/>
      <c r="AA1067" s="17"/>
      <c r="AB1067" s="17"/>
      <c r="AC1067" s="17"/>
      <c r="AD1067" s="27"/>
    </row>
    <row r="1068" ht="15.75" customHeight="1">
      <c r="A1068" s="16" t="s">
        <v>2832</v>
      </c>
      <c r="B1068" s="16" t="s">
        <v>2871</v>
      </c>
      <c r="C1068" s="16" t="str">
        <f t="shared" si="11"/>
        <v>PackIt Gourmet Diner Deluxe Scrambled Eggs</v>
      </c>
      <c r="D1068" s="17" t="s">
        <v>92</v>
      </c>
      <c r="E1068" s="17" t="s">
        <v>2837</v>
      </c>
      <c r="F1068" s="17">
        <v>1.0</v>
      </c>
      <c r="G1068" s="19">
        <f t="shared" si="10"/>
        <v>2.857193249</v>
      </c>
      <c r="H1068" s="17">
        <v>81.0</v>
      </c>
      <c r="I1068" s="10">
        <v>420.0</v>
      </c>
      <c r="J1068" s="17">
        <v>34.0</v>
      </c>
      <c r="K1068" s="17">
        <v>270.0</v>
      </c>
      <c r="L1068" s="17">
        <v>390.0</v>
      </c>
      <c r="M1068" s="20">
        <v>4.0</v>
      </c>
      <c r="N1068" s="20">
        <v>0.0</v>
      </c>
      <c r="O1068" s="20">
        <v>0.0</v>
      </c>
      <c r="P1068" s="20">
        <f t="shared" si="2"/>
        <v>4</v>
      </c>
      <c r="Q1068" s="21">
        <v>24.0</v>
      </c>
      <c r="R1068" s="205">
        <f t="shared" si="3"/>
        <v>146.9974074</v>
      </c>
      <c r="S1068" s="19">
        <f t="shared" si="4"/>
        <v>5.185185185</v>
      </c>
      <c r="T1068" s="24">
        <f t="shared" si="5"/>
        <v>0.1666666667</v>
      </c>
      <c r="U1068" s="26">
        <f t="shared" si="6"/>
        <v>0.7320574163</v>
      </c>
      <c r="V1068" s="26" t="str">
        <f t="shared" si="7"/>
        <v>0%</v>
      </c>
      <c r="W1068" s="19">
        <f t="shared" si="8"/>
        <v>0.6428571429</v>
      </c>
      <c r="X1068" s="20">
        <f t="shared" si="9"/>
        <v>420</v>
      </c>
      <c r="Y1068" s="27"/>
      <c r="Z1068" s="17"/>
      <c r="AA1068" s="17"/>
      <c r="AB1068" s="17"/>
      <c r="AC1068" s="17"/>
      <c r="AD1068" s="27"/>
    </row>
    <row r="1069" ht="15.75" customHeight="1">
      <c r="A1069" s="16" t="s">
        <v>2840</v>
      </c>
      <c r="B1069" s="16" t="s">
        <v>2872</v>
      </c>
      <c r="C1069" s="16" t="str">
        <f t="shared" si="11"/>
        <v>Next Mile Meals Deli Roast Beef</v>
      </c>
      <c r="D1069" s="17" t="s">
        <v>2846</v>
      </c>
      <c r="E1069" s="17" t="s">
        <v>2833</v>
      </c>
      <c r="F1069" s="17">
        <v>1.0</v>
      </c>
      <c r="G1069" s="19">
        <f t="shared" si="10"/>
        <v>3.626166246</v>
      </c>
      <c r="H1069" s="17">
        <v>102.8</v>
      </c>
      <c r="I1069" s="10">
        <v>530.0</v>
      </c>
      <c r="J1069" s="17">
        <v>30.0</v>
      </c>
      <c r="K1069" s="17">
        <v>1570.0</v>
      </c>
      <c r="L1069" s="17"/>
      <c r="M1069" s="20">
        <v>4.0</v>
      </c>
      <c r="N1069" s="20">
        <v>2.0</v>
      </c>
      <c r="O1069" s="20">
        <v>2.0</v>
      </c>
      <c r="P1069" s="20">
        <f t="shared" si="2"/>
        <v>0</v>
      </c>
      <c r="Q1069" s="21">
        <v>51.0</v>
      </c>
      <c r="R1069" s="205">
        <f t="shared" si="3"/>
        <v>146.1598735</v>
      </c>
      <c r="S1069" s="19">
        <f t="shared" si="4"/>
        <v>5.155642023</v>
      </c>
      <c r="T1069" s="24">
        <f t="shared" si="5"/>
        <v>0.07843137255</v>
      </c>
      <c r="U1069" s="26">
        <f t="shared" si="6"/>
        <v>0.5510204082</v>
      </c>
      <c r="V1069" s="26">
        <f t="shared" si="7"/>
        <v>0.01632653061</v>
      </c>
      <c r="W1069" s="19">
        <f t="shared" si="8"/>
        <v>2.962264151</v>
      </c>
      <c r="X1069" s="20">
        <f t="shared" si="9"/>
        <v>530</v>
      </c>
      <c r="Y1069" s="27"/>
      <c r="Z1069" s="17"/>
      <c r="AA1069" s="17"/>
      <c r="AB1069" s="17"/>
      <c r="AC1069" s="17"/>
      <c r="AD1069" s="27"/>
    </row>
    <row r="1070" ht="15.75" customHeight="1">
      <c r="A1070" s="16" t="s">
        <v>2840</v>
      </c>
      <c r="B1070" s="16" t="s">
        <v>2873</v>
      </c>
      <c r="C1070" s="16" t="str">
        <f t="shared" si="11"/>
        <v>Next Mile Meals Coconut Chicken Curry</v>
      </c>
      <c r="D1070" s="17" t="s">
        <v>2846</v>
      </c>
      <c r="E1070" s="17" t="s">
        <v>2833</v>
      </c>
      <c r="F1070" s="17">
        <v>1.0</v>
      </c>
      <c r="G1070" s="19">
        <f t="shared" si="10"/>
        <v>3.492125082</v>
      </c>
      <c r="H1070" s="17">
        <v>99.0</v>
      </c>
      <c r="I1070" s="10">
        <v>510.0</v>
      </c>
      <c r="J1070" s="17">
        <v>29.0</v>
      </c>
      <c r="K1070" s="17"/>
      <c r="L1070" s="17"/>
      <c r="M1070" s="20">
        <v>13.0</v>
      </c>
      <c r="N1070" s="20">
        <v>5.0</v>
      </c>
      <c r="O1070" s="20">
        <v>2.0</v>
      </c>
      <c r="P1070" s="20">
        <f t="shared" si="2"/>
        <v>6</v>
      </c>
      <c r="Q1070" s="21">
        <v>52.0</v>
      </c>
      <c r="R1070" s="205">
        <f t="shared" si="3"/>
        <v>146.0428788</v>
      </c>
      <c r="S1070" s="19">
        <f t="shared" si="4"/>
        <v>5.151515152</v>
      </c>
      <c r="T1070" s="24">
        <f t="shared" si="5"/>
        <v>0.25</v>
      </c>
      <c r="U1070" s="26">
        <f t="shared" si="6"/>
        <v>0.5009596929</v>
      </c>
      <c r="V1070" s="26">
        <f t="shared" si="7"/>
        <v>0.01535508637</v>
      </c>
      <c r="W1070" s="19">
        <f t="shared" si="8"/>
        <v>0</v>
      </c>
      <c r="X1070" s="20">
        <f t="shared" si="9"/>
        <v>510</v>
      </c>
      <c r="Y1070" s="27"/>
      <c r="Z1070" s="17"/>
      <c r="AA1070" s="17"/>
      <c r="AB1070" s="17"/>
      <c r="AC1070" s="17"/>
      <c r="AD1070" s="27"/>
    </row>
    <row r="1071" ht="15.75" customHeight="1">
      <c r="A1071" s="184" t="s">
        <v>1526</v>
      </c>
      <c r="B1071" s="184" t="s">
        <v>2874</v>
      </c>
      <c r="C1071" s="16" t="str">
        <f t="shared" si="11"/>
        <v>Mountain House Turkey Tetrazzini (LRP)</v>
      </c>
      <c r="D1071" s="206" t="s">
        <v>2846</v>
      </c>
      <c r="E1071" s="17" t="s">
        <v>2833</v>
      </c>
      <c r="F1071" s="206">
        <v>1.0</v>
      </c>
      <c r="G1071" s="207">
        <f t="shared" si="10"/>
        <v>4.40924884</v>
      </c>
      <c r="H1071" s="206">
        <v>125.0</v>
      </c>
      <c r="I1071" s="208">
        <v>640.0</v>
      </c>
      <c r="J1071" s="206">
        <v>21.0</v>
      </c>
      <c r="K1071" s="206">
        <v>1880.0</v>
      </c>
      <c r="L1071" s="206"/>
      <c r="M1071" s="209">
        <v>62.0</v>
      </c>
      <c r="N1071" s="209">
        <v>3.0</v>
      </c>
      <c r="O1071" s="209">
        <v>14.0</v>
      </c>
      <c r="P1071" s="209">
        <f t="shared" si="2"/>
        <v>45</v>
      </c>
      <c r="Q1071" s="210">
        <v>37.0</v>
      </c>
      <c r="R1071" s="205">
        <f t="shared" si="3"/>
        <v>145.14944</v>
      </c>
      <c r="S1071" s="19">
        <f t="shared" si="4"/>
        <v>5.12</v>
      </c>
      <c r="T1071" s="24">
        <f t="shared" si="5"/>
        <v>1.675675676</v>
      </c>
      <c r="U1071" s="26">
        <f t="shared" si="6"/>
        <v>0.3230769231</v>
      </c>
      <c r="V1071" s="26">
        <f t="shared" si="7"/>
        <v>0.09572649573</v>
      </c>
      <c r="W1071" s="19">
        <f t="shared" si="8"/>
        <v>2.9375</v>
      </c>
      <c r="X1071" s="209">
        <f t="shared" si="9"/>
        <v>640</v>
      </c>
      <c r="Y1071" s="27"/>
      <c r="Z1071" s="17"/>
      <c r="AA1071" s="17"/>
      <c r="AB1071" s="17"/>
      <c r="AC1071" s="17"/>
      <c r="AD1071" s="27"/>
    </row>
    <row r="1072" ht="15.75" customHeight="1">
      <c r="A1072" s="16" t="s">
        <v>2832</v>
      </c>
      <c r="B1072" s="16" t="s">
        <v>2875</v>
      </c>
      <c r="C1072" s="16" t="str">
        <f t="shared" si="11"/>
        <v>PackIt Gourmet Cheese, Parmesan - Powder</v>
      </c>
      <c r="D1072" s="17" t="s">
        <v>33</v>
      </c>
      <c r="E1072" s="17" t="s">
        <v>2839</v>
      </c>
      <c r="F1072" s="17">
        <v>1.0</v>
      </c>
      <c r="G1072" s="19">
        <f t="shared" si="10"/>
        <v>2.010617471</v>
      </c>
      <c r="H1072" s="17">
        <v>57.0</v>
      </c>
      <c r="I1072" s="10">
        <v>290.0</v>
      </c>
      <c r="J1072" s="17">
        <v>19.0</v>
      </c>
      <c r="K1072" s="17">
        <v>1130.0</v>
      </c>
      <c r="L1072" s="17">
        <v>230.0</v>
      </c>
      <c r="M1072" s="20">
        <v>7.0</v>
      </c>
      <c r="N1072" s="20">
        <v>0.0</v>
      </c>
      <c r="O1072" s="20">
        <v>6.0</v>
      </c>
      <c r="P1072" s="20">
        <f t="shared" si="2"/>
        <v>1</v>
      </c>
      <c r="Q1072" s="21">
        <v>23.0</v>
      </c>
      <c r="R1072" s="205">
        <f t="shared" si="3"/>
        <v>144.2342982</v>
      </c>
      <c r="S1072" s="19">
        <f t="shared" si="4"/>
        <v>5.087719298</v>
      </c>
      <c r="T1072" s="24">
        <f t="shared" si="5"/>
        <v>0.3043478261</v>
      </c>
      <c r="U1072" s="26">
        <f t="shared" si="6"/>
        <v>0.587628866</v>
      </c>
      <c r="V1072" s="26">
        <f t="shared" si="7"/>
        <v>0.0824742268</v>
      </c>
      <c r="W1072" s="19">
        <f t="shared" si="8"/>
        <v>3.896551724</v>
      </c>
      <c r="X1072" s="20">
        <f t="shared" si="9"/>
        <v>290</v>
      </c>
      <c r="Y1072" s="27"/>
      <c r="Z1072" s="17"/>
      <c r="AA1072" s="17"/>
      <c r="AB1072" s="17"/>
      <c r="AC1072" s="17"/>
      <c r="AD1072" s="27"/>
    </row>
    <row r="1073" ht="15.75" customHeight="1">
      <c r="A1073" s="16" t="s">
        <v>2844</v>
      </c>
      <c r="B1073" s="16" t="s">
        <v>2876</v>
      </c>
      <c r="C1073" s="16" t="str">
        <f t="shared" si="11"/>
        <v>Peak Refuel Homestyle Chicken &amp; Rice</v>
      </c>
      <c r="D1073" s="17" t="s">
        <v>2846</v>
      </c>
      <c r="E1073" s="17" t="s">
        <v>2833</v>
      </c>
      <c r="F1073" s="17">
        <v>2.0</v>
      </c>
      <c r="G1073" s="19">
        <f t="shared" si="10"/>
        <v>2.575001323</v>
      </c>
      <c r="H1073" s="17">
        <v>73.0</v>
      </c>
      <c r="I1073" s="10">
        <v>370.0</v>
      </c>
      <c r="J1073" s="17">
        <v>19.0</v>
      </c>
      <c r="K1073" s="17">
        <v>610.0</v>
      </c>
      <c r="L1073" s="17">
        <v>190.0</v>
      </c>
      <c r="M1073" s="20">
        <v>30.0</v>
      </c>
      <c r="N1073" s="20">
        <v>2.0</v>
      </c>
      <c r="O1073" s="20">
        <v>3.0</v>
      </c>
      <c r="P1073" s="20">
        <f t="shared" si="2"/>
        <v>25</v>
      </c>
      <c r="Q1073" s="21">
        <v>20.0</v>
      </c>
      <c r="R1073" s="205">
        <f t="shared" si="3"/>
        <v>143.6892466</v>
      </c>
      <c r="S1073" s="19">
        <f t="shared" si="4"/>
        <v>5.068493151</v>
      </c>
      <c r="T1073" s="24">
        <f t="shared" si="5"/>
        <v>1.5</v>
      </c>
      <c r="U1073" s="26">
        <f t="shared" si="6"/>
        <v>0.460916442</v>
      </c>
      <c r="V1073" s="26">
        <f t="shared" si="7"/>
        <v>0.03234501348</v>
      </c>
      <c r="W1073" s="19">
        <f t="shared" si="8"/>
        <v>1.648648649</v>
      </c>
      <c r="X1073" s="20">
        <f t="shared" si="9"/>
        <v>740</v>
      </c>
      <c r="Y1073" s="27"/>
      <c r="Z1073" s="17"/>
      <c r="AA1073" s="17"/>
      <c r="AB1073" s="17"/>
      <c r="AC1073" s="17"/>
      <c r="AD1073" s="27"/>
    </row>
    <row r="1074" ht="15.75" customHeight="1">
      <c r="A1074" s="184" t="s">
        <v>1526</v>
      </c>
      <c r="B1074" s="184" t="s">
        <v>2877</v>
      </c>
      <c r="C1074" s="16" t="str">
        <f t="shared" si="11"/>
        <v>Mountain House Breakfast Skillet (LRP)</v>
      </c>
      <c r="D1074" s="206" t="s">
        <v>92</v>
      </c>
      <c r="E1074" s="17" t="s">
        <v>2833</v>
      </c>
      <c r="F1074" s="206">
        <v>1.0</v>
      </c>
      <c r="G1074" s="207">
        <f t="shared" si="10"/>
        <v>3.174659165</v>
      </c>
      <c r="H1074" s="206">
        <v>90.0</v>
      </c>
      <c r="I1074" s="208">
        <v>450.0</v>
      </c>
      <c r="J1074" s="206">
        <v>27.0</v>
      </c>
      <c r="K1074" s="206">
        <v>1260.0</v>
      </c>
      <c r="L1074" s="206"/>
      <c r="M1074" s="209">
        <v>32.0</v>
      </c>
      <c r="N1074" s="209">
        <v>2.0</v>
      </c>
      <c r="O1074" s="209">
        <v>5.0</v>
      </c>
      <c r="P1074" s="209">
        <f t="shared" si="2"/>
        <v>25</v>
      </c>
      <c r="Q1074" s="210">
        <v>17.0</v>
      </c>
      <c r="R1074" s="205">
        <f t="shared" si="3"/>
        <v>141.7475</v>
      </c>
      <c r="S1074" s="19">
        <f t="shared" si="4"/>
        <v>5</v>
      </c>
      <c r="T1074" s="24">
        <f t="shared" si="5"/>
        <v>1.882352941</v>
      </c>
      <c r="U1074" s="26">
        <f t="shared" si="6"/>
        <v>0.5535307517</v>
      </c>
      <c r="V1074" s="26">
        <f t="shared" si="7"/>
        <v>0.04555808656</v>
      </c>
      <c r="W1074" s="19">
        <f t="shared" si="8"/>
        <v>2.8</v>
      </c>
      <c r="X1074" s="209">
        <f t="shared" si="9"/>
        <v>450</v>
      </c>
      <c r="Y1074" s="27"/>
      <c r="Z1074" s="17"/>
      <c r="AA1074" s="17"/>
      <c r="AB1074" s="17"/>
      <c r="AC1074" s="17"/>
      <c r="AD1074" s="27"/>
    </row>
    <row r="1075" ht="15.75" customHeight="1">
      <c r="A1075" s="16" t="s">
        <v>1526</v>
      </c>
      <c r="B1075" s="16" t="s">
        <v>2878</v>
      </c>
      <c r="C1075" s="16" t="str">
        <f t="shared" si="11"/>
        <v>Mountain House Diced Chicken</v>
      </c>
      <c r="D1075" s="17" t="s">
        <v>33</v>
      </c>
      <c r="E1075" s="17" t="s">
        <v>2833</v>
      </c>
      <c r="F1075" s="17">
        <v>14.0</v>
      </c>
      <c r="G1075" s="19">
        <f t="shared" si="10"/>
        <v>1.199315685</v>
      </c>
      <c r="H1075" s="17">
        <v>34.0</v>
      </c>
      <c r="I1075" s="10">
        <v>170.0</v>
      </c>
      <c r="J1075" s="17">
        <v>7.0</v>
      </c>
      <c r="K1075" s="17">
        <v>470.0</v>
      </c>
      <c r="L1075" s="17">
        <v>199.0</v>
      </c>
      <c r="M1075" s="20">
        <v>0.0</v>
      </c>
      <c r="N1075" s="20">
        <v>0.0</v>
      </c>
      <c r="O1075" s="20">
        <v>0.0</v>
      </c>
      <c r="P1075" s="20">
        <f t="shared" si="2"/>
        <v>0</v>
      </c>
      <c r="Q1075" s="21">
        <v>25.0</v>
      </c>
      <c r="R1075" s="205">
        <f t="shared" si="3"/>
        <v>141.7475</v>
      </c>
      <c r="S1075" s="19">
        <f t="shared" si="4"/>
        <v>5</v>
      </c>
      <c r="T1075" s="24">
        <f t="shared" si="5"/>
        <v>0</v>
      </c>
      <c r="U1075" s="26">
        <f t="shared" si="6"/>
        <v>0.3865030675</v>
      </c>
      <c r="V1075" s="26" t="str">
        <f t="shared" si="7"/>
        <v>0%</v>
      </c>
      <c r="W1075" s="19">
        <f t="shared" si="8"/>
        <v>2.764705882</v>
      </c>
      <c r="X1075" s="20">
        <f t="shared" si="9"/>
        <v>2380</v>
      </c>
      <c r="Y1075" s="27"/>
      <c r="Z1075" s="17"/>
      <c r="AA1075" s="17"/>
      <c r="AB1075" s="17"/>
      <c r="AC1075" s="17"/>
      <c r="AD1075" s="27"/>
    </row>
    <row r="1076" ht="15.75" customHeight="1">
      <c r="A1076" s="16" t="s">
        <v>2832</v>
      </c>
      <c r="B1076" s="16" t="s">
        <v>2879</v>
      </c>
      <c r="C1076" s="16" t="str">
        <f t="shared" si="11"/>
        <v>PackIt Gourmet Cheddar-Jack Cheese Spread (BYOB)</v>
      </c>
      <c r="D1076" s="17" t="s">
        <v>2880</v>
      </c>
      <c r="E1076" s="17" t="s">
        <v>2833</v>
      </c>
      <c r="F1076" s="17">
        <v>2.0</v>
      </c>
      <c r="G1076" s="19">
        <f t="shared" si="10"/>
        <v>1.48150761</v>
      </c>
      <c r="H1076" s="17">
        <v>42.0</v>
      </c>
      <c r="I1076" s="10">
        <v>210.0</v>
      </c>
      <c r="J1076" s="17">
        <v>16.0</v>
      </c>
      <c r="K1076" s="17">
        <v>460.0</v>
      </c>
      <c r="L1076" s="17">
        <v>100.0</v>
      </c>
      <c r="M1076" s="20">
        <v>4.0</v>
      </c>
      <c r="N1076" s="20">
        <v>0.0</v>
      </c>
      <c r="O1076" s="20">
        <v>3.0</v>
      </c>
      <c r="P1076" s="20">
        <f t="shared" si="2"/>
        <v>1</v>
      </c>
      <c r="Q1076" s="21">
        <v>12.0</v>
      </c>
      <c r="R1076" s="205">
        <f t="shared" si="3"/>
        <v>141.7475</v>
      </c>
      <c r="S1076" s="19">
        <f t="shared" si="4"/>
        <v>5</v>
      </c>
      <c r="T1076" s="24">
        <f t="shared" si="5"/>
        <v>0.3333333333</v>
      </c>
      <c r="U1076" s="26">
        <f t="shared" si="6"/>
        <v>0.6923076923</v>
      </c>
      <c r="V1076" s="26">
        <f t="shared" si="7"/>
        <v>0.05769230769</v>
      </c>
      <c r="W1076" s="19">
        <f t="shared" si="8"/>
        <v>2.19047619</v>
      </c>
      <c r="X1076" s="20">
        <f t="shared" si="9"/>
        <v>420</v>
      </c>
      <c r="Y1076" s="27"/>
      <c r="Z1076" s="17"/>
      <c r="AA1076" s="17"/>
      <c r="AB1076" s="17"/>
      <c r="AC1076" s="17"/>
      <c r="AD1076" s="27"/>
    </row>
    <row r="1077" ht="15.75" customHeight="1">
      <c r="A1077" s="16" t="s">
        <v>2863</v>
      </c>
      <c r="B1077" s="16" t="s">
        <v>2881</v>
      </c>
      <c r="C1077" s="16" t="str">
        <f t="shared" si="11"/>
        <v>Paleo Meals To Go Bedrock Beef Chili</v>
      </c>
      <c r="D1077" s="17" t="s">
        <v>2846</v>
      </c>
      <c r="E1077" s="17" t="s">
        <v>2833</v>
      </c>
      <c r="F1077" s="17">
        <v>1.0</v>
      </c>
      <c r="G1077" s="19">
        <f t="shared" si="10"/>
        <v>2.998289211</v>
      </c>
      <c r="H1077" s="17">
        <v>85.0</v>
      </c>
      <c r="I1077" s="10">
        <v>420.0</v>
      </c>
      <c r="J1077" s="17">
        <v>8.0</v>
      </c>
      <c r="K1077" s="17">
        <v>490.0</v>
      </c>
      <c r="L1077" s="17">
        <v>920.0</v>
      </c>
      <c r="M1077" s="20">
        <v>42.0</v>
      </c>
      <c r="N1077" s="20">
        <v>8.0</v>
      </c>
      <c r="O1077" s="20">
        <v>17.0</v>
      </c>
      <c r="P1077" s="20">
        <f t="shared" si="2"/>
        <v>17</v>
      </c>
      <c r="Q1077" s="21">
        <v>36.0</v>
      </c>
      <c r="R1077" s="205">
        <f t="shared" si="3"/>
        <v>140.0798824</v>
      </c>
      <c r="S1077" s="19">
        <f t="shared" si="4"/>
        <v>4.941176471</v>
      </c>
      <c r="T1077" s="24">
        <f t="shared" si="5"/>
        <v>1.166666667</v>
      </c>
      <c r="U1077" s="26">
        <f t="shared" si="6"/>
        <v>0.1875</v>
      </c>
      <c r="V1077" s="26">
        <f t="shared" si="7"/>
        <v>0.1770833333</v>
      </c>
      <c r="W1077" s="19">
        <f t="shared" si="8"/>
        <v>1.166666667</v>
      </c>
      <c r="X1077" s="20">
        <f t="shared" si="9"/>
        <v>420</v>
      </c>
      <c r="Y1077" s="27"/>
      <c r="Z1077" s="17"/>
      <c r="AA1077" s="17"/>
      <c r="AB1077" s="17"/>
      <c r="AC1077" s="17"/>
      <c r="AD1077" s="27"/>
    </row>
    <row r="1078" ht="15.75" customHeight="1">
      <c r="A1078" s="16" t="s">
        <v>2844</v>
      </c>
      <c r="B1078" s="16" t="s">
        <v>2882</v>
      </c>
      <c r="C1078" s="16" t="str">
        <f t="shared" si="11"/>
        <v>Peak Refuel Beef Chili Mac</v>
      </c>
      <c r="D1078" s="17" t="s">
        <v>2846</v>
      </c>
      <c r="E1078" s="17" t="s">
        <v>2833</v>
      </c>
      <c r="F1078" s="17">
        <v>2.0</v>
      </c>
      <c r="G1078" s="19">
        <f t="shared" si="10"/>
        <v>2.645549304</v>
      </c>
      <c r="H1078" s="17">
        <v>75.0</v>
      </c>
      <c r="I1078" s="10">
        <v>370.0</v>
      </c>
      <c r="J1078" s="17">
        <v>15.0</v>
      </c>
      <c r="K1078" s="17">
        <v>400.0</v>
      </c>
      <c r="L1078" s="17">
        <v>398.0</v>
      </c>
      <c r="M1078" s="20">
        <v>38.0</v>
      </c>
      <c r="N1078" s="20">
        <v>6.0</v>
      </c>
      <c r="O1078" s="20">
        <v>6.0</v>
      </c>
      <c r="P1078" s="20">
        <f t="shared" si="2"/>
        <v>26</v>
      </c>
      <c r="Q1078" s="21">
        <v>20.0</v>
      </c>
      <c r="R1078" s="205">
        <f t="shared" si="3"/>
        <v>139.8575333</v>
      </c>
      <c r="S1078" s="19">
        <f t="shared" si="4"/>
        <v>4.933333333</v>
      </c>
      <c r="T1078" s="24">
        <f t="shared" si="5"/>
        <v>1.9</v>
      </c>
      <c r="U1078" s="26">
        <f t="shared" si="6"/>
        <v>0.3678474114</v>
      </c>
      <c r="V1078" s="26">
        <f t="shared" si="7"/>
        <v>0.06539509537</v>
      </c>
      <c r="W1078" s="19">
        <f t="shared" si="8"/>
        <v>1.081081081</v>
      </c>
      <c r="X1078" s="20">
        <f t="shared" si="9"/>
        <v>740</v>
      </c>
      <c r="Y1078" s="27"/>
      <c r="Z1078" s="17"/>
      <c r="AA1078" s="17"/>
      <c r="AB1078" s="17"/>
      <c r="AC1078" s="17"/>
      <c r="AD1078" s="27"/>
    </row>
    <row r="1079" ht="15.75" customHeight="1">
      <c r="A1079" s="16" t="s">
        <v>2840</v>
      </c>
      <c r="B1079" s="16" t="s">
        <v>2883</v>
      </c>
      <c r="C1079" s="16" t="str">
        <f t="shared" si="11"/>
        <v>Next Mile Meals Chicken &amp; Broccoli Casserole</v>
      </c>
      <c r="D1079" s="17" t="s">
        <v>2846</v>
      </c>
      <c r="E1079" s="17" t="s">
        <v>2833</v>
      </c>
      <c r="F1079" s="17">
        <v>1.0</v>
      </c>
      <c r="G1079" s="19">
        <f t="shared" si="10"/>
        <v>3.866029383</v>
      </c>
      <c r="H1079" s="17">
        <v>109.6</v>
      </c>
      <c r="I1079" s="10">
        <v>540.0</v>
      </c>
      <c r="J1079" s="17">
        <v>30.0</v>
      </c>
      <c r="K1079" s="17">
        <v>1110.0</v>
      </c>
      <c r="L1079" s="17"/>
      <c r="M1079" s="20">
        <v>9.0</v>
      </c>
      <c r="N1079" s="20">
        <v>3.0</v>
      </c>
      <c r="O1079" s="20">
        <v>5.0</v>
      </c>
      <c r="P1079" s="20">
        <f t="shared" si="2"/>
        <v>1</v>
      </c>
      <c r="Q1079" s="21">
        <v>61.0</v>
      </c>
      <c r="R1079" s="205">
        <f t="shared" si="3"/>
        <v>139.6781934</v>
      </c>
      <c r="S1079" s="19">
        <f t="shared" si="4"/>
        <v>4.927007299</v>
      </c>
      <c r="T1079" s="24">
        <f t="shared" si="5"/>
        <v>0.1475409836</v>
      </c>
      <c r="U1079" s="26">
        <f t="shared" si="6"/>
        <v>0.4909090909</v>
      </c>
      <c r="V1079" s="26">
        <f t="shared" si="7"/>
        <v>0.03636363636</v>
      </c>
      <c r="W1079" s="19">
        <f t="shared" si="8"/>
        <v>2.055555556</v>
      </c>
      <c r="X1079" s="20">
        <f t="shared" si="9"/>
        <v>540</v>
      </c>
      <c r="Y1079" s="27"/>
      <c r="Z1079" s="17"/>
      <c r="AA1079" s="17"/>
      <c r="AB1079" s="17"/>
      <c r="AC1079" s="17"/>
      <c r="AD1079" s="27"/>
    </row>
    <row r="1080" ht="15.75" customHeight="1">
      <c r="A1080" s="16" t="s">
        <v>1526</v>
      </c>
      <c r="B1080" s="16" t="s">
        <v>2884</v>
      </c>
      <c r="C1080" s="16" t="str">
        <f t="shared" si="11"/>
        <v>Mountain House Breakfast Skillet</v>
      </c>
      <c r="D1080" s="17" t="s">
        <v>92</v>
      </c>
      <c r="E1080" s="17" t="s">
        <v>2833</v>
      </c>
      <c r="F1080" s="17">
        <v>2.0</v>
      </c>
      <c r="G1080" s="19">
        <f t="shared" si="10"/>
        <v>1.869521508</v>
      </c>
      <c r="H1080" s="17">
        <v>53.0</v>
      </c>
      <c r="I1080" s="10">
        <v>260.0</v>
      </c>
      <c r="J1080" s="17">
        <v>12.0</v>
      </c>
      <c r="K1080" s="17">
        <v>790.0</v>
      </c>
      <c r="L1080" s="17">
        <v>380.0</v>
      </c>
      <c r="M1080" s="20">
        <v>23.0</v>
      </c>
      <c r="N1080" s="20">
        <v>2.0</v>
      </c>
      <c r="O1080" s="20">
        <v>4.0</v>
      </c>
      <c r="P1080" s="20">
        <f t="shared" si="2"/>
        <v>17</v>
      </c>
      <c r="Q1080" s="21">
        <v>14.0</v>
      </c>
      <c r="R1080" s="205">
        <f t="shared" si="3"/>
        <v>139.0730189</v>
      </c>
      <c r="S1080" s="19">
        <f t="shared" si="4"/>
        <v>4.905660377</v>
      </c>
      <c r="T1080" s="24">
        <f t="shared" si="5"/>
        <v>1.642857143</v>
      </c>
      <c r="U1080" s="26">
        <f t="shared" si="6"/>
        <v>0.421875</v>
      </c>
      <c r="V1080" s="26">
        <f t="shared" si="7"/>
        <v>0.0625</v>
      </c>
      <c r="W1080" s="19">
        <f t="shared" si="8"/>
        <v>3.038461538</v>
      </c>
      <c r="X1080" s="20">
        <f t="shared" si="9"/>
        <v>520</v>
      </c>
      <c r="Y1080" s="27"/>
      <c r="Z1080" s="17"/>
      <c r="AA1080" s="17"/>
      <c r="AB1080" s="17"/>
      <c r="AC1080" s="17"/>
      <c r="AD1080" s="27"/>
    </row>
    <row r="1081" ht="15.75" customHeight="1">
      <c r="A1081" s="16" t="s">
        <v>1526</v>
      </c>
      <c r="B1081" s="16" t="s">
        <v>2885</v>
      </c>
      <c r="C1081" s="16" t="str">
        <f t="shared" si="11"/>
        <v>Mountain House Spaghetti with Meat Sauce (PRO-PAK)</v>
      </c>
      <c r="D1081" s="17" t="s">
        <v>2846</v>
      </c>
      <c r="E1081" s="17" t="s">
        <v>2833</v>
      </c>
      <c r="F1081" s="17">
        <v>1.0</v>
      </c>
      <c r="G1081" s="19">
        <f t="shared" si="10"/>
        <v>3.749625214</v>
      </c>
      <c r="H1081" s="17">
        <v>106.3</v>
      </c>
      <c r="I1081" s="10">
        <v>520.0</v>
      </c>
      <c r="J1081" s="17">
        <v>22.0</v>
      </c>
      <c r="K1081" s="17">
        <v>1190.0</v>
      </c>
      <c r="L1081" s="17"/>
      <c r="M1081" s="20">
        <v>53.0</v>
      </c>
      <c r="N1081" s="20">
        <v>4.0</v>
      </c>
      <c r="O1081" s="20">
        <v>12.0</v>
      </c>
      <c r="P1081" s="20">
        <f t="shared" si="2"/>
        <v>37</v>
      </c>
      <c r="Q1081" s="21">
        <v>26.0</v>
      </c>
      <c r="R1081" s="205">
        <f t="shared" si="3"/>
        <v>138.6805268</v>
      </c>
      <c r="S1081" s="19">
        <f t="shared" si="4"/>
        <v>4.891815616</v>
      </c>
      <c r="T1081" s="24">
        <f t="shared" si="5"/>
        <v>2.038461538</v>
      </c>
      <c r="U1081" s="26">
        <f t="shared" si="6"/>
        <v>0.3852140078</v>
      </c>
      <c r="V1081" s="26">
        <f t="shared" si="7"/>
        <v>0.09338521401</v>
      </c>
      <c r="W1081" s="19">
        <f t="shared" si="8"/>
        <v>2.288461538</v>
      </c>
      <c r="X1081" s="20">
        <f t="shared" si="9"/>
        <v>520</v>
      </c>
      <c r="Y1081" s="27"/>
      <c r="Z1081" s="17"/>
      <c r="AA1081" s="17"/>
      <c r="AB1081" s="17"/>
      <c r="AC1081" s="17"/>
      <c r="AD1081" s="27"/>
    </row>
    <row r="1082" ht="15.75" customHeight="1">
      <c r="A1082" s="16" t="s">
        <v>2832</v>
      </c>
      <c r="B1082" s="16" t="s">
        <v>2886</v>
      </c>
      <c r="C1082" s="16" t="str">
        <f t="shared" si="11"/>
        <v>PackIt Gourmet Texas Mesquite Chicken Salad (BYOB)</v>
      </c>
      <c r="D1082" s="17" t="s">
        <v>2846</v>
      </c>
      <c r="E1082" s="17" t="s">
        <v>2839</v>
      </c>
      <c r="F1082" s="17">
        <v>1.0</v>
      </c>
      <c r="G1082" s="19">
        <f t="shared" si="10"/>
        <v>2.892467239</v>
      </c>
      <c r="H1082" s="17">
        <v>82.0</v>
      </c>
      <c r="I1082" s="10">
        <v>400.0</v>
      </c>
      <c r="J1082" s="17">
        <v>23.0</v>
      </c>
      <c r="K1082" s="17">
        <v>570.0</v>
      </c>
      <c r="L1082" s="17">
        <v>130.0</v>
      </c>
      <c r="M1082" s="20">
        <v>8.0</v>
      </c>
      <c r="N1082" s="20">
        <v>1.0</v>
      </c>
      <c r="O1082" s="20">
        <v>4.0</v>
      </c>
      <c r="P1082" s="20">
        <f t="shared" si="2"/>
        <v>3</v>
      </c>
      <c r="Q1082" s="21">
        <v>40.0</v>
      </c>
      <c r="R1082" s="205">
        <f t="shared" si="3"/>
        <v>138.2902439</v>
      </c>
      <c r="S1082" s="19">
        <f t="shared" si="4"/>
        <v>4.87804878</v>
      </c>
      <c r="T1082" s="24">
        <f t="shared" si="5"/>
        <v>0.2</v>
      </c>
      <c r="U1082" s="26">
        <f t="shared" si="6"/>
        <v>0.5187969925</v>
      </c>
      <c r="V1082" s="26">
        <f t="shared" si="7"/>
        <v>0.04010025063</v>
      </c>
      <c r="W1082" s="19">
        <f t="shared" si="8"/>
        <v>1.425</v>
      </c>
      <c r="X1082" s="20">
        <f t="shared" si="9"/>
        <v>400</v>
      </c>
      <c r="Y1082" s="27"/>
      <c r="Z1082" s="17"/>
      <c r="AA1082" s="17"/>
      <c r="AB1082" s="17"/>
      <c r="AC1082" s="17"/>
      <c r="AD1082" s="27"/>
    </row>
    <row r="1083" ht="15.75" customHeight="1">
      <c r="A1083" s="27" t="s">
        <v>1402</v>
      </c>
      <c r="B1083" s="27" t="s">
        <v>2887</v>
      </c>
      <c r="C1083" s="16" t="str">
        <f t="shared" si="11"/>
        <v>Backpacker's Pantry Crème Brulee</v>
      </c>
      <c r="D1083" s="17" t="s">
        <v>478</v>
      </c>
      <c r="E1083" s="17" t="s">
        <v>2839</v>
      </c>
      <c r="F1083" s="17">
        <v>2.0</v>
      </c>
      <c r="G1083" s="19">
        <f t="shared" si="10"/>
        <v>2.257535406</v>
      </c>
      <c r="H1083" s="17">
        <v>64.0</v>
      </c>
      <c r="I1083" s="10">
        <v>310.0</v>
      </c>
      <c r="J1083" s="17">
        <v>15.0</v>
      </c>
      <c r="K1083" s="17">
        <v>360.0</v>
      </c>
      <c r="L1083" s="17">
        <v>259.0</v>
      </c>
      <c r="M1083" s="20">
        <v>46.0</v>
      </c>
      <c r="N1083" s="20">
        <v>0.0</v>
      </c>
      <c r="O1083" s="20">
        <v>21.0</v>
      </c>
      <c r="P1083" s="20">
        <f t="shared" si="2"/>
        <v>25</v>
      </c>
      <c r="Q1083" s="21">
        <v>6.0</v>
      </c>
      <c r="R1083" s="205">
        <f t="shared" si="3"/>
        <v>137.3178906</v>
      </c>
      <c r="S1083" s="19">
        <f t="shared" si="4"/>
        <v>4.84375</v>
      </c>
      <c r="T1083" s="24">
        <f t="shared" si="5"/>
        <v>7.666666667</v>
      </c>
      <c r="U1083" s="26">
        <f t="shared" si="6"/>
        <v>0.3935860058</v>
      </c>
      <c r="V1083" s="26">
        <f t="shared" si="7"/>
        <v>0.2448979592</v>
      </c>
      <c r="W1083" s="19">
        <f t="shared" si="8"/>
        <v>1.161290323</v>
      </c>
      <c r="X1083" s="20">
        <f t="shared" si="9"/>
        <v>620</v>
      </c>
      <c r="Y1083" s="27"/>
      <c r="Z1083" s="17"/>
      <c r="AA1083" s="17"/>
      <c r="AB1083" s="17"/>
      <c r="AC1083" s="17"/>
      <c r="AD1083" s="27"/>
    </row>
    <row r="1084" ht="15.75" customHeight="1">
      <c r="A1084" s="16" t="s">
        <v>1526</v>
      </c>
      <c r="B1084" s="16" t="s">
        <v>2888</v>
      </c>
      <c r="C1084" s="16" t="str">
        <f t="shared" si="11"/>
        <v>Mountain House Creamy Macaroni and Cheese</v>
      </c>
      <c r="D1084" s="17" t="s">
        <v>2846</v>
      </c>
      <c r="E1084" s="17" t="s">
        <v>2833</v>
      </c>
      <c r="F1084" s="17">
        <v>2.0</v>
      </c>
      <c r="G1084" s="19">
        <f t="shared" si="10"/>
        <v>2.257535406</v>
      </c>
      <c r="H1084" s="17">
        <v>64.0</v>
      </c>
      <c r="I1084" s="10">
        <v>310.0</v>
      </c>
      <c r="J1084" s="17">
        <v>14.0</v>
      </c>
      <c r="K1084" s="17">
        <v>680.0</v>
      </c>
      <c r="L1084" s="17">
        <v>271.0</v>
      </c>
      <c r="M1084" s="20">
        <v>33.0</v>
      </c>
      <c r="N1084" s="20">
        <v>0.0</v>
      </c>
      <c r="O1084" s="20">
        <v>7.0</v>
      </c>
      <c r="P1084" s="20">
        <f t="shared" si="2"/>
        <v>26</v>
      </c>
      <c r="Q1084" s="21">
        <v>13.0</v>
      </c>
      <c r="R1084" s="205">
        <f t="shared" si="3"/>
        <v>137.3178906</v>
      </c>
      <c r="S1084" s="19">
        <f t="shared" si="4"/>
        <v>4.84375</v>
      </c>
      <c r="T1084" s="24">
        <f t="shared" si="5"/>
        <v>2.538461538</v>
      </c>
      <c r="U1084" s="26">
        <f t="shared" si="6"/>
        <v>0.4064516129</v>
      </c>
      <c r="V1084" s="26">
        <f t="shared" si="7"/>
        <v>0.09032258065</v>
      </c>
      <c r="W1084" s="19">
        <f t="shared" si="8"/>
        <v>2.193548387</v>
      </c>
      <c r="X1084" s="20">
        <f t="shared" si="9"/>
        <v>620</v>
      </c>
      <c r="Y1084" s="27"/>
      <c r="Z1084" s="17"/>
      <c r="AA1084" s="17"/>
      <c r="AB1084" s="17"/>
      <c r="AC1084" s="17"/>
      <c r="AD1084" s="27"/>
    </row>
    <row r="1085" ht="15.75" customHeight="1">
      <c r="A1085" s="16" t="s">
        <v>1526</v>
      </c>
      <c r="B1085" s="16" t="s">
        <v>2889</v>
      </c>
      <c r="C1085" s="16" t="str">
        <f t="shared" si="11"/>
        <v>Mountain House Breakfast Skillet (PRO-PAK)</v>
      </c>
      <c r="D1085" s="17" t="s">
        <v>92</v>
      </c>
      <c r="E1085" s="17" t="s">
        <v>2833</v>
      </c>
      <c r="F1085" s="17">
        <v>1.0</v>
      </c>
      <c r="G1085" s="19">
        <f t="shared" si="10"/>
        <v>3.280481137</v>
      </c>
      <c r="H1085" s="17">
        <v>93.0</v>
      </c>
      <c r="I1085" s="10">
        <v>450.0</v>
      </c>
      <c r="J1085" s="17">
        <v>21.0</v>
      </c>
      <c r="K1085" s="17">
        <v>1390.0</v>
      </c>
      <c r="L1085" s="17"/>
      <c r="M1085" s="20">
        <v>40.0</v>
      </c>
      <c r="N1085" s="20">
        <v>4.0</v>
      </c>
      <c r="O1085" s="20">
        <v>7.0</v>
      </c>
      <c r="P1085" s="20">
        <f t="shared" si="2"/>
        <v>29</v>
      </c>
      <c r="Q1085" s="21">
        <v>25.0</v>
      </c>
      <c r="R1085" s="205">
        <f t="shared" si="3"/>
        <v>137.175</v>
      </c>
      <c r="S1085" s="19">
        <f t="shared" si="4"/>
        <v>4.838709677</v>
      </c>
      <c r="T1085" s="24">
        <f t="shared" si="5"/>
        <v>1.6</v>
      </c>
      <c r="U1085" s="26">
        <f t="shared" si="6"/>
        <v>0.420935412</v>
      </c>
      <c r="V1085" s="26">
        <f t="shared" si="7"/>
        <v>0.06236080178</v>
      </c>
      <c r="W1085" s="19">
        <f t="shared" si="8"/>
        <v>3.088888889</v>
      </c>
      <c r="X1085" s="20">
        <f t="shared" si="9"/>
        <v>450</v>
      </c>
      <c r="Y1085" s="27"/>
      <c r="Z1085" s="17"/>
      <c r="AA1085" s="17"/>
      <c r="AB1085" s="17"/>
      <c r="AC1085" s="17"/>
      <c r="AD1085" s="27"/>
    </row>
    <row r="1086" ht="15.75" customHeight="1">
      <c r="A1086" s="16" t="s">
        <v>2863</v>
      </c>
      <c r="B1086" s="16" t="s">
        <v>2890</v>
      </c>
      <c r="C1086" s="16" t="str">
        <f t="shared" si="11"/>
        <v>Paleo Meals To Go Mountain Beef Stew</v>
      </c>
      <c r="D1086" s="17" t="s">
        <v>2846</v>
      </c>
      <c r="E1086" s="17" t="s">
        <v>2833</v>
      </c>
      <c r="F1086" s="17">
        <v>1.0</v>
      </c>
      <c r="G1086" s="19">
        <f t="shared" si="10"/>
        <v>2.998289211</v>
      </c>
      <c r="H1086" s="17">
        <v>85.0</v>
      </c>
      <c r="I1086" s="10">
        <v>410.0</v>
      </c>
      <c r="J1086" s="17">
        <v>8.0</v>
      </c>
      <c r="K1086" s="17">
        <v>570.0</v>
      </c>
      <c r="L1086" s="17">
        <v>1250.0</v>
      </c>
      <c r="M1086" s="20">
        <v>35.0</v>
      </c>
      <c r="N1086" s="20">
        <v>10.0</v>
      </c>
      <c r="O1086" s="20">
        <v>18.0</v>
      </c>
      <c r="P1086" s="20">
        <f t="shared" si="2"/>
        <v>7</v>
      </c>
      <c r="Q1086" s="21">
        <v>37.0</v>
      </c>
      <c r="R1086" s="205">
        <f t="shared" si="3"/>
        <v>136.7446471</v>
      </c>
      <c r="S1086" s="19">
        <f t="shared" si="4"/>
        <v>4.823529412</v>
      </c>
      <c r="T1086" s="24">
        <f t="shared" si="5"/>
        <v>0.9459459459</v>
      </c>
      <c r="U1086" s="26">
        <f t="shared" si="6"/>
        <v>0.2</v>
      </c>
      <c r="V1086" s="26">
        <f t="shared" si="7"/>
        <v>0.2</v>
      </c>
      <c r="W1086" s="19">
        <f t="shared" si="8"/>
        <v>1.390243902</v>
      </c>
      <c r="X1086" s="20">
        <f t="shared" si="9"/>
        <v>410</v>
      </c>
      <c r="Y1086" s="27"/>
      <c r="Z1086" s="17"/>
      <c r="AA1086" s="17"/>
      <c r="AB1086" s="17"/>
      <c r="AC1086" s="17"/>
      <c r="AD1086" s="27"/>
    </row>
    <row r="1087" ht="15.75" customHeight="1">
      <c r="A1087" s="16" t="s">
        <v>2891</v>
      </c>
      <c r="B1087" s="16" t="s">
        <v>2892</v>
      </c>
      <c r="C1087" s="16" t="str">
        <f t="shared" si="11"/>
        <v>Alpine Aire Bandito Scramble</v>
      </c>
      <c r="D1087" s="17" t="s">
        <v>92</v>
      </c>
      <c r="E1087" s="17" t="s">
        <v>2833</v>
      </c>
      <c r="F1087" s="17">
        <v>2.0</v>
      </c>
      <c r="G1087" s="19">
        <f t="shared" si="10"/>
        <v>1.763699536</v>
      </c>
      <c r="H1087" s="17">
        <v>50.0</v>
      </c>
      <c r="I1087" s="10">
        <v>240.0</v>
      </c>
      <c r="J1087" s="17">
        <v>13.0</v>
      </c>
      <c r="K1087" s="17">
        <v>340.0</v>
      </c>
      <c r="L1087" s="17">
        <v>704.0</v>
      </c>
      <c r="M1087" s="20">
        <v>18.0</v>
      </c>
      <c r="N1087" s="20">
        <v>1.0</v>
      </c>
      <c r="O1087" s="20">
        <v>4.0</v>
      </c>
      <c r="P1087" s="20">
        <f t="shared" si="2"/>
        <v>13</v>
      </c>
      <c r="Q1087" s="21">
        <v>14.0</v>
      </c>
      <c r="R1087" s="205">
        <f t="shared" si="3"/>
        <v>136.0776</v>
      </c>
      <c r="S1087" s="19">
        <f t="shared" si="4"/>
        <v>4.8</v>
      </c>
      <c r="T1087" s="24">
        <f t="shared" si="5"/>
        <v>1.285714286</v>
      </c>
      <c r="U1087" s="26">
        <f t="shared" si="6"/>
        <v>0.4775510204</v>
      </c>
      <c r="V1087" s="26">
        <f t="shared" si="7"/>
        <v>0.06530612245</v>
      </c>
      <c r="W1087" s="19">
        <f t="shared" si="8"/>
        <v>1.416666667</v>
      </c>
      <c r="X1087" s="20">
        <f t="shared" si="9"/>
        <v>480</v>
      </c>
      <c r="Y1087" s="27"/>
      <c r="Z1087" s="17"/>
      <c r="AA1087" s="17"/>
      <c r="AB1087" s="17"/>
      <c r="AC1087" s="17"/>
      <c r="AD1087" s="27"/>
    </row>
    <row r="1088" ht="15.75" customHeight="1">
      <c r="A1088" s="211" t="s">
        <v>1526</v>
      </c>
      <c r="B1088" s="211" t="s">
        <v>2893</v>
      </c>
      <c r="C1088" s="16" t="str">
        <f t="shared" si="11"/>
        <v>Mountain House Turkey Tetrazzini</v>
      </c>
      <c r="D1088" s="162" t="s">
        <v>2846</v>
      </c>
      <c r="E1088" s="17" t="s">
        <v>2833</v>
      </c>
      <c r="F1088" s="162">
        <v>2.5</v>
      </c>
      <c r="G1088" s="212">
        <f t="shared" si="10"/>
        <v>1.693151555</v>
      </c>
      <c r="H1088" s="162">
        <v>48.0</v>
      </c>
      <c r="I1088" s="213">
        <v>230.0</v>
      </c>
      <c r="J1088" s="162">
        <v>8.0</v>
      </c>
      <c r="K1088" s="162">
        <v>670.0</v>
      </c>
      <c r="L1088" s="162"/>
      <c r="M1088" s="214">
        <v>22.0</v>
      </c>
      <c r="N1088" s="214">
        <v>1.0</v>
      </c>
      <c r="O1088" s="214">
        <v>4.0</v>
      </c>
      <c r="P1088" s="214">
        <f t="shared" si="2"/>
        <v>17</v>
      </c>
      <c r="Q1088" s="215">
        <v>13.0</v>
      </c>
      <c r="R1088" s="205">
        <f t="shared" si="3"/>
        <v>135.8413542</v>
      </c>
      <c r="S1088" s="19">
        <f t="shared" si="4"/>
        <v>4.791666667</v>
      </c>
      <c r="T1088" s="24">
        <f t="shared" si="5"/>
        <v>1.692307692</v>
      </c>
      <c r="U1088" s="26">
        <f t="shared" si="6"/>
        <v>0.3396226415</v>
      </c>
      <c r="V1088" s="26">
        <f t="shared" si="7"/>
        <v>0.07547169811</v>
      </c>
      <c r="W1088" s="19">
        <f t="shared" si="8"/>
        <v>2.913043478</v>
      </c>
      <c r="X1088" s="214">
        <f t="shared" si="9"/>
        <v>575</v>
      </c>
      <c r="Y1088" s="27"/>
      <c r="Z1088" s="17"/>
      <c r="AA1088" s="17"/>
      <c r="AB1088" s="17"/>
      <c r="AC1088" s="17"/>
      <c r="AD1088" s="27"/>
    </row>
    <row r="1089" ht="15.75" customHeight="1">
      <c r="A1089" s="16" t="s">
        <v>2832</v>
      </c>
      <c r="B1089" s="16" t="s">
        <v>2894</v>
      </c>
      <c r="C1089" s="16" t="str">
        <f t="shared" si="11"/>
        <v>PackIt Gourmet Herb-Roasted Turkey Wrap (BYOB)</v>
      </c>
      <c r="D1089" s="17" t="s">
        <v>2846</v>
      </c>
      <c r="E1089" s="17" t="s">
        <v>2839</v>
      </c>
      <c r="F1089" s="17">
        <v>1.0</v>
      </c>
      <c r="G1089" s="19">
        <f t="shared" si="10"/>
        <v>3.174659165</v>
      </c>
      <c r="H1089" s="17">
        <v>90.0</v>
      </c>
      <c r="I1089" s="10">
        <v>430.0</v>
      </c>
      <c r="J1089" s="17">
        <v>25.0</v>
      </c>
      <c r="K1089" s="17">
        <v>480.0</v>
      </c>
      <c r="L1089" s="17">
        <v>180.0</v>
      </c>
      <c r="M1089" s="20">
        <v>18.0</v>
      </c>
      <c r="N1089" s="20">
        <v>2.0</v>
      </c>
      <c r="O1089" s="20">
        <v>13.0</v>
      </c>
      <c r="P1089" s="20">
        <f t="shared" si="2"/>
        <v>3</v>
      </c>
      <c r="Q1089" s="21">
        <v>37.0</v>
      </c>
      <c r="R1089" s="205">
        <f t="shared" si="3"/>
        <v>135.4476111</v>
      </c>
      <c r="S1089" s="19">
        <f t="shared" si="4"/>
        <v>4.777777778</v>
      </c>
      <c r="T1089" s="24">
        <f t="shared" si="5"/>
        <v>0.4864864865</v>
      </c>
      <c r="U1089" s="26">
        <f t="shared" si="6"/>
        <v>0.5056179775</v>
      </c>
      <c r="V1089" s="26">
        <f t="shared" si="7"/>
        <v>0.1168539326</v>
      </c>
      <c r="W1089" s="19">
        <f t="shared" si="8"/>
        <v>1.11627907</v>
      </c>
      <c r="X1089" s="20">
        <f t="shared" si="9"/>
        <v>430</v>
      </c>
      <c r="Y1089" s="27"/>
      <c r="Z1089" s="17"/>
      <c r="AA1089" s="17"/>
      <c r="AB1089" s="17"/>
      <c r="AC1089" s="17"/>
      <c r="AD1089" s="27"/>
    </row>
    <row r="1090" ht="15.75" customHeight="1">
      <c r="A1090" s="184" t="s">
        <v>1526</v>
      </c>
      <c r="B1090" s="184" t="s">
        <v>2895</v>
      </c>
      <c r="C1090" s="16" t="str">
        <f t="shared" si="11"/>
        <v>Mountain House Beef Stroganoff (LRP)</v>
      </c>
      <c r="D1090" s="206" t="s">
        <v>2846</v>
      </c>
      <c r="E1090" s="17" t="s">
        <v>2833</v>
      </c>
      <c r="F1090" s="206">
        <v>1.0</v>
      </c>
      <c r="G1090" s="207">
        <f t="shared" si="10"/>
        <v>4.585618794</v>
      </c>
      <c r="H1090" s="206">
        <v>130.0</v>
      </c>
      <c r="I1090" s="208">
        <v>620.0</v>
      </c>
      <c r="J1090" s="206">
        <v>24.0</v>
      </c>
      <c r="K1090" s="206">
        <v>1690.0</v>
      </c>
      <c r="L1090" s="206"/>
      <c r="M1090" s="209">
        <v>68.0</v>
      </c>
      <c r="N1090" s="209">
        <v>2.0</v>
      </c>
      <c r="O1090" s="209">
        <v>8.0</v>
      </c>
      <c r="P1090" s="209">
        <f t="shared" si="2"/>
        <v>58</v>
      </c>
      <c r="Q1090" s="210">
        <v>29.0</v>
      </c>
      <c r="R1090" s="205">
        <f t="shared" si="3"/>
        <v>135.2053077</v>
      </c>
      <c r="S1090" s="19">
        <f t="shared" si="4"/>
        <v>4.769230769</v>
      </c>
      <c r="T1090" s="24">
        <f t="shared" si="5"/>
        <v>2.344827586</v>
      </c>
      <c r="U1090" s="26">
        <f t="shared" si="6"/>
        <v>0.357615894</v>
      </c>
      <c r="V1090" s="26">
        <f t="shared" si="7"/>
        <v>0.05298013245</v>
      </c>
      <c r="W1090" s="19">
        <f t="shared" si="8"/>
        <v>2.725806452</v>
      </c>
      <c r="X1090" s="209">
        <f t="shared" si="9"/>
        <v>620</v>
      </c>
      <c r="Y1090" s="27"/>
      <c r="Z1090" s="17"/>
      <c r="AA1090" s="17"/>
      <c r="AB1090" s="17"/>
      <c r="AC1090" s="17"/>
      <c r="AD1090" s="27"/>
    </row>
    <row r="1091" ht="15.75" customHeight="1">
      <c r="A1091" s="16" t="s">
        <v>2896</v>
      </c>
      <c r="B1091" s="16" t="s">
        <v>2897</v>
      </c>
      <c r="C1091" s="16" t="str">
        <f t="shared" si="11"/>
        <v>Firepot Beef Stew with Pearl Barley</v>
      </c>
      <c r="D1091" s="17" t="s">
        <v>2846</v>
      </c>
      <c r="E1091" s="17" t="s">
        <v>2833</v>
      </c>
      <c r="F1091" s="17">
        <v>2.0</v>
      </c>
      <c r="G1091" s="19">
        <f t="shared" si="10"/>
        <v>2.892467239</v>
      </c>
      <c r="H1091" s="17">
        <v>82.0</v>
      </c>
      <c r="I1091" s="10">
        <v>390.0</v>
      </c>
      <c r="J1091" s="17">
        <v>17.0</v>
      </c>
      <c r="K1091" s="17">
        <v>670.0</v>
      </c>
      <c r="L1091" s="17">
        <v>760.0</v>
      </c>
      <c r="M1091" s="20">
        <v>44.0</v>
      </c>
      <c r="N1091" s="20">
        <v>7.0</v>
      </c>
      <c r="O1091" s="20">
        <v>8.0</v>
      </c>
      <c r="P1091" s="20">
        <f t="shared" si="2"/>
        <v>29</v>
      </c>
      <c r="Q1091" s="21">
        <v>23.0</v>
      </c>
      <c r="R1091" s="205">
        <f t="shared" si="3"/>
        <v>134.8329878</v>
      </c>
      <c r="S1091" s="19">
        <f t="shared" si="4"/>
        <v>4.756097561</v>
      </c>
      <c r="T1091" s="24">
        <f t="shared" si="5"/>
        <v>1.913043478</v>
      </c>
      <c r="U1091" s="26">
        <f t="shared" si="6"/>
        <v>0.3634204276</v>
      </c>
      <c r="V1091" s="26">
        <f t="shared" si="7"/>
        <v>0.07600950119</v>
      </c>
      <c r="W1091" s="19">
        <f t="shared" si="8"/>
        <v>1.717948718</v>
      </c>
      <c r="X1091" s="20">
        <f t="shared" si="9"/>
        <v>780</v>
      </c>
      <c r="Y1091" s="27"/>
      <c r="Z1091" s="17"/>
      <c r="AA1091" s="17"/>
      <c r="AB1091" s="17"/>
      <c r="AC1091" s="17"/>
      <c r="AD1091" s="27"/>
    </row>
    <row r="1092" ht="15.75" customHeight="1">
      <c r="A1092" s="16" t="s">
        <v>2896</v>
      </c>
      <c r="B1092" s="16" t="s">
        <v>2898</v>
      </c>
      <c r="C1092" s="16" t="str">
        <f t="shared" si="11"/>
        <v>Firepot Spicy Pork Noodles</v>
      </c>
      <c r="D1092" s="17" t="s">
        <v>2846</v>
      </c>
      <c r="E1092" s="17" t="s">
        <v>2833</v>
      </c>
      <c r="F1092" s="17">
        <v>2.0</v>
      </c>
      <c r="G1092" s="19">
        <f t="shared" si="10"/>
        <v>2.821919258</v>
      </c>
      <c r="H1092" s="17">
        <v>80.0</v>
      </c>
      <c r="I1092" s="10">
        <v>380.0</v>
      </c>
      <c r="J1092" s="17">
        <v>12.0</v>
      </c>
      <c r="K1092" s="17">
        <v>640.0</v>
      </c>
      <c r="L1092" s="17">
        <v>880.0</v>
      </c>
      <c r="M1092" s="20">
        <v>55.0</v>
      </c>
      <c r="N1092" s="20">
        <v>8.0</v>
      </c>
      <c r="O1092" s="20">
        <v>10.0</v>
      </c>
      <c r="P1092" s="20">
        <f t="shared" si="2"/>
        <v>37</v>
      </c>
      <c r="Q1092" s="21">
        <v>23.0</v>
      </c>
      <c r="R1092" s="205">
        <f t="shared" si="3"/>
        <v>134.660125</v>
      </c>
      <c r="S1092" s="19">
        <f t="shared" si="4"/>
        <v>4.75</v>
      </c>
      <c r="T1092" s="24">
        <f t="shared" si="5"/>
        <v>2.391304348</v>
      </c>
      <c r="U1092" s="26">
        <f t="shared" si="6"/>
        <v>0.2571428571</v>
      </c>
      <c r="V1092" s="26">
        <f t="shared" si="7"/>
        <v>0.09523809524</v>
      </c>
      <c r="W1092" s="19">
        <f t="shared" si="8"/>
        <v>1.684210526</v>
      </c>
      <c r="X1092" s="20">
        <f t="shared" si="9"/>
        <v>760</v>
      </c>
      <c r="Y1092" s="27"/>
      <c r="Z1092" s="17"/>
      <c r="AA1092" s="17"/>
      <c r="AB1092" s="17"/>
      <c r="AC1092" s="17"/>
      <c r="AD1092" s="27"/>
    </row>
    <row r="1093" ht="15.75" customHeight="1">
      <c r="A1093" s="16" t="s">
        <v>2899</v>
      </c>
      <c r="B1093" s="16" t="s">
        <v>2900</v>
      </c>
      <c r="C1093" s="16" t="str">
        <f t="shared" si="11"/>
        <v>ReadyWise Trail Treats Cookie Dough Snacks</v>
      </c>
      <c r="D1093" s="17" t="s">
        <v>478</v>
      </c>
      <c r="E1093" s="17" t="s">
        <v>2839</v>
      </c>
      <c r="F1093" s="17">
        <v>2.0</v>
      </c>
      <c r="G1093" s="19">
        <f t="shared" si="10"/>
        <v>1.94006949</v>
      </c>
      <c r="H1093" s="17">
        <v>55.0</v>
      </c>
      <c r="I1093" s="10">
        <v>260.0</v>
      </c>
      <c r="J1093" s="17">
        <v>9.0</v>
      </c>
      <c r="K1093" s="17">
        <v>70.0</v>
      </c>
      <c r="L1093" s="17">
        <v>0.0</v>
      </c>
      <c r="M1093" s="20">
        <v>43.0</v>
      </c>
      <c r="N1093" s="20">
        <v>1.0</v>
      </c>
      <c r="O1093" s="20">
        <v>24.0</v>
      </c>
      <c r="P1093" s="20">
        <f t="shared" si="2"/>
        <v>18</v>
      </c>
      <c r="Q1093" s="21">
        <v>2.0</v>
      </c>
      <c r="R1093" s="205">
        <f t="shared" si="3"/>
        <v>134.0158182</v>
      </c>
      <c r="S1093" s="19">
        <f t="shared" si="4"/>
        <v>4.727272727</v>
      </c>
      <c r="T1093" s="24">
        <f t="shared" si="5"/>
        <v>21.5</v>
      </c>
      <c r="U1093" s="26">
        <f t="shared" si="6"/>
        <v>0.3103448276</v>
      </c>
      <c r="V1093" s="26">
        <f t="shared" si="7"/>
        <v>0.367816092</v>
      </c>
      <c r="W1093" s="19">
        <f t="shared" si="8"/>
        <v>0.2692307692</v>
      </c>
      <c r="X1093" s="20">
        <f t="shared" si="9"/>
        <v>520</v>
      </c>
      <c r="Y1093" s="27"/>
      <c r="Z1093" s="17"/>
      <c r="AA1093" s="17"/>
      <c r="AB1093" s="17"/>
      <c r="AC1093" s="17"/>
      <c r="AD1093" s="27"/>
    </row>
    <row r="1094" ht="15.75" customHeight="1">
      <c r="A1094" s="16" t="s">
        <v>2832</v>
      </c>
      <c r="B1094" s="16" t="s">
        <v>2901</v>
      </c>
      <c r="C1094" s="16" t="str">
        <f t="shared" si="11"/>
        <v>PackIt Gourmet Deli-Smoked Roast Beef Wrap (BYOB)</v>
      </c>
      <c r="D1094" s="17" t="s">
        <v>2846</v>
      </c>
      <c r="E1094" s="17" t="s">
        <v>2839</v>
      </c>
      <c r="F1094" s="17">
        <v>1.0</v>
      </c>
      <c r="G1094" s="19">
        <f t="shared" si="10"/>
        <v>3.139385174</v>
      </c>
      <c r="H1094" s="17">
        <v>89.0</v>
      </c>
      <c r="I1094" s="10">
        <v>420.0</v>
      </c>
      <c r="J1094" s="17">
        <v>21.0</v>
      </c>
      <c r="K1094" s="17">
        <v>1560.0</v>
      </c>
      <c r="L1094" s="17">
        <v>870.0</v>
      </c>
      <c r="M1094" s="20">
        <v>7.0</v>
      </c>
      <c r="N1094" s="20">
        <v>2.0</v>
      </c>
      <c r="O1094" s="20">
        <v>4.0</v>
      </c>
      <c r="P1094" s="20">
        <f t="shared" si="2"/>
        <v>1</v>
      </c>
      <c r="Q1094" s="21">
        <v>41.0</v>
      </c>
      <c r="R1094" s="205">
        <f t="shared" si="3"/>
        <v>133.7841573</v>
      </c>
      <c r="S1094" s="19">
        <f t="shared" si="4"/>
        <v>4.719101124</v>
      </c>
      <c r="T1094" s="24">
        <f t="shared" si="5"/>
        <v>0.1707317073</v>
      </c>
      <c r="U1094" s="26">
        <f t="shared" si="6"/>
        <v>0.4960629921</v>
      </c>
      <c r="V1094" s="26">
        <f t="shared" si="7"/>
        <v>0.04199475066</v>
      </c>
      <c r="W1094" s="19">
        <f t="shared" si="8"/>
        <v>3.714285714</v>
      </c>
      <c r="X1094" s="20">
        <f t="shared" si="9"/>
        <v>420</v>
      </c>
      <c r="Y1094" s="27"/>
      <c r="Z1094" s="17"/>
      <c r="AA1094" s="17"/>
      <c r="AB1094" s="17"/>
      <c r="AC1094" s="17"/>
      <c r="AD1094" s="27"/>
    </row>
    <row r="1095" ht="15.75" customHeight="1">
      <c r="A1095" s="16" t="s">
        <v>1526</v>
      </c>
      <c r="B1095" s="16" t="s">
        <v>2902</v>
      </c>
      <c r="C1095" s="16" t="str">
        <f t="shared" si="11"/>
        <v>Mountain House Chicken and Rice (PRO-PAK)</v>
      </c>
      <c r="D1095" s="17" t="s">
        <v>2846</v>
      </c>
      <c r="E1095" s="17" t="s">
        <v>2833</v>
      </c>
      <c r="F1095" s="17">
        <v>1.0</v>
      </c>
      <c r="G1095" s="19">
        <f t="shared" si="10"/>
        <v>4.86781072</v>
      </c>
      <c r="H1095" s="17">
        <v>138.0</v>
      </c>
      <c r="I1095" s="10">
        <v>650.0</v>
      </c>
      <c r="J1095" s="17">
        <v>24.0</v>
      </c>
      <c r="K1095" s="17">
        <v>1660.0</v>
      </c>
      <c r="L1095" s="17"/>
      <c r="M1095" s="20">
        <v>65.0</v>
      </c>
      <c r="N1095" s="20">
        <v>2.0</v>
      </c>
      <c r="O1095" s="20">
        <v>3.0</v>
      </c>
      <c r="P1095" s="20">
        <f t="shared" si="2"/>
        <v>60</v>
      </c>
      <c r="Q1095" s="21">
        <v>43.0</v>
      </c>
      <c r="R1095" s="205">
        <f t="shared" si="3"/>
        <v>133.5302536</v>
      </c>
      <c r="S1095" s="19">
        <f t="shared" si="4"/>
        <v>4.710144928</v>
      </c>
      <c r="T1095" s="24">
        <f t="shared" si="5"/>
        <v>1.511627907</v>
      </c>
      <c r="U1095" s="26">
        <f t="shared" si="6"/>
        <v>0.3333333333</v>
      </c>
      <c r="V1095" s="26">
        <f t="shared" si="7"/>
        <v>0.01851851852</v>
      </c>
      <c r="W1095" s="19">
        <f t="shared" si="8"/>
        <v>2.553846154</v>
      </c>
      <c r="X1095" s="20">
        <f t="shared" si="9"/>
        <v>650</v>
      </c>
      <c r="Y1095" s="27"/>
      <c r="Z1095" s="17"/>
      <c r="AA1095" s="17"/>
      <c r="AB1095" s="17"/>
      <c r="AC1095" s="17"/>
      <c r="AD1095" s="27"/>
    </row>
    <row r="1096" ht="15.75" customHeight="1">
      <c r="A1096" s="16" t="s">
        <v>2863</v>
      </c>
      <c r="B1096" s="16" t="s">
        <v>2903</v>
      </c>
      <c r="C1096" s="16" t="str">
        <f t="shared" si="11"/>
        <v>Paleo Meals To Go Caldera Chicken Curry</v>
      </c>
      <c r="D1096" s="17" t="s">
        <v>2846</v>
      </c>
      <c r="E1096" s="17" t="s">
        <v>2833</v>
      </c>
      <c r="F1096" s="17">
        <v>1.0</v>
      </c>
      <c r="G1096" s="19">
        <f t="shared" si="10"/>
        <v>2.998289211</v>
      </c>
      <c r="H1096" s="17">
        <v>85.0</v>
      </c>
      <c r="I1096" s="10">
        <v>400.0</v>
      </c>
      <c r="J1096" s="17">
        <v>7.0</v>
      </c>
      <c r="K1096" s="17">
        <v>500.0</v>
      </c>
      <c r="L1096" s="17">
        <v>1030.0</v>
      </c>
      <c r="M1096" s="20">
        <v>40.0</v>
      </c>
      <c r="N1096" s="20">
        <v>9.0</v>
      </c>
      <c r="O1096" s="20">
        <v>22.0</v>
      </c>
      <c r="P1096" s="20">
        <f t="shared" si="2"/>
        <v>9</v>
      </c>
      <c r="Q1096" s="21">
        <v>37.0</v>
      </c>
      <c r="R1096" s="205">
        <f t="shared" si="3"/>
        <v>133.4094118</v>
      </c>
      <c r="S1096" s="19">
        <f t="shared" si="4"/>
        <v>4.705882353</v>
      </c>
      <c r="T1096" s="24">
        <f t="shared" si="5"/>
        <v>1.081081081</v>
      </c>
      <c r="U1096" s="26">
        <f t="shared" si="6"/>
        <v>0.1698113208</v>
      </c>
      <c r="V1096" s="26">
        <f t="shared" si="7"/>
        <v>0.2371967655</v>
      </c>
      <c r="W1096" s="19">
        <f t="shared" si="8"/>
        <v>1.25</v>
      </c>
      <c r="X1096" s="20">
        <f t="shared" si="9"/>
        <v>400</v>
      </c>
      <c r="Y1096" s="27"/>
      <c r="Z1096" s="17"/>
      <c r="AA1096" s="17"/>
      <c r="AB1096" s="17"/>
      <c r="AC1096" s="17"/>
      <c r="AD1096" s="27"/>
    </row>
    <row r="1097" ht="15.75" customHeight="1">
      <c r="A1097" s="16" t="s">
        <v>2896</v>
      </c>
      <c r="B1097" s="16" t="s">
        <v>2904</v>
      </c>
      <c r="C1097" s="16" t="str">
        <f t="shared" si="11"/>
        <v>Firepot Orzo Pasta Bolognese</v>
      </c>
      <c r="D1097" s="17" t="s">
        <v>2846</v>
      </c>
      <c r="E1097" s="17" t="s">
        <v>2833</v>
      </c>
      <c r="F1097" s="17">
        <v>2.0</v>
      </c>
      <c r="G1097" s="19">
        <f t="shared" si="10"/>
        <v>3.527399072</v>
      </c>
      <c r="H1097" s="17">
        <v>100.0</v>
      </c>
      <c r="I1097" s="10">
        <v>470.0</v>
      </c>
      <c r="J1097" s="17">
        <v>14.0</v>
      </c>
      <c r="K1097" s="17">
        <v>430.0</v>
      </c>
      <c r="L1097" s="17">
        <v>440.0</v>
      </c>
      <c r="M1097" s="20">
        <v>62.0</v>
      </c>
      <c r="N1097" s="20">
        <v>3.0</v>
      </c>
      <c r="O1097" s="20">
        <v>5.0</v>
      </c>
      <c r="P1097" s="20">
        <f t="shared" si="2"/>
        <v>54</v>
      </c>
      <c r="Q1097" s="21">
        <v>26.0</v>
      </c>
      <c r="R1097" s="205">
        <f t="shared" si="3"/>
        <v>133.24265</v>
      </c>
      <c r="S1097" s="19">
        <f t="shared" si="4"/>
        <v>4.7</v>
      </c>
      <c r="T1097" s="24">
        <f t="shared" si="5"/>
        <v>2.384615385</v>
      </c>
      <c r="U1097" s="26">
        <f t="shared" si="6"/>
        <v>0.2635983264</v>
      </c>
      <c r="V1097" s="26">
        <f t="shared" si="7"/>
        <v>0.04184100418</v>
      </c>
      <c r="W1097" s="19">
        <f t="shared" si="8"/>
        <v>0.914893617</v>
      </c>
      <c r="X1097" s="20">
        <f t="shared" si="9"/>
        <v>940</v>
      </c>
      <c r="Y1097" s="27"/>
      <c r="Z1097" s="17"/>
      <c r="AA1097" s="17"/>
      <c r="AB1097" s="17"/>
      <c r="AC1097" s="17"/>
      <c r="AD1097" s="27"/>
    </row>
    <row r="1098" ht="15.75" customHeight="1">
      <c r="A1098" s="27" t="s">
        <v>1402</v>
      </c>
      <c r="B1098" s="27" t="s">
        <v>2905</v>
      </c>
      <c r="C1098" s="16" t="str">
        <f t="shared" si="11"/>
        <v>Backpacker's Pantry Dark Chocolate Cheesecake Mix</v>
      </c>
      <c r="D1098" s="17" t="s">
        <v>478</v>
      </c>
      <c r="E1098" s="17" t="s">
        <v>2839</v>
      </c>
      <c r="F1098" s="17">
        <v>2.0</v>
      </c>
      <c r="G1098" s="19">
        <f t="shared" si="10"/>
        <v>2.257535406</v>
      </c>
      <c r="H1098" s="17">
        <v>64.0</v>
      </c>
      <c r="I1098" s="10">
        <v>300.0</v>
      </c>
      <c r="J1098" s="17">
        <v>15.0</v>
      </c>
      <c r="K1098" s="17">
        <v>410.0</v>
      </c>
      <c r="L1098" s="17">
        <v>369.0</v>
      </c>
      <c r="M1098" s="20">
        <v>45.0</v>
      </c>
      <c r="N1098" s="20">
        <v>1.0</v>
      </c>
      <c r="O1098" s="20">
        <v>19.0</v>
      </c>
      <c r="P1098" s="20">
        <f t="shared" si="2"/>
        <v>25</v>
      </c>
      <c r="Q1098" s="21">
        <v>6.0</v>
      </c>
      <c r="R1098" s="205">
        <f t="shared" si="3"/>
        <v>132.8882813</v>
      </c>
      <c r="S1098" s="19">
        <f t="shared" si="4"/>
        <v>4.6875</v>
      </c>
      <c r="T1098" s="24">
        <f t="shared" si="5"/>
        <v>7.5</v>
      </c>
      <c r="U1098" s="26">
        <f t="shared" si="6"/>
        <v>0.3982300885</v>
      </c>
      <c r="V1098" s="26">
        <f t="shared" si="7"/>
        <v>0.2241887906</v>
      </c>
      <c r="W1098" s="19">
        <f t="shared" si="8"/>
        <v>1.366666667</v>
      </c>
      <c r="X1098" s="20">
        <f t="shared" si="9"/>
        <v>600</v>
      </c>
      <c r="Y1098" s="27"/>
      <c r="Z1098" s="17"/>
      <c r="AA1098" s="17"/>
      <c r="AB1098" s="17"/>
      <c r="AC1098" s="17"/>
      <c r="AD1098" s="27"/>
    </row>
    <row r="1099" ht="15.75" customHeight="1">
      <c r="A1099" s="16" t="s">
        <v>1526</v>
      </c>
      <c r="B1099" s="16" t="s">
        <v>2906</v>
      </c>
      <c r="C1099" s="16" t="str">
        <f t="shared" si="11"/>
        <v>Mountain House Chicken and Dumplings</v>
      </c>
      <c r="D1099" s="17" t="s">
        <v>2846</v>
      </c>
      <c r="E1099" s="17" t="s">
        <v>2833</v>
      </c>
      <c r="F1099" s="17">
        <v>2.0</v>
      </c>
      <c r="G1099" s="19">
        <f t="shared" si="10"/>
        <v>2.257535406</v>
      </c>
      <c r="H1099" s="17">
        <v>64.0</v>
      </c>
      <c r="I1099" s="10">
        <v>300.0</v>
      </c>
      <c r="J1099" s="17">
        <v>13.0</v>
      </c>
      <c r="K1099" s="17">
        <v>890.0</v>
      </c>
      <c r="L1099" s="17">
        <v>277.0</v>
      </c>
      <c r="M1099" s="20">
        <v>31.0</v>
      </c>
      <c r="N1099" s="20">
        <v>1.0</v>
      </c>
      <c r="O1099" s="20">
        <v>6.0</v>
      </c>
      <c r="P1099" s="20">
        <f t="shared" si="2"/>
        <v>24</v>
      </c>
      <c r="Q1099" s="21">
        <v>17.0</v>
      </c>
      <c r="R1099" s="205">
        <f t="shared" si="3"/>
        <v>132.8882813</v>
      </c>
      <c r="S1099" s="19">
        <f t="shared" si="4"/>
        <v>4.6875</v>
      </c>
      <c r="T1099" s="24">
        <f t="shared" si="5"/>
        <v>1.823529412</v>
      </c>
      <c r="U1099" s="26">
        <f t="shared" si="6"/>
        <v>0.3786407767</v>
      </c>
      <c r="V1099" s="26">
        <f t="shared" si="7"/>
        <v>0.07766990291</v>
      </c>
      <c r="W1099" s="19">
        <f t="shared" si="8"/>
        <v>2.966666667</v>
      </c>
      <c r="X1099" s="20">
        <f t="shared" si="9"/>
        <v>600</v>
      </c>
      <c r="Y1099" s="27"/>
      <c r="Z1099" s="17"/>
      <c r="AA1099" s="17"/>
      <c r="AB1099" s="17"/>
      <c r="AC1099" s="17"/>
      <c r="AD1099" s="27"/>
    </row>
    <row r="1100" ht="15.75" customHeight="1">
      <c r="A1100" s="16" t="s">
        <v>2863</v>
      </c>
      <c r="B1100" s="16" t="s">
        <v>2907</v>
      </c>
      <c r="C1100" s="16" t="str">
        <f t="shared" si="11"/>
        <v>Paleo Meals To Go Butte Cacao Banana Porridge</v>
      </c>
      <c r="D1100" s="17" t="s">
        <v>92</v>
      </c>
      <c r="E1100" s="17" t="s">
        <v>2833</v>
      </c>
      <c r="F1100" s="17">
        <v>1.0</v>
      </c>
      <c r="G1100" s="19">
        <f t="shared" si="10"/>
        <v>3.245207147</v>
      </c>
      <c r="H1100" s="17">
        <v>92.0</v>
      </c>
      <c r="I1100" s="10">
        <v>430.0</v>
      </c>
      <c r="J1100" s="17">
        <v>25.0</v>
      </c>
      <c r="K1100" s="17">
        <v>150.0</v>
      </c>
      <c r="L1100" s="17">
        <v>670.0</v>
      </c>
      <c r="M1100" s="20">
        <v>46.0</v>
      </c>
      <c r="N1100" s="20">
        <v>14.0</v>
      </c>
      <c r="O1100" s="20">
        <v>21.0</v>
      </c>
      <c r="P1100" s="20">
        <f t="shared" si="2"/>
        <v>11</v>
      </c>
      <c r="Q1100" s="21">
        <v>13.0</v>
      </c>
      <c r="R1100" s="205">
        <f t="shared" si="3"/>
        <v>132.5030978</v>
      </c>
      <c r="S1100" s="19">
        <f t="shared" si="4"/>
        <v>4.673913043</v>
      </c>
      <c r="T1100" s="24">
        <f t="shared" si="5"/>
        <v>3.538461538</v>
      </c>
      <c r="U1100" s="26">
        <f t="shared" si="6"/>
        <v>0.4880694143</v>
      </c>
      <c r="V1100" s="26">
        <f t="shared" si="7"/>
        <v>0.1822125813</v>
      </c>
      <c r="W1100" s="19">
        <f t="shared" si="8"/>
        <v>0.3488372093</v>
      </c>
      <c r="X1100" s="20">
        <f t="shared" si="9"/>
        <v>430</v>
      </c>
      <c r="Y1100" s="27"/>
      <c r="Z1100" s="17"/>
      <c r="AA1100" s="17"/>
      <c r="AB1100" s="17"/>
      <c r="AC1100" s="17"/>
      <c r="AD1100" s="27"/>
    </row>
    <row r="1101" ht="15.75" customHeight="1">
      <c r="A1101" s="16" t="s">
        <v>2832</v>
      </c>
      <c r="B1101" s="16" t="s">
        <v>2908</v>
      </c>
      <c r="C1101" s="16" t="str">
        <f t="shared" si="11"/>
        <v>PackIt Gourmet Curry Mango Chicken Salad (BYOB)</v>
      </c>
      <c r="D1101" s="17" t="s">
        <v>2846</v>
      </c>
      <c r="E1101" s="17" t="s">
        <v>2839</v>
      </c>
      <c r="F1101" s="17">
        <v>1.0</v>
      </c>
      <c r="G1101" s="19">
        <f t="shared" si="10"/>
        <v>3.245207147</v>
      </c>
      <c r="H1101" s="17">
        <v>92.0</v>
      </c>
      <c r="I1101" s="10">
        <v>430.0</v>
      </c>
      <c r="J1101" s="17">
        <v>24.0</v>
      </c>
      <c r="K1101" s="17">
        <v>470.0</v>
      </c>
      <c r="L1101" s="17">
        <v>150.0</v>
      </c>
      <c r="M1101" s="20">
        <v>16.0</v>
      </c>
      <c r="N1101" s="20">
        <v>2.0</v>
      </c>
      <c r="O1101" s="20">
        <v>10.0</v>
      </c>
      <c r="P1101" s="20">
        <f t="shared" si="2"/>
        <v>4</v>
      </c>
      <c r="Q1101" s="21">
        <v>40.0</v>
      </c>
      <c r="R1101" s="205">
        <f t="shared" si="3"/>
        <v>132.5030978</v>
      </c>
      <c r="S1101" s="19">
        <f t="shared" si="4"/>
        <v>4.673913043</v>
      </c>
      <c r="T1101" s="24">
        <f t="shared" si="5"/>
        <v>0.4</v>
      </c>
      <c r="U1101" s="26">
        <f t="shared" si="6"/>
        <v>0.4909090909</v>
      </c>
      <c r="V1101" s="26">
        <f t="shared" si="7"/>
        <v>0.09090909091</v>
      </c>
      <c r="W1101" s="19">
        <f t="shared" si="8"/>
        <v>1.093023256</v>
      </c>
      <c r="X1101" s="20">
        <f t="shared" si="9"/>
        <v>430</v>
      </c>
      <c r="Y1101" s="27"/>
      <c r="Z1101" s="17"/>
      <c r="AA1101" s="17"/>
      <c r="AB1101" s="17"/>
      <c r="AC1101" s="17"/>
      <c r="AD1101" s="27"/>
    </row>
    <row r="1102" ht="15.75" customHeight="1">
      <c r="A1102" s="16" t="s">
        <v>1526</v>
      </c>
      <c r="B1102" s="16" t="s">
        <v>2909</v>
      </c>
      <c r="C1102" s="16" t="str">
        <f t="shared" si="11"/>
        <v>Mountain House Chicken Fajita Bowl</v>
      </c>
      <c r="D1102" s="17" t="s">
        <v>2846</v>
      </c>
      <c r="E1102" s="17" t="s">
        <v>2833</v>
      </c>
      <c r="F1102" s="17">
        <v>2.0</v>
      </c>
      <c r="G1102" s="19">
        <f t="shared" si="10"/>
        <v>2.116439443</v>
      </c>
      <c r="H1102" s="17">
        <v>60.0</v>
      </c>
      <c r="I1102" s="10">
        <v>280.0</v>
      </c>
      <c r="J1102" s="17">
        <v>10.0</v>
      </c>
      <c r="K1102" s="17">
        <v>690.0</v>
      </c>
      <c r="L1102" s="17">
        <v>306.0</v>
      </c>
      <c r="M1102" s="20">
        <v>30.0</v>
      </c>
      <c r="N1102" s="20">
        <v>3.0</v>
      </c>
      <c r="O1102" s="20">
        <v>5.0</v>
      </c>
      <c r="P1102" s="20">
        <f t="shared" si="2"/>
        <v>22</v>
      </c>
      <c r="Q1102" s="21">
        <v>18.0</v>
      </c>
      <c r="R1102" s="205">
        <f t="shared" si="3"/>
        <v>132.2976667</v>
      </c>
      <c r="S1102" s="19">
        <f t="shared" si="4"/>
        <v>4.666666667</v>
      </c>
      <c r="T1102" s="24">
        <f t="shared" si="5"/>
        <v>1.666666667</v>
      </c>
      <c r="U1102" s="26">
        <f t="shared" si="6"/>
        <v>0.3191489362</v>
      </c>
      <c r="V1102" s="26">
        <f t="shared" si="7"/>
        <v>0.07092198582</v>
      </c>
      <c r="W1102" s="19">
        <f t="shared" si="8"/>
        <v>2.464285714</v>
      </c>
      <c r="X1102" s="20">
        <f t="shared" si="9"/>
        <v>560</v>
      </c>
      <c r="Y1102" s="27"/>
      <c r="Z1102" s="17"/>
      <c r="AA1102" s="17"/>
      <c r="AB1102" s="17"/>
      <c r="AC1102" s="17"/>
      <c r="AD1102" s="27"/>
    </row>
    <row r="1103" ht="15.75" customHeight="1">
      <c r="A1103" s="16" t="s">
        <v>2832</v>
      </c>
      <c r="B1103" s="16" t="s">
        <v>2910</v>
      </c>
      <c r="C1103" s="16" t="str">
        <f t="shared" si="11"/>
        <v>PackIt Gourmet Cajun Ranch Chicken Salad (BYOB)</v>
      </c>
      <c r="D1103" s="17" t="s">
        <v>2846</v>
      </c>
      <c r="E1103" s="17" t="s">
        <v>2839</v>
      </c>
      <c r="F1103" s="17">
        <v>1.0</v>
      </c>
      <c r="G1103" s="19">
        <f t="shared" si="10"/>
        <v>3.174659165</v>
      </c>
      <c r="H1103" s="17">
        <v>90.0</v>
      </c>
      <c r="I1103" s="10">
        <v>420.0</v>
      </c>
      <c r="J1103" s="17">
        <v>23.0</v>
      </c>
      <c r="K1103" s="17">
        <v>510.0</v>
      </c>
      <c r="L1103" s="17">
        <v>120.0</v>
      </c>
      <c r="M1103" s="20">
        <v>13.0</v>
      </c>
      <c r="N1103" s="20">
        <v>1.0</v>
      </c>
      <c r="O1103" s="20">
        <v>8.0</v>
      </c>
      <c r="P1103" s="20">
        <f t="shared" si="2"/>
        <v>4</v>
      </c>
      <c r="Q1103" s="21">
        <v>41.0</v>
      </c>
      <c r="R1103" s="205">
        <f t="shared" si="3"/>
        <v>132.2976667</v>
      </c>
      <c r="S1103" s="19">
        <f t="shared" si="4"/>
        <v>4.666666667</v>
      </c>
      <c r="T1103" s="24">
        <f t="shared" si="5"/>
        <v>0.3170731707</v>
      </c>
      <c r="U1103" s="26">
        <f t="shared" si="6"/>
        <v>0.4893617021</v>
      </c>
      <c r="V1103" s="26">
        <f t="shared" si="7"/>
        <v>0.0756501182</v>
      </c>
      <c r="W1103" s="19">
        <f t="shared" si="8"/>
        <v>1.214285714</v>
      </c>
      <c r="X1103" s="20">
        <f t="shared" si="9"/>
        <v>420</v>
      </c>
      <c r="Y1103" s="27"/>
      <c r="Z1103" s="17"/>
      <c r="AA1103" s="17"/>
      <c r="AB1103" s="17"/>
      <c r="AC1103" s="17"/>
      <c r="AD1103" s="27"/>
    </row>
    <row r="1104" ht="15.75" customHeight="1">
      <c r="A1104" s="27" t="s">
        <v>1402</v>
      </c>
      <c r="B1104" s="27" t="s">
        <v>2911</v>
      </c>
      <c r="C1104" s="16" t="str">
        <f t="shared" si="11"/>
        <v>Backpacker's Pantry Granola with Blueberries, Almonds &amp; Milk</v>
      </c>
      <c r="D1104" s="17" t="s">
        <v>92</v>
      </c>
      <c r="E1104" s="18" t="s">
        <v>34</v>
      </c>
      <c r="F1104" s="17">
        <v>1.0</v>
      </c>
      <c r="G1104" s="19">
        <f t="shared" si="10"/>
        <v>4.691440766</v>
      </c>
      <c r="H1104" s="17">
        <v>133.0</v>
      </c>
      <c r="I1104" s="10">
        <v>620.0</v>
      </c>
      <c r="J1104" s="17">
        <v>31.0</v>
      </c>
      <c r="K1104" s="17">
        <v>280.0</v>
      </c>
      <c r="L1104" s="200">
        <v>422.0</v>
      </c>
      <c r="M1104" s="20">
        <v>73.0</v>
      </c>
      <c r="N1104" s="20">
        <v>7.0</v>
      </c>
      <c r="O1104" s="20">
        <v>33.0</v>
      </c>
      <c r="P1104" s="20">
        <f t="shared" si="2"/>
        <v>33</v>
      </c>
      <c r="Q1104" s="21">
        <v>16.0</v>
      </c>
      <c r="R1104" s="205">
        <f t="shared" si="3"/>
        <v>132.1555639</v>
      </c>
      <c r="S1104" s="19">
        <f t="shared" si="4"/>
        <v>4.661654135</v>
      </c>
      <c r="T1104" s="24">
        <f t="shared" si="5"/>
        <v>4.5625</v>
      </c>
      <c r="U1104" s="26">
        <f t="shared" si="6"/>
        <v>0.4393700787</v>
      </c>
      <c r="V1104" s="26">
        <f t="shared" si="7"/>
        <v>0.2078740157</v>
      </c>
      <c r="W1104" s="19">
        <f t="shared" si="8"/>
        <v>0.4516129032</v>
      </c>
      <c r="X1104" s="20">
        <f t="shared" si="9"/>
        <v>620</v>
      </c>
      <c r="Y1104" s="27"/>
      <c r="Z1104" s="17"/>
      <c r="AA1104" s="17"/>
      <c r="AB1104" s="17"/>
      <c r="AC1104" s="17"/>
      <c r="AD1104" s="27"/>
    </row>
    <row r="1105" ht="15.75" customHeight="1">
      <c r="A1105" s="16" t="s">
        <v>2832</v>
      </c>
      <c r="B1105" s="16" t="s">
        <v>2912</v>
      </c>
      <c r="C1105" s="16" t="str">
        <f t="shared" si="11"/>
        <v>PackIt Gourmet Kickin' Chicken Hot Wings Wrap (BYOB)</v>
      </c>
      <c r="D1105" s="17" t="s">
        <v>2846</v>
      </c>
      <c r="E1105" s="17" t="s">
        <v>2839</v>
      </c>
      <c r="F1105" s="17">
        <v>1.0</v>
      </c>
      <c r="G1105" s="19">
        <f t="shared" si="10"/>
        <v>3.104111184</v>
      </c>
      <c r="H1105" s="17">
        <v>88.0</v>
      </c>
      <c r="I1105" s="10">
        <v>410.0</v>
      </c>
      <c r="J1105" s="17">
        <v>23.0</v>
      </c>
      <c r="K1105" s="17">
        <v>510.0</v>
      </c>
      <c r="L1105" s="17">
        <v>260.0</v>
      </c>
      <c r="M1105" s="20">
        <v>10.0</v>
      </c>
      <c r="N1105" s="20">
        <v>3.0</v>
      </c>
      <c r="O1105" s="20">
        <v>5.0</v>
      </c>
      <c r="P1105" s="20">
        <f t="shared" si="2"/>
        <v>2</v>
      </c>
      <c r="Q1105" s="21">
        <v>42.0</v>
      </c>
      <c r="R1105" s="205">
        <f t="shared" si="3"/>
        <v>132.0828977</v>
      </c>
      <c r="S1105" s="19">
        <f t="shared" si="4"/>
        <v>4.659090909</v>
      </c>
      <c r="T1105" s="24">
        <f t="shared" si="5"/>
        <v>0.2380952381</v>
      </c>
      <c r="U1105" s="26">
        <f t="shared" si="6"/>
        <v>0.4987951807</v>
      </c>
      <c r="V1105" s="26">
        <f t="shared" si="7"/>
        <v>0.04819277108</v>
      </c>
      <c r="W1105" s="19">
        <f t="shared" si="8"/>
        <v>1.243902439</v>
      </c>
      <c r="X1105" s="20">
        <f t="shared" si="9"/>
        <v>410</v>
      </c>
      <c r="Y1105" s="27"/>
      <c r="Z1105" s="17"/>
      <c r="AA1105" s="17"/>
      <c r="AB1105" s="17"/>
      <c r="AC1105" s="17"/>
      <c r="AD1105" s="27"/>
    </row>
    <row r="1106" ht="15.75" customHeight="1">
      <c r="A1106" s="16" t="s">
        <v>1402</v>
      </c>
      <c r="B1106" s="16" t="s">
        <v>2913</v>
      </c>
      <c r="C1106" s="16" t="str">
        <f t="shared" si="11"/>
        <v>Backpacker's Pantry Astronaut Neopolitan Ice Cream Sandwich</v>
      </c>
      <c r="D1106" s="17" t="s">
        <v>478</v>
      </c>
      <c r="E1106" s="17" t="s">
        <v>2839</v>
      </c>
      <c r="F1106" s="17">
        <v>1.0</v>
      </c>
      <c r="G1106" s="19">
        <f t="shared" si="10"/>
        <v>0.9876717402</v>
      </c>
      <c r="H1106" s="17">
        <v>28.0</v>
      </c>
      <c r="I1106" s="10">
        <v>130.0</v>
      </c>
      <c r="J1106" s="17">
        <v>4.0</v>
      </c>
      <c r="K1106" s="17">
        <v>95.0</v>
      </c>
      <c r="L1106" s="17">
        <v>0.0</v>
      </c>
      <c r="M1106" s="20">
        <v>21.0</v>
      </c>
      <c r="N1106" s="20">
        <v>0.0</v>
      </c>
      <c r="O1106" s="20">
        <v>11.0</v>
      </c>
      <c r="P1106" s="20">
        <f t="shared" si="2"/>
        <v>10</v>
      </c>
      <c r="Q1106" s="21">
        <v>2.0</v>
      </c>
      <c r="R1106" s="205">
        <f t="shared" si="3"/>
        <v>131.6226786</v>
      </c>
      <c r="S1106" s="19">
        <f t="shared" si="4"/>
        <v>4.642857143</v>
      </c>
      <c r="T1106" s="24">
        <f t="shared" si="5"/>
        <v>10.5</v>
      </c>
      <c r="U1106" s="26">
        <f t="shared" si="6"/>
        <v>0.28125</v>
      </c>
      <c r="V1106" s="26">
        <f t="shared" si="7"/>
        <v>0.34375</v>
      </c>
      <c r="W1106" s="19">
        <f t="shared" si="8"/>
        <v>0.7307692308</v>
      </c>
      <c r="X1106" s="20">
        <f t="shared" si="9"/>
        <v>130</v>
      </c>
      <c r="Y1106" s="27"/>
      <c r="Z1106" s="17"/>
      <c r="AA1106" s="17"/>
      <c r="AB1106" s="17"/>
      <c r="AC1106" s="17"/>
      <c r="AD1106" s="27"/>
    </row>
    <row r="1107" ht="15.75" customHeight="1">
      <c r="A1107" s="16" t="s">
        <v>1402</v>
      </c>
      <c r="B1107" s="16" t="s">
        <v>2914</v>
      </c>
      <c r="C1107" s="16" t="str">
        <f t="shared" si="11"/>
        <v>Backpacker's Pantry Astronaut Vanilla Ice Cream Sandwich</v>
      </c>
      <c r="D1107" s="17" t="s">
        <v>478</v>
      </c>
      <c r="E1107" s="17" t="s">
        <v>2839</v>
      </c>
      <c r="F1107" s="17">
        <v>1.0</v>
      </c>
      <c r="G1107" s="19">
        <f t="shared" si="10"/>
        <v>0.9876717402</v>
      </c>
      <c r="H1107" s="17">
        <v>28.0</v>
      </c>
      <c r="I1107" s="10">
        <v>130.0</v>
      </c>
      <c r="J1107" s="17">
        <v>4.0</v>
      </c>
      <c r="K1107" s="17">
        <v>95.0</v>
      </c>
      <c r="L1107" s="17">
        <v>0.0</v>
      </c>
      <c r="M1107" s="20">
        <v>21.0</v>
      </c>
      <c r="N1107" s="20">
        <v>0.0</v>
      </c>
      <c r="O1107" s="20">
        <v>11.0</v>
      </c>
      <c r="P1107" s="20">
        <f t="shared" si="2"/>
        <v>10</v>
      </c>
      <c r="Q1107" s="21">
        <v>2.0</v>
      </c>
      <c r="R1107" s="205">
        <f t="shared" si="3"/>
        <v>131.6226786</v>
      </c>
      <c r="S1107" s="19">
        <f t="shared" si="4"/>
        <v>4.642857143</v>
      </c>
      <c r="T1107" s="24">
        <f t="shared" si="5"/>
        <v>10.5</v>
      </c>
      <c r="U1107" s="26">
        <f t="shared" si="6"/>
        <v>0.28125</v>
      </c>
      <c r="V1107" s="26">
        <f t="shared" si="7"/>
        <v>0.34375</v>
      </c>
      <c r="W1107" s="19">
        <f t="shared" si="8"/>
        <v>0.7307692308</v>
      </c>
      <c r="X1107" s="20">
        <f t="shared" si="9"/>
        <v>130</v>
      </c>
      <c r="Y1107" s="27"/>
      <c r="Z1107" s="17"/>
      <c r="AA1107" s="17"/>
      <c r="AB1107" s="17"/>
      <c r="AC1107" s="17"/>
      <c r="AD1107" s="27"/>
    </row>
    <row r="1108" ht="15.75" customHeight="1">
      <c r="A1108" s="184" t="s">
        <v>1526</v>
      </c>
      <c r="B1108" s="184" t="s">
        <v>2915</v>
      </c>
      <c r="C1108" s="16" t="str">
        <f t="shared" si="11"/>
        <v>Mountain House Chicken and Rice (LRP)</v>
      </c>
      <c r="D1108" s="206" t="s">
        <v>2846</v>
      </c>
      <c r="E1108" s="17" t="s">
        <v>2833</v>
      </c>
      <c r="F1108" s="206">
        <v>1.0</v>
      </c>
      <c r="G1108" s="207">
        <f t="shared" si="10"/>
        <v>4.938358701</v>
      </c>
      <c r="H1108" s="206">
        <v>140.0</v>
      </c>
      <c r="I1108" s="208">
        <v>650.0</v>
      </c>
      <c r="J1108" s="206">
        <v>24.0</v>
      </c>
      <c r="K1108" s="206">
        <v>1930.0</v>
      </c>
      <c r="L1108" s="206"/>
      <c r="M1108" s="209">
        <v>65.0</v>
      </c>
      <c r="N1108" s="209">
        <v>2.0</v>
      </c>
      <c r="O1108" s="209">
        <v>1.0</v>
      </c>
      <c r="P1108" s="209">
        <f t="shared" si="2"/>
        <v>62</v>
      </c>
      <c r="Q1108" s="210">
        <v>44.0</v>
      </c>
      <c r="R1108" s="205">
        <f t="shared" si="3"/>
        <v>131.6226786</v>
      </c>
      <c r="S1108" s="19">
        <f t="shared" si="4"/>
        <v>4.642857143</v>
      </c>
      <c r="T1108" s="24">
        <f t="shared" si="5"/>
        <v>1.477272727</v>
      </c>
      <c r="U1108" s="26">
        <f t="shared" si="6"/>
        <v>0.3312883436</v>
      </c>
      <c r="V1108" s="26">
        <f t="shared" si="7"/>
        <v>0.006134969325</v>
      </c>
      <c r="W1108" s="19">
        <f t="shared" si="8"/>
        <v>2.969230769</v>
      </c>
      <c r="X1108" s="209">
        <f t="shared" si="9"/>
        <v>650</v>
      </c>
      <c r="Y1108" s="27"/>
      <c r="Z1108" s="17"/>
      <c r="AA1108" s="17"/>
      <c r="AB1108" s="17"/>
      <c r="AC1108" s="17"/>
      <c r="AD1108" s="27"/>
    </row>
    <row r="1109" ht="15.75" customHeight="1">
      <c r="A1109" s="16" t="s">
        <v>2844</v>
      </c>
      <c r="B1109" s="16" t="s">
        <v>2884</v>
      </c>
      <c r="C1109" s="16" t="str">
        <f t="shared" si="11"/>
        <v>Peak Refuel Breakfast Skillet</v>
      </c>
      <c r="D1109" s="17" t="s">
        <v>92</v>
      </c>
      <c r="E1109" s="17" t="s">
        <v>2833</v>
      </c>
      <c r="F1109" s="17">
        <v>2.0</v>
      </c>
      <c r="G1109" s="19">
        <f t="shared" si="10"/>
        <v>2.43390536</v>
      </c>
      <c r="H1109" s="17">
        <v>69.0</v>
      </c>
      <c r="I1109" s="10">
        <v>320.0</v>
      </c>
      <c r="J1109" s="17">
        <v>16.0</v>
      </c>
      <c r="K1109" s="17">
        <v>630.0</v>
      </c>
      <c r="L1109" s="17">
        <v>854.0</v>
      </c>
      <c r="M1109" s="20">
        <v>24.0</v>
      </c>
      <c r="N1109" s="20">
        <v>3.0</v>
      </c>
      <c r="O1109" s="20">
        <v>6.0</v>
      </c>
      <c r="P1109" s="20">
        <f t="shared" si="2"/>
        <v>15</v>
      </c>
      <c r="Q1109" s="21">
        <v>20.0</v>
      </c>
      <c r="R1109" s="205">
        <f t="shared" si="3"/>
        <v>131.475942</v>
      </c>
      <c r="S1109" s="19">
        <f t="shared" si="4"/>
        <v>4.637681159</v>
      </c>
      <c r="T1109" s="24">
        <f t="shared" si="5"/>
        <v>1.2</v>
      </c>
      <c r="U1109" s="26">
        <f t="shared" si="6"/>
        <v>0.45</v>
      </c>
      <c r="V1109" s="26">
        <f t="shared" si="7"/>
        <v>0.075</v>
      </c>
      <c r="W1109" s="19">
        <f t="shared" si="8"/>
        <v>1.96875</v>
      </c>
      <c r="X1109" s="20">
        <f t="shared" si="9"/>
        <v>640</v>
      </c>
      <c r="Y1109" s="27"/>
      <c r="Z1109" s="17"/>
      <c r="AA1109" s="17"/>
      <c r="AB1109" s="17"/>
      <c r="AC1109" s="17"/>
      <c r="AD1109" s="27"/>
    </row>
    <row r="1110" ht="15.75" customHeight="1">
      <c r="A1110" s="16" t="s">
        <v>2840</v>
      </c>
      <c r="B1110" s="16" t="s">
        <v>2916</v>
      </c>
      <c r="C1110" s="16" t="str">
        <f t="shared" si="11"/>
        <v>Next Mile Meals Cajun Jambalaya</v>
      </c>
      <c r="D1110" s="17" t="s">
        <v>2846</v>
      </c>
      <c r="E1110" s="17" t="s">
        <v>2833</v>
      </c>
      <c r="F1110" s="17">
        <v>1.0</v>
      </c>
      <c r="G1110" s="19">
        <f t="shared" si="10"/>
        <v>3.209933156</v>
      </c>
      <c r="H1110" s="17">
        <v>91.0</v>
      </c>
      <c r="I1110" s="10">
        <v>420.0</v>
      </c>
      <c r="J1110" s="17">
        <v>15.0</v>
      </c>
      <c r="K1110" s="17">
        <v>2020.0</v>
      </c>
      <c r="L1110" s="17"/>
      <c r="M1110" s="20">
        <v>12.0</v>
      </c>
      <c r="N1110" s="20">
        <v>3.0</v>
      </c>
      <c r="O1110" s="20">
        <v>3.0</v>
      </c>
      <c r="P1110" s="20">
        <f t="shared" si="2"/>
        <v>6</v>
      </c>
      <c r="Q1110" s="21">
        <v>54.0</v>
      </c>
      <c r="R1110" s="205">
        <f t="shared" si="3"/>
        <v>130.8438462</v>
      </c>
      <c r="S1110" s="19">
        <f t="shared" si="4"/>
        <v>4.615384615</v>
      </c>
      <c r="T1110" s="24">
        <f t="shared" si="5"/>
        <v>0.2222222222</v>
      </c>
      <c r="U1110" s="26">
        <f t="shared" si="6"/>
        <v>0.3383458647</v>
      </c>
      <c r="V1110" s="26">
        <f t="shared" si="7"/>
        <v>0.03007518797</v>
      </c>
      <c r="W1110" s="19">
        <f t="shared" si="8"/>
        <v>4.80952381</v>
      </c>
      <c r="X1110" s="20">
        <f t="shared" si="9"/>
        <v>420</v>
      </c>
      <c r="Y1110" s="27"/>
      <c r="Z1110" s="17"/>
      <c r="AA1110" s="17"/>
      <c r="AB1110" s="17"/>
      <c r="AC1110" s="17"/>
      <c r="AD1110" s="27"/>
    </row>
    <row r="1111" ht="15.75" customHeight="1">
      <c r="A1111" s="16" t="s">
        <v>1526</v>
      </c>
      <c r="B1111" s="16" t="s">
        <v>2917</v>
      </c>
      <c r="C1111" s="16" t="str">
        <f t="shared" si="11"/>
        <v>Mountain House Seafood Chowder (LRP)</v>
      </c>
      <c r="D1111" s="17" t="s">
        <v>2846</v>
      </c>
      <c r="E1111" s="17" t="s">
        <v>2833</v>
      </c>
      <c r="F1111" s="17">
        <v>1.0</v>
      </c>
      <c r="G1111" s="19">
        <f t="shared" si="10"/>
        <v>4.444522831</v>
      </c>
      <c r="H1111" s="17">
        <v>126.0</v>
      </c>
      <c r="I1111" s="10">
        <v>580.0</v>
      </c>
      <c r="J1111" s="17">
        <v>24.0</v>
      </c>
      <c r="K1111" s="17">
        <v>2100.0</v>
      </c>
      <c r="L1111" s="17"/>
      <c r="M1111" s="20">
        <v>58.0</v>
      </c>
      <c r="N1111" s="20">
        <v>2.0</v>
      </c>
      <c r="O1111" s="20">
        <v>18.0</v>
      </c>
      <c r="P1111" s="20">
        <f t="shared" si="2"/>
        <v>38</v>
      </c>
      <c r="Q1111" s="21">
        <v>33.0</v>
      </c>
      <c r="R1111" s="205">
        <f t="shared" si="3"/>
        <v>130.4976984</v>
      </c>
      <c r="S1111" s="19">
        <f t="shared" si="4"/>
        <v>4.603174603</v>
      </c>
      <c r="T1111" s="24">
        <f t="shared" si="5"/>
        <v>1.757575758</v>
      </c>
      <c r="U1111" s="26">
        <f t="shared" si="6"/>
        <v>0.3724137931</v>
      </c>
      <c r="V1111" s="26">
        <f t="shared" si="7"/>
        <v>0.124137931</v>
      </c>
      <c r="W1111" s="19">
        <f t="shared" si="8"/>
        <v>3.620689655</v>
      </c>
      <c r="X1111" s="20">
        <f t="shared" si="9"/>
        <v>580</v>
      </c>
      <c r="Y1111" s="27"/>
      <c r="Z1111" s="17"/>
      <c r="AA1111" s="17"/>
      <c r="AB1111" s="17"/>
      <c r="AC1111" s="17"/>
      <c r="AD1111" s="27"/>
    </row>
    <row r="1112" ht="15.75" customHeight="1">
      <c r="A1112" s="16" t="s">
        <v>1526</v>
      </c>
      <c r="B1112" s="16" t="s">
        <v>2857</v>
      </c>
      <c r="C1112" s="16" t="str">
        <f t="shared" si="11"/>
        <v>Mountain House Beef Stroganoff</v>
      </c>
      <c r="D1112" s="17" t="s">
        <v>2846</v>
      </c>
      <c r="E1112" s="17" t="s">
        <v>2833</v>
      </c>
      <c r="F1112" s="17">
        <v>2.0</v>
      </c>
      <c r="G1112" s="19">
        <f t="shared" si="10"/>
        <v>2.151713434</v>
      </c>
      <c r="H1112" s="17">
        <v>61.0</v>
      </c>
      <c r="I1112" s="10">
        <v>280.0</v>
      </c>
      <c r="J1112" s="17">
        <v>12.0</v>
      </c>
      <c r="K1112" s="17">
        <v>790.0</v>
      </c>
      <c r="L1112" s="17">
        <v>269.0</v>
      </c>
      <c r="M1112" s="20">
        <v>32.0</v>
      </c>
      <c r="N1112" s="20">
        <v>1.0</v>
      </c>
      <c r="O1112" s="20">
        <v>4.0</v>
      </c>
      <c r="P1112" s="20">
        <f t="shared" si="2"/>
        <v>27</v>
      </c>
      <c r="Q1112" s="21">
        <v>12.0</v>
      </c>
      <c r="R1112" s="205">
        <f t="shared" si="3"/>
        <v>130.1288525</v>
      </c>
      <c r="S1112" s="19">
        <f t="shared" si="4"/>
        <v>4.590163934</v>
      </c>
      <c r="T1112" s="24">
        <f t="shared" si="5"/>
        <v>2.666666667</v>
      </c>
      <c r="U1112" s="26">
        <f t="shared" si="6"/>
        <v>0.3802816901</v>
      </c>
      <c r="V1112" s="26">
        <f t="shared" si="7"/>
        <v>0.05633802817</v>
      </c>
      <c r="W1112" s="19">
        <f t="shared" si="8"/>
        <v>2.821428571</v>
      </c>
      <c r="X1112" s="20">
        <f t="shared" si="9"/>
        <v>560</v>
      </c>
      <c r="Y1112" s="27"/>
      <c r="Z1112" s="17"/>
      <c r="AA1112" s="17"/>
      <c r="AB1112" s="17"/>
      <c r="AC1112" s="17"/>
      <c r="AD1112" s="27"/>
    </row>
    <row r="1113" ht="15.75" customHeight="1">
      <c r="A1113" s="16" t="s">
        <v>1526</v>
      </c>
      <c r="B1113" s="16" t="s">
        <v>2918</v>
      </c>
      <c r="C1113" s="16" t="str">
        <f t="shared" si="11"/>
        <v>Mountain House Beef Stroganoff (PRO-PAK)</v>
      </c>
      <c r="D1113" s="17" t="s">
        <v>2846</v>
      </c>
      <c r="E1113" s="17" t="s">
        <v>2833</v>
      </c>
      <c r="F1113" s="17">
        <v>1.0</v>
      </c>
      <c r="G1113" s="19">
        <f t="shared" si="10"/>
        <v>4.620892785</v>
      </c>
      <c r="H1113" s="17">
        <v>131.0</v>
      </c>
      <c r="I1113" s="10">
        <v>600.0</v>
      </c>
      <c r="J1113" s="17">
        <v>24.0</v>
      </c>
      <c r="K1113" s="17">
        <v>1530.0</v>
      </c>
      <c r="L1113" s="17"/>
      <c r="M1113" s="20">
        <v>67.0</v>
      </c>
      <c r="N1113" s="20">
        <v>3.0</v>
      </c>
      <c r="O1113" s="20">
        <v>8.0</v>
      </c>
      <c r="P1113" s="20">
        <f t="shared" si="2"/>
        <v>56</v>
      </c>
      <c r="Q1113" s="21">
        <v>27.0</v>
      </c>
      <c r="R1113" s="205">
        <f t="shared" si="3"/>
        <v>129.8450382</v>
      </c>
      <c r="S1113" s="19">
        <f t="shared" si="4"/>
        <v>4.580152672</v>
      </c>
      <c r="T1113" s="24">
        <f t="shared" si="5"/>
        <v>2.481481481</v>
      </c>
      <c r="U1113" s="26">
        <f t="shared" si="6"/>
        <v>0.3648648649</v>
      </c>
      <c r="V1113" s="26">
        <f t="shared" si="7"/>
        <v>0.05405405405</v>
      </c>
      <c r="W1113" s="19">
        <f t="shared" si="8"/>
        <v>2.55</v>
      </c>
      <c r="X1113" s="20">
        <f t="shared" si="9"/>
        <v>600</v>
      </c>
      <c r="Y1113" s="27"/>
      <c r="Z1113" s="17"/>
      <c r="AA1113" s="17"/>
      <c r="AB1113" s="17"/>
      <c r="AC1113" s="17"/>
      <c r="AD1113" s="27"/>
    </row>
    <row r="1114" ht="15.75" customHeight="1">
      <c r="A1114" s="16" t="s">
        <v>2832</v>
      </c>
      <c r="B1114" s="16" t="s">
        <v>2919</v>
      </c>
      <c r="C1114" s="16" t="str">
        <f t="shared" si="11"/>
        <v>PackIt Gourmet Many Beans Salad</v>
      </c>
      <c r="D1114" s="17" t="s">
        <v>2880</v>
      </c>
      <c r="E1114" s="17" t="s">
        <v>2839</v>
      </c>
      <c r="F1114" s="17">
        <v>1.0</v>
      </c>
      <c r="G1114" s="19">
        <f t="shared" si="10"/>
        <v>5.961304432</v>
      </c>
      <c r="H1114" s="17">
        <v>169.0</v>
      </c>
      <c r="I1114" s="10">
        <v>770.0</v>
      </c>
      <c r="J1114" s="17">
        <v>39.0</v>
      </c>
      <c r="K1114" s="17">
        <v>470.0</v>
      </c>
      <c r="L1114" s="17">
        <v>760.0</v>
      </c>
      <c r="M1114" s="20">
        <v>92.0</v>
      </c>
      <c r="N1114" s="20">
        <v>18.0</v>
      </c>
      <c r="O1114" s="20">
        <v>30.0</v>
      </c>
      <c r="P1114" s="20">
        <f t="shared" si="2"/>
        <v>44</v>
      </c>
      <c r="Q1114" s="21">
        <v>25.0</v>
      </c>
      <c r="R1114" s="205">
        <f t="shared" si="3"/>
        <v>129.1663609</v>
      </c>
      <c r="S1114" s="19">
        <f t="shared" si="4"/>
        <v>4.556213018</v>
      </c>
      <c r="T1114" s="24">
        <f t="shared" si="5"/>
        <v>3.68</v>
      </c>
      <c r="U1114" s="26">
        <f t="shared" si="6"/>
        <v>0.4285714286</v>
      </c>
      <c r="V1114" s="26">
        <f t="shared" si="7"/>
        <v>0.1465201465</v>
      </c>
      <c r="W1114" s="19">
        <f t="shared" si="8"/>
        <v>0.6103896104</v>
      </c>
      <c r="X1114" s="20">
        <f t="shared" si="9"/>
        <v>770</v>
      </c>
      <c r="Y1114" s="27"/>
      <c r="Z1114" s="17"/>
      <c r="AA1114" s="17"/>
      <c r="AB1114" s="17"/>
      <c r="AC1114" s="17"/>
      <c r="AD1114" s="27"/>
    </row>
    <row r="1115" ht="15.75" customHeight="1">
      <c r="A1115" s="16" t="s">
        <v>1526</v>
      </c>
      <c r="B1115" s="16" t="s">
        <v>2920</v>
      </c>
      <c r="C1115" s="16" t="str">
        <f t="shared" si="11"/>
        <v>Mountain House Spicy Southwest Style Skillet</v>
      </c>
      <c r="D1115" s="17" t="s">
        <v>92</v>
      </c>
      <c r="E1115" s="17" t="s">
        <v>2833</v>
      </c>
      <c r="F1115" s="17">
        <v>2.0</v>
      </c>
      <c r="G1115" s="19">
        <f t="shared" si="10"/>
        <v>1.94006949</v>
      </c>
      <c r="H1115" s="17">
        <v>55.0</v>
      </c>
      <c r="I1115" s="10">
        <v>250.0</v>
      </c>
      <c r="J1115" s="17">
        <v>9.0</v>
      </c>
      <c r="K1115" s="17">
        <v>750.0</v>
      </c>
      <c r="L1115" s="17">
        <v>362.0</v>
      </c>
      <c r="M1115" s="20">
        <v>33.0</v>
      </c>
      <c r="N1115" s="20">
        <v>6.0</v>
      </c>
      <c r="O1115" s="20">
        <v>3.0</v>
      </c>
      <c r="P1115" s="20">
        <f t="shared" si="2"/>
        <v>24</v>
      </c>
      <c r="Q1115" s="21">
        <v>10.0</v>
      </c>
      <c r="R1115" s="205">
        <f t="shared" si="3"/>
        <v>128.8613636</v>
      </c>
      <c r="S1115" s="19">
        <f t="shared" si="4"/>
        <v>4.545454545</v>
      </c>
      <c r="T1115" s="24">
        <f t="shared" si="5"/>
        <v>3.3</v>
      </c>
      <c r="U1115" s="26">
        <f t="shared" si="6"/>
        <v>0.3201581028</v>
      </c>
      <c r="V1115" s="26">
        <f t="shared" si="7"/>
        <v>0.04743083004</v>
      </c>
      <c r="W1115" s="19">
        <f t="shared" si="8"/>
        <v>3</v>
      </c>
      <c r="X1115" s="20">
        <f t="shared" si="9"/>
        <v>500</v>
      </c>
      <c r="Y1115" s="27"/>
      <c r="Z1115" s="17"/>
      <c r="AA1115" s="17"/>
      <c r="AB1115" s="17"/>
      <c r="AC1115" s="17"/>
      <c r="AD1115" s="27"/>
    </row>
    <row r="1116" ht="15.75" customHeight="1">
      <c r="A1116" s="16" t="s">
        <v>1526</v>
      </c>
      <c r="B1116" s="16" t="s">
        <v>2921</v>
      </c>
      <c r="C1116" s="16" t="str">
        <f t="shared" si="11"/>
        <v>Mountain House Chicken Fried Rice</v>
      </c>
      <c r="D1116" s="17" t="s">
        <v>2846</v>
      </c>
      <c r="E1116" s="17" t="s">
        <v>2833</v>
      </c>
      <c r="F1116" s="17">
        <v>2.0</v>
      </c>
      <c r="G1116" s="19">
        <f t="shared" si="10"/>
        <v>2.328083388</v>
      </c>
      <c r="H1116" s="17">
        <v>66.0</v>
      </c>
      <c r="I1116" s="10">
        <v>300.0</v>
      </c>
      <c r="J1116" s="17">
        <v>9.0</v>
      </c>
      <c r="K1116" s="17">
        <v>800.0</v>
      </c>
      <c r="L1116" s="17">
        <v>311.0</v>
      </c>
      <c r="M1116" s="20">
        <v>41.0</v>
      </c>
      <c r="N1116" s="20">
        <v>1.0</v>
      </c>
      <c r="O1116" s="20">
        <v>4.0</v>
      </c>
      <c r="P1116" s="20">
        <f t="shared" si="2"/>
        <v>36</v>
      </c>
      <c r="Q1116" s="21">
        <v>13.0</v>
      </c>
      <c r="R1116" s="205">
        <f t="shared" si="3"/>
        <v>128.8613636</v>
      </c>
      <c r="S1116" s="19">
        <f t="shared" si="4"/>
        <v>4.545454545</v>
      </c>
      <c r="T1116" s="24">
        <f t="shared" si="5"/>
        <v>3.153846154</v>
      </c>
      <c r="U1116" s="26">
        <f t="shared" si="6"/>
        <v>0.2727272727</v>
      </c>
      <c r="V1116" s="26">
        <f t="shared" si="7"/>
        <v>0.05387205387</v>
      </c>
      <c r="W1116" s="19">
        <f t="shared" si="8"/>
        <v>2.666666667</v>
      </c>
      <c r="X1116" s="20">
        <f t="shared" si="9"/>
        <v>600</v>
      </c>
      <c r="Y1116" s="27"/>
      <c r="Z1116" s="17"/>
      <c r="AA1116" s="17"/>
      <c r="AB1116" s="17"/>
      <c r="AC1116" s="17"/>
      <c r="AD1116" s="27"/>
    </row>
    <row r="1117" ht="15.75" customHeight="1">
      <c r="A1117" s="16" t="s">
        <v>1526</v>
      </c>
      <c r="B1117" s="16" t="s">
        <v>2922</v>
      </c>
      <c r="C1117" s="16" t="str">
        <f t="shared" si="11"/>
        <v>Mountain House Yellow Curry with Chicken</v>
      </c>
      <c r="D1117" s="17" t="s">
        <v>2846</v>
      </c>
      <c r="E1117" s="17" t="s">
        <v>2833</v>
      </c>
      <c r="F1117" s="17">
        <v>2.0</v>
      </c>
      <c r="G1117" s="19">
        <f t="shared" si="10"/>
        <v>1.94006949</v>
      </c>
      <c r="H1117" s="17">
        <v>55.0</v>
      </c>
      <c r="I1117" s="10">
        <v>250.0</v>
      </c>
      <c r="J1117" s="17">
        <v>9.0</v>
      </c>
      <c r="K1117" s="17">
        <v>730.0</v>
      </c>
      <c r="L1117" s="17">
        <v>347.0</v>
      </c>
      <c r="M1117" s="20">
        <v>29.0</v>
      </c>
      <c r="N1117" s="20">
        <v>2.0</v>
      </c>
      <c r="O1117" s="20">
        <v>5.0</v>
      </c>
      <c r="P1117" s="20">
        <f t="shared" si="2"/>
        <v>22</v>
      </c>
      <c r="Q1117" s="21">
        <v>13.0</v>
      </c>
      <c r="R1117" s="205">
        <f t="shared" si="3"/>
        <v>128.8613636</v>
      </c>
      <c r="S1117" s="19">
        <f t="shared" si="4"/>
        <v>4.545454545</v>
      </c>
      <c r="T1117" s="24">
        <f t="shared" si="5"/>
        <v>2.230769231</v>
      </c>
      <c r="U1117" s="26">
        <f t="shared" si="6"/>
        <v>0.3253012048</v>
      </c>
      <c r="V1117" s="26">
        <f t="shared" si="7"/>
        <v>0.08032128514</v>
      </c>
      <c r="W1117" s="19">
        <f t="shared" si="8"/>
        <v>2.92</v>
      </c>
      <c r="X1117" s="20">
        <f t="shared" si="9"/>
        <v>500</v>
      </c>
      <c r="Y1117" s="27"/>
      <c r="Z1117" s="17"/>
      <c r="AA1117" s="17"/>
      <c r="AB1117" s="17"/>
      <c r="AC1117" s="17"/>
      <c r="AD1117" s="27"/>
    </row>
    <row r="1118" ht="15.75" customHeight="1">
      <c r="A1118" s="16" t="s">
        <v>2899</v>
      </c>
      <c r="B1118" s="16" t="s">
        <v>2923</v>
      </c>
      <c r="C1118" s="16" t="str">
        <f t="shared" si="11"/>
        <v>ReadyWise Early Dawn Breakfast Skillet</v>
      </c>
      <c r="D1118" s="17" t="s">
        <v>92</v>
      </c>
      <c r="E1118" s="17" t="s">
        <v>2833</v>
      </c>
      <c r="F1118" s="17">
        <v>2.5</v>
      </c>
      <c r="G1118" s="19">
        <f t="shared" si="10"/>
        <v>1.48150761</v>
      </c>
      <c r="H1118" s="17">
        <v>42.0</v>
      </c>
      <c r="I1118" s="10">
        <v>190.0</v>
      </c>
      <c r="J1118" s="17">
        <v>9.0</v>
      </c>
      <c r="K1118" s="17">
        <v>560.0</v>
      </c>
      <c r="L1118" s="17">
        <v>360.0</v>
      </c>
      <c r="M1118" s="20">
        <v>20.0</v>
      </c>
      <c r="N1118" s="20">
        <v>2.0</v>
      </c>
      <c r="O1118" s="20">
        <v>2.0</v>
      </c>
      <c r="P1118" s="20">
        <f t="shared" si="2"/>
        <v>16</v>
      </c>
      <c r="Q1118" s="21">
        <v>8.0</v>
      </c>
      <c r="R1118" s="205">
        <f t="shared" si="3"/>
        <v>128.2477381</v>
      </c>
      <c r="S1118" s="19">
        <f t="shared" si="4"/>
        <v>4.523809524</v>
      </c>
      <c r="T1118" s="24">
        <f t="shared" si="5"/>
        <v>2.5</v>
      </c>
      <c r="U1118" s="26">
        <f t="shared" si="6"/>
        <v>0.4196891192</v>
      </c>
      <c r="V1118" s="26">
        <f t="shared" si="7"/>
        <v>0.0414507772</v>
      </c>
      <c r="W1118" s="19">
        <f t="shared" si="8"/>
        <v>2.947368421</v>
      </c>
      <c r="X1118" s="20">
        <f t="shared" si="9"/>
        <v>475</v>
      </c>
      <c r="Y1118" s="27"/>
      <c r="Z1118" s="17"/>
      <c r="AA1118" s="17"/>
      <c r="AB1118" s="17"/>
      <c r="AC1118" s="17"/>
      <c r="AD1118" s="27"/>
    </row>
    <row r="1119" ht="15.75" customHeight="1">
      <c r="A1119" s="16" t="s">
        <v>1526</v>
      </c>
      <c r="B1119" s="16" t="s">
        <v>2924</v>
      </c>
      <c r="C1119" s="16" t="str">
        <f t="shared" si="11"/>
        <v>Mountain House Biscuits and Gravy</v>
      </c>
      <c r="D1119" s="17" t="s">
        <v>92</v>
      </c>
      <c r="E1119" s="17" t="s">
        <v>2833</v>
      </c>
      <c r="F1119" s="17">
        <v>2.0</v>
      </c>
      <c r="G1119" s="19">
        <f t="shared" si="10"/>
        <v>2.186987425</v>
      </c>
      <c r="H1119" s="17">
        <v>62.0</v>
      </c>
      <c r="I1119" s="10">
        <v>280.0</v>
      </c>
      <c r="J1119" s="17">
        <v>10.0</v>
      </c>
      <c r="K1119" s="17">
        <v>870.0</v>
      </c>
      <c r="L1119" s="17">
        <v>211.0</v>
      </c>
      <c r="M1119" s="20">
        <v>37.0</v>
      </c>
      <c r="N1119" s="20">
        <v>0.0</v>
      </c>
      <c r="O1119" s="20">
        <v>6.0</v>
      </c>
      <c r="P1119" s="20">
        <f t="shared" si="2"/>
        <v>31</v>
      </c>
      <c r="Q1119" s="21">
        <v>11.0</v>
      </c>
      <c r="R1119" s="205">
        <f t="shared" si="3"/>
        <v>128.03</v>
      </c>
      <c r="S1119" s="19">
        <f t="shared" si="4"/>
        <v>4.516129032</v>
      </c>
      <c r="T1119" s="24">
        <f t="shared" si="5"/>
        <v>3.363636364</v>
      </c>
      <c r="U1119" s="26">
        <f t="shared" si="6"/>
        <v>0.3191489362</v>
      </c>
      <c r="V1119" s="26">
        <f t="shared" si="7"/>
        <v>0.08510638298</v>
      </c>
      <c r="W1119" s="19">
        <f t="shared" si="8"/>
        <v>3.107142857</v>
      </c>
      <c r="X1119" s="20">
        <f t="shared" si="9"/>
        <v>560</v>
      </c>
      <c r="Y1119" s="27"/>
      <c r="Z1119" s="17"/>
      <c r="AA1119" s="17"/>
      <c r="AB1119" s="17"/>
      <c r="AC1119" s="17"/>
      <c r="AD1119" s="27"/>
    </row>
    <row r="1120" ht="15.75" customHeight="1">
      <c r="A1120" s="16" t="s">
        <v>2896</v>
      </c>
      <c r="B1120" s="16" t="s">
        <v>2925</v>
      </c>
      <c r="C1120" s="16" t="str">
        <f t="shared" si="11"/>
        <v>Firepot Chili Con Carne and Rice</v>
      </c>
      <c r="D1120" s="17" t="s">
        <v>2846</v>
      </c>
      <c r="E1120" s="17" t="s">
        <v>2833</v>
      </c>
      <c r="F1120" s="17">
        <v>2.0</v>
      </c>
      <c r="G1120" s="19">
        <f t="shared" si="10"/>
        <v>3.527399072</v>
      </c>
      <c r="H1120" s="17">
        <v>100.0</v>
      </c>
      <c r="I1120" s="10">
        <v>450.0</v>
      </c>
      <c r="J1120" s="17">
        <v>14.0</v>
      </c>
      <c r="K1120" s="17">
        <v>310.0</v>
      </c>
      <c r="L1120" s="17">
        <v>590.0</v>
      </c>
      <c r="M1120" s="20">
        <v>63.0</v>
      </c>
      <c r="N1120" s="20">
        <v>7.0</v>
      </c>
      <c r="O1120" s="20">
        <v>6.0</v>
      </c>
      <c r="P1120" s="20">
        <f t="shared" si="2"/>
        <v>50</v>
      </c>
      <c r="Q1120" s="21">
        <v>24.0</v>
      </c>
      <c r="R1120" s="205">
        <f t="shared" si="3"/>
        <v>127.57275</v>
      </c>
      <c r="S1120" s="19">
        <f t="shared" si="4"/>
        <v>4.5</v>
      </c>
      <c r="T1120" s="24">
        <f t="shared" si="5"/>
        <v>2.625</v>
      </c>
      <c r="U1120" s="26">
        <f t="shared" si="6"/>
        <v>0.2658227848</v>
      </c>
      <c r="V1120" s="26">
        <f t="shared" si="7"/>
        <v>0.05063291139</v>
      </c>
      <c r="W1120" s="19">
        <f t="shared" si="8"/>
        <v>0.6888888889</v>
      </c>
      <c r="X1120" s="20">
        <f t="shared" si="9"/>
        <v>900</v>
      </c>
      <c r="Y1120" s="27"/>
      <c r="Z1120" s="17"/>
      <c r="AA1120" s="17"/>
      <c r="AB1120" s="17"/>
      <c r="AC1120" s="17"/>
      <c r="AD1120" s="27"/>
    </row>
    <row r="1121" ht="15.75" customHeight="1">
      <c r="A1121" s="16" t="s">
        <v>2891</v>
      </c>
      <c r="B1121" s="16" t="s">
        <v>2926</v>
      </c>
      <c r="C1121" s="16" t="str">
        <f t="shared" si="11"/>
        <v>Alpine Aire Creamy Beef &amp; Noodles with Mushrooms</v>
      </c>
      <c r="D1121" s="17" t="s">
        <v>2846</v>
      </c>
      <c r="E1121" s="17" t="s">
        <v>2833</v>
      </c>
      <c r="F1121" s="17">
        <v>2.0</v>
      </c>
      <c r="G1121" s="19">
        <f t="shared" si="10"/>
        <v>2.751371276</v>
      </c>
      <c r="H1121" s="17">
        <v>78.0</v>
      </c>
      <c r="I1121" s="10">
        <v>350.0</v>
      </c>
      <c r="J1121" s="17">
        <v>15.0</v>
      </c>
      <c r="K1121" s="17">
        <v>630.0</v>
      </c>
      <c r="L1121" s="17">
        <v>952.0</v>
      </c>
      <c r="M1121" s="20">
        <v>37.0</v>
      </c>
      <c r="N1121" s="20">
        <v>1.0</v>
      </c>
      <c r="O1121" s="20">
        <v>10.0</v>
      </c>
      <c r="P1121" s="20">
        <f t="shared" si="2"/>
        <v>26</v>
      </c>
      <c r="Q1121" s="21">
        <v>17.0</v>
      </c>
      <c r="R1121" s="205">
        <f t="shared" si="3"/>
        <v>127.2092949</v>
      </c>
      <c r="S1121" s="19">
        <f t="shared" si="4"/>
        <v>4.487179487</v>
      </c>
      <c r="T1121" s="24">
        <f t="shared" si="5"/>
        <v>2.176470588</v>
      </c>
      <c r="U1121" s="26">
        <f t="shared" si="6"/>
        <v>0.3846153846</v>
      </c>
      <c r="V1121" s="26">
        <f t="shared" si="7"/>
        <v>0.113960114</v>
      </c>
      <c r="W1121" s="19">
        <f t="shared" si="8"/>
        <v>1.8</v>
      </c>
      <c r="X1121" s="20">
        <f t="shared" si="9"/>
        <v>700</v>
      </c>
      <c r="Y1121" s="27"/>
      <c r="Z1121" s="17"/>
      <c r="AA1121" s="17"/>
      <c r="AB1121" s="17"/>
      <c r="AC1121" s="17"/>
      <c r="AD1121" s="27"/>
    </row>
    <row r="1122" ht="15.75" customHeight="1">
      <c r="A1122" s="16" t="s">
        <v>2891</v>
      </c>
      <c r="B1122" s="16" t="s">
        <v>2927</v>
      </c>
      <c r="C1122" s="16" t="str">
        <f t="shared" si="11"/>
        <v>Alpine Aire Cheese Enchilada Ranchero</v>
      </c>
      <c r="D1122" s="17" t="s">
        <v>2846</v>
      </c>
      <c r="E1122" s="17" t="s">
        <v>2833</v>
      </c>
      <c r="F1122" s="17">
        <v>2.0</v>
      </c>
      <c r="G1122" s="19">
        <f t="shared" si="10"/>
        <v>3.104111184</v>
      </c>
      <c r="H1122" s="17">
        <v>88.0</v>
      </c>
      <c r="I1122" s="10">
        <v>390.0</v>
      </c>
      <c r="J1122" s="17">
        <v>16.0</v>
      </c>
      <c r="K1122" s="17">
        <v>610.0</v>
      </c>
      <c r="L1122" s="17">
        <v>878.0</v>
      </c>
      <c r="M1122" s="20">
        <v>37.0</v>
      </c>
      <c r="N1122" s="20">
        <v>2.0</v>
      </c>
      <c r="O1122" s="20">
        <v>7.0</v>
      </c>
      <c r="P1122" s="20">
        <f t="shared" si="2"/>
        <v>28</v>
      </c>
      <c r="Q1122" s="21">
        <v>15.0</v>
      </c>
      <c r="R1122" s="205">
        <f t="shared" si="3"/>
        <v>125.6398295</v>
      </c>
      <c r="S1122" s="19">
        <f t="shared" si="4"/>
        <v>4.431818182</v>
      </c>
      <c r="T1122" s="24">
        <f t="shared" si="5"/>
        <v>2.466666667</v>
      </c>
      <c r="U1122" s="26">
        <f t="shared" si="6"/>
        <v>0.4090909091</v>
      </c>
      <c r="V1122" s="26">
        <f t="shared" si="7"/>
        <v>0.07954545455</v>
      </c>
      <c r="W1122" s="19">
        <f t="shared" si="8"/>
        <v>1.564102564</v>
      </c>
      <c r="X1122" s="20">
        <f t="shared" si="9"/>
        <v>780</v>
      </c>
      <c r="Y1122" s="27"/>
      <c r="Z1122" s="17"/>
      <c r="AA1122" s="17"/>
      <c r="AB1122" s="17"/>
      <c r="AC1122" s="17"/>
      <c r="AD1122" s="27"/>
    </row>
    <row r="1123" ht="15.75" customHeight="1">
      <c r="A1123" s="16" t="s">
        <v>2844</v>
      </c>
      <c r="B1123" s="16" t="s">
        <v>2928</v>
      </c>
      <c r="C1123" s="16" t="str">
        <f t="shared" si="11"/>
        <v>Peak Refuel Three Bean Chili Mac</v>
      </c>
      <c r="D1123" s="17" t="s">
        <v>2846</v>
      </c>
      <c r="E1123" s="17" t="s">
        <v>2833</v>
      </c>
      <c r="F1123" s="17">
        <v>2.0</v>
      </c>
      <c r="G1123" s="19">
        <f t="shared" si="10"/>
        <v>2.398631369</v>
      </c>
      <c r="H1123" s="17">
        <v>68.0</v>
      </c>
      <c r="I1123" s="10">
        <v>300.0</v>
      </c>
      <c r="J1123" s="17">
        <v>2.0</v>
      </c>
      <c r="K1123" s="17">
        <v>590.0</v>
      </c>
      <c r="L1123" s="17">
        <v>702.0</v>
      </c>
      <c r="M1123" s="20">
        <v>59.0</v>
      </c>
      <c r="N1123" s="20">
        <v>10.0</v>
      </c>
      <c r="O1123" s="20">
        <v>9.0</v>
      </c>
      <c r="P1123" s="20">
        <f t="shared" si="2"/>
        <v>40</v>
      </c>
      <c r="Q1123" s="21">
        <v>15.0</v>
      </c>
      <c r="R1123" s="205">
        <f t="shared" si="3"/>
        <v>125.0713235</v>
      </c>
      <c r="S1123" s="19">
        <f t="shared" si="4"/>
        <v>4.411764706</v>
      </c>
      <c r="T1123" s="24">
        <f t="shared" si="5"/>
        <v>3.933333333</v>
      </c>
      <c r="U1123" s="26">
        <f t="shared" si="6"/>
        <v>0.05732484076</v>
      </c>
      <c r="V1123" s="26">
        <f t="shared" si="7"/>
        <v>0.1146496815</v>
      </c>
      <c r="W1123" s="19">
        <f t="shared" si="8"/>
        <v>1.966666667</v>
      </c>
      <c r="X1123" s="20">
        <f t="shared" si="9"/>
        <v>600</v>
      </c>
      <c r="Y1123" s="27"/>
      <c r="Z1123" s="17"/>
      <c r="AA1123" s="17"/>
      <c r="AB1123" s="17"/>
      <c r="AC1123" s="17"/>
      <c r="AD1123" s="27"/>
    </row>
    <row r="1124" ht="15.75" customHeight="1">
      <c r="A1124" s="16" t="s">
        <v>2832</v>
      </c>
      <c r="B1124" s="16" t="s">
        <v>2929</v>
      </c>
      <c r="C1124" s="16" t="str">
        <f t="shared" si="11"/>
        <v>PackIt Gourmet Happy Hour Queso Rico Dip</v>
      </c>
      <c r="D1124" s="17" t="s">
        <v>2880</v>
      </c>
      <c r="E1124" s="17" t="s">
        <v>2833</v>
      </c>
      <c r="F1124" s="17">
        <v>2.0</v>
      </c>
      <c r="G1124" s="19">
        <f t="shared" si="10"/>
        <v>1.763699536</v>
      </c>
      <c r="H1124" s="17">
        <v>50.0</v>
      </c>
      <c r="I1124" s="10">
        <v>220.0</v>
      </c>
      <c r="J1124" s="17">
        <v>13.0</v>
      </c>
      <c r="K1124" s="17">
        <v>870.0</v>
      </c>
      <c r="L1124" s="17">
        <v>210.0</v>
      </c>
      <c r="M1124" s="20">
        <v>12.0</v>
      </c>
      <c r="N1124" s="20">
        <v>1.0</v>
      </c>
      <c r="O1124" s="20">
        <v>10.0</v>
      </c>
      <c r="P1124" s="20">
        <f t="shared" si="2"/>
        <v>1</v>
      </c>
      <c r="Q1124" s="21">
        <v>14.0</v>
      </c>
      <c r="R1124" s="205">
        <f t="shared" si="3"/>
        <v>124.7378</v>
      </c>
      <c r="S1124" s="19">
        <f t="shared" si="4"/>
        <v>4.4</v>
      </c>
      <c r="T1124" s="24">
        <f t="shared" si="5"/>
        <v>0.8571428571</v>
      </c>
      <c r="U1124" s="26">
        <f t="shared" si="6"/>
        <v>0.5294117647</v>
      </c>
      <c r="V1124" s="26">
        <f t="shared" si="7"/>
        <v>0.1809954751</v>
      </c>
      <c r="W1124" s="19">
        <f t="shared" si="8"/>
        <v>3.954545455</v>
      </c>
      <c r="X1124" s="20">
        <f t="shared" si="9"/>
        <v>440</v>
      </c>
      <c r="Y1124" s="27"/>
      <c r="Z1124" s="17"/>
      <c r="AA1124" s="17"/>
      <c r="AB1124" s="17"/>
      <c r="AC1124" s="17"/>
      <c r="AD1124" s="27"/>
    </row>
    <row r="1125" ht="15.75" customHeight="1">
      <c r="A1125" s="16" t="s">
        <v>2844</v>
      </c>
      <c r="B1125" s="16" t="s">
        <v>2930</v>
      </c>
      <c r="C1125" s="16" t="str">
        <f t="shared" si="11"/>
        <v>Peak Refuel Sweet Pork &amp; Rice</v>
      </c>
      <c r="D1125" s="17" t="s">
        <v>2846</v>
      </c>
      <c r="E1125" s="17" t="s">
        <v>2833</v>
      </c>
      <c r="F1125" s="17">
        <v>2.0</v>
      </c>
      <c r="G1125" s="19">
        <f t="shared" si="10"/>
        <v>3.209933156</v>
      </c>
      <c r="H1125" s="17">
        <v>91.0</v>
      </c>
      <c r="I1125" s="10">
        <v>400.0</v>
      </c>
      <c r="J1125" s="17">
        <v>8.0</v>
      </c>
      <c r="K1125" s="17">
        <v>470.0</v>
      </c>
      <c r="L1125" s="17">
        <v>382.0</v>
      </c>
      <c r="M1125" s="20">
        <v>63.0</v>
      </c>
      <c r="N1125" s="20">
        <v>5.0</v>
      </c>
      <c r="O1125" s="20">
        <v>26.0</v>
      </c>
      <c r="P1125" s="20">
        <f t="shared" si="2"/>
        <v>32</v>
      </c>
      <c r="Q1125" s="21">
        <v>20.0</v>
      </c>
      <c r="R1125" s="205">
        <f t="shared" si="3"/>
        <v>124.6131868</v>
      </c>
      <c r="S1125" s="19">
        <f t="shared" si="4"/>
        <v>4.395604396</v>
      </c>
      <c r="T1125" s="24">
        <f t="shared" si="5"/>
        <v>3.15</v>
      </c>
      <c r="U1125" s="26">
        <f t="shared" si="6"/>
        <v>0.1782178218</v>
      </c>
      <c r="V1125" s="26">
        <f t="shared" si="7"/>
        <v>0.2574257426</v>
      </c>
      <c r="W1125" s="19">
        <f t="shared" si="8"/>
        <v>1.175</v>
      </c>
      <c r="X1125" s="20">
        <f t="shared" si="9"/>
        <v>800</v>
      </c>
      <c r="Y1125" s="27"/>
      <c r="Z1125" s="17"/>
      <c r="AA1125" s="17"/>
      <c r="AB1125" s="17"/>
      <c r="AC1125" s="17"/>
      <c r="AD1125" s="27"/>
    </row>
    <row r="1126" ht="15.75" customHeight="1">
      <c r="A1126" s="16" t="s">
        <v>2931</v>
      </c>
      <c r="B1126" s="16" t="s">
        <v>2932</v>
      </c>
      <c r="C1126" s="16" t="str">
        <f t="shared" si="11"/>
        <v>Good To-Go Cuban Rice Bowl</v>
      </c>
      <c r="D1126" s="17" t="s">
        <v>2846</v>
      </c>
      <c r="E1126" s="17" t="s">
        <v>2833</v>
      </c>
      <c r="F1126" s="17">
        <v>2.0</v>
      </c>
      <c r="G1126" s="19">
        <f t="shared" si="10"/>
        <v>4.338700859</v>
      </c>
      <c r="H1126" s="17">
        <v>123.0</v>
      </c>
      <c r="I1126" s="10">
        <v>540.0</v>
      </c>
      <c r="J1126" s="17">
        <v>17.0</v>
      </c>
      <c r="K1126" s="17">
        <v>580.0</v>
      </c>
      <c r="L1126" s="17">
        <v>980.0</v>
      </c>
      <c r="M1126" s="20">
        <v>82.0</v>
      </c>
      <c r="N1126" s="20">
        <v>9.0</v>
      </c>
      <c r="O1126" s="20">
        <v>10.0</v>
      </c>
      <c r="P1126" s="20">
        <f t="shared" si="2"/>
        <v>63</v>
      </c>
      <c r="Q1126" s="21">
        <v>15.0</v>
      </c>
      <c r="R1126" s="205">
        <f t="shared" si="3"/>
        <v>124.4612195</v>
      </c>
      <c r="S1126" s="19">
        <f t="shared" si="4"/>
        <v>4.390243902</v>
      </c>
      <c r="T1126" s="24">
        <f t="shared" si="5"/>
        <v>5.466666667</v>
      </c>
      <c r="U1126" s="26">
        <f t="shared" si="6"/>
        <v>0.2828096118</v>
      </c>
      <c r="V1126" s="26">
        <f t="shared" si="7"/>
        <v>0.07393715342</v>
      </c>
      <c r="W1126" s="19">
        <f t="shared" si="8"/>
        <v>1.074074074</v>
      </c>
      <c r="X1126" s="20">
        <f t="shared" si="9"/>
        <v>1080</v>
      </c>
      <c r="Y1126" s="27"/>
      <c r="Z1126" s="17"/>
      <c r="AA1126" s="17"/>
      <c r="AB1126" s="17"/>
      <c r="AC1126" s="17"/>
      <c r="AD1126" s="27"/>
    </row>
    <row r="1127" ht="15.75" customHeight="1">
      <c r="A1127" s="16" t="s">
        <v>2832</v>
      </c>
      <c r="B1127" s="16" t="s">
        <v>2933</v>
      </c>
      <c r="C1127" s="16" t="str">
        <f t="shared" si="11"/>
        <v>PackIt Gourmet Texas State Fair Chili</v>
      </c>
      <c r="D1127" s="17" t="s">
        <v>2846</v>
      </c>
      <c r="E1127" s="17" t="s">
        <v>2833</v>
      </c>
      <c r="F1127" s="17">
        <v>1.0</v>
      </c>
      <c r="G1127" s="19">
        <f t="shared" si="10"/>
        <v>5.467468562</v>
      </c>
      <c r="H1127" s="17">
        <v>155.0</v>
      </c>
      <c r="I1127" s="10">
        <v>680.0</v>
      </c>
      <c r="J1127" s="17">
        <v>27.0</v>
      </c>
      <c r="K1127" s="17">
        <v>1510.0</v>
      </c>
      <c r="L1127" s="17">
        <v>470.0</v>
      </c>
      <c r="M1127" s="20">
        <v>72.0</v>
      </c>
      <c r="N1127" s="20">
        <v>21.0</v>
      </c>
      <c r="O1127" s="20">
        <v>7.0</v>
      </c>
      <c r="P1127" s="20">
        <f t="shared" si="2"/>
        <v>44</v>
      </c>
      <c r="Q1127" s="21">
        <v>39.0</v>
      </c>
      <c r="R1127" s="205">
        <f t="shared" si="3"/>
        <v>124.372</v>
      </c>
      <c r="S1127" s="19">
        <f t="shared" si="4"/>
        <v>4.387096774</v>
      </c>
      <c r="T1127" s="24">
        <f t="shared" si="5"/>
        <v>1.846153846</v>
      </c>
      <c r="U1127" s="26">
        <f t="shared" si="6"/>
        <v>0.3537117904</v>
      </c>
      <c r="V1127" s="26">
        <f t="shared" si="7"/>
        <v>0.04075691412</v>
      </c>
      <c r="W1127" s="19">
        <f t="shared" si="8"/>
        <v>2.220588235</v>
      </c>
      <c r="X1127" s="20">
        <f t="shared" si="9"/>
        <v>680</v>
      </c>
      <c r="Y1127" s="27"/>
      <c r="Z1127" s="17"/>
      <c r="AA1127" s="17"/>
      <c r="AB1127" s="17"/>
      <c r="AC1127" s="17"/>
      <c r="AD1127" s="27"/>
    </row>
    <row r="1128" ht="15.75" customHeight="1">
      <c r="A1128" s="16" t="s">
        <v>2832</v>
      </c>
      <c r="B1128" s="16" t="s">
        <v>2934</v>
      </c>
      <c r="C1128" s="16" t="str">
        <f t="shared" si="11"/>
        <v>PackIt Gourmet Edamame (Freeze-Dried)</v>
      </c>
      <c r="D1128" s="17" t="s">
        <v>33</v>
      </c>
      <c r="E1128" s="17" t="s">
        <v>2839</v>
      </c>
      <c r="F1128" s="17">
        <v>1.0</v>
      </c>
      <c r="G1128" s="19">
        <f t="shared" si="10"/>
        <v>2.010617471</v>
      </c>
      <c r="H1128" s="17">
        <v>57.0</v>
      </c>
      <c r="I1128" s="10">
        <v>250.0</v>
      </c>
      <c r="J1128" s="17">
        <v>12.0</v>
      </c>
      <c r="K1128" s="17">
        <v>0.0</v>
      </c>
      <c r="L1128" s="17">
        <v>1080.0</v>
      </c>
      <c r="M1128" s="20">
        <v>18.0</v>
      </c>
      <c r="N1128" s="20">
        <v>6.0</v>
      </c>
      <c r="O1128" s="20">
        <v>4.0</v>
      </c>
      <c r="P1128" s="20">
        <f t="shared" si="2"/>
        <v>8</v>
      </c>
      <c r="Q1128" s="21">
        <v>22.0</v>
      </c>
      <c r="R1128" s="205">
        <f t="shared" si="3"/>
        <v>124.3399123</v>
      </c>
      <c r="S1128" s="19">
        <f t="shared" si="4"/>
        <v>4.385964912</v>
      </c>
      <c r="T1128" s="24">
        <f t="shared" si="5"/>
        <v>0.8181818182</v>
      </c>
      <c r="U1128" s="26">
        <f t="shared" si="6"/>
        <v>0.4029850746</v>
      </c>
      <c r="V1128" s="26">
        <f t="shared" si="7"/>
        <v>0.05970149254</v>
      </c>
      <c r="W1128" s="19">
        <f t="shared" si="8"/>
        <v>0</v>
      </c>
      <c r="X1128" s="20">
        <f t="shared" si="9"/>
        <v>250</v>
      </c>
      <c r="Y1128" s="27"/>
      <c r="Z1128" s="17"/>
      <c r="AA1128" s="17"/>
      <c r="AB1128" s="17"/>
      <c r="AC1128" s="17"/>
      <c r="AD1128" s="27"/>
    </row>
    <row r="1129" ht="15.75" customHeight="1">
      <c r="A1129" s="16" t="s">
        <v>1526</v>
      </c>
      <c r="B1129" s="16" t="s">
        <v>2935</v>
      </c>
      <c r="C1129" s="16" t="str">
        <f t="shared" si="11"/>
        <v>Mountain House Ice Cream Sandwich</v>
      </c>
      <c r="D1129" s="17" t="s">
        <v>478</v>
      </c>
      <c r="E1129" s="17" t="s">
        <v>2839</v>
      </c>
      <c r="F1129" s="17">
        <v>1.0</v>
      </c>
      <c r="G1129" s="19">
        <f t="shared" si="10"/>
        <v>1.128767703</v>
      </c>
      <c r="H1129" s="17">
        <v>32.0</v>
      </c>
      <c r="I1129" s="10">
        <v>140.0</v>
      </c>
      <c r="J1129" s="17">
        <v>5.0</v>
      </c>
      <c r="K1129" s="17">
        <v>100.0</v>
      </c>
      <c r="L1129" s="17">
        <v>91.0</v>
      </c>
      <c r="M1129" s="20">
        <v>23.0</v>
      </c>
      <c r="N1129" s="20">
        <v>0.0</v>
      </c>
      <c r="O1129" s="20">
        <v>12.0</v>
      </c>
      <c r="P1129" s="20">
        <f t="shared" si="2"/>
        <v>11</v>
      </c>
      <c r="Q1129" s="21">
        <v>2.0</v>
      </c>
      <c r="R1129" s="205">
        <f t="shared" si="3"/>
        <v>124.0290625</v>
      </c>
      <c r="S1129" s="19">
        <f t="shared" si="4"/>
        <v>4.375</v>
      </c>
      <c r="T1129" s="24">
        <f t="shared" si="5"/>
        <v>11.5</v>
      </c>
      <c r="U1129" s="26">
        <f t="shared" si="6"/>
        <v>0.3103448276</v>
      </c>
      <c r="V1129" s="26">
        <f t="shared" si="7"/>
        <v>0.3310344828</v>
      </c>
      <c r="W1129" s="19">
        <f t="shared" si="8"/>
        <v>0.7142857143</v>
      </c>
      <c r="X1129" s="20">
        <f t="shared" si="9"/>
        <v>140</v>
      </c>
      <c r="Y1129" s="27"/>
      <c r="Z1129" s="17"/>
      <c r="AA1129" s="17"/>
      <c r="AB1129" s="17"/>
      <c r="AC1129" s="17"/>
      <c r="AD1129" s="27"/>
    </row>
    <row r="1130" ht="15.75" customHeight="1">
      <c r="A1130" s="16" t="s">
        <v>2899</v>
      </c>
      <c r="B1130" s="16" t="s">
        <v>2936</v>
      </c>
      <c r="C1130" s="16" t="str">
        <f t="shared" si="11"/>
        <v>ReadyWise Trailhead Noodles &amp; Beef</v>
      </c>
      <c r="D1130" s="17" t="s">
        <v>2846</v>
      </c>
      <c r="E1130" s="17" t="s">
        <v>2833</v>
      </c>
      <c r="F1130" s="17">
        <v>2.5</v>
      </c>
      <c r="G1130" s="19">
        <f t="shared" si="10"/>
        <v>2.257535406</v>
      </c>
      <c r="H1130" s="17">
        <v>64.0</v>
      </c>
      <c r="I1130" s="10">
        <v>280.0</v>
      </c>
      <c r="J1130" s="17">
        <v>8.0</v>
      </c>
      <c r="K1130" s="17">
        <v>560.0</v>
      </c>
      <c r="L1130" s="17">
        <v>480.0</v>
      </c>
      <c r="M1130" s="20">
        <v>35.0</v>
      </c>
      <c r="N1130" s="20">
        <v>1.0</v>
      </c>
      <c r="O1130" s="20">
        <v>5.0</v>
      </c>
      <c r="P1130" s="20">
        <f t="shared" si="2"/>
        <v>29</v>
      </c>
      <c r="Q1130" s="21">
        <v>13.0</v>
      </c>
      <c r="R1130" s="205">
        <f t="shared" si="3"/>
        <v>124.0290625</v>
      </c>
      <c r="S1130" s="19">
        <f t="shared" si="4"/>
        <v>4.375</v>
      </c>
      <c r="T1130" s="24">
        <f t="shared" si="5"/>
        <v>2.692307692</v>
      </c>
      <c r="U1130" s="26">
        <f t="shared" si="6"/>
        <v>0.2727272727</v>
      </c>
      <c r="V1130" s="26">
        <f t="shared" si="7"/>
        <v>0.07575757576</v>
      </c>
      <c r="W1130" s="19">
        <f t="shared" si="8"/>
        <v>2</v>
      </c>
      <c r="X1130" s="20">
        <f t="shared" si="9"/>
        <v>700</v>
      </c>
      <c r="Y1130" s="27"/>
      <c r="Z1130" s="17"/>
      <c r="AA1130" s="17"/>
      <c r="AB1130" s="17"/>
      <c r="AC1130" s="17"/>
      <c r="AD1130" s="27"/>
    </row>
    <row r="1131" ht="15.75" customHeight="1">
      <c r="A1131" s="16" t="s">
        <v>2832</v>
      </c>
      <c r="B1131" s="16" t="s">
        <v>2937</v>
      </c>
      <c r="C1131" s="16" t="str">
        <f t="shared" si="11"/>
        <v>PackIt Gourmet Strawberry Cheesecake</v>
      </c>
      <c r="D1131" s="17" t="s">
        <v>478</v>
      </c>
      <c r="E1131" s="17" t="s">
        <v>2839</v>
      </c>
      <c r="F1131" s="17">
        <v>1.0</v>
      </c>
      <c r="G1131" s="19">
        <f t="shared" si="10"/>
        <v>5.008906683</v>
      </c>
      <c r="H1131" s="17">
        <v>142.0</v>
      </c>
      <c r="I1131" s="10">
        <v>620.0</v>
      </c>
      <c r="J1131" s="17">
        <v>20.0</v>
      </c>
      <c r="K1131" s="17">
        <v>1170.0</v>
      </c>
      <c r="L1131" s="17">
        <v>500.0</v>
      </c>
      <c r="M1131" s="20">
        <v>93.0</v>
      </c>
      <c r="N1131" s="20">
        <v>1.0</v>
      </c>
      <c r="O1131" s="20">
        <v>79.0</v>
      </c>
      <c r="P1131" s="20">
        <f t="shared" si="2"/>
        <v>13</v>
      </c>
      <c r="Q1131" s="21">
        <v>14.0</v>
      </c>
      <c r="R1131" s="205">
        <f t="shared" si="3"/>
        <v>123.779507</v>
      </c>
      <c r="S1131" s="19">
        <f t="shared" si="4"/>
        <v>4.366197183</v>
      </c>
      <c r="T1131" s="24">
        <f t="shared" si="5"/>
        <v>6.642857143</v>
      </c>
      <c r="U1131" s="26">
        <f t="shared" si="6"/>
        <v>0.2960526316</v>
      </c>
      <c r="V1131" s="26">
        <f t="shared" si="7"/>
        <v>0.5197368421</v>
      </c>
      <c r="W1131" s="19">
        <f t="shared" si="8"/>
        <v>1.887096774</v>
      </c>
      <c r="X1131" s="20">
        <f t="shared" si="9"/>
        <v>620</v>
      </c>
      <c r="Y1131" s="27"/>
      <c r="Z1131" s="17"/>
      <c r="AA1131" s="17"/>
      <c r="AB1131" s="17"/>
      <c r="AC1131" s="17"/>
      <c r="AD1131" s="27"/>
    </row>
    <row r="1132" ht="15.75" customHeight="1">
      <c r="A1132" s="16" t="s">
        <v>2891</v>
      </c>
      <c r="B1132" s="16" t="s">
        <v>2938</v>
      </c>
      <c r="C1132" s="16" t="str">
        <f t="shared" si="11"/>
        <v>Alpine Aire Spicy Sausage Pasta (Pork)</v>
      </c>
      <c r="D1132" s="17" t="s">
        <v>2846</v>
      </c>
      <c r="E1132" s="17" t="s">
        <v>2833</v>
      </c>
      <c r="F1132" s="17">
        <v>2.0</v>
      </c>
      <c r="G1132" s="19">
        <f t="shared" si="10"/>
        <v>2.504453341</v>
      </c>
      <c r="H1132" s="17">
        <v>71.0</v>
      </c>
      <c r="I1132" s="10">
        <v>310.0</v>
      </c>
      <c r="J1132" s="17">
        <v>12.0</v>
      </c>
      <c r="K1132" s="17">
        <v>340.0</v>
      </c>
      <c r="L1132" s="17">
        <v>410.0</v>
      </c>
      <c r="M1132" s="20">
        <v>39.0</v>
      </c>
      <c r="N1132" s="20">
        <v>0.0</v>
      </c>
      <c r="O1132" s="20">
        <v>6.0</v>
      </c>
      <c r="P1132" s="20">
        <f t="shared" si="2"/>
        <v>33</v>
      </c>
      <c r="Q1132" s="21">
        <v>12.0</v>
      </c>
      <c r="R1132" s="205">
        <f t="shared" si="3"/>
        <v>123.779507</v>
      </c>
      <c r="S1132" s="19">
        <f t="shared" si="4"/>
        <v>4.366197183</v>
      </c>
      <c r="T1132" s="24">
        <f t="shared" si="5"/>
        <v>3.25</v>
      </c>
      <c r="U1132" s="26">
        <f t="shared" si="6"/>
        <v>0.3461538462</v>
      </c>
      <c r="V1132" s="26">
        <f t="shared" si="7"/>
        <v>0.07692307692</v>
      </c>
      <c r="W1132" s="19">
        <f t="shared" si="8"/>
        <v>1.096774194</v>
      </c>
      <c r="X1132" s="20">
        <f t="shared" si="9"/>
        <v>620</v>
      </c>
      <c r="Y1132" s="27"/>
      <c r="Z1132" s="17"/>
      <c r="AA1132" s="17"/>
      <c r="AB1132" s="17"/>
      <c r="AC1132" s="17"/>
      <c r="AD1132" s="27"/>
    </row>
    <row r="1133" ht="15.75" customHeight="1">
      <c r="A1133" s="211" t="s">
        <v>1526</v>
      </c>
      <c r="B1133" s="211" t="s">
        <v>2939</v>
      </c>
      <c r="C1133" s="16" t="str">
        <f t="shared" si="11"/>
        <v>Mountain House Cheesecake Bites</v>
      </c>
      <c r="D1133" s="162" t="s">
        <v>478</v>
      </c>
      <c r="E1133" s="17" t="s">
        <v>2839</v>
      </c>
      <c r="F1133" s="162">
        <v>1.0</v>
      </c>
      <c r="G1133" s="212">
        <f t="shared" si="10"/>
        <v>1.94006949</v>
      </c>
      <c r="H1133" s="162">
        <v>55.0</v>
      </c>
      <c r="I1133" s="213">
        <v>240.0</v>
      </c>
      <c r="J1133" s="162">
        <v>14.0</v>
      </c>
      <c r="K1133" s="162">
        <v>190.0</v>
      </c>
      <c r="L1133" s="162"/>
      <c r="M1133" s="214">
        <v>25.0</v>
      </c>
      <c r="N1133" s="214">
        <v>1.0</v>
      </c>
      <c r="O1133" s="214">
        <v>14.0</v>
      </c>
      <c r="P1133" s="214">
        <f t="shared" si="2"/>
        <v>10</v>
      </c>
      <c r="Q1133" s="215">
        <v>4.0</v>
      </c>
      <c r="R1133" s="205">
        <f t="shared" si="3"/>
        <v>123.7069091</v>
      </c>
      <c r="S1133" s="19">
        <f t="shared" si="4"/>
        <v>4.363636364</v>
      </c>
      <c r="T1133" s="24">
        <f t="shared" si="5"/>
        <v>6.25</v>
      </c>
      <c r="U1133" s="26">
        <f t="shared" si="6"/>
        <v>0.520661157</v>
      </c>
      <c r="V1133" s="26">
        <f t="shared" si="7"/>
        <v>0.2314049587</v>
      </c>
      <c r="W1133" s="19">
        <f t="shared" si="8"/>
        <v>0.7916666667</v>
      </c>
      <c r="X1133" s="214">
        <f t="shared" si="9"/>
        <v>240</v>
      </c>
      <c r="Y1133" s="27"/>
      <c r="Z1133" s="17"/>
      <c r="AA1133" s="17"/>
      <c r="AB1133" s="17"/>
      <c r="AC1133" s="17"/>
      <c r="AD1133" s="27"/>
    </row>
    <row r="1134" ht="15.75" customHeight="1">
      <c r="A1134" s="16" t="s">
        <v>1526</v>
      </c>
      <c r="B1134" s="16" t="s">
        <v>2940</v>
      </c>
      <c r="C1134" s="16" t="str">
        <f t="shared" si="11"/>
        <v>Mountain House Pad Thai with Chicken</v>
      </c>
      <c r="D1134" s="17" t="s">
        <v>2846</v>
      </c>
      <c r="E1134" s="17" t="s">
        <v>2833</v>
      </c>
      <c r="F1134" s="17">
        <v>2.0</v>
      </c>
      <c r="G1134" s="19">
        <f t="shared" si="10"/>
        <v>1.94006949</v>
      </c>
      <c r="H1134" s="17">
        <v>55.0</v>
      </c>
      <c r="I1134" s="10">
        <v>240.0</v>
      </c>
      <c r="J1134" s="17">
        <v>7.0</v>
      </c>
      <c r="K1134" s="17">
        <v>560.0</v>
      </c>
      <c r="L1134" s="17">
        <v>230.0</v>
      </c>
      <c r="M1134" s="20">
        <v>35.0</v>
      </c>
      <c r="N1134" s="20">
        <v>1.0</v>
      </c>
      <c r="O1134" s="20">
        <v>7.0</v>
      </c>
      <c r="P1134" s="20">
        <f t="shared" si="2"/>
        <v>27</v>
      </c>
      <c r="Q1134" s="21">
        <v>10.0</v>
      </c>
      <c r="R1134" s="205">
        <f t="shared" si="3"/>
        <v>123.7069091</v>
      </c>
      <c r="S1134" s="19">
        <f t="shared" si="4"/>
        <v>4.363636364</v>
      </c>
      <c r="T1134" s="24">
        <f t="shared" si="5"/>
        <v>3.5</v>
      </c>
      <c r="U1134" s="26">
        <f t="shared" si="6"/>
        <v>0.2592592593</v>
      </c>
      <c r="V1134" s="26">
        <f t="shared" si="7"/>
        <v>0.1152263374</v>
      </c>
      <c r="W1134" s="19">
        <f t="shared" si="8"/>
        <v>2.333333333</v>
      </c>
      <c r="X1134" s="20">
        <f t="shared" si="9"/>
        <v>480</v>
      </c>
      <c r="Y1134" s="27"/>
      <c r="Z1134" s="17"/>
      <c r="AA1134" s="17"/>
      <c r="AB1134" s="17"/>
      <c r="AC1134" s="17"/>
      <c r="AD1134" s="27"/>
    </row>
    <row r="1135" ht="15.75" customHeight="1">
      <c r="A1135" s="16" t="s">
        <v>2832</v>
      </c>
      <c r="B1135" s="16" t="s">
        <v>2941</v>
      </c>
      <c r="C1135" s="16" t="str">
        <f t="shared" si="11"/>
        <v>PackIt Gourmet Meyer Lemon Cheesecake</v>
      </c>
      <c r="D1135" s="17" t="s">
        <v>478</v>
      </c>
      <c r="E1135" s="17" t="s">
        <v>2839</v>
      </c>
      <c r="F1135" s="17">
        <v>1.0</v>
      </c>
      <c r="G1135" s="19">
        <f t="shared" si="10"/>
        <v>5.255824618</v>
      </c>
      <c r="H1135" s="17">
        <v>149.0</v>
      </c>
      <c r="I1135" s="10">
        <v>650.0</v>
      </c>
      <c r="J1135" s="17">
        <v>21.0</v>
      </c>
      <c r="K1135" s="17">
        <v>1230.0</v>
      </c>
      <c r="L1135" s="17">
        <v>490.0</v>
      </c>
      <c r="M1135" s="20">
        <v>98.0</v>
      </c>
      <c r="N1135" s="20">
        <v>0.0</v>
      </c>
      <c r="O1135" s="20">
        <v>82.0</v>
      </c>
      <c r="P1135" s="20">
        <f t="shared" si="2"/>
        <v>16</v>
      </c>
      <c r="Q1135" s="21">
        <v>14.0</v>
      </c>
      <c r="R1135" s="205">
        <f t="shared" si="3"/>
        <v>123.6723154</v>
      </c>
      <c r="S1135" s="19">
        <f t="shared" si="4"/>
        <v>4.362416107</v>
      </c>
      <c r="T1135" s="24">
        <f t="shared" si="5"/>
        <v>7</v>
      </c>
      <c r="U1135" s="26">
        <f t="shared" si="6"/>
        <v>0.2967032967</v>
      </c>
      <c r="V1135" s="26">
        <f t="shared" si="7"/>
        <v>0.5149136578</v>
      </c>
      <c r="W1135" s="19">
        <f t="shared" si="8"/>
        <v>1.892307692</v>
      </c>
      <c r="X1135" s="20">
        <f t="shared" si="9"/>
        <v>650</v>
      </c>
      <c r="Y1135" s="27"/>
      <c r="Z1135" s="17"/>
      <c r="AA1135" s="17"/>
      <c r="AB1135" s="17"/>
      <c r="AC1135" s="17"/>
      <c r="AD1135" s="27"/>
    </row>
    <row r="1136" ht="15.75" customHeight="1">
      <c r="A1136" s="16" t="s">
        <v>1526</v>
      </c>
      <c r="B1136" s="16" t="s">
        <v>2942</v>
      </c>
      <c r="C1136" s="16" t="str">
        <f t="shared" si="11"/>
        <v>Mountain House Chili Mac with Beef (PRO-PAK)</v>
      </c>
      <c r="D1136" s="17" t="s">
        <v>2846</v>
      </c>
      <c r="E1136" s="17" t="s">
        <v>2833</v>
      </c>
      <c r="F1136" s="17">
        <v>1.0</v>
      </c>
      <c r="G1136" s="19">
        <f t="shared" si="10"/>
        <v>4.620892785</v>
      </c>
      <c r="H1136" s="17">
        <v>131.0</v>
      </c>
      <c r="I1136" s="10">
        <v>570.0</v>
      </c>
      <c r="J1136" s="17">
        <v>15.0</v>
      </c>
      <c r="K1136" s="17">
        <v>1580.0</v>
      </c>
      <c r="L1136" s="17"/>
      <c r="M1136" s="20">
        <v>78.0</v>
      </c>
      <c r="N1136" s="20">
        <v>12.0</v>
      </c>
      <c r="O1136" s="20">
        <v>8.0</v>
      </c>
      <c r="P1136" s="20">
        <f t="shared" si="2"/>
        <v>58</v>
      </c>
      <c r="Q1136" s="21">
        <v>30.0</v>
      </c>
      <c r="R1136" s="205">
        <f t="shared" si="3"/>
        <v>123.3527863</v>
      </c>
      <c r="S1136" s="19">
        <f t="shared" si="4"/>
        <v>4.351145038</v>
      </c>
      <c r="T1136" s="24">
        <f t="shared" si="5"/>
        <v>2.6</v>
      </c>
      <c r="U1136" s="26">
        <f t="shared" si="6"/>
        <v>0.2380952381</v>
      </c>
      <c r="V1136" s="26">
        <f t="shared" si="7"/>
        <v>0.05643738977</v>
      </c>
      <c r="W1136" s="19">
        <f t="shared" si="8"/>
        <v>2.771929825</v>
      </c>
      <c r="X1136" s="20">
        <f t="shared" si="9"/>
        <v>570</v>
      </c>
      <c r="Y1136" s="27"/>
      <c r="Z1136" s="17"/>
      <c r="AA1136" s="17"/>
      <c r="AB1136" s="17"/>
      <c r="AC1136" s="17"/>
      <c r="AD1136" s="27"/>
    </row>
    <row r="1137" ht="15.75" customHeight="1">
      <c r="A1137" s="16" t="s">
        <v>1526</v>
      </c>
      <c r="B1137" s="16" t="s">
        <v>2809</v>
      </c>
      <c r="C1137" s="16" t="str">
        <f t="shared" si="11"/>
        <v>Mountain House Beef Stew</v>
      </c>
      <c r="D1137" s="17" t="s">
        <v>2846</v>
      </c>
      <c r="E1137" s="17" t="s">
        <v>2833</v>
      </c>
      <c r="F1137" s="17">
        <v>2.0</v>
      </c>
      <c r="G1137" s="19">
        <f t="shared" si="10"/>
        <v>1.622603573</v>
      </c>
      <c r="H1137" s="17">
        <v>46.0</v>
      </c>
      <c r="I1137" s="10">
        <v>200.0</v>
      </c>
      <c r="J1137" s="17">
        <v>8.0</v>
      </c>
      <c r="K1137" s="17">
        <v>790.0</v>
      </c>
      <c r="L1137" s="17">
        <v>475.0</v>
      </c>
      <c r="M1137" s="20">
        <v>24.0</v>
      </c>
      <c r="N1137" s="20">
        <v>2.0</v>
      </c>
      <c r="O1137" s="20">
        <v>3.0</v>
      </c>
      <c r="P1137" s="20">
        <f t="shared" si="2"/>
        <v>19</v>
      </c>
      <c r="Q1137" s="21">
        <v>10.0</v>
      </c>
      <c r="R1137" s="205">
        <f t="shared" si="3"/>
        <v>123.2586957</v>
      </c>
      <c r="S1137" s="19">
        <f t="shared" si="4"/>
        <v>4.347826087</v>
      </c>
      <c r="T1137" s="24">
        <f t="shared" si="5"/>
        <v>2.4</v>
      </c>
      <c r="U1137" s="26">
        <f t="shared" si="6"/>
        <v>0.3461538462</v>
      </c>
      <c r="V1137" s="26">
        <f t="shared" si="7"/>
        <v>0.05769230769</v>
      </c>
      <c r="W1137" s="19">
        <f t="shared" si="8"/>
        <v>3.95</v>
      </c>
      <c r="X1137" s="20">
        <f t="shared" si="9"/>
        <v>400</v>
      </c>
      <c r="Y1137" s="27"/>
      <c r="Z1137" s="17"/>
      <c r="AA1137" s="17"/>
      <c r="AB1137" s="17"/>
      <c r="AC1137" s="17"/>
      <c r="AD1137" s="27"/>
    </row>
    <row r="1138" ht="15.75" customHeight="1">
      <c r="A1138" s="16" t="s">
        <v>1526</v>
      </c>
      <c r="B1138" s="16" t="s">
        <v>2943</v>
      </c>
      <c r="C1138" s="16" t="str">
        <f t="shared" si="11"/>
        <v>Mountain House Chicken and Mashed Potatoes</v>
      </c>
      <c r="D1138" s="17" t="s">
        <v>2846</v>
      </c>
      <c r="E1138" s="17" t="s">
        <v>2833</v>
      </c>
      <c r="F1138" s="17">
        <v>2.0</v>
      </c>
      <c r="G1138" s="19">
        <f t="shared" si="10"/>
        <v>1.869521508</v>
      </c>
      <c r="H1138" s="17">
        <v>53.0</v>
      </c>
      <c r="I1138" s="10">
        <v>230.0</v>
      </c>
      <c r="J1138" s="17">
        <v>7.0</v>
      </c>
      <c r="K1138" s="17">
        <v>740.0</v>
      </c>
      <c r="L1138" s="17">
        <v>470.0</v>
      </c>
      <c r="M1138" s="20">
        <v>20.0</v>
      </c>
      <c r="N1138" s="20">
        <v>1.0</v>
      </c>
      <c r="O1138" s="20">
        <v>4.0</v>
      </c>
      <c r="P1138" s="20">
        <f t="shared" si="2"/>
        <v>15</v>
      </c>
      <c r="Q1138" s="21">
        <v>22.0</v>
      </c>
      <c r="R1138" s="205">
        <f t="shared" si="3"/>
        <v>123.0261321</v>
      </c>
      <c r="S1138" s="19">
        <f t="shared" si="4"/>
        <v>4.339622642</v>
      </c>
      <c r="T1138" s="24">
        <f t="shared" si="5"/>
        <v>0.9090909091</v>
      </c>
      <c r="U1138" s="26">
        <f t="shared" si="6"/>
        <v>0.2727272727</v>
      </c>
      <c r="V1138" s="26">
        <f t="shared" si="7"/>
        <v>0.06926406926</v>
      </c>
      <c r="W1138" s="19">
        <f t="shared" si="8"/>
        <v>3.217391304</v>
      </c>
      <c r="X1138" s="20">
        <f t="shared" si="9"/>
        <v>460</v>
      </c>
      <c r="Y1138" s="27"/>
      <c r="Z1138" s="17"/>
      <c r="AA1138" s="17"/>
      <c r="AB1138" s="17"/>
      <c r="AC1138" s="17"/>
      <c r="AD1138" s="27"/>
    </row>
    <row r="1139" ht="15.75" customHeight="1">
      <c r="A1139" s="16" t="s">
        <v>2896</v>
      </c>
      <c r="B1139" s="16" t="s">
        <v>2944</v>
      </c>
      <c r="C1139" s="16" t="str">
        <f t="shared" si="11"/>
        <v>Firepot Porcini Mushroom Risotto</v>
      </c>
      <c r="D1139" s="17" t="s">
        <v>2846</v>
      </c>
      <c r="E1139" s="17" t="s">
        <v>2833</v>
      </c>
      <c r="F1139" s="17">
        <v>2.0</v>
      </c>
      <c r="G1139" s="19">
        <f t="shared" si="10"/>
        <v>3.174659165</v>
      </c>
      <c r="H1139" s="17">
        <v>90.0</v>
      </c>
      <c r="I1139" s="10">
        <v>390.0</v>
      </c>
      <c r="J1139" s="17">
        <v>6.0</v>
      </c>
      <c r="K1139" s="17">
        <v>560.0</v>
      </c>
      <c r="L1139" s="17">
        <v>480.0</v>
      </c>
      <c r="M1139" s="20">
        <v>77.0</v>
      </c>
      <c r="N1139" s="20">
        <v>4.0</v>
      </c>
      <c r="O1139" s="20">
        <v>4.0</v>
      </c>
      <c r="P1139" s="20">
        <f t="shared" si="2"/>
        <v>69</v>
      </c>
      <c r="Q1139" s="21">
        <v>9.0</v>
      </c>
      <c r="R1139" s="205">
        <f t="shared" si="3"/>
        <v>122.8478333</v>
      </c>
      <c r="S1139" s="19">
        <f t="shared" si="4"/>
        <v>4.333333333</v>
      </c>
      <c r="T1139" s="24">
        <f t="shared" si="5"/>
        <v>8.555555556</v>
      </c>
      <c r="U1139" s="26">
        <f t="shared" si="6"/>
        <v>0.135678392</v>
      </c>
      <c r="V1139" s="26">
        <f t="shared" si="7"/>
        <v>0.04020100503</v>
      </c>
      <c r="W1139" s="19">
        <f t="shared" si="8"/>
        <v>1.435897436</v>
      </c>
      <c r="X1139" s="20">
        <f t="shared" si="9"/>
        <v>780</v>
      </c>
      <c r="Y1139" s="27"/>
      <c r="Z1139" s="17"/>
      <c r="AA1139" s="17"/>
      <c r="AB1139" s="17"/>
      <c r="AC1139" s="17"/>
      <c r="AD1139" s="27"/>
    </row>
    <row r="1140" ht="15.75" customHeight="1">
      <c r="A1140" s="16" t="s">
        <v>2899</v>
      </c>
      <c r="B1140" s="16" t="s">
        <v>2945</v>
      </c>
      <c r="C1140" s="16" t="str">
        <f t="shared" si="11"/>
        <v>ReadyWise Old Country Pasta Alfredo with Chicken</v>
      </c>
      <c r="D1140" s="17" t="s">
        <v>2846</v>
      </c>
      <c r="E1140" s="17" t="s">
        <v>2833</v>
      </c>
      <c r="F1140" s="17">
        <v>2.5</v>
      </c>
      <c r="G1140" s="19">
        <f t="shared" si="10"/>
        <v>2.116439443</v>
      </c>
      <c r="H1140" s="17">
        <v>60.0</v>
      </c>
      <c r="I1140" s="10">
        <v>260.0</v>
      </c>
      <c r="J1140" s="17">
        <v>8.0</v>
      </c>
      <c r="K1140" s="17">
        <v>530.0</v>
      </c>
      <c r="L1140" s="17">
        <v>340.0</v>
      </c>
      <c r="M1140" s="20">
        <v>32.0</v>
      </c>
      <c r="N1140" s="20">
        <v>1.0</v>
      </c>
      <c r="O1140" s="20">
        <v>2.0</v>
      </c>
      <c r="P1140" s="20">
        <f t="shared" si="2"/>
        <v>29</v>
      </c>
      <c r="Q1140" s="21">
        <v>14.0</v>
      </c>
      <c r="R1140" s="205">
        <f t="shared" si="3"/>
        <v>122.8478333</v>
      </c>
      <c r="S1140" s="19">
        <f t="shared" si="4"/>
        <v>4.333333333</v>
      </c>
      <c r="T1140" s="24">
        <f t="shared" si="5"/>
        <v>2.285714286</v>
      </c>
      <c r="U1140" s="26">
        <f t="shared" si="6"/>
        <v>0.28125</v>
      </c>
      <c r="V1140" s="26">
        <f t="shared" si="7"/>
        <v>0.03125</v>
      </c>
      <c r="W1140" s="19">
        <f t="shared" si="8"/>
        <v>2.038461538</v>
      </c>
      <c r="X1140" s="20">
        <f t="shared" si="9"/>
        <v>650</v>
      </c>
      <c r="Y1140" s="27"/>
      <c r="Z1140" s="17"/>
      <c r="AA1140" s="17"/>
      <c r="AB1140" s="17"/>
      <c r="AC1140" s="17"/>
      <c r="AD1140" s="27"/>
    </row>
    <row r="1141" ht="15.75" customHeight="1">
      <c r="A1141" s="16" t="s">
        <v>1402</v>
      </c>
      <c r="B1141" s="16" t="s">
        <v>2946</v>
      </c>
      <c r="C1141" s="16" t="str">
        <f t="shared" si="11"/>
        <v>Backpacker's Pantry Rocky Mountain Scramble</v>
      </c>
      <c r="D1141" s="17" t="s">
        <v>92</v>
      </c>
      <c r="E1141" s="17" t="s">
        <v>2833</v>
      </c>
      <c r="F1141" s="17">
        <v>1.0</v>
      </c>
      <c r="G1141" s="19">
        <f t="shared" si="10"/>
        <v>2.363357378</v>
      </c>
      <c r="H1141" s="17">
        <v>67.0</v>
      </c>
      <c r="I1141" s="10">
        <v>290.0</v>
      </c>
      <c r="J1141" s="17">
        <v>12.0</v>
      </c>
      <c r="K1141" s="17">
        <v>920.0</v>
      </c>
      <c r="L1141" s="17">
        <v>676.0</v>
      </c>
      <c r="M1141" s="20">
        <v>26.0</v>
      </c>
      <c r="N1141" s="20">
        <v>3.0</v>
      </c>
      <c r="O1141" s="20">
        <v>6.0</v>
      </c>
      <c r="P1141" s="20">
        <f t="shared" si="2"/>
        <v>17</v>
      </c>
      <c r="Q1141" s="21">
        <v>19.0</v>
      </c>
      <c r="R1141" s="205">
        <f t="shared" si="3"/>
        <v>122.706791</v>
      </c>
      <c r="S1141" s="19">
        <f t="shared" si="4"/>
        <v>4.328358209</v>
      </c>
      <c r="T1141" s="24">
        <f t="shared" si="5"/>
        <v>1.368421053</v>
      </c>
      <c r="U1141" s="26">
        <f t="shared" si="6"/>
        <v>0.375</v>
      </c>
      <c r="V1141" s="26">
        <f t="shared" si="7"/>
        <v>0.08333333333</v>
      </c>
      <c r="W1141" s="19">
        <f t="shared" si="8"/>
        <v>3.172413793</v>
      </c>
      <c r="X1141" s="20">
        <f t="shared" si="9"/>
        <v>290</v>
      </c>
      <c r="Y1141" s="27"/>
      <c r="Z1141" s="17"/>
      <c r="AA1141" s="17"/>
      <c r="AB1141" s="17"/>
      <c r="AC1141" s="17"/>
      <c r="AD1141" s="27"/>
    </row>
    <row r="1142" ht="15.75" customHeight="1">
      <c r="A1142" s="16" t="s">
        <v>2899</v>
      </c>
      <c r="B1142" s="16" t="s">
        <v>2947</v>
      </c>
      <c r="C1142" s="16" t="str">
        <f t="shared" si="11"/>
        <v>ReadyWise Still Lake Lasagna with Sausage</v>
      </c>
      <c r="D1142" s="17" t="s">
        <v>2846</v>
      </c>
      <c r="E1142" s="17" t="s">
        <v>2833</v>
      </c>
      <c r="F1142" s="17">
        <v>2.5</v>
      </c>
      <c r="G1142" s="19">
        <f t="shared" si="10"/>
        <v>2.363357378</v>
      </c>
      <c r="H1142" s="17">
        <v>67.0</v>
      </c>
      <c r="I1142" s="10">
        <v>290.0</v>
      </c>
      <c r="J1142" s="17">
        <v>10.0</v>
      </c>
      <c r="K1142" s="17">
        <v>730.0</v>
      </c>
      <c r="L1142" s="17">
        <v>510.0</v>
      </c>
      <c r="M1142" s="20">
        <v>34.0</v>
      </c>
      <c r="N1142" s="20">
        <v>2.0</v>
      </c>
      <c r="O1142" s="20">
        <v>5.0</v>
      </c>
      <c r="P1142" s="20">
        <f t="shared" si="2"/>
        <v>27</v>
      </c>
      <c r="Q1142" s="21">
        <v>13.0</v>
      </c>
      <c r="R1142" s="205">
        <f t="shared" si="3"/>
        <v>122.706791</v>
      </c>
      <c r="S1142" s="19">
        <f t="shared" si="4"/>
        <v>4.328358209</v>
      </c>
      <c r="T1142" s="24">
        <f t="shared" si="5"/>
        <v>2.615384615</v>
      </c>
      <c r="U1142" s="26">
        <f t="shared" si="6"/>
        <v>0.3237410072</v>
      </c>
      <c r="V1142" s="26">
        <f t="shared" si="7"/>
        <v>0.07194244604</v>
      </c>
      <c r="W1142" s="19">
        <f t="shared" si="8"/>
        <v>2.517241379</v>
      </c>
      <c r="X1142" s="20">
        <f t="shared" si="9"/>
        <v>725</v>
      </c>
      <c r="Y1142" s="27"/>
      <c r="Z1142" s="17"/>
      <c r="AA1142" s="17"/>
      <c r="AB1142" s="17"/>
      <c r="AC1142" s="17"/>
      <c r="AD1142" s="27"/>
    </row>
    <row r="1143" ht="15.75" customHeight="1">
      <c r="A1143" s="16" t="s">
        <v>2899</v>
      </c>
      <c r="B1143" s="16" t="s">
        <v>2948</v>
      </c>
      <c r="C1143" s="16" t="str">
        <f t="shared" si="11"/>
        <v>ReadyWise Trail Treats Mango Sticky Rice</v>
      </c>
      <c r="D1143" s="17" t="s">
        <v>478</v>
      </c>
      <c r="E1143" s="17" t="s">
        <v>2833</v>
      </c>
      <c r="F1143" s="17">
        <v>2.0</v>
      </c>
      <c r="G1143" s="19">
        <f t="shared" si="10"/>
        <v>2.857193249</v>
      </c>
      <c r="H1143" s="17">
        <v>81.0</v>
      </c>
      <c r="I1143" s="10">
        <v>350.0</v>
      </c>
      <c r="J1143" s="17">
        <v>11.0</v>
      </c>
      <c r="K1143" s="17">
        <v>45.0</v>
      </c>
      <c r="L1143" s="17">
        <v>40.0</v>
      </c>
      <c r="M1143" s="20">
        <v>59.0</v>
      </c>
      <c r="N1143" s="20">
        <v>1.0</v>
      </c>
      <c r="O1143" s="20">
        <v>20.0</v>
      </c>
      <c r="P1143" s="20">
        <f t="shared" si="2"/>
        <v>38</v>
      </c>
      <c r="Q1143" s="21">
        <v>4.0</v>
      </c>
      <c r="R1143" s="205">
        <f t="shared" si="3"/>
        <v>122.4978395</v>
      </c>
      <c r="S1143" s="19">
        <f t="shared" si="4"/>
        <v>4.320987654</v>
      </c>
      <c r="T1143" s="24">
        <f t="shared" si="5"/>
        <v>14.75</v>
      </c>
      <c r="U1143" s="26">
        <f t="shared" si="6"/>
        <v>0.2820512821</v>
      </c>
      <c r="V1143" s="26">
        <f t="shared" si="7"/>
        <v>0.2279202279</v>
      </c>
      <c r="W1143" s="19">
        <f t="shared" si="8"/>
        <v>0.1285714286</v>
      </c>
      <c r="X1143" s="20">
        <f t="shared" si="9"/>
        <v>700</v>
      </c>
      <c r="Y1143" s="27"/>
      <c r="Z1143" s="17"/>
      <c r="AA1143" s="17"/>
      <c r="AB1143" s="17"/>
      <c r="AC1143" s="17"/>
      <c r="AD1143" s="27"/>
    </row>
    <row r="1144" ht="15.75" customHeight="1">
      <c r="A1144" s="16" t="s">
        <v>2931</v>
      </c>
      <c r="B1144" s="16" t="s">
        <v>2949</v>
      </c>
      <c r="C1144" s="16" t="str">
        <f t="shared" si="11"/>
        <v>Good To-Go Herbed Mushroom Risotto</v>
      </c>
      <c r="D1144" s="17" t="s">
        <v>2846</v>
      </c>
      <c r="E1144" s="17" t="s">
        <v>2833</v>
      </c>
      <c r="F1144" s="17">
        <v>2.0</v>
      </c>
      <c r="G1144" s="19">
        <f t="shared" si="10"/>
        <v>3.351029119</v>
      </c>
      <c r="H1144" s="17">
        <v>95.0</v>
      </c>
      <c r="I1144" s="10">
        <v>410.0</v>
      </c>
      <c r="J1144" s="17">
        <v>10.0</v>
      </c>
      <c r="K1144" s="17">
        <v>420.0</v>
      </c>
      <c r="L1144" s="17">
        <v>641.0</v>
      </c>
      <c r="M1144" s="20">
        <v>64.0</v>
      </c>
      <c r="N1144" s="20">
        <v>4.0</v>
      </c>
      <c r="O1144" s="20">
        <v>3.0</v>
      </c>
      <c r="P1144" s="20">
        <f t="shared" si="2"/>
        <v>57</v>
      </c>
      <c r="Q1144" s="21">
        <v>13.0</v>
      </c>
      <c r="R1144" s="205">
        <f t="shared" si="3"/>
        <v>122.3504737</v>
      </c>
      <c r="S1144" s="19">
        <f t="shared" si="4"/>
        <v>4.315789474</v>
      </c>
      <c r="T1144" s="24">
        <f t="shared" si="5"/>
        <v>4.923076923</v>
      </c>
      <c r="U1144" s="26">
        <f t="shared" si="6"/>
        <v>0.2261306533</v>
      </c>
      <c r="V1144" s="26">
        <f t="shared" si="7"/>
        <v>0.03015075377</v>
      </c>
      <c r="W1144" s="19">
        <f t="shared" si="8"/>
        <v>1.024390244</v>
      </c>
      <c r="X1144" s="20">
        <f t="shared" si="9"/>
        <v>820</v>
      </c>
      <c r="Y1144" s="27"/>
      <c r="Z1144" s="17"/>
      <c r="AA1144" s="17"/>
      <c r="AB1144" s="17"/>
      <c r="AC1144" s="17"/>
      <c r="AD1144" s="27"/>
    </row>
    <row r="1145" ht="15.75" customHeight="1">
      <c r="A1145" s="16" t="s">
        <v>2832</v>
      </c>
      <c r="B1145" s="16" t="s">
        <v>2950</v>
      </c>
      <c r="C1145" s="16" t="str">
        <f t="shared" si="11"/>
        <v>PackIt Gourmet Trailside Bean &amp; Cheese Burrito (BYOB)</v>
      </c>
      <c r="D1145" s="17" t="s">
        <v>2846</v>
      </c>
      <c r="E1145" s="17" t="s">
        <v>2833</v>
      </c>
      <c r="F1145" s="17">
        <v>1.0</v>
      </c>
      <c r="G1145" s="19">
        <f t="shared" si="10"/>
        <v>3.351029119</v>
      </c>
      <c r="H1145" s="17">
        <v>95.0</v>
      </c>
      <c r="I1145" s="10">
        <v>410.0</v>
      </c>
      <c r="J1145" s="17">
        <v>19.0</v>
      </c>
      <c r="K1145" s="17">
        <v>1110.0</v>
      </c>
      <c r="L1145" s="17">
        <v>50.0</v>
      </c>
      <c r="M1145" s="20">
        <v>42.0</v>
      </c>
      <c r="N1145" s="20">
        <v>11.0</v>
      </c>
      <c r="O1145" s="20">
        <v>3.0</v>
      </c>
      <c r="P1145" s="20">
        <f t="shared" si="2"/>
        <v>28</v>
      </c>
      <c r="Q1145" s="21">
        <v>23.0</v>
      </c>
      <c r="R1145" s="205">
        <f t="shared" si="3"/>
        <v>122.3504737</v>
      </c>
      <c r="S1145" s="19">
        <f t="shared" si="4"/>
        <v>4.315789474</v>
      </c>
      <c r="T1145" s="24">
        <f t="shared" si="5"/>
        <v>1.826086957</v>
      </c>
      <c r="U1145" s="26">
        <f t="shared" si="6"/>
        <v>0.3967517401</v>
      </c>
      <c r="V1145" s="26">
        <f t="shared" si="7"/>
        <v>0.02784222738</v>
      </c>
      <c r="W1145" s="19">
        <f t="shared" si="8"/>
        <v>2.707317073</v>
      </c>
      <c r="X1145" s="20">
        <f t="shared" si="9"/>
        <v>410</v>
      </c>
      <c r="Y1145" s="27"/>
      <c r="Z1145" s="17"/>
      <c r="AA1145" s="17"/>
      <c r="AB1145" s="17"/>
      <c r="AC1145" s="17"/>
      <c r="AD1145" s="27"/>
    </row>
    <row r="1146" ht="15.75" customHeight="1">
      <c r="A1146" s="16" t="s">
        <v>1526</v>
      </c>
      <c r="B1146" s="16" t="s">
        <v>2951</v>
      </c>
      <c r="C1146" s="16" t="str">
        <f t="shared" si="11"/>
        <v>Mountain House Lasagna with Meat Sauce</v>
      </c>
      <c r="D1146" s="17" t="s">
        <v>2846</v>
      </c>
      <c r="E1146" s="17" t="s">
        <v>2833</v>
      </c>
      <c r="F1146" s="17">
        <v>2.0</v>
      </c>
      <c r="G1146" s="19">
        <f t="shared" si="10"/>
        <v>1.798973527</v>
      </c>
      <c r="H1146" s="17">
        <v>51.0</v>
      </c>
      <c r="I1146" s="10">
        <v>220.0</v>
      </c>
      <c r="J1146" s="17">
        <v>6.0</v>
      </c>
      <c r="K1146" s="17">
        <v>600.0</v>
      </c>
      <c r="L1146" s="17">
        <v>554.0</v>
      </c>
      <c r="M1146" s="20">
        <v>30.0</v>
      </c>
      <c r="N1146" s="20">
        <v>3.0</v>
      </c>
      <c r="O1146" s="20">
        <v>7.0</v>
      </c>
      <c r="P1146" s="20">
        <f t="shared" si="2"/>
        <v>20</v>
      </c>
      <c r="Q1146" s="21">
        <v>11.0</v>
      </c>
      <c r="R1146" s="205">
        <f t="shared" si="3"/>
        <v>122.2919608</v>
      </c>
      <c r="S1146" s="19">
        <f t="shared" si="4"/>
        <v>4.31372549</v>
      </c>
      <c r="T1146" s="24">
        <f t="shared" si="5"/>
        <v>2.727272727</v>
      </c>
      <c r="U1146" s="26">
        <f t="shared" si="6"/>
        <v>0.247706422</v>
      </c>
      <c r="V1146" s="26">
        <f t="shared" si="7"/>
        <v>0.128440367</v>
      </c>
      <c r="W1146" s="19">
        <f t="shared" si="8"/>
        <v>2.727272727</v>
      </c>
      <c r="X1146" s="20">
        <f t="shared" si="9"/>
        <v>440</v>
      </c>
      <c r="Y1146" s="27"/>
      <c r="Z1146" s="17"/>
      <c r="AA1146" s="17"/>
      <c r="AB1146" s="17"/>
      <c r="AC1146" s="17"/>
      <c r="AD1146" s="27"/>
    </row>
    <row r="1147" ht="15.75" customHeight="1">
      <c r="A1147" s="211" t="s">
        <v>1526</v>
      </c>
      <c r="B1147" s="211" t="s">
        <v>2952</v>
      </c>
      <c r="C1147" s="16" t="str">
        <f t="shared" si="11"/>
        <v>Mountain House Chicken a la King</v>
      </c>
      <c r="D1147" s="162" t="s">
        <v>2846</v>
      </c>
      <c r="E1147" s="17" t="s">
        <v>2833</v>
      </c>
      <c r="F1147" s="162">
        <v>3.0</v>
      </c>
      <c r="G1147" s="212">
        <f t="shared" si="10"/>
        <v>2.292809397</v>
      </c>
      <c r="H1147" s="162">
        <v>65.0</v>
      </c>
      <c r="I1147" s="213">
        <v>280.0</v>
      </c>
      <c r="J1147" s="162">
        <v>10.0</v>
      </c>
      <c r="K1147" s="162">
        <v>740.0</v>
      </c>
      <c r="L1147" s="162"/>
      <c r="M1147" s="214">
        <v>29.0</v>
      </c>
      <c r="N1147" s="214">
        <v>1.0</v>
      </c>
      <c r="O1147" s="214">
        <v>5.0</v>
      </c>
      <c r="P1147" s="214">
        <f t="shared" si="2"/>
        <v>23</v>
      </c>
      <c r="Q1147" s="215">
        <v>18.0</v>
      </c>
      <c r="R1147" s="205">
        <f t="shared" si="3"/>
        <v>122.1209231</v>
      </c>
      <c r="S1147" s="19">
        <f t="shared" si="4"/>
        <v>4.307692308</v>
      </c>
      <c r="T1147" s="24">
        <f t="shared" si="5"/>
        <v>1.611111111</v>
      </c>
      <c r="U1147" s="26">
        <f t="shared" si="6"/>
        <v>0.3237410072</v>
      </c>
      <c r="V1147" s="26">
        <f t="shared" si="7"/>
        <v>0.07194244604</v>
      </c>
      <c r="W1147" s="19">
        <f t="shared" si="8"/>
        <v>2.642857143</v>
      </c>
      <c r="X1147" s="214">
        <f t="shared" si="9"/>
        <v>840</v>
      </c>
      <c r="Y1147" s="27"/>
      <c r="Z1147" s="17"/>
      <c r="AA1147" s="17"/>
      <c r="AB1147" s="17"/>
      <c r="AC1147" s="17"/>
      <c r="AD1147" s="27"/>
    </row>
    <row r="1148" ht="15.75" customHeight="1">
      <c r="A1148" s="16" t="s">
        <v>1526</v>
      </c>
      <c r="B1148" s="16" t="s">
        <v>2953</v>
      </c>
      <c r="C1148" s="16" t="str">
        <f t="shared" si="11"/>
        <v>Mountain House Homestyle Chicken Noodle Casserole</v>
      </c>
      <c r="D1148" s="17" t="s">
        <v>2846</v>
      </c>
      <c r="E1148" s="17" t="s">
        <v>2833</v>
      </c>
      <c r="F1148" s="17">
        <v>2.0</v>
      </c>
      <c r="G1148" s="19">
        <f t="shared" si="10"/>
        <v>2.292809397</v>
      </c>
      <c r="H1148" s="17">
        <v>65.0</v>
      </c>
      <c r="I1148" s="10">
        <v>280.0</v>
      </c>
      <c r="J1148" s="17">
        <v>9.0</v>
      </c>
      <c r="K1148" s="17">
        <v>650.0</v>
      </c>
      <c r="L1148" s="17">
        <v>413.0</v>
      </c>
      <c r="M1148" s="20">
        <v>31.0</v>
      </c>
      <c r="N1148" s="20">
        <v>1.0</v>
      </c>
      <c r="O1148" s="20">
        <v>6.0</v>
      </c>
      <c r="P1148" s="20">
        <f t="shared" si="2"/>
        <v>24</v>
      </c>
      <c r="Q1148" s="21">
        <v>18.0</v>
      </c>
      <c r="R1148" s="205">
        <f t="shared" si="3"/>
        <v>122.1209231</v>
      </c>
      <c r="S1148" s="19">
        <f t="shared" si="4"/>
        <v>4.307692308</v>
      </c>
      <c r="T1148" s="24">
        <f t="shared" si="5"/>
        <v>1.722222222</v>
      </c>
      <c r="U1148" s="26">
        <f t="shared" si="6"/>
        <v>0.2924187726</v>
      </c>
      <c r="V1148" s="26">
        <f t="shared" si="7"/>
        <v>0.08664259928</v>
      </c>
      <c r="W1148" s="19">
        <f t="shared" si="8"/>
        <v>2.321428571</v>
      </c>
      <c r="X1148" s="20">
        <f t="shared" si="9"/>
        <v>560</v>
      </c>
      <c r="Y1148" s="27"/>
      <c r="Z1148" s="17"/>
      <c r="AA1148" s="17"/>
      <c r="AB1148" s="17"/>
      <c r="AC1148" s="17"/>
      <c r="AD1148" s="27"/>
    </row>
    <row r="1149" ht="15.75" customHeight="1">
      <c r="A1149" s="16" t="s">
        <v>1526</v>
      </c>
      <c r="B1149" s="16" t="s">
        <v>2954</v>
      </c>
      <c r="C1149" s="16" t="str">
        <f t="shared" si="11"/>
        <v>Mountain House Mexican Adobo Rice &amp; Chicken</v>
      </c>
      <c r="D1149" s="17" t="s">
        <v>2846</v>
      </c>
      <c r="E1149" s="17" t="s">
        <v>2833</v>
      </c>
      <c r="F1149" s="17">
        <v>2.0</v>
      </c>
      <c r="G1149" s="19">
        <f t="shared" si="10"/>
        <v>2.292809397</v>
      </c>
      <c r="H1149" s="17">
        <v>65.0</v>
      </c>
      <c r="I1149" s="10">
        <v>280.0</v>
      </c>
      <c r="J1149" s="17">
        <v>7.0</v>
      </c>
      <c r="K1149" s="17">
        <v>490.0</v>
      </c>
      <c r="L1149" s="17">
        <v>524.0</v>
      </c>
      <c r="M1149" s="20">
        <v>40.0</v>
      </c>
      <c r="N1149" s="20">
        <v>5.0</v>
      </c>
      <c r="O1149" s="20">
        <v>3.0</v>
      </c>
      <c r="P1149" s="20">
        <f t="shared" si="2"/>
        <v>32</v>
      </c>
      <c r="Q1149" s="21">
        <v>15.0</v>
      </c>
      <c r="R1149" s="205">
        <f t="shared" si="3"/>
        <v>122.1209231</v>
      </c>
      <c r="S1149" s="19">
        <f t="shared" si="4"/>
        <v>4.307692308</v>
      </c>
      <c r="T1149" s="24">
        <f t="shared" si="5"/>
        <v>2.666666667</v>
      </c>
      <c r="U1149" s="26">
        <f t="shared" si="6"/>
        <v>0.222614841</v>
      </c>
      <c r="V1149" s="26">
        <f t="shared" si="7"/>
        <v>0.04240282686</v>
      </c>
      <c r="W1149" s="19">
        <f t="shared" si="8"/>
        <v>1.75</v>
      </c>
      <c r="X1149" s="20">
        <f t="shared" si="9"/>
        <v>560</v>
      </c>
      <c r="Y1149" s="27"/>
      <c r="Z1149" s="17"/>
      <c r="AA1149" s="17"/>
      <c r="AB1149" s="17"/>
      <c r="AC1149" s="17"/>
      <c r="AD1149" s="27"/>
    </row>
    <row r="1150" ht="15.75" customHeight="1">
      <c r="A1150" s="16" t="s">
        <v>2832</v>
      </c>
      <c r="B1150" s="16" t="s">
        <v>2955</v>
      </c>
      <c r="C1150" s="16" t="str">
        <f t="shared" si="11"/>
        <v>PackIt Gourmet Polenta with Pork Sausage</v>
      </c>
      <c r="D1150" s="17" t="s">
        <v>92</v>
      </c>
      <c r="E1150" s="17" t="s">
        <v>2833</v>
      </c>
      <c r="F1150" s="17">
        <v>1.0</v>
      </c>
      <c r="G1150" s="19">
        <f t="shared" si="10"/>
        <v>3.033563202</v>
      </c>
      <c r="H1150" s="17">
        <v>86.0</v>
      </c>
      <c r="I1150" s="10">
        <v>370.0</v>
      </c>
      <c r="J1150" s="17">
        <v>14.0</v>
      </c>
      <c r="K1150" s="17">
        <v>870.0</v>
      </c>
      <c r="L1150" s="17">
        <v>110.0</v>
      </c>
      <c r="M1150" s="20">
        <v>48.0</v>
      </c>
      <c r="N1150" s="20">
        <v>5.0</v>
      </c>
      <c r="O1150" s="20">
        <v>10.0</v>
      </c>
      <c r="P1150" s="20">
        <f t="shared" si="2"/>
        <v>33</v>
      </c>
      <c r="Q1150" s="21">
        <v>14.0</v>
      </c>
      <c r="R1150" s="205">
        <f t="shared" si="3"/>
        <v>121.9687791</v>
      </c>
      <c r="S1150" s="19">
        <f t="shared" si="4"/>
        <v>4.302325581</v>
      </c>
      <c r="T1150" s="24">
        <f t="shared" si="5"/>
        <v>3.428571429</v>
      </c>
      <c r="U1150" s="26">
        <f t="shared" si="6"/>
        <v>0.3368983957</v>
      </c>
      <c r="V1150" s="26">
        <f t="shared" si="7"/>
        <v>0.1069518717</v>
      </c>
      <c r="W1150" s="19">
        <f t="shared" si="8"/>
        <v>2.351351351</v>
      </c>
      <c r="X1150" s="20">
        <f t="shared" si="9"/>
        <v>370</v>
      </c>
      <c r="Y1150" s="27"/>
      <c r="Z1150" s="17"/>
      <c r="AA1150" s="17"/>
      <c r="AB1150" s="17"/>
      <c r="AC1150" s="17"/>
      <c r="AD1150" s="27"/>
    </row>
    <row r="1151" ht="15.75" customHeight="1">
      <c r="A1151" s="16" t="s">
        <v>2931</v>
      </c>
      <c r="B1151" s="16" t="s">
        <v>2956</v>
      </c>
      <c r="C1151" s="16" t="str">
        <f t="shared" si="11"/>
        <v>Good To-Go Classic Marinara with Pasta</v>
      </c>
      <c r="D1151" s="17" t="s">
        <v>2846</v>
      </c>
      <c r="E1151" s="17" t="s">
        <v>2833</v>
      </c>
      <c r="F1151" s="17">
        <v>2.0</v>
      </c>
      <c r="G1151" s="19">
        <f t="shared" si="10"/>
        <v>3.527399072</v>
      </c>
      <c r="H1151" s="17">
        <v>100.0</v>
      </c>
      <c r="I1151" s="10">
        <v>430.0</v>
      </c>
      <c r="J1151" s="17">
        <v>11.0</v>
      </c>
      <c r="K1151" s="17">
        <v>300.0</v>
      </c>
      <c r="L1151" s="17">
        <v>927.0</v>
      </c>
      <c r="M1151" s="20">
        <v>74.0</v>
      </c>
      <c r="N1151" s="20">
        <v>7.0</v>
      </c>
      <c r="O1151" s="20">
        <v>14.0</v>
      </c>
      <c r="P1151" s="20">
        <f t="shared" si="2"/>
        <v>53</v>
      </c>
      <c r="Q1151" s="21">
        <v>11.0</v>
      </c>
      <c r="R1151" s="205">
        <f t="shared" si="3"/>
        <v>121.90285</v>
      </c>
      <c r="S1151" s="19">
        <f t="shared" si="4"/>
        <v>4.3</v>
      </c>
      <c r="T1151" s="24">
        <f t="shared" si="5"/>
        <v>6.727272727</v>
      </c>
      <c r="U1151" s="26">
        <f t="shared" si="6"/>
        <v>0.2255125285</v>
      </c>
      <c r="V1151" s="26">
        <f t="shared" si="7"/>
        <v>0.1275626424</v>
      </c>
      <c r="W1151" s="19">
        <f t="shared" si="8"/>
        <v>0.6976744186</v>
      </c>
      <c r="X1151" s="20">
        <f t="shared" si="9"/>
        <v>860</v>
      </c>
      <c r="Y1151" s="27"/>
      <c r="Z1151" s="17"/>
      <c r="AA1151" s="17"/>
      <c r="AB1151" s="17"/>
      <c r="AC1151" s="17"/>
      <c r="AD1151" s="27"/>
    </row>
    <row r="1152" ht="15.75" customHeight="1">
      <c r="A1152" s="16" t="s">
        <v>2832</v>
      </c>
      <c r="B1152" s="16" t="s">
        <v>2957</v>
      </c>
      <c r="C1152" s="16" t="str">
        <f t="shared" si="11"/>
        <v>PackIt Gourmet Pumpkin Cheesecake</v>
      </c>
      <c r="D1152" s="17" t="s">
        <v>478</v>
      </c>
      <c r="E1152" s="17" t="s">
        <v>2839</v>
      </c>
      <c r="F1152" s="17">
        <v>1.0</v>
      </c>
      <c r="G1152" s="19">
        <f t="shared" si="10"/>
        <v>5.185276636</v>
      </c>
      <c r="H1152" s="17">
        <v>147.0</v>
      </c>
      <c r="I1152" s="10">
        <v>630.0</v>
      </c>
      <c r="J1152" s="17">
        <v>20.0</v>
      </c>
      <c r="K1152" s="17">
        <v>1180.0</v>
      </c>
      <c r="L1152" s="17">
        <v>500.0</v>
      </c>
      <c r="M1152" s="20">
        <v>96.0</v>
      </c>
      <c r="N1152" s="20">
        <v>0.0</v>
      </c>
      <c r="O1152" s="20">
        <v>80.0</v>
      </c>
      <c r="P1152" s="20">
        <f t="shared" si="2"/>
        <v>16</v>
      </c>
      <c r="Q1152" s="21">
        <v>14.0</v>
      </c>
      <c r="R1152" s="205">
        <f t="shared" si="3"/>
        <v>121.4978571</v>
      </c>
      <c r="S1152" s="19">
        <f t="shared" si="4"/>
        <v>4.285714286</v>
      </c>
      <c r="T1152" s="24">
        <f t="shared" si="5"/>
        <v>6.857142857</v>
      </c>
      <c r="U1152" s="26">
        <f t="shared" si="6"/>
        <v>0.2903225806</v>
      </c>
      <c r="V1152" s="26">
        <f t="shared" si="7"/>
        <v>0.5161290323</v>
      </c>
      <c r="W1152" s="19">
        <f t="shared" si="8"/>
        <v>1.873015873</v>
      </c>
      <c r="X1152" s="20">
        <f t="shared" si="9"/>
        <v>630</v>
      </c>
      <c r="Y1152" s="27"/>
      <c r="Z1152" s="17"/>
      <c r="AA1152" s="17"/>
      <c r="AB1152" s="17"/>
      <c r="AC1152" s="17"/>
      <c r="AD1152" s="27"/>
    </row>
    <row r="1153" ht="15.75" customHeight="1">
      <c r="A1153" s="16" t="s">
        <v>2832</v>
      </c>
      <c r="B1153" s="16" t="s">
        <v>2958</v>
      </c>
      <c r="C1153" s="16" t="str">
        <f t="shared" si="11"/>
        <v>PackIt Gourmet Mom's Banana Puddin'</v>
      </c>
      <c r="D1153" s="17" t="s">
        <v>478</v>
      </c>
      <c r="E1153" s="17" t="s">
        <v>2839</v>
      </c>
      <c r="F1153" s="17">
        <v>1.0</v>
      </c>
      <c r="G1153" s="19">
        <f t="shared" si="10"/>
        <v>3.88013898</v>
      </c>
      <c r="H1153" s="17">
        <v>110.0</v>
      </c>
      <c r="I1153" s="10">
        <v>470.0</v>
      </c>
      <c r="J1153" s="17">
        <v>17.0</v>
      </c>
      <c r="K1153" s="17">
        <v>700.0</v>
      </c>
      <c r="L1153" s="17">
        <v>100.0</v>
      </c>
      <c r="M1153" s="20">
        <v>73.0</v>
      </c>
      <c r="N1153" s="20">
        <v>2.0</v>
      </c>
      <c r="O1153" s="20">
        <v>51.0</v>
      </c>
      <c r="P1153" s="20">
        <f t="shared" si="2"/>
        <v>20</v>
      </c>
      <c r="Q1153" s="21">
        <v>8.0</v>
      </c>
      <c r="R1153" s="205">
        <f t="shared" si="3"/>
        <v>121.1296818</v>
      </c>
      <c r="S1153" s="19">
        <f t="shared" si="4"/>
        <v>4.272727273</v>
      </c>
      <c r="T1153" s="24">
        <f t="shared" si="5"/>
        <v>9.125</v>
      </c>
      <c r="U1153" s="26">
        <f t="shared" si="6"/>
        <v>0.320754717</v>
      </c>
      <c r="V1153" s="26">
        <f t="shared" si="7"/>
        <v>0.427672956</v>
      </c>
      <c r="W1153" s="19">
        <f t="shared" si="8"/>
        <v>1.489361702</v>
      </c>
      <c r="X1153" s="20">
        <f t="shared" si="9"/>
        <v>470</v>
      </c>
      <c r="Y1153" s="27"/>
      <c r="Z1153" s="17"/>
      <c r="AA1153" s="17"/>
      <c r="AB1153" s="17"/>
      <c r="AC1153" s="17"/>
      <c r="AD1153" s="27"/>
    </row>
    <row r="1154" ht="15.75" customHeight="1">
      <c r="A1154" s="16" t="s">
        <v>2931</v>
      </c>
      <c r="B1154" s="16" t="s">
        <v>2959</v>
      </c>
      <c r="C1154" s="16" t="str">
        <f t="shared" si="11"/>
        <v>Good To-Go Granola</v>
      </c>
      <c r="D1154" s="17" t="s">
        <v>92</v>
      </c>
      <c r="E1154" s="17" t="s">
        <v>2839</v>
      </c>
      <c r="F1154" s="17">
        <v>1.0</v>
      </c>
      <c r="G1154" s="19">
        <f t="shared" si="10"/>
        <v>4.797262738</v>
      </c>
      <c r="H1154" s="17">
        <v>136.0</v>
      </c>
      <c r="I1154" s="10">
        <v>580.0</v>
      </c>
      <c r="J1154" s="17">
        <v>24.0</v>
      </c>
      <c r="K1154" s="17">
        <v>220.0</v>
      </c>
      <c r="L1154" s="17">
        <v>375.0</v>
      </c>
      <c r="M1154" s="20">
        <v>74.0</v>
      </c>
      <c r="N1154" s="20">
        <v>12.0</v>
      </c>
      <c r="O1154" s="20">
        <v>29.0</v>
      </c>
      <c r="P1154" s="20">
        <f t="shared" si="2"/>
        <v>33</v>
      </c>
      <c r="Q1154" s="21">
        <v>17.0</v>
      </c>
      <c r="R1154" s="205">
        <f t="shared" si="3"/>
        <v>120.9022794</v>
      </c>
      <c r="S1154" s="19">
        <f t="shared" si="4"/>
        <v>4.264705882</v>
      </c>
      <c r="T1154" s="24">
        <f t="shared" si="5"/>
        <v>4.352941176</v>
      </c>
      <c r="U1154" s="26">
        <f t="shared" si="6"/>
        <v>0.3724137931</v>
      </c>
      <c r="V1154" s="26">
        <f t="shared" si="7"/>
        <v>0.2</v>
      </c>
      <c r="W1154" s="19">
        <f t="shared" si="8"/>
        <v>0.3793103448</v>
      </c>
      <c r="X1154" s="20">
        <f t="shared" si="9"/>
        <v>580</v>
      </c>
      <c r="Y1154" s="27"/>
      <c r="Z1154" s="17"/>
      <c r="AA1154" s="17"/>
      <c r="AB1154" s="17"/>
      <c r="AC1154" s="17"/>
      <c r="AD1154" s="27"/>
    </row>
    <row r="1155" ht="15.75" customHeight="1">
      <c r="A1155" s="184" t="s">
        <v>1526</v>
      </c>
      <c r="B1155" s="184" t="s">
        <v>2960</v>
      </c>
      <c r="C1155" s="16" t="str">
        <f t="shared" si="11"/>
        <v>Mountain House Spaghetti w/Meat Sauce (LRP)</v>
      </c>
      <c r="D1155" s="206" t="s">
        <v>2846</v>
      </c>
      <c r="E1155" s="17" t="s">
        <v>2833</v>
      </c>
      <c r="F1155" s="206">
        <v>1.0</v>
      </c>
      <c r="G1155" s="207">
        <f t="shared" si="10"/>
        <v>4.303426868</v>
      </c>
      <c r="H1155" s="206">
        <v>122.0</v>
      </c>
      <c r="I1155" s="208">
        <v>520.0</v>
      </c>
      <c r="J1155" s="206">
        <v>11.0</v>
      </c>
      <c r="K1155" s="206">
        <v>1330.0</v>
      </c>
      <c r="L1155" s="206"/>
      <c r="M1155" s="209">
        <v>75.0</v>
      </c>
      <c r="N1155" s="209">
        <v>6.0</v>
      </c>
      <c r="O1155" s="209">
        <v>14.0</v>
      </c>
      <c r="P1155" s="209">
        <f t="shared" si="2"/>
        <v>55</v>
      </c>
      <c r="Q1155" s="210">
        <v>27.0</v>
      </c>
      <c r="R1155" s="205">
        <f t="shared" si="3"/>
        <v>120.8339344</v>
      </c>
      <c r="S1155" s="19">
        <f t="shared" si="4"/>
        <v>4.262295082</v>
      </c>
      <c r="T1155" s="24">
        <f t="shared" si="5"/>
        <v>2.777777778</v>
      </c>
      <c r="U1155" s="26">
        <f t="shared" si="6"/>
        <v>0.1952662722</v>
      </c>
      <c r="V1155" s="26">
        <f t="shared" si="7"/>
        <v>0.1104536489</v>
      </c>
      <c r="W1155" s="19">
        <f t="shared" si="8"/>
        <v>2.557692308</v>
      </c>
      <c r="X1155" s="209">
        <f t="shared" si="9"/>
        <v>520</v>
      </c>
      <c r="Y1155" s="27"/>
      <c r="Z1155" s="17"/>
      <c r="AA1155" s="17"/>
      <c r="AB1155" s="17"/>
      <c r="AC1155" s="17"/>
      <c r="AD1155" s="27"/>
    </row>
    <row r="1156" ht="15.75" customHeight="1">
      <c r="A1156" s="16" t="s">
        <v>1526</v>
      </c>
      <c r="B1156" s="16" t="s">
        <v>2961</v>
      </c>
      <c r="C1156" s="16" t="str">
        <f t="shared" si="11"/>
        <v>Mountain House Chili Mac with Beef</v>
      </c>
      <c r="D1156" s="17" t="s">
        <v>2846</v>
      </c>
      <c r="E1156" s="17" t="s">
        <v>2833</v>
      </c>
      <c r="F1156" s="17">
        <v>2.0</v>
      </c>
      <c r="G1156" s="19">
        <f t="shared" si="10"/>
        <v>1.904795499</v>
      </c>
      <c r="H1156" s="17">
        <v>54.0</v>
      </c>
      <c r="I1156" s="10">
        <v>230.0</v>
      </c>
      <c r="J1156" s="17">
        <v>6.0</v>
      </c>
      <c r="K1156" s="17">
        <v>760.0</v>
      </c>
      <c r="L1156" s="17">
        <v>432.0</v>
      </c>
      <c r="M1156" s="20">
        <v>32.0</v>
      </c>
      <c r="N1156" s="20">
        <v>4.0</v>
      </c>
      <c r="O1156" s="20">
        <v>3.0</v>
      </c>
      <c r="P1156" s="20">
        <f t="shared" si="2"/>
        <v>25</v>
      </c>
      <c r="Q1156" s="21">
        <v>12.0</v>
      </c>
      <c r="R1156" s="205">
        <f t="shared" si="3"/>
        <v>120.7478704</v>
      </c>
      <c r="S1156" s="19">
        <f t="shared" si="4"/>
        <v>4.259259259</v>
      </c>
      <c r="T1156" s="24">
        <f t="shared" si="5"/>
        <v>2.666666667</v>
      </c>
      <c r="U1156" s="26">
        <f t="shared" si="6"/>
        <v>0.2347826087</v>
      </c>
      <c r="V1156" s="26">
        <f t="shared" si="7"/>
        <v>0.05217391304</v>
      </c>
      <c r="W1156" s="19">
        <f t="shared" si="8"/>
        <v>3.304347826</v>
      </c>
      <c r="X1156" s="20">
        <f t="shared" si="9"/>
        <v>460</v>
      </c>
      <c r="Y1156" s="27"/>
      <c r="Z1156" s="17"/>
      <c r="AA1156" s="17"/>
      <c r="AB1156" s="17"/>
      <c r="AC1156" s="17"/>
      <c r="AD1156" s="27"/>
    </row>
    <row r="1157" ht="15.75" customHeight="1">
      <c r="A1157" s="16" t="s">
        <v>1402</v>
      </c>
      <c r="B1157" s="16" t="s">
        <v>2962</v>
      </c>
      <c r="C1157" s="16" t="str">
        <f t="shared" si="11"/>
        <v>Backpacker's Pantry Three Cheese Mac &amp; Cheese</v>
      </c>
      <c r="D1157" s="17" t="s">
        <v>2846</v>
      </c>
      <c r="E1157" s="17" t="s">
        <v>2833</v>
      </c>
      <c r="F1157" s="17">
        <v>2.0</v>
      </c>
      <c r="G1157" s="19">
        <f t="shared" si="10"/>
        <v>3.562673063</v>
      </c>
      <c r="H1157" s="17">
        <v>101.0</v>
      </c>
      <c r="I1157" s="10">
        <v>430.0</v>
      </c>
      <c r="J1157" s="17">
        <v>15.0</v>
      </c>
      <c r="K1157" s="17">
        <v>1130.0</v>
      </c>
      <c r="L1157" s="17">
        <v>104.0</v>
      </c>
      <c r="M1157" s="20">
        <v>53.0</v>
      </c>
      <c r="N1157" s="20">
        <v>2.0</v>
      </c>
      <c r="O1157" s="20">
        <v>5.0</v>
      </c>
      <c r="P1157" s="20">
        <f t="shared" si="2"/>
        <v>46</v>
      </c>
      <c r="Q1157" s="21">
        <v>20.0</v>
      </c>
      <c r="R1157" s="205">
        <f t="shared" si="3"/>
        <v>120.6958911</v>
      </c>
      <c r="S1157" s="19">
        <f t="shared" si="4"/>
        <v>4.257425743</v>
      </c>
      <c r="T1157" s="24">
        <f t="shared" si="5"/>
        <v>2.65</v>
      </c>
      <c r="U1157" s="26">
        <f t="shared" si="6"/>
        <v>0.3161592506</v>
      </c>
      <c r="V1157" s="26">
        <f t="shared" si="7"/>
        <v>0.04683840749</v>
      </c>
      <c r="W1157" s="19">
        <f t="shared" si="8"/>
        <v>2.627906977</v>
      </c>
      <c r="X1157" s="20">
        <f t="shared" si="9"/>
        <v>860</v>
      </c>
      <c r="Y1157" s="27"/>
      <c r="Z1157" s="17"/>
      <c r="AA1157" s="17"/>
      <c r="AB1157" s="17"/>
      <c r="AC1157" s="17"/>
      <c r="AD1157" s="27"/>
    </row>
    <row r="1158" ht="15.75" customHeight="1">
      <c r="A1158" s="16" t="s">
        <v>2832</v>
      </c>
      <c r="B1158" s="16" t="s">
        <v>2963</v>
      </c>
      <c r="C1158" s="16" t="str">
        <f t="shared" si="11"/>
        <v>PackIt Gourmet Good Day Sunshine Bowl</v>
      </c>
      <c r="D1158" s="17" t="s">
        <v>92</v>
      </c>
      <c r="E1158" s="17" t="s">
        <v>2833</v>
      </c>
      <c r="F1158" s="17">
        <v>1.0</v>
      </c>
      <c r="G1158" s="19">
        <f t="shared" si="10"/>
        <v>4.40924884</v>
      </c>
      <c r="H1158" s="17">
        <v>125.0</v>
      </c>
      <c r="I1158" s="10">
        <v>530.0</v>
      </c>
      <c r="J1158" s="17">
        <v>23.0</v>
      </c>
      <c r="K1158" s="17">
        <v>15.0</v>
      </c>
      <c r="L1158" s="17">
        <v>300.0</v>
      </c>
      <c r="M1158" s="20">
        <v>74.0</v>
      </c>
      <c r="N1158" s="20">
        <v>10.0</v>
      </c>
      <c r="O1158" s="20">
        <v>25.0</v>
      </c>
      <c r="P1158" s="20">
        <f t="shared" si="2"/>
        <v>39</v>
      </c>
      <c r="Q1158" s="21">
        <v>12.0</v>
      </c>
      <c r="R1158" s="205">
        <f t="shared" si="3"/>
        <v>120.20188</v>
      </c>
      <c r="S1158" s="19">
        <f t="shared" si="4"/>
        <v>4.24</v>
      </c>
      <c r="T1158" s="24">
        <f t="shared" si="5"/>
        <v>6.166666667</v>
      </c>
      <c r="U1158" s="26">
        <f t="shared" si="6"/>
        <v>0.3756805808</v>
      </c>
      <c r="V1158" s="26">
        <f t="shared" si="7"/>
        <v>0.1814882033</v>
      </c>
      <c r="W1158" s="19">
        <f t="shared" si="8"/>
        <v>0.02830188679</v>
      </c>
      <c r="X1158" s="20">
        <f t="shared" si="9"/>
        <v>530</v>
      </c>
      <c r="Y1158" s="27"/>
      <c r="Z1158" s="17"/>
      <c r="AA1158" s="17"/>
      <c r="AB1158" s="17"/>
      <c r="AC1158" s="17"/>
      <c r="AD1158" s="27"/>
    </row>
    <row r="1159" ht="15.75" customHeight="1">
      <c r="A1159" s="16" t="s">
        <v>2835</v>
      </c>
      <c r="B1159" s="16" t="s">
        <v>2964</v>
      </c>
      <c r="C1159" s="16" t="str">
        <f t="shared" si="11"/>
        <v>Trailtopia Cheesecake Chocolate Raspberry</v>
      </c>
      <c r="D1159" s="17" t="s">
        <v>478</v>
      </c>
      <c r="E1159" s="17" t="s">
        <v>2833</v>
      </c>
      <c r="F1159" s="17">
        <v>2.0</v>
      </c>
      <c r="G1159" s="19">
        <f t="shared" si="10"/>
        <v>2.857193249</v>
      </c>
      <c r="H1159" s="17">
        <v>81.0</v>
      </c>
      <c r="I1159" s="10">
        <v>343.0</v>
      </c>
      <c r="J1159" s="17">
        <v>9.0</v>
      </c>
      <c r="K1159" s="17">
        <v>444.0</v>
      </c>
      <c r="L1159" s="17"/>
      <c r="M1159" s="20">
        <v>63.0</v>
      </c>
      <c r="N1159" s="20">
        <v>2.0</v>
      </c>
      <c r="O1159" s="20">
        <v>43.0</v>
      </c>
      <c r="P1159" s="20">
        <f t="shared" si="2"/>
        <v>18</v>
      </c>
      <c r="Q1159" s="21">
        <v>6.0</v>
      </c>
      <c r="R1159" s="205">
        <f t="shared" si="3"/>
        <v>120.0478827</v>
      </c>
      <c r="S1159" s="19">
        <f t="shared" si="4"/>
        <v>4.234567901</v>
      </c>
      <c r="T1159" s="24">
        <f t="shared" si="5"/>
        <v>10.5</v>
      </c>
      <c r="U1159" s="26">
        <f t="shared" si="6"/>
        <v>0.2268907563</v>
      </c>
      <c r="V1159" s="26">
        <f t="shared" si="7"/>
        <v>0.4817927171</v>
      </c>
      <c r="W1159" s="19">
        <f t="shared" si="8"/>
        <v>1.294460641</v>
      </c>
      <c r="X1159" s="20">
        <f t="shared" si="9"/>
        <v>686</v>
      </c>
      <c r="Y1159" s="27"/>
      <c r="Z1159" s="17"/>
      <c r="AA1159" s="17"/>
      <c r="AB1159" s="17"/>
      <c r="AC1159" s="17"/>
      <c r="AD1159" s="27"/>
    </row>
    <row r="1160" ht="15.75" customHeight="1">
      <c r="A1160" s="16" t="s">
        <v>1402</v>
      </c>
      <c r="B1160" s="16" t="s">
        <v>2965</v>
      </c>
      <c r="C1160" s="16" t="str">
        <f t="shared" si="11"/>
        <v>Backpacker's Pantry Peanut Butter &amp; Raisin Oatmeal</v>
      </c>
      <c r="D1160" s="17" t="s">
        <v>92</v>
      </c>
      <c r="E1160" s="17" t="s">
        <v>2833</v>
      </c>
      <c r="F1160" s="17">
        <v>1.0</v>
      </c>
      <c r="G1160" s="19">
        <f t="shared" si="10"/>
        <v>4.585618794</v>
      </c>
      <c r="H1160" s="17">
        <v>130.0</v>
      </c>
      <c r="I1160" s="10">
        <v>550.0</v>
      </c>
      <c r="J1160" s="17">
        <v>20.0</v>
      </c>
      <c r="K1160" s="17">
        <v>340.0</v>
      </c>
      <c r="L1160" s="17">
        <v>530.0</v>
      </c>
      <c r="M1160" s="20">
        <v>42.0</v>
      </c>
      <c r="N1160" s="20">
        <v>10.0</v>
      </c>
      <c r="O1160" s="20">
        <v>30.0</v>
      </c>
      <c r="P1160" s="20">
        <f t="shared" si="2"/>
        <v>2</v>
      </c>
      <c r="Q1160" s="21">
        <v>16.0</v>
      </c>
      <c r="R1160" s="205">
        <f t="shared" si="3"/>
        <v>119.9401923</v>
      </c>
      <c r="S1160" s="19">
        <f t="shared" si="4"/>
        <v>4.230769231</v>
      </c>
      <c r="T1160" s="24">
        <f t="shared" si="5"/>
        <v>2.625</v>
      </c>
      <c r="U1160" s="26">
        <f t="shared" si="6"/>
        <v>0.4368932039</v>
      </c>
      <c r="V1160" s="26">
        <f t="shared" si="7"/>
        <v>0.2912621359</v>
      </c>
      <c r="W1160" s="19">
        <f t="shared" si="8"/>
        <v>0.6181818182</v>
      </c>
      <c r="X1160" s="20">
        <f t="shared" si="9"/>
        <v>550</v>
      </c>
      <c r="Y1160" s="27"/>
      <c r="Z1160" s="17"/>
      <c r="AA1160" s="17"/>
      <c r="AB1160" s="17"/>
      <c r="AC1160" s="17"/>
      <c r="AD1160" s="27"/>
    </row>
    <row r="1161" ht="15.75" customHeight="1">
      <c r="A1161" s="211" t="s">
        <v>1526</v>
      </c>
      <c r="B1161" s="211" t="s">
        <v>2966</v>
      </c>
      <c r="C1161" s="16" t="str">
        <f t="shared" si="11"/>
        <v>Mountain House Sweet and Sour Pork</v>
      </c>
      <c r="D1161" s="162" t="s">
        <v>2846</v>
      </c>
      <c r="E1161" s="17" t="s">
        <v>2833</v>
      </c>
      <c r="F1161" s="162">
        <v>2.5</v>
      </c>
      <c r="G1161" s="212">
        <f t="shared" si="10"/>
        <v>2.43390536</v>
      </c>
      <c r="H1161" s="162">
        <v>69.0</v>
      </c>
      <c r="I1161" s="213">
        <v>290.0</v>
      </c>
      <c r="J1161" s="162">
        <v>6.0</v>
      </c>
      <c r="K1161" s="162">
        <v>770.0</v>
      </c>
      <c r="L1161" s="162"/>
      <c r="M1161" s="214">
        <v>49.0</v>
      </c>
      <c r="N1161" s="214">
        <v>1.0</v>
      </c>
      <c r="O1161" s="214">
        <v>12.0</v>
      </c>
      <c r="P1161" s="214">
        <f t="shared" si="2"/>
        <v>36</v>
      </c>
      <c r="Q1161" s="215">
        <v>12.0</v>
      </c>
      <c r="R1161" s="205">
        <f t="shared" si="3"/>
        <v>119.1500725</v>
      </c>
      <c r="S1161" s="19">
        <f t="shared" si="4"/>
        <v>4.202898551</v>
      </c>
      <c r="T1161" s="24">
        <f t="shared" si="5"/>
        <v>4.083333333</v>
      </c>
      <c r="U1161" s="26">
        <f t="shared" si="6"/>
        <v>0.1812080537</v>
      </c>
      <c r="V1161" s="26">
        <f t="shared" si="7"/>
        <v>0.1610738255</v>
      </c>
      <c r="W1161" s="19">
        <f t="shared" si="8"/>
        <v>2.655172414</v>
      </c>
      <c r="X1161" s="214">
        <f t="shared" si="9"/>
        <v>725</v>
      </c>
      <c r="Y1161" s="27"/>
      <c r="Z1161" s="17"/>
      <c r="AA1161" s="17"/>
      <c r="AB1161" s="17"/>
      <c r="AC1161" s="17"/>
      <c r="AD1161" s="27"/>
    </row>
    <row r="1162" ht="15.75" customHeight="1">
      <c r="A1162" s="16" t="s">
        <v>2844</v>
      </c>
      <c r="B1162" s="16" t="s">
        <v>2967</v>
      </c>
      <c r="C1162" s="16" t="str">
        <f t="shared" si="11"/>
        <v>Peak Refuel Chicken Teriyaki Rice</v>
      </c>
      <c r="D1162" s="17" t="s">
        <v>2846</v>
      </c>
      <c r="E1162" s="17" t="s">
        <v>2833</v>
      </c>
      <c r="F1162" s="17">
        <v>2.0</v>
      </c>
      <c r="G1162" s="19">
        <f t="shared" si="10"/>
        <v>2.43390536</v>
      </c>
      <c r="H1162" s="17">
        <v>69.0</v>
      </c>
      <c r="I1162" s="10">
        <v>290.0</v>
      </c>
      <c r="J1162" s="17">
        <v>3.5</v>
      </c>
      <c r="K1162" s="17">
        <v>680.0</v>
      </c>
      <c r="L1162" s="17">
        <v>88.0</v>
      </c>
      <c r="M1162" s="20">
        <v>38.0</v>
      </c>
      <c r="N1162" s="20">
        <v>2.0</v>
      </c>
      <c r="O1162" s="20">
        <v>12.0</v>
      </c>
      <c r="P1162" s="20">
        <f t="shared" si="2"/>
        <v>24</v>
      </c>
      <c r="Q1162" s="21">
        <v>20.0</v>
      </c>
      <c r="R1162" s="205">
        <f t="shared" si="3"/>
        <v>119.1500725</v>
      </c>
      <c r="S1162" s="19">
        <f t="shared" si="4"/>
        <v>4.202898551</v>
      </c>
      <c r="T1162" s="24">
        <f t="shared" si="5"/>
        <v>1.9</v>
      </c>
      <c r="U1162" s="26">
        <f t="shared" si="6"/>
        <v>0.119544592</v>
      </c>
      <c r="V1162" s="26">
        <f t="shared" si="7"/>
        <v>0.1821631879</v>
      </c>
      <c r="W1162" s="19">
        <f t="shared" si="8"/>
        <v>2.344827586</v>
      </c>
      <c r="X1162" s="20">
        <f t="shared" si="9"/>
        <v>580</v>
      </c>
      <c r="Y1162" s="27"/>
      <c r="Z1162" s="17"/>
      <c r="AA1162" s="17"/>
      <c r="AB1162" s="17"/>
      <c r="AC1162" s="17"/>
      <c r="AD1162" s="27"/>
    </row>
    <row r="1163" ht="15.75" customHeight="1">
      <c r="A1163" s="16" t="s">
        <v>2835</v>
      </c>
      <c r="B1163" s="16" t="s">
        <v>2968</v>
      </c>
      <c r="C1163" s="16" t="str">
        <f t="shared" si="11"/>
        <v>Trailtopia Pesto Pasta with Hemp Seed Protein</v>
      </c>
      <c r="D1163" s="17" t="s">
        <v>2846</v>
      </c>
      <c r="E1163" s="17" t="s">
        <v>2833</v>
      </c>
      <c r="F1163" s="17">
        <v>2.0</v>
      </c>
      <c r="G1163" s="19">
        <f t="shared" si="10"/>
        <v>3.527399072</v>
      </c>
      <c r="H1163" s="17">
        <v>100.0</v>
      </c>
      <c r="I1163" s="10">
        <v>420.0</v>
      </c>
      <c r="J1163" s="17">
        <v>12.0</v>
      </c>
      <c r="K1163" s="17">
        <v>1040.0</v>
      </c>
      <c r="L1163" s="17">
        <v>0.0</v>
      </c>
      <c r="M1163" s="20">
        <v>58.0</v>
      </c>
      <c r="N1163" s="20">
        <v>5.0</v>
      </c>
      <c r="O1163" s="20">
        <v>4.0</v>
      </c>
      <c r="P1163" s="20">
        <f t="shared" si="2"/>
        <v>49</v>
      </c>
      <c r="Q1163" s="21">
        <v>16.0</v>
      </c>
      <c r="R1163" s="205">
        <f t="shared" si="3"/>
        <v>119.0679</v>
      </c>
      <c r="S1163" s="19">
        <f t="shared" si="4"/>
        <v>4.2</v>
      </c>
      <c r="T1163" s="24">
        <f t="shared" si="5"/>
        <v>3.625</v>
      </c>
      <c r="U1163" s="26">
        <f t="shared" si="6"/>
        <v>0.2673267327</v>
      </c>
      <c r="V1163" s="26">
        <f t="shared" si="7"/>
        <v>0.0396039604</v>
      </c>
      <c r="W1163" s="19">
        <f t="shared" si="8"/>
        <v>2.476190476</v>
      </c>
      <c r="X1163" s="20">
        <f t="shared" si="9"/>
        <v>840</v>
      </c>
      <c r="Y1163" s="27"/>
      <c r="Z1163" s="17"/>
      <c r="AA1163" s="17"/>
      <c r="AB1163" s="17"/>
      <c r="AC1163" s="17"/>
      <c r="AD1163" s="27"/>
    </row>
    <row r="1164" ht="15.75" customHeight="1">
      <c r="A1164" s="184" t="s">
        <v>1526</v>
      </c>
      <c r="B1164" s="184" t="s">
        <v>2969</v>
      </c>
      <c r="C1164" s="16" t="str">
        <f t="shared" si="11"/>
        <v>Mountain House Chili Macaroni with Beef (LRP)</v>
      </c>
      <c r="D1164" s="206" t="s">
        <v>2846</v>
      </c>
      <c r="E1164" s="17" t="s">
        <v>2833</v>
      </c>
      <c r="F1164" s="206">
        <v>1.0</v>
      </c>
      <c r="G1164" s="207">
        <f t="shared" si="10"/>
        <v>4.797262738</v>
      </c>
      <c r="H1164" s="206">
        <v>136.0</v>
      </c>
      <c r="I1164" s="208">
        <v>570.0</v>
      </c>
      <c r="J1164" s="206">
        <v>15.0</v>
      </c>
      <c r="K1164" s="206">
        <v>1950.0</v>
      </c>
      <c r="L1164" s="206"/>
      <c r="M1164" s="209">
        <v>77.0</v>
      </c>
      <c r="N1164" s="209">
        <v>12.0</v>
      </c>
      <c r="O1164" s="209">
        <v>7.0</v>
      </c>
      <c r="P1164" s="209">
        <f t="shared" si="2"/>
        <v>58</v>
      </c>
      <c r="Q1164" s="210">
        <v>31.0</v>
      </c>
      <c r="R1164" s="205">
        <f t="shared" si="3"/>
        <v>118.8177574</v>
      </c>
      <c r="S1164" s="19">
        <f t="shared" si="4"/>
        <v>4.191176471</v>
      </c>
      <c r="T1164" s="24">
        <f t="shared" si="5"/>
        <v>2.483870968</v>
      </c>
      <c r="U1164" s="26">
        <f t="shared" si="6"/>
        <v>0.2380952381</v>
      </c>
      <c r="V1164" s="26">
        <f t="shared" si="7"/>
        <v>0.04938271605</v>
      </c>
      <c r="W1164" s="19">
        <f t="shared" si="8"/>
        <v>3.421052632</v>
      </c>
      <c r="X1164" s="209">
        <f t="shared" si="9"/>
        <v>570</v>
      </c>
      <c r="Y1164" s="27"/>
      <c r="Z1164" s="17"/>
      <c r="AA1164" s="17"/>
      <c r="AB1164" s="17"/>
      <c r="AC1164" s="17"/>
      <c r="AD1164" s="27"/>
    </row>
    <row r="1165" ht="15.75" customHeight="1">
      <c r="A1165" s="16" t="s">
        <v>1402</v>
      </c>
      <c r="B1165" s="16" t="s">
        <v>2970</v>
      </c>
      <c r="C1165" s="16" t="str">
        <f t="shared" si="11"/>
        <v>Backpacker's Pantry Mango Sticky Rice</v>
      </c>
      <c r="D1165" s="17" t="s">
        <v>478</v>
      </c>
      <c r="E1165" s="17" t="s">
        <v>2833</v>
      </c>
      <c r="F1165" s="17">
        <v>2.0</v>
      </c>
      <c r="G1165" s="19">
        <f t="shared" si="10"/>
        <v>2.610275313</v>
      </c>
      <c r="H1165" s="17">
        <v>74.0</v>
      </c>
      <c r="I1165" s="10">
        <v>310.0</v>
      </c>
      <c r="J1165" s="17">
        <v>8.0</v>
      </c>
      <c r="K1165" s="17">
        <v>25.0</v>
      </c>
      <c r="L1165" s="17">
        <v>88.0</v>
      </c>
      <c r="M1165" s="20">
        <v>56.0</v>
      </c>
      <c r="N1165" s="20">
        <v>2.0</v>
      </c>
      <c r="O1165" s="20">
        <v>13.0</v>
      </c>
      <c r="P1165" s="20">
        <f t="shared" si="2"/>
        <v>41</v>
      </c>
      <c r="Q1165" s="21">
        <v>5.0</v>
      </c>
      <c r="R1165" s="205">
        <f t="shared" si="3"/>
        <v>118.7614189</v>
      </c>
      <c r="S1165" s="19">
        <f t="shared" si="4"/>
        <v>4.189189189</v>
      </c>
      <c r="T1165" s="24">
        <f t="shared" si="5"/>
        <v>11.2</v>
      </c>
      <c r="U1165" s="26">
        <f t="shared" si="6"/>
        <v>0.2278481013</v>
      </c>
      <c r="V1165" s="26">
        <f t="shared" si="7"/>
        <v>0.164556962</v>
      </c>
      <c r="W1165" s="19">
        <f t="shared" si="8"/>
        <v>0.08064516129</v>
      </c>
      <c r="X1165" s="20">
        <f t="shared" si="9"/>
        <v>620</v>
      </c>
      <c r="Y1165" s="27"/>
      <c r="Z1165" s="17"/>
      <c r="AA1165" s="17"/>
      <c r="AB1165" s="17"/>
      <c r="AC1165" s="17"/>
      <c r="AD1165" s="27"/>
    </row>
    <row r="1166" ht="15.75" customHeight="1">
      <c r="A1166" s="184" t="s">
        <v>1526</v>
      </c>
      <c r="B1166" s="184" t="s">
        <v>2971</v>
      </c>
      <c r="C1166" s="16" t="str">
        <f t="shared" si="11"/>
        <v>Mountain House Mexican Style Rice &amp; Chicken (LRP)</v>
      </c>
      <c r="D1166" s="206" t="s">
        <v>2846</v>
      </c>
      <c r="E1166" s="17" t="s">
        <v>2833</v>
      </c>
      <c r="F1166" s="206">
        <v>1.0</v>
      </c>
      <c r="G1166" s="207">
        <f t="shared" si="10"/>
        <v>5.396920581</v>
      </c>
      <c r="H1166" s="206">
        <v>153.0</v>
      </c>
      <c r="I1166" s="208">
        <v>640.0</v>
      </c>
      <c r="J1166" s="206">
        <v>14.0</v>
      </c>
      <c r="K1166" s="206">
        <v>1730.0</v>
      </c>
      <c r="L1166" s="206"/>
      <c r="M1166" s="209">
        <v>91.0</v>
      </c>
      <c r="N1166" s="209">
        <v>17.0</v>
      </c>
      <c r="O1166" s="209">
        <v>8.0</v>
      </c>
      <c r="P1166" s="209">
        <f t="shared" si="2"/>
        <v>66</v>
      </c>
      <c r="Q1166" s="210">
        <v>37.0</v>
      </c>
      <c r="R1166" s="205">
        <f t="shared" si="3"/>
        <v>118.5861438</v>
      </c>
      <c r="S1166" s="19">
        <f t="shared" si="4"/>
        <v>4.183006536</v>
      </c>
      <c r="T1166" s="24">
        <f t="shared" si="5"/>
        <v>2.459459459</v>
      </c>
      <c r="U1166" s="26">
        <f t="shared" si="6"/>
        <v>0.197492163</v>
      </c>
      <c r="V1166" s="26">
        <f t="shared" si="7"/>
        <v>0.05015673981</v>
      </c>
      <c r="W1166" s="19">
        <f t="shared" si="8"/>
        <v>2.703125</v>
      </c>
      <c r="X1166" s="209">
        <f t="shared" si="9"/>
        <v>640</v>
      </c>
      <c r="Y1166" s="27"/>
      <c r="Z1166" s="17"/>
      <c r="AA1166" s="17"/>
      <c r="AB1166" s="17"/>
      <c r="AC1166" s="17"/>
      <c r="AD1166" s="27"/>
    </row>
    <row r="1167" ht="15.75" customHeight="1">
      <c r="A1167" s="16" t="s">
        <v>2832</v>
      </c>
      <c r="B1167" s="16" t="s">
        <v>2972</v>
      </c>
      <c r="C1167" s="16" t="str">
        <f t="shared" si="11"/>
        <v>PackIt Gourmet Santa Fe Breakfast Corn Pudding</v>
      </c>
      <c r="D1167" s="17" t="s">
        <v>92</v>
      </c>
      <c r="E1167" s="17" t="s">
        <v>2833</v>
      </c>
      <c r="F1167" s="17">
        <v>1.0</v>
      </c>
      <c r="G1167" s="19">
        <f t="shared" si="10"/>
        <v>4.056508933</v>
      </c>
      <c r="H1167" s="17">
        <v>115.0</v>
      </c>
      <c r="I1167" s="10">
        <v>480.0</v>
      </c>
      <c r="J1167" s="17">
        <v>17.0</v>
      </c>
      <c r="K1167" s="17">
        <v>910.0</v>
      </c>
      <c r="L1167" s="17">
        <v>260.0</v>
      </c>
      <c r="M1167" s="20">
        <v>65.0</v>
      </c>
      <c r="N1167" s="20">
        <v>7.0</v>
      </c>
      <c r="O1167" s="20">
        <v>16.0</v>
      </c>
      <c r="P1167" s="20">
        <f t="shared" si="2"/>
        <v>42</v>
      </c>
      <c r="Q1167" s="21">
        <v>19.0</v>
      </c>
      <c r="R1167" s="205">
        <f t="shared" si="3"/>
        <v>118.3283478</v>
      </c>
      <c r="S1167" s="19">
        <f t="shared" si="4"/>
        <v>4.173913043</v>
      </c>
      <c r="T1167" s="24">
        <f t="shared" si="5"/>
        <v>3.421052632</v>
      </c>
      <c r="U1167" s="26">
        <f t="shared" si="6"/>
        <v>0.3128834356</v>
      </c>
      <c r="V1167" s="26">
        <f t="shared" si="7"/>
        <v>0.1308793456</v>
      </c>
      <c r="W1167" s="19">
        <f t="shared" si="8"/>
        <v>1.895833333</v>
      </c>
      <c r="X1167" s="20">
        <f t="shared" si="9"/>
        <v>480</v>
      </c>
      <c r="Y1167" s="27"/>
      <c r="Z1167" s="17"/>
      <c r="AA1167" s="17"/>
      <c r="AB1167" s="17"/>
      <c r="AC1167" s="17"/>
      <c r="AD1167" s="27"/>
    </row>
    <row r="1168" ht="15.75" customHeight="1">
      <c r="A1168" s="16" t="s">
        <v>1526</v>
      </c>
      <c r="B1168" s="16" t="s">
        <v>2973</v>
      </c>
      <c r="C1168" s="16" t="str">
        <f t="shared" si="11"/>
        <v>Mountain House Rice and Chicken</v>
      </c>
      <c r="D1168" s="17" t="s">
        <v>2846</v>
      </c>
      <c r="E1168" s="17" t="s">
        <v>2833</v>
      </c>
      <c r="F1168" s="17">
        <v>2.0</v>
      </c>
      <c r="G1168" s="19">
        <f t="shared" si="10"/>
        <v>2.116439443</v>
      </c>
      <c r="H1168" s="17">
        <v>60.0</v>
      </c>
      <c r="I1168" s="10">
        <v>250.0</v>
      </c>
      <c r="J1168" s="17">
        <v>4.0</v>
      </c>
      <c r="K1168" s="17">
        <v>730.0</v>
      </c>
      <c r="L1168" s="17">
        <v>206.0</v>
      </c>
      <c r="M1168" s="20">
        <v>46.0</v>
      </c>
      <c r="N1168" s="20">
        <v>1.0</v>
      </c>
      <c r="O1168" s="20">
        <v>2.0</v>
      </c>
      <c r="P1168" s="20">
        <f t="shared" si="2"/>
        <v>43</v>
      </c>
      <c r="Q1168" s="21">
        <v>7.0</v>
      </c>
      <c r="R1168" s="205">
        <f t="shared" si="3"/>
        <v>118.1229167</v>
      </c>
      <c r="S1168" s="19">
        <f t="shared" si="4"/>
        <v>4.166666667</v>
      </c>
      <c r="T1168" s="24">
        <f t="shared" si="5"/>
        <v>6.571428571</v>
      </c>
      <c r="U1168" s="26">
        <f t="shared" si="6"/>
        <v>0.1451612903</v>
      </c>
      <c r="V1168" s="26">
        <f t="shared" si="7"/>
        <v>0.03225806452</v>
      </c>
      <c r="W1168" s="19">
        <f t="shared" si="8"/>
        <v>2.92</v>
      </c>
      <c r="X1168" s="20">
        <f t="shared" si="9"/>
        <v>500</v>
      </c>
      <c r="Y1168" s="27"/>
      <c r="Z1168" s="17"/>
      <c r="AA1168" s="17"/>
      <c r="AB1168" s="17"/>
      <c r="AC1168" s="17"/>
      <c r="AD1168" s="27"/>
    </row>
    <row r="1169" ht="15.75" customHeight="1">
      <c r="A1169" s="16" t="s">
        <v>1526</v>
      </c>
      <c r="B1169" s="16" t="s">
        <v>2974</v>
      </c>
      <c r="C1169" s="16" t="str">
        <f t="shared" si="11"/>
        <v>Mountain House Spaghetti with Meat Sauce</v>
      </c>
      <c r="D1169" s="17" t="s">
        <v>2846</v>
      </c>
      <c r="E1169" s="17" t="s">
        <v>2833</v>
      </c>
      <c r="F1169" s="17">
        <v>2.0</v>
      </c>
      <c r="G1169" s="19">
        <f t="shared" si="10"/>
        <v>2.116439443</v>
      </c>
      <c r="H1169" s="17">
        <v>60.0</v>
      </c>
      <c r="I1169" s="10">
        <v>250.0</v>
      </c>
      <c r="J1169" s="17">
        <v>3.5</v>
      </c>
      <c r="K1169" s="17">
        <v>590.0</v>
      </c>
      <c r="L1169" s="17">
        <v>636.0</v>
      </c>
      <c r="M1169" s="20">
        <v>43.0</v>
      </c>
      <c r="N1169" s="20">
        <v>4.0</v>
      </c>
      <c r="O1169" s="20">
        <v>10.0</v>
      </c>
      <c r="P1169" s="20">
        <f t="shared" si="2"/>
        <v>29</v>
      </c>
      <c r="Q1169" s="21">
        <v>10.0</v>
      </c>
      <c r="R1169" s="205">
        <f t="shared" si="3"/>
        <v>118.1229167</v>
      </c>
      <c r="S1169" s="19">
        <f t="shared" si="4"/>
        <v>4.166666667</v>
      </c>
      <c r="T1169" s="24">
        <f t="shared" si="5"/>
        <v>4.3</v>
      </c>
      <c r="U1169" s="26">
        <f t="shared" si="6"/>
        <v>0.1293634497</v>
      </c>
      <c r="V1169" s="26">
        <f t="shared" si="7"/>
        <v>0.1642710472</v>
      </c>
      <c r="W1169" s="19">
        <f t="shared" si="8"/>
        <v>2.36</v>
      </c>
      <c r="X1169" s="20">
        <f t="shared" si="9"/>
        <v>500</v>
      </c>
      <c r="Y1169" s="27"/>
      <c r="Z1169" s="17"/>
      <c r="AA1169" s="17"/>
      <c r="AB1169" s="17"/>
      <c r="AC1169" s="17"/>
      <c r="AD1169" s="27"/>
    </row>
    <row r="1170" ht="15.75" customHeight="1">
      <c r="A1170" s="16" t="s">
        <v>2835</v>
      </c>
      <c r="B1170" s="16" t="s">
        <v>2975</v>
      </c>
      <c r="C1170" s="16" t="str">
        <f t="shared" si="11"/>
        <v>Trailtopia Cheesecake Chocolate Strawberry</v>
      </c>
      <c r="D1170" s="17" t="s">
        <v>478</v>
      </c>
      <c r="E1170" s="17" t="s">
        <v>2833</v>
      </c>
      <c r="F1170" s="17">
        <v>2.0</v>
      </c>
      <c r="G1170" s="19">
        <f t="shared" si="10"/>
        <v>2.716097286</v>
      </c>
      <c r="H1170" s="17">
        <v>77.0</v>
      </c>
      <c r="I1170" s="10">
        <v>320.0</v>
      </c>
      <c r="J1170" s="17">
        <v>9.0</v>
      </c>
      <c r="K1170" s="17">
        <v>434.0</v>
      </c>
      <c r="L1170" s="17"/>
      <c r="M1170" s="20">
        <v>58.0</v>
      </c>
      <c r="N1170" s="20">
        <v>2.0</v>
      </c>
      <c r="O1170" s="20">
        <v>43.0</v>
      </c>
      <c r="P1170" s="20">
        <f t="shared" si="2"/>
        <v>13</v>
      </c>
      <c r="Q1170" s="21">
        <v>6.0</v>
      </c>
      <c r="R1170" s="205">
        <f t="shared" si="3"/>
        <v>117.8161039</v>
      </c>
      <c r="S1170" s="19">
        <f t="shared" si="4"/>
        <v>4.155844156</v>
      </c>
      <c r="T1170" s="24">
        <f t="shared" si="5"/>
        <v>9.666666667</v>
      </c>
      <c r="U1170" s="26">
        <f t="shared" si="6"/>
        <v>0.2403560831</v>
      </c>
      <c r="V1170" s="26">
        <f t="shared" si="7"/>
        <v>0.5103857567</v>
      </c>
      <c r="W1170" s="19">
        <f t="shared" si="8"/>
        <v>1.35625</v>
      </c>
      <c r="X1170" s="20">
        <f t="shared" si="9"/>
        <v>640</v>
      </c>
      <c r="Y1170" s="27"/>
      <c r="Z1170" s="17"/>
      <c r="AA1170" s="17"/>
      <c r="AB1170" s="17"/>
      <c r="AC1170" s="17"/>
      <c r="AD1170" s="27"/>
    </row>
    <row r="1171" ht="15.75" customHeight="1">
      <c r="A1171" s="184" t="s">
        <v>1526</v>
      </c>
      <c r="B1171" s="184" t="s">
        <v>2976</v>
      </c>
      <c r="C1171" s="16" t="str">
        <f t="shared" si="11"/>
        <v>Mountain House Beef Stew (LRP)</v>
      </c>
      <c r="D1171" s="206" t="s">
        <v>2846</v>
      </c>
      <c r="E1171" s="17" t="s">
        <v>2833</v>
      </c>
      <c r="F1171" s="206">
        <v>1.0</v>
      </c>
      <c r="G1171" s="207">
        <f t="shared" si="10"/>
        <v>4.938358701</v>
      </c>
      <c r="H1171" s="206">
        <v>140.0</v>
      </c>
      <c r="I1171" s="208">
        <v>580.0</v>
      </c>
      <c r="J1171" s="206">
        <v>19.0</v>
      </c>
      <c r="K1171" s="206">
        <v>2530.0</v>
      </c>
      <c r="L1171" s="206"/>
      <c r="M1171" s="209">
        <v>63.0</v>
      </c>
      <c r="N1171" s="209">
        <v>8.0</v>
      </c>
      <c r="O1171" s="209">
        <v>8.0</v>
      </c>
      <c r="P1171" s="209">
        <f t="shared" si="2"/>
        <v>47</v>
      </c>
      <c r="Q1171" s="210">
        <v>44.0</v>
      </c>
      <c r="R1171" s="205">
        <f t="shared" si="3"/>
        <v>117.4479286</v>
      </c>
      <c r="S1171" s="19">
        <f t="shared" si="4"/>
        <v>4.142857143</v>
      </c>
      <c r="T1171" s="24">
        <f t="shared" si="5"/>
        <v>1.431818182</v>
      </c>
      <c r="U1171" s="26">
        <f t="shared" si="6"/>
        <v>0.285475793</v>
      </c>
      <c r="V1171" s="26">
        <f t="shared" si="7"/>
        <v>0.05342237062</v>
      </c>
      <c r="W1171" s="19">
        <f t="shared" si="8"/>
        <v>4.362068966</v>
      </c>
      <c r="X1171" s="209">
        <f t="shared" si="9"/>
        <v>580</v>
      </c>
      <c r="Y1171" s="27"/>
      <c r="Z1171" s="17"/>
      <c r="AA1171" s="17"/>
      <c r="AB1171" s="17"/>
      <c r="AC1171" s="17"/>
      <c r="AD1171" s="27"/>
    </row>
    <row r="1172" ht="15.75" customHeight="1">
      <c r="A1172" s="16" t="s">
        <v>2835</v>
      </c>
      <c r="B1172" s="16" t="s">
        <v>2977</v>
      </c>
      <c r="C1172" s="16" t="str">
        <f t="shared" si="11"/>
        <v>Trailtopia Chicken Stew with Noodles</v>
      </c>
      <c r="D1172" s="17" t="s">
        <v>2846</v>
      </c>
      <c r="E1172" s="17" t="s">
        <v>2833</v>
      </c>
      <c r="F1172" s="17">
        <v>2.0</v>
      </c>
      <c r="G1172" s="19">
        <f t="shared" si="10"/>
        <v>2.821919258</v>
      </c>
      <c r="H1172" s="17">
        <v>80.0</v>
      </c>
      <c r="I1172" s="10">
        <v>330.0</v>
      </c>
      <c r="J1172" s="17">
        <v>5.0</v>
      </c>
      <c r="K1172" s="17">
        <v>835.0</v>
      </c>
      <c r="L1172" s="17"/>
      <c r="M1172" s="20">
        <v>50.0</v>
      </c>
      <c r="N1172" s="20">
        <v>4.0</v>
      </c>
      <c r="O1172" s="20">
        <v>6.0</v>
      </c>
      <c r="P1172" s="20">
        <f t="shared" si="2"/>
        <v>40</v>
      </c>
      <c r="Q1172" s="21">
        <v>21.0</v>
      </c>
      <c r="R1172" s="205">
        <f t="shared" si="3"/>
        <v>116.9416875</v>
      </c>
      <c r="S1172" s="19">
        <f t="shared" si="4"/>
        <v>4.125</v>
      </c>
      <c r="T1172" s="24">
        <f t="shared" si="5"/>
        <v>2.380952381</v>
      </c>
      <c r="U1172" s="26">
        <f t="shared" si="6"/>
        <v>0.1367781155</v>
      </c>
      <c r="V1172" s="26">
        <f t="shared" si="7"/>
        <v>0.07294832827</v>
      </c>
      <c r="W1172" s="19">
        <f t="shared" si="8"/>
        <v>2.53030303</v>
      </c>
      <c r="X1172" s="20">
        <f t="shared" si="9"/>
        <v>660</v>
      </c>
      <c r="Y1172" s="27"/>
      <c r="Z1172" s="17"/>
      <c r="AA1172" s="17"/>
      <c r="AB1172" s="17"/>
      <c r="AC1172" s="17"/>
      <c r="AD1172" s="27"/>
    </row>
    <row r="1173" ht="15.75" customHeight="1">
      <c r="A1173" s="16" t="s">
        <v>1402</v>
      </c>
      <c r="B1173" s="16" t="s">
        <v>2978</v>
      </c>
      <c r="C1173" s="16" t="str">
        <f t="shared" si="11"/>
        <v>Backpacker's Pantry Chiang Mai Coconut Curry with Beef</v>
      </c>
      <c r="D1173" s="17" t="s">
        <v>2846</v>
      </c>
      <c r="E1173" s="17" t="s">
        <v>2833</v>
      </c>
      <c r="F1173" s="17">
        <v>2.0</v>
      </c>
      <c r="G1173" s="19">
        <f t="shared" si="10"/>
        <v>2.998289211</v>
      </c>
      <c r="H1173" s="17">
        <v>85.0</v>
      </c>
      <c r="I1173" s="10">
        <v>350.0</v>
      </c>
      <c r="J1173" s="17">
        <v>12.0</v>
      </c>
      <c r="K1173" s="17">
        <v>730.0</v>
      </c>
      <c r="L1173" s="17">
        <v>648.0</v>
      </c>
      <c r="M1173" s="20">
        <v>51.0</v>
      </c>
      <c r="N1173" s="20">
        <v>5.0</v>
      </c>
      <c r="O1173" s="20">
        <v>7.0</v>
      </c>
      <c r="P1173" s="20">
        <f t="shared" si="2"/>
        <v>39</v>
      </c>
      <c r="Q1173" s="21">
        <v>13.0</v>
      </c>
      <c r="R1173" s="205">
        <f t="shared" si="3"/>
        <v>116.7332353</v>
      </c>
      <c r="S1173" s="19">
        <f t="shared" si="4"/>
        <v>4.117647059</v>
      </c>
      <c r="T1173" s="24">
        <f t="shared" si="5"/>
        <v>3.923076923</v>
      </c>
      <c r="U1173" s="26">
        <f t="shared" si="6"/>
        <v>0.2967032967</v>
      </c>
      <c r="V1173" s="26">
        <f t="shared" si="7"/>
        <v>0.07692307692</v>
      </c>
      <c r="W1173" s="19">
        <f t="shared" si="8"/>
        <v>2.085714286</v>
      </c>
      <c r="X1173" s="20">
        <f t="shared" si="9"/>
        <v>700</v>
      </c>
      <c r="Y1173" s="27"/>
      <c r="Z1173" s="17"/>
      <c r="AA1173" s="17"/>
      <c r="AB1173" s="17"/>
      <c r="AC1173" s="17"/>
      <c r="AD1173" s="27"/>
    </row>
    <row r="1174" ht="15.75" customHeight="1">
      <c r="A1174" s="16" t="s">
        <v>2863</v>
      </c>
      <c r="B1174" s="16" t="s">
        <v>2979</v>
      </c>
      <c r="C1174" s="16" t="str">
        <f t="shared" si="11"/>
        <v>Paleo Meals To Go Summit Savory Chicken</v>
      </c>
      <c r="D1174" s="17" t="s">
        <v>2846</v>
      </c>
      <c r="E1174" s="17" t="s">
        <v>2833</v>
      </c>
      <c r="F1174" s="17">
        <v>1.0</v>
      </c>
      <c r="G1174" s="19">
        <f t="shared" si="10"/>
        <v>2.998289211</v>
      </c>
      <c r="H1174" s="17">
        <v>85.0</v>
      </c>
      <c r="I1174" s="10">
        <v>350.0</v>
      </c>
      <c r="J1174" s="17">
        <v>2.0</v>
      </c>
      <c r="K1174" s="17">
        <v>690.0</v>
      </c>
      <c r="L1174" s="17">
        <v>1230.0</v>
      </c>
      <c r="M1174" s="20">
        <v>31.0</v>
      </c>
      <c r="N1174" s="20">
        <v>9.0</v>
      </c>
      <c r="O1174" s="20">
        <v>12.0</v>
      </c>
      <c r="P1174" s="20">
        <f t="shared" si="2"/>
        <v>10</v>
      </c>
      <c r="Q1174" s="21">
        <v>41.0</v>
      </c>
      <c r="R1174" s="205">
        <f t="shared" si="3"/>
        <v>116.7332353</v>
      </c>
      <c r="S1174" s="19">
        <f t="shared" si="4"/>
        <v>4.117647059</v>
      </c>
      <c r="T1174" s="24">
        <f t="shared" si="5"/>
        <v>0.756097561</v>
      </c>
      <c r="U1174" s="26">
        <f t="shared" si="6"/>
        <v>0.05882352941</v>
      </c>
      <c r="V1174" s="26">
        <f t="shared" si="7"/>
        <v>0.1568627451</v>
      </c>
      <c r="W1174" s="19">
        <f t="shared" si="8"/>
        <v>1.971428571</v>
      </c>
      <c r="X1174" s="20">
        <f t="shared" si="9"/>
        <v>350</v>
      </c>
      <c r="Y1174" s="27"/>
      <c r="Z1174" s="17"/>
      <c r="AA1174" s="17"/>
      <c r="AB1174" s="17"/>
      <c r="AC1174" s="17"/>
      <c r="AD1174" s="27"/>
    </row>
    <row r="1175" ht="15.75" customHeight="1">
      <c r="A1175" s="16" t="s">
        <v>2835</v>
      </c>
      <c r="B1175" s="16" t="s">
        <v>2980</v>
      </c>
      <c r="C1175" s="16" t="str">
        <f t="shared" si="11"/>
        <v>Trailtopia Peach Blueberry Crisp</v>
      </c>
      <c r="D1175" s="17" t="s">
        <v>478</v>
      </c>
      <c r="E1175" s="17" t="s">
        <v>2833</v>
      </c>
      <c r="F1175" s="17">
        <v>2.0</v>
      </c>
      <c r="G1175" s="19">
        <f t="shared" si="10"/>
        <v>2.151713434</v>
      </c>
      <c r="H1175" s="17">
        <v>61.0</v>
      </c>
      <c r="I1175" s="10">
        <v>251.0</v>
      </c>
      <c r="J1175" s="17">
        <v>4.0</v>
      </c>
      <c r="K1175" s="17">
        <v>47.0</v>
      </c>
      <c r="L1175" s="17"/>
      <c r="M1175" s="20">
        <v>50.0</v>
      </c>
      <c r="N1175" s="20">
        <v>3.0</v>
      </c>
      <c r="O1175" s="20">
        <v>25.0</v>
      </c>
      <c r="P1175" s="20">
        <f t="shared" si="2"/>
        <v>22</v>
      </c>
      <c r="Q1175" s="21">
        <v>2.0</v>
      </c>
      <c r="R1175" s="205">
        <f t="shared" si="3"/>
        <v>116.6512213</v>
      </c>
      <c r="S1175" s="19">
        <f t="shared" si="4"/>
        <v>4.114754098</v>
      </c>
      <c r="T1175" s="24">
        <f t="shared" si="5"/>
        <v>25</v>
      </c>
      <c r="U1175" s="26">
        <f t="shared" si="6"/>
        <v>0.1475409836</v>
      </c>
      <c r="V1175" s="26">
        <f t="shared" si="7"/>
        <v>0.4098360656</v>
      </c>
      <c r="W1175" s="19">
        <f t="shared" si="8"/>
        <v>0.187250996</v>
      </c>
      <c r="X1175" s="20">
        <f t="shared" si="9"/>
        <v>502</v>
      </c>
      <c r="Y1175" s="27"/>
      <c r="Z1175" s="17"/>
      <c r="AA1175" s="17"/>
      <c r="AB1175" s="17"/>
      <c r="AC1175" s="17"/>
      <c r="AD1175" s="27"/>
    </row>
    <row r="1176" ht="15.75" customHeight="1">
      <c r="A1176" s="16" t="s">
        <v>2931</v>
      </c>
      <c r="B1176" s="16" t="s">
        <v>2981</v>
      </c>
      <c r="C1176" s="16" t="str">
        <f t="shared" si="11"/>
        <v>Good To-Go Chicken Pho</v>
      </c>
      <c r="D1176" s="17" t="s">
        <v>2846</v>
      </c>
      <c r="E1176" s="17" t="s">
        <v>2833</v>
      </c>
      <c r="F1176" s="17">
        <v>2.0</v>
      </c>
      <c r="G1176" s="19">
        <f t="shared" si="10"/>
        <v>3.351029119</v>
      </c>
      <c r="H1176" s="17">
        <v>95.0</v>
      </c>
      <c r="I1176" s="10">
        <v>390.0</v>
      </c>
      <c r="J1176" s="17">
        <v>8.0</v>
      </c>
      <c r="K1176" s="17">
        <v>1220.0</v>
      </c>
      <c r="L1176" s="17">
        <v>970.0</v>
      </c>
      <c r="M1176" s="20">
        <v>54.0</v>
      </c>
      <c r="N1176" s="20">
        <v>2.0</v>
      </c>
      <c r="O1176" s="20">
        <v>6.0</v>
      </c>
      <c r="P1176" s="20">
        <f t="shared" si="2"/>
        <v>46</v>
      </c>
      <c r="Q1176" s="21">
        <v>27.0</v>
      </c>
      <c r="R1176" s="205">
        <f t="shared" si="3"/>
        <v>116.3821579</v>
      </c>
      <c r="S1176" s="19">
        <f t="shared" si="4"/>
        <v>4.105263158</v>
      </c>
      <c r="T1176" s="24">
        <f t="shared" si="5"/>
        <v>2</v>
      </c>
      <c r="U1176" s="26">
        <f t="shared" si="6"/>
        <v>0.1818181818</v>
      </c>
      <c r="V1176" s="26">
        <f t="shared" si="7"/>
        <v>0.06060606061</v>
      </c>
      <c r="W1176" s="19">
        <f t="shared" si="8"/>
        <v>3.128205128</v>
      </c>
      <c r="X1176" s="20">
        <f t="shared" si="9"/>
        <v>780</v>
      </c>
      <c r="Y1176" s="27"/>
      <c r="Z1176" s="17"/>
      <c r="AA1176" s="17"/>
      <c r="AB1176" s="17"/>
      <c r="AC1176" s="17"/>
      <c r="AD1176" s="27"/>
    </row>
    <row r="1177" ht="15.75" customHeight="1">
      <c r="A1177" s="16" t="s">
        <v>2931</v>
      </c>
      <c r="B1177" s="16" t="s">
        <v>2982</v>
      </c>
      <c r="C1177" s="16" t="str">
        <f t="shared" si="11"/>
        <v>Good To-Go Indian Vegetable Korma</v>
      </c>
      <c r="D1177" s="17" t="s">
        <v>2846</v>
      </c>
      <c r="E1177" s="17" t="s">
        <v>2833</v>
      </c>
      <c r="F1177" s="17">
        <v>2.0</v>
      </c>
      <c r="G1177" s="19">
        <f t="shared" si="10"/>
        <v>3.351029119</v>
      </c>
      <c r="H1177" s="17">
        <v>95.0</v>
      </c>
      <c r="I1177" s="10">
        <v>390.0</v>
      </c>
      <c r="J1177" s="17">
        <v>16.0</v>
      </c>
      <c r="K1177" s="17">
        <v>690.0</v>
      </c>
      <c r="L1177" s="17">
        <v>1165.0</v>
      </c>
      <c r="M1177" s="20">
        <v>52.0</v>
      </c>
      <c r="N1177" s="20">
        <v>12.0</v>
      </c>
      <c r="O1177" s="20">
        <v>17.0</v>
      </c>
      <c r="P1177" s="20">
        <f t="shared" si="2"/>
        <v>23</v>
      </c>
      <c r="Q1177" s="21">
        <v>15.0</v>
      </c>
      <c r="R1177" s="205">
        <f t="shared" si="3"/>
        <v>116.3821579</v>
      </c>
      <c r="S1177" s="19">
        <f t="shared" si="4"/>
        <v>4.105263158</v>
      </c>
      <c r="T1177" s="24">
        <f t="shared" si="5"/>
        <v>3.466666667</v>
      </c>
      <c r="U1177" s="26">
        <f t="shared" si="6"/>
        <v>0.3495145631</v>
      </c>
      <c r="V1177" s="26">
        <f t="shared" si="7"/>
        <v>0.1650485437</v>
      </c>
      <c r="W1177" s="19">
        <f t="shared" si="8"/>
        <v>1.769230769</v>
      </c>
      <c r="X1177" s="20">
        <f t="shared" si="9"/>
        <v>780</v>
      </c>
      <c r="Y1177" s="27"/>
      <c r="Z1177" s="17"/>
      <c r="AA1177" s="17"/>
      <c r="AB1177" s="17"/>
      <c r="AC1177" s="17"/>
      <c r="AD1177" s="27"/>
    </row>
    <row r="1178" ht="15.75" customHeight="1">
      <c r="A1178" s="16" t="s">
        <v>2891</v>
      </c>
      <c r="B1178" s="16" t="s">
        <v>2983</v>
      </c>
      <c r="C1178" s="16" t="str">
        <f t="shared" si="11"/>
        <v>Alpine Aire Leonardo Da Fettuccine</v>
      </c>
      <c r="D1178" s="17" t="s">
        <v>2846</v>
      </c>
      <c r="E1178" s="17" t="s">
        <v>2833</v>
      </c>
      <c r="F1178" s="17">
        <v>2.0</v>
      </c>
      <c r="G1178" s="19">
        <f t="shared" si="10"/>
        <v>2.751371276</v>
      </c>
      <c r="H1178" s="17">
        <v>78.0</v>
      </c>
      <c r="I1178" s="10">
        <v>320.0</v>
      </c>
      <c r="J1178" s="17">
        <v>10.0</v>
      </c>
      <c r="K1178" s="17">
        <v>610.0</v>
      </c>
      <c r="L1178" s="17">
        <v>492.0</v>
      </c>
      <c r="M1178" s="20">
        <v>44.0</v>
      </c>
      <c r="N1178" s="20">
        <v>1.0</v>
      </c>
      <c r="O1178" s="20">
        <v>7.0</v>
      </c>
      <c r="P1178" s="20">
        <f t="shared" si="2"/>
        <v>36</v>
      </c>
      <c r="Q1178" s="21">
        <v>15.0</v>
      </c>
      <c r="R1178" s="205">
        <f t="shared" si="3"/>
        <v>116.305641</v>
      </c>
      <c r="S1178" s="19">
        <f t="shared" si="4"/>
        <v>4.102564103</v>
      </c>
      <c r="T1178" s="24">
        <f t="shared" si="5"/>
        <v>2.933333333</v>
      </c>
      <c r="U1178" s="26">
        <f t="shared" si="6"/>
        <v>0.2760736196</v>
      </c>
      <c r="V1178" s="26">
        <f t="shared" si="7"/>
        <v>0.08588957055</v>
      </c>
      <c r="W1178" s="19">
        <f t="shared" si="8"/>
        <v>1.90625</v>
      </c>
      <c r="X1178" s="20">
        <f t="shared" si="9"/>
        <v>640</v>
      </c>
      <c r="Y1178" s="27"/>
      <c r="Z1178" s="17"/>
      <c r="AA1178" s="17"/>
      <c r="AB1178" s="17"/>
      <c r="AC1178" s="17"/>
      <c r="AD1178" s="27"/>
    </row>
    <row r="1179" ht="15.75" customHeight="1">
      <c r="A1179" s="16" t="s">
        <v>1402</v>
      </c>
      <c r="B1179" s="16" t="s">
        <v>2984</v>
      </c>
      <c r="C1179" s="16" t="str">
        <f t="shared" si="11"/>
        <v>Backpacker's Pantry Blueberry Walnut Oats &amp; Quinoa</v>
      </c>
      <c r="D1179" s="17" t="s">
        <v>92</v>
      </c>
      <c r="E1179" s="17" t="s">
        <v>2833</v>
      </c>
      <c r="F1179" s="17">
        <v>2.0</v>
      </c>
      <c r="G1179" s="19">
        <f t="shared" si="10"/>
        <v>3.104111184</v>
      </c>
      <c r="H1179" s="17">
        <v>88.0</v>
      </c>
      <c r="I1179" s="10">
        <v>360.0</v>
      </c>
      <c r="J1179" s="17">
        <v>10.0</v>
      </c>
      <c r="K1179" s="17">
        <v>170.0</v>
      </c>
      <c r="L1179" s="17">
        <v>425.0</v>
      </c>
      <c r="M1179" s="20">
        <v>30.0</v>
      </c>
      <c r="N1179" s="20">
        <v>8.0</v>
      </c>
      <c r="O1179" s="20">
        <v>14.0</v>
      </c>
      <c r="P1179" s="20">
        <f t="shared" si="2"/>
        <v>8</v>
      </c>
      <c r="Q1179" s="21">
        <v>19.0</v>
      </c>
      <c r="R1179" s="205">
        <f t="shared" si="3"/>
        <v>115.9752273</v>
      </c>
      <c r="S1179" s="19">
        <f t="shared" si="4"/>
        <v>4.090909091</v>
      </c>
      <c r="T1179" s="24">
        <f t="shared" si="5"/>
        <v>1.578947368</v>
      </c>
      <c r="U1179" s="26">
        <f t="shared" si="6"/>
        <v>0.3146853147</v>
      </c>
      <c r="V1179" s="26">
        <f t="shared" si="7"/>
        <v>0.1958041958</v>
      </c>
      <c r="W1179" s="19">
        <f t="shared" si="8"/>
        <v>0.4722222222</v>
      </c>
      <c r="X1179" s="20">
        <f t="shared" si="9"/>
        <v>720</v>
      </c>
      <c r="Y1179" s="27"/>
      <c r="Z1179" s="17"/>
      <c r="AA1179" s="17"/>
      <c r="AB1179" s="17"/>
      <c r="AC1179" s="17"/>
      <c r="AD1179" s="27"/>
    </row>
    <row r="1180" ht="15.75" customHeight="1">
      <c r="A1180" s="16" t="s">
        <v>1402</v>
      </c>
      <c r="B1180" s="16" t="s">
        <v>2985</v>
      </c>
      <c r="C1180" s="16" t="str">
        <f t="shared" si="11"/>
        <v>Backpacker's Pantry Organic Hot Blueberry, Walnut, Oats &amp; Quinoa Cereal</v>
      </c>
      <c r="D1180" s="17" t="s">
        <v>92</v>
      </c>
      <c r="E1180" s="17" t="s">
        <v>2833</v>
      </c>
      <c r="F1180" s="17">
        <v>1.0</v>
      </c>
      <c r="G1180" s="19">
        <f t="shared" si="10"/>
        <v>3.104111184</v>
      </c>
      <c r="H1180" s="17">
        <v>88.0</v>
      </c>
      <c r="I1180" s="10">
        <v>360.0</v>
      </c>
      <c r="J1180" s="17">
        <v>10.0</v>
      </c>
      <c r="K1180" s="17">
        <v>170.0</v>
      </c>
      <c r="L1180" s="17">
        <v>425.0</v>
      </c>
      <c r="M1180" s="20">
        <v>30.0</v>
      </c>
      <c r="N1180" s="20">
        <v>8.0</v>
      </c>
      <c r="O1180" s="20">
        <v>14.0</v>
      </c>
      <c r="P1180" s="20">
        <f t="shared" si="2"/>
        <v>8</v>
      </c>
      <c r="Q1180" s="21">
        <v>10.0</v>
      </c>
      <c r="R1180" s="205">
        <f t="shared" si="3"/>
        <v>115.9752273</v>
      </c>
      <c r="S1180" s="19">
        <f t="shared" si="4"/>
        <v>4.090909091</v>
      </c>
      <c r="T1180" s="24">
        <f t="shared" si="5"/>
        <v>3</v>
      </c>
      <c r="U1180" s="26">
        <f t="shared" si="6"/>
        <v>0.36</v>
      </c>
      <c r="V1180" s="26">
        <f t="shared" si="7"/>
        <v>0.224</v>
      </c>
      <c r="W1180" s="19">
        <f t="shared" si="8"/>
        <v>0.4722222222</v>
      </c>
      <c r="X1180" s="20">
        <f t="shared" si="9"/>
        <v>360</v>
      </c>
      <c r="Y1180" s="27"/>
      <c r="Z1180" s="17"/>
      <c r="AA1180" s="17"/>
      <c r="AB1180" s="17"/>
      <c r="AC1180" s="17"/>
      <c r="AD1180" s="27"/>
    </row>
    <row r="1181" ht="15.75" customHeight="1">
      <c r="A1181" s="16" t="s">
        <v>2891</v>
      </c>
      <c r="B1181" s="16" t="s">
        <v>2986</v>
      </c>
      <c r="C1181" s="16" t="str">
        <f t="shared" si="11"/>
        <v>Alpine Aire Three Cheese Chicken Pasta</v>
      </c>
      <c r="D1181" s="17" t="s">
        <v>2846</v>
      </c>
      <c r="E1181" s="17" t="s">
        <v>2833</v>
      </c>
      <c r="F1181" s="17">
        <v>2.0</v>
      </c>
      <c r="G1181" s="19">
        <f t="shared" si="10"/>
        <v>2.504453341</v>
      </c>
      <c r="H1181" s="17">
        <v>71.0</v>
      </c>
      <c r="I1181" s="10">
        <v>290.0</v>
      </c>
      <c r="J1181" s="17">
        <v>9.0</v>
      </c>
      <c r="K1181" s="17">
        <v>550.0</v>
      </c>
      <c r="L1181" s="17">
        <v>428.0</v>
      </c>
      <c r="M1181" s="20">
        <v>35.0</v>
      </c>
      <c r="N1181" s="20">
        <v>2.0</v>
      </c>
      <c r="O1181" s="20">
        <v>4.0</v>
      </c>
      <c r="P1181" s="20">
        <f t="shared" si="2"/>
        <v>29</v>
      </c>
      <c r="Q1181" s="21">
        <v>19.0</v>
      </c>
      <c r="R1181" s="205">
        <f t="shared" si="3"/>
        <v>115.7937324</v>
      </c>
      <c r="S1181" s="19">
        <f t="shared" si="4"/>
        <v>4.084507042</v>
      </c>
      <c r="T1181" s="24">
        <f t="shared" si="5"/>
        <v>1.842105263</v>
      </c>
      <c r="U1181" s="26">
        <f t="shared" si="6"/>
        <v>0.2727272727</v>
      </c>
      <c r="V1181" s="26">
        <f t="shared" si="7"/>
        <v>0.05387205387</v>
      </c>
      <c r="W1181" s="19">
        <f t="shared" si="8"/>
        <v>1.896551724</v>
      </c>
      <c r="X1181" s="20">
        <f t="shared" si="9"/>
        <v>580</v>
      </c>
      <c r="Y1181" s="27"/>
      <c r="Z1181" s="17"/>
      <c r="AA1181" s="17"/>
      <c r="AB1181" s="17"/>
      <c r="AC1181" s="17"/>
      <c r="AD1181" s="27"/>
    </row>
    <row r="1182" ht="15.75" customHeight="1">
      <c r="A1182" s="27" t="s">
        <v>1402</v>
      </c>
      <c r="B1182" s="27" t="s">
        <v>2940</v>
      </c>
      <c r="C1182" s="16" t="str">
        <f t="shared" si="11"/>
        <v>Backpacker's Pantry Pad Thai with Chicken</v>
      </c>
      <c r="D1182" s="17" t="s">
        <v>2846</v>
      </c>
      <c r="E1182" s="17" t="s">
        <v>2833</v>
      </c>
      <c r="F1182" s="17">
        <v>2.0</v>
      </c>
      <c r="G1182" s="19">
        <f t="shared" si="10"/>
        <v>3.633221044</v>
      </c>
      <c r="H1182" s="17">
        <v>103.0</v>
      </c>
      <c r="I1182" s="10">
        <v>420.0</v>
      </c>
      <c r="J1182" s="17">
        <v>16.0</v>
      </c>
      <c r="K1182" s="17">
        <v>710.0</v>
      </c>
      <c r="L1182" s="17">
        <v>646.0</v>
      </c>
      <c r="M1182" s="20">
        <v>55.0</v>
      </c>
      <c r="N1182" s="20">
        <v>5.0</v>
      </c>
      <c r="O1182" s="20">
        <v>12.0</v>
      </c>
      <c r="P1182" s="20">
        <f t="shared" si="2"/>
        <v>38</v>
      </c>
      <c r="Q1182" s="21">
        <v>23.0</v>
      </c>
      <c r="R1182" s="205">
        <f t="shared" si="3"/>
        <v>115.5999029</v>
      </c>
      <c r="S1182" s="19">
        <f t="shared" si="4"/>
        <v>4.077669903</v>
      </c>
      <c r="T1182" s="24">
        <f t="shared" si="5"/>
        <v>2.391304348</v>
      </c>
      <c r="U1182" s="26">
        <f t="shared" si="6"/>
        <v>0.3157894737</v>
      </c>
      <c r="V1182" s="26">
        <f t="shared" si="7"/>
        <v>0.1052631579</v>
      </c>
      <c r="W1182" s="19">
        <f t="shared" si="8"/>
        <v>1.69047619</v>
      </c>
      <c r="X1182" s="20">
        <f t="shared" si="9"/>
        <v>840</v>
      </c>
      <c r="Y1182" s="27"/>
      <c r="Z1182" s="17"/>
      <c r="AA1182" s="17"/>
      <c r="AB1182" s="17"/>
      <c r="AC1182" s="17"/>
      <c r="AD1182" s="27"/>
    </row>
    <row r="1183" ht="15.75" customHeight="1">
      <c r="A1183" s="211" t="s">
        <v>1526</v>
      </c>
      <c r="B1183" s="211" t="s">
        <v>2987</v>
      </c>
      <c r="C1183" s="16" t="str">
        <f t="shared" si="11"/>
        <v>Mountain House Noodles and Chicken</v>
      </c>
      <c r="D1183" s="162" t="s">
        <v>2846</v>
      </c>
      <c r="E1183" s="17" t="s">
        <v>2833</v>
      </c>
      <c r="F1183" s="162">
        <v>2.5</v>
      </c>
      <c r="G1183" s="212">
        <f t="shared" si="10"/>
        <v>1.904795499</v>
      </c>
      <c r="H1183" s="162">
        <v>54.0</v>
      </c>
      <c r="I1183" s="213">
        <v>220.0</v>
      </c>
      <c r="J1183" s="162">
        <v>5.0</v>
      </c>
      <c r="K1183" s="162">
        <v>710.0</v>
      </c>
      <c r="L1183" s="162"/>
      <c r="M1183" s="214">
        <v>32.0</v>
      </c>
      <c r="N1183" s="214">
        <v>1.0</v>
      </c>
      <c r="O1183" s="214">
        <v>3.0</v>
      </c>
      <c r="P1183" s="214">
        <f t="shared" si="2"/>
        <v>28</v>
      </c>
      <c r="Q1183" s="215">
        <v>10.0</v>
      </c>
      <c r="R1183" s="205">
        <f t="shared" si="3"/>
        <v>115.497963</v>
      </c>
      <c r="S1183" s="19">
        <f t="shared" si="4"/>
        <v>4.074074074</v>
      </c>
      <c r="T1183" s="24">
        <f t="shared" si="5"/>
        <v>3.2</v>
      </c>
      <c r="U1183" s="26">
        <f t="shared" si="6"/>
        <v>0.2112676056</v>
      </c>
      <c r="V1183" s="26">
        <f t="shared" si="7"/>
        <v>0.05633802817</v>
      </c>
      <c r="W1183" s="19">
        <f t="shared" si="8"/>
        <v>3.227272727</v>
      </c>
      <c r="X1183" s="214">
        <f t="shared" si="9"/>
        <v>550</v>
      </c>
      <c r="Y1183" s="27"/>
      <c r="Z1183" s="17"/>
      <c r="AA1183" s="17"/>
      <c r="AB1183" s="17"/>
      <c r="AC1183" s="17"/>
      <c r="AD1183" s="27"/>
    </row>
    <row r="1184" ht="15.75" customHeight="1">
      <c r="A1184" s="16" t="s">
        <v>1526</v>
      </c>
      <c r="B1184" s="16" t="s">
        <v>2988</v>
      </c>
      <c r="C1184" s="16" t="str">
        <f t="shared" si="11"/>
        <v>Mountain House Pasta Primavera</v>
      </c>
      <c r="D1184" s="17" t="s">
        <v>2846</v>
      </c>
      <c r="E1184" s="17" t="s">
        <v>2833</v>
      </c>
      <c r="F1184" s="17">
        <v>2.0</v>
      </c>
      <c r="G1184" s="19">
        <f t="shared" si="10"/>
        <v>1.904795499</v>
      </c>
      <c r="H1184" s="17">
        <v>54.0</v>
      </c>
      <c r="I1184" s="10">
        <v>220.0</v>
      </c>
      <c r="J1184" s="17">
        <v>6.0</v>
      </c>
      <c r="K1184" s="17">
        <v>590.0</v>
      </c>
      <c r="L1184" s="17">
        <v>245.0</v>
      </c>
      <c r="M1184" s="20">
        <v>34.0</v>
      </c>
      <c r="N1184" s="20">
        <v>1.0</v>
      </c>
      <c r="O1184" s="20">
        <v>6.0</v>
      </c>
      <c r="P1184" s="20">
        <f t="shared" si="2"/>
        <v>27</v>
      </c>
      <c r="Q1184" s="21">
        <v>8.0</v>
      </c>
      <c r="R1184" s="205">
        <f t="shared" si="3"/>
        <v>115.497963</v>
      </c>
      <c r="S1184" s="19">
        <f t="shared" si="4"/>
        <v>4.074074074</v>
      </c>
      <c r="T1184" s="24">
        <f t="shared" si="5"/>
        <v>4.25</v>
      </c>
      <c r="U1184" s="26">
        <f t="shared" si="6"/>
        <v>0.2432432432</v>
      </c>
      <c r="V1184" s="26">
        <f t="shared" si="7"/>
        <v>0.1081081081</v>
      </c>
      <c r="W1184" s="19">
        <f t="shared" si="8"/>
        <v>2.681818182</v>
      </c>
      <c r="X1184" s="20">
        <f t="shared" si="9"/>
        <v>440</v>
      </c>
      <c r="Y1184" s="27"/>
      <c r="Z1184" s="17"/>
      <c r="AA1184" s="17"/>
      <c r="AB1184" s="17"/>
      <c r="AC1184" s="17"/>
      <c r="AD1184" s="27"/>
    </row>
    <row r="1185" ht="15.75" customHeight="1">
      <c r="A1185" s="16" t="s">
        <v>1526</v>
      </c>
      <c r="B1185" s="16" t="s">
        <v>2989</v>
      </c>
      <c r="C1185" s="16" t="str">
        <f t="shared" si="11"/>
        <v>Mountain House Chicken Teriyaki</v>
      </c>
      <c r="D1185" s="17" t="s">
        <v>2846</v>
      </c>
      <c r="E1185" s="17" t="s">
        <v>2833</v>
      </c>
      <c r="F1185" s="17">
        <v>2.0</v>
      </c>
      <c r="G1185" s="19">
        <f t="shared" si="10"/>
        <v>2.081165453</v>
      </c>
      <c r="H1185" s="17">
        <v>59.0</v>
      </c>
      <c r="I1185" s="10">
        <v>240.0</v>
      </c>
      <c r="J1185" s="17">
        <v>2.5</v>
      </c>
      <c r="K1185" s="17">
        <v>710.0</v>
      </c>
      <c r="L1185" s="17">
        <v>299.0</v>
      </c>
      <c r="M1185" s="20">
        <v>42.0</v>
      </c>
      <c r="N1185" s="20">
        <v>2.0</v>
      </c>
      <c r="O1185" s="20">
        <v>11.0</v>
      </c>
      <c r="P1185" s="20">
        <f t="shared" si="2"/>
        <v>29</v>
      </c>
      <c r="Q1185" s="21">
        <v>12.0</v>
      </c>
      <c r="R1185" s="205">
        <f t="shared" si="3"/>
        <v>115.32</v>
      </c>
      <c r="S1185" s="19">
        <f t="shared" si="4"/>
        <v>4.06779661</v>
      </c>
      <c r="T1185" s="24">
        <f t="shared" si="5"/>
        <v>3.5</v>
      </c>
      <c r="U1185" s="26">
        <f t="shared" si="6"/>
        <v>0.09433962264</v>
      </c>
      <c r="V1185" s="26">
        <f t="shared" si="7"/>
        <v>0.1844863732</v>
      </c>
      <c r="W1185" s="19">
        <f t="shared" si="8"/>
        <v>2.958333333</v>
      </c>
      <c r="X1185" s="20">
        <f t="shared" si="9"/>
        <v>480</v>
      </c>
      <c r="Y1185" s="27"/>
      <c r="Z1185" s="17"/>
      <c r="AA1185" s="17"/>
      <c r="AB1185" s="17"/>
      <c r="AC1185" s="17"/>
      <c r="AD1185" s="27"/>
    </row>
    <row r="1186" ht="15.75" customHeight="1">
      <c r="A1186" s="16" t="s">
        <v>1402</v>
      </c>
      <c r="B1186" s="16" t="s">
        <v>2990</v>
      </c>
      <c r="C1186" s="16" t="str">
        <f t="shared" si="11"/>
        <v>Backpacker's Pantry Stroganoff Sauce, Egg Noodles, Beef &amp; Mushrooms</v>
      </c>
      <c r="D1186" s="17" t="s">
        <v>2846</v>
      </c>
      <c r="E1186" s="17" t="s">
        <v>2833</v>
      </c>
      <c r="F1186" s="17">
        <v>2.0</v>
      </c>
      <c r="G1186" s="19">
        <f t="shared" si="10"/>
        <v>2.610275313</v>
      </c>
      <c r="H1186" s="17">
        <v>74.0</v>
      </c>
      <c r="I1186" s="10">
        <v>300.0</v>
      </c>
      <c r="J1186" s="17">
        <v>7.0</v>
      </c>
      <c r="K1186" s="17">
        <v>1110.0</v>
      </c>
      <c r="L1186" s="17">
        <v>297.0</v>
      </c>
      <c r="M1186" s="20">
        <v>40.0</v>
      </c>
      <c r="N1186" s="20">
        <v>1.0</v>
      </c>
      <c r="O1186" s="20">
        <v>5.0</v>
      </c>
      <c r="P1186" s="20">
        <f t="shared" si="2"/>
        <v>34</v>
      </c>
      <c r="Q1186" s="21">
        <v>16.0</v>
      </c>
      <c r="R1186" s="205">
        <f t="shared" si="3"/>
        <v>114.9304054</v>
      </c>
      <c r="S1186" s="19">
        <f t="shared" si="4"/>
        <v>4.054054054</v>
      </c>
      <c r="T1186" s="24">
        <f t="shared" si="5"/>
        <v>2.5</v>
      </c>
      <c r="U1186" s="26">
        <f t="shared" si="6"/>
        <v>0.2195121951</v>
      </c>
      <c r="V1186" s="26">
        <f t="shared" si="7"/>
        <v>0.06968641115</v>
      </c>
      <c r="W1186" s="19">
        <f t="shared" si="8"/>
        <v>3.7</v>
      </c>
      <c r="X1186" s="20">
        <f t="shared" si="9"/>
        <v>600</v>
      </c>
      <c r="Y1186" s="27"/>
      <c r="Z1186" s="17"/>
      <c r="AA1186" s="17"/>
      <c r="AB1186" s="17"/>
      <c r="AC1186" s="17"/>
      <c r="AD1186" s="27"/>
    </row>
    <row r="1187" ht="15.75" customHeight="1">
      <c r="A1187" s="16" t="s">
        <v>1402</v>
      </c>
      <c r="B1187" s="16" t="s">
        <v>2991</v>
      </c>
      <c r="C1187" s="16" t="str">
        <f t="shared" si="11"/>
        <v>Backpacker's Pantry Three Amigos Veggie Stew</v>
      </c>
      <c r="D1187" s="17" t="s">
        <v>2846</v>
      </c>
      <c r="E1187" s="17" t="s">
        <v>2833</v>
      </c>
      <c r="F1187" s="17">
        <v>2.0</v>
      </c>
      <c r="G1187" s="19">
        <f t="shared" si="10"/>
        <v>2.786645267</v>
      </c>
      <c r="H1187" s="17">
        <v>79.0</v>
      </c>
      <c r="I1187" s="10">
        <v>320.0</v>
      </c>
      <c r="J1187" s="17">
        <v>10.0</v>
      </c>
      <c r="K1187" s="17">
        <v>540.0</v>
      </c>
      <c r="L1187" s="17">
        <v>347.0</v>
      </c>
      <c r="M1187" s="20">
        <v>43.0</v>
      </c>
      <c r="N1187" s="20">
        <v>12.0</v>
      </c>
      <c r="O1187" s="20">
        <v>3.0</v>
      </c>
      <c r="P1187" s="20">
        <f t="shared" si="2"/>
        <v>28</v>
      </c>
      <c r="Q1187" s="21">
        <v>16.0</v>
      </c>
      <c r="R1187" s="205">
        <f t="shared" si="3"/>
        <v>114.8334177</v>
      </c>
      <c r="S1187" s="19">
        <f t="shared" si="4"/>
        <v>4.050632911</v>
      </c>
      <c r="T1187" s="24">
        <f t="shared" si="5"/>
        <v>2.6875</v>
      </c>
      <c r="U1187" s="26">
        <f t="shared" si="6"/>
        <v>0.2760736196</v>
      </c>
      <c r="V1187" s="26">
        <f t="shared" si="7"/>
        <v>0.03680981595</v>
      </c>
      <c r="W1187" s="19">
        <f t="shared" si="8"/>
        <v>1.6875</v>
      </c>
      <c r="X1187" s="20">
        <f t="shared" si="9"/>
        <v>640</v>
      </c>
      <c r="Y1187" s="27"/>
      <c r="Z1187" s="17"/>
      <c r="AA1187" s="17"/>
      <c r="AB1187" s="17"/>
      <c r="AC1187" s="17"/>
      <c r="AD1187" s="27"/>
    </row>
    <row r="1188" ht="15.75" customHeight="1">
      <c r="A1188" s="16" t="s">
        <v>2835</v>
      </c>
      <c r="B1188" s="16" t="s">
        <v>2992</v>
      </c>
      <c r="C1188" s="16" t="str">
        <f t="shared" si="11"/>
        <v>Trailtopia Beef &amp; Black Bean Burrito (BYOB)</v>
      </c>
      <c r="D1188" s="17" t="s">
        <v>2846</v>
      </c>
      <c r="E1188" s="17" t="s">
        <v>2833</v>
      </c>
      <c r="F1188" s="17">
        <v>2.0</v>
      </c>
      <c r="G1188" s="19">
        <f t="shared" si="10"/>
        <v>3.703769026</v>
      </c>
      <c r="H1188" s="17">
        <v>105.0</v>
      </c>
      <c r="I1188" s="10">
        <v>425.0</v>
      </c>
      <c r="J1188" s="17">
        <v>13.0</v>
      </c>
      <c r="K1188" s="17">
        <v>870.0</v>
      </c>
      <c r="L1188" s="17">
        <v>1000.0</v>
      </c>
      <c r="M1188" s="20">
        <v>54.0</v>
      </c>
      <c r="N1188" s="20">
        <v>12.0</v>
      </c>
      <c r="O1188" s="20">
        <v>11.0</v>
      </c>
      <c r="P1188" s="20">
        <f t="shared" si="2"/>
        <v>31</v>
      </c>
      <c r="Q1188" s="21">
        <v>21.0</v>
      </c>
      <c r="R1188" s="205">
        <f t="shared" si="3"/>
        <v>114.7479762</v>
      </c>
      <c r="S1188" s="19">
        <f t="shared" si="4"/>
        <v>4.047619048</v>
      </c>
      <c r="T1188" s="24">
        <f t="shared" si="5"/>
        <v>2.571428571</v>
      </c>
      <c r="U1188" s="26">
        <f t="shared" si="6"/>
        <v>0.2805755396</v>
      </c>
      <c r="V1188" s="26">
        <f t="shared" si="7"/>
        <v>0.1055155875</v>
      </c>
      <c r="W1188" s="19">
        <f t="shared" si="8"/>
        <v>2.047058824</v>
      </c>
      <c r="X1188" s="20">
        <f t="shared" si="9"/>
        <v>850</v>
      </c>
      <c r="Y1188" s="27"/>
      <c r="Z1188" s="17"/>
      <c r="AA1188" s="17"/>
      <c r="AB1188" s="17"/>
      <c r="AC1188" s="17"/>
      <c r="AD1188" s="27"/>
    </row>
    <row r="1189" ht="15.75" customHeight="1">
      <c r="A1189" s="16" t="s">
        <v>2835</v>
      </c>
      <c r="B1189" s="16" t="s">
        <v>2993</v>
      </c>
      <c r="C1189" s="16" t="str">
        <f t="shared" si="11"/>
        <v>Trailtopia Chicken Cashew Curry</v>
      </c>
      <c r="D1189" s="17" t="s">
        <v>2846</v>
      </c>
      <c r="E1189" s="17" t="s">
        <v>2833</v>
      </c>
      <c r="F1189" s="17">
        <v>2.0</v>
      </c>
      <c r="G1189" s="19">
        <f t="shared" si="10"/>
        <v>3.139385174</v>
      </c>
      <c r="H1189" s="17">
        <v>89.0</v>
      </c>
      <c r="I1189" s="10">
        <v>360.0</v>
      </c>
      <c r="J1189" s="17">
        <v>8.0</v>
      </c>
      <c r="K1189" s="17">
        <v>430.0</v>
      </c>
      <c r="L1189" s="17"/>
      <c r="M1189" s="20">
        <v>54.0</v>
      </c>
      <c r="N1189" s="20">
        <v>5.0</v>
      </c>
      <c r="O1189" s="20">
        <v>11.0</v>
      </c>
      <c r="P1189" s="20">
        <f t="shared" si="2"/>
        <v>38</v>
      </c>
      <c r="Q1189" s="21">
        <v>19.0</v>
      </c>
      <c r="R1189" s="205">
        <f t="shared" si="3"/>
        <v>114.6721348</v>
      </c>
      <c r="S1189" s="19">
        <f t="shared" si="4"/>
        <v>4.04494382</v>
      </c>
      <c r="T1189" s="24">
        <f t="shared" si="5"/>
        <v>2.842105263</v>
      </c>
      <c r="U1189" s="26">
        <f t="shared" si="6"/>
        <v>0.1978021978</v>
      </c>
      <c r="V1189" s="26">
        <f t="shared" si="7"/>
        <v>0.1208791209</v>
      </c>
      <c r="W1189" s="19">
        <f t="shared" si="8"/>
        <v>1.194444444</v>
      </c>
      <c r="X1189" s="20">
        <f t="shared" si="9"/>
        <v>720</v>
      </c>
      <c r="Y1189" s="27"/>
      <c r="Z1189" s="17"/>
      <c r="AA1189" s="17"/>
      <c r="AB1189" s="17"/>
      <c r="AC1189" s="17"/>
      <c r="AD1189" s="27"/>
    </row>
    <row r="1190" ht="15.75" customHeight="1">
      <c r="A1190" s="16" t="s">
        <v>2891</v>
      </c>
      <c r="B1190" s="16" t="s">
        <v>2994</v>
      </c>
      <c r="C1190" s="16" t="str">
        <f t="shared" si="11"/>
        <v>Alpine Aire Forever Young Mac &amp; Cheese</v>
      </c>
      <c r="D1190" s="17" t="s">
        <v>2846</v>
      </c>
      <c r="E1190" s="17" t="s">
        <v>2833</v>
      </c>
      <c r="F1190" s="17">
        <v>2.0</v>
      </c>
      <c r="G1190" s="19">
        <f t="shared" si="10"/>
        <v>3.492125082</v>
      </c>
      <c r="H1190" s="17">
        <v>99.0</v>
      </c>
      <c r="I1190" s="10">
        <v>400.0</v>
      </c>
      <c r="J1190" s="17">
        <v>12.0</v>
      </c>
      <c r="K1190" s="17">
        <v>1280.0</v>
      </c>
      <c r="L1190" s="17">
        <v>757.0</v>
      </c>
      <c r="M1190" s="20">
        <v>56.0</v>
      </c>
      <c r="N1190" s="20">
        <v>2.0</v>
      </c>
      <c r="O1190" s="20">
        <v>7.0</v>
      </c>
      <c r="P1190" s="20">
        <f t="shared" si="2"/>
        <v>47</v>
      </c>
      <c r="Q1190" s="21">
        <v>17.0</v>
      </c>
      <c r="R1190" s="205">
        <f t="shared" si="3"/>
        <v>114.5434343</v>
      </c>
      <c r="S1190" s="19">
        <f t="shared" si="4"/>
        <v>4.04040404</v>
      </c>
      <c r="T1190" s="24">
        <f t="shared" si="5"/>
        <v>3.294117647</v>
      </c>
      <c r="U1190" s="26">
        <f t="shared" si="6"/>
        <v>0.27</v>
      </c>
      <c r="V1190" s="26">
        <f t="shared" si="7"/>
        <v>0.07</v>
      </c>
      <c r="W1190" s="19">
        <f t="shared" si="8"/>
        <v>3.2</v>
      </c>
      <c r="X1190" s="20">
        <f t="shared" si="9"/>
        <v>800</v>
      </c>
      <c r="Y1190" s="27"/>
      <c r="Z1190" s="17"/>
      <c r="AA1190" s="17"/>
      <c r="AB1190" s="17"/>
      <c r="AC1190" s="17"/>
      <c r="AD1190" s="27"/>
    </row>
    <row r="1191" ht="15.75" customHeight="1">
      <c r="A1191" s="16" t="s">
        <v>2835</v>
      </c>
      <c r="B1191" s="16" t="s">
        <v>2995</v>
      </c>
      <c r="C1191" s="16" t="str">
        <f t="shared" si="11"/>
        <v>Trailtopia Brown Sugar &amp; Raisin Oatmeal</v>
      </c>
      <c r="D1191" s="17" t="s">
        <v>92</v>
      </c>
      <c r="E1191" s="17" t="s">
        <v>2833</v>
      </c>
      <c r="F1191" s="17">
        <v>1.0</v>
      </c>
      <c r="G1191" s="19">
        <f t="shared" si="10"/>
        <v>2.645549304</v>
      </c>
      <c r="H1191" s="17">
        <v>75.0</v>
      </c>
      <c r="I1191" s="10">
        <v>303.0</v>
      </c>
      <c r="J1191" s="17">
        <v>3.0</v>
      </c>
      <c r="K1191" s="17">
        <v>1.0</v>
      </c>
      <c r="L1191" s="17"/>
      <c r="M1191" s="20">
        <v>66.0</v>
      </c>
      <c r="N1191" s="20">
        <v>5.0</v>
      </c>
      <c r="O1191" s="20">
        <v>32.0</v>
      </c>
      <c r="P1191" s="20">
        <f t="shared" si="2"/>
        <v>29</v>
      </c>
      <c r="Q1191" s="21">
        <v>7.0</v>
      </c>
      <c r="R1191" s="205">
        <f t="shared" si="3"/>
        <v>114.53198</v>
      </c>
      <c r="S1191" s="19">
        <f t="shared" si="4"/>
        <v>4.04</v>
      </c>
      <c r="T1191" s="24">
        <f t="shared" si="5"/>
        <v>9.428571429</v>
      </c>
      <c r="U1191" s="26">
        <f t="shared" si="6"/>
        <v>0.08463949843</v>
      </c>
      <c r="V1191" s="26">
        <f t="shared" si="7"/>
        <v>0.4012539185</v>
      </c>
      <c r="W1191" s="19">
        <f t="shared" si="8"/>
        <v>0.003300330033</v>
      </c>
      <c r="X1191" s="20">
        <f t="shared" si="9"/>
        <v>303</v>
      </c>
      <c r="Y1191" s="27"/>
      <c r="Z1191" s="17"/>
      <c r="AA1191" s="17"/>
      <c r="AB1191" s="17"/>
      <c r="AC1191" s="17"/>
      <c r="AD1191" s="27"/>
    </row>
    <row r="1192" ht="15.75" customHeight="1">
      <c r="A1192" s="27" t="s">
        <v>1402</v>
      </c>
      <c r="B1192" s="27" t="s">
        <v>2996</v>
      </c>
      <c r="C1192" s="16" t="str">
        <f t="shared" si="11"/>
        <v>Backpacker's Pantry Mocha Mousse Pie</v>
      </c>
      <c r="D1192" s="17" t="s">
        <v>478</v>
      </c>
      <c r="E1192" s="17" t="s">
        <v>2839</v>
      </c>
      <c r="F1192" s="17">
        <v>2.0</v>
      </c>
      <c r="G1192" s="19">
        <f t="shared" si="10"/>
        <v>1.834247518</v>
      </c>
      <c r="H1192" s="17">
        <v>52.0</v>
      </c>
      <c r="I1192" s="10">
        <v>210.0</v>
      </c>
      <c r="J1192" s="17">
        <v>3.0</v>
      </c>
      <c r="K1192" s="17">
        <v>430.0</v>
      </c>
      <c r="L1192" s="17">
        <v>0.0</v>
      </c>
      <c r="M1192" s="20">
        <v>41.0</v>
      </c>
      <c r="N1192" s="20">
        <v>2.0</v>
      </c>
      <c r="O1192" s="20">
        <v>28.0</v>
      </c>
      <c r="P1192" s="20">
        <f t="shared" si="2"/>
        <v>11</v>
      </c>
      <c r="Q1192" s="21">
        <v>5.0</v>
      </c>
      <c r="R1192" s="205">
        <f t="shared" si="3"/>
        <v>114.4883654</v>
      </c>
      <c r="S1192" s="19">
        <f t="shared" si="4"/>
        <v>4.038461538</v>
      </c>
      <c r="T1192" s="24">
        <f t="shared" si="5"/>
        <v>8.2</v>
      </c>
      <c r="U1192" s="26">
        <f t="shared" si="6"/>
        <v>0.1279620853</v>
      </c>
      <c r="V1192" s="26">
        <f t="shared" si="7"/>
        <v>0.5308056872</v>
      </c>
      <c r="W1192" s="19">
        <f t="shared" si="8"/>
        <v>2.047619048</v>
      </c>
      <c r="X1192" s="20">
        <f t="shared" si="9"/>
        <v>420</v>
      </c>
      <c r="Y1192" s="27"/>
      <c r="Z1192" s="17"/>
      <c r="AA1192" s="17"/>
      <c r="AB1192" s="17"/>
      <c r="AC1192" s="17"/>
      <c r="AD1192" s="27"/>
    </row>
    <row r="1193" ht="15.75" customHeight="1">
      <c r="A1193" s="16" t="s">
        <v>2899</v>
      </c>
      <c r="B1193" s="16" t="s">
        <v>2997</v>
      </c>
      <c r="C1193" s="16" t="str">
        <f t="shared" si="11"/>
        <v>ReadyWise Open Range Cheesy Potato Soup</v>
      </c>
      <c r="D1193" s="17" t="s">
        <v>2846</v>
      </c>
      <c r="E1193" s="17" t="s">
        <v>2833</v>
      </c>
      <c r="F1193" s="17">
        <v>2.5</v>
      </c>
      <c r="G1193" s="19">
        <f t="shared" si="10"/>
        <v>1.834247518</v>
      </c>
      <c r="H1193" s="17">
        <v>52.0</v>
      </c>
      <c r="I1193" s="10">
        <v>210.0</v>
      </c>
      <c r="J1193" s="17">
        <v>7.0</v>
      </c>
      <c r="K1193" s="17">
        <v>950.0</v>
      </c>
      <c r="L1193" s="17">
        <v>360.0</v>
      </c>
      <c r="M1193" s="20">
        <v>34.0</v>
      </c>
      <c r="N1193" s="20">
        <v>2.0</v>
      </c>
      <c r="O1193" s="20">
        <v>2.0</v>
      </c>
      <c r="P1193" s="20">
        <f t="shared" si="2"/>
        <v>30</v>
      </c>
      <c r="Q1193" s="21">
        <v>3.0</v>
      </c>
      <c r="R1193" s="205">
        <f t="shared" si="3"/>
        <v>114.4883654</v>
      </c>
      <c r="S1193" s="19">
        <f t="shared" si="4"/>
        <v>4.038461538</v>
      </c>
      <c r="T1193" s="24">
        <f t="shared" si="5"/>
        <v>11.33333333</v>
      </c>
      <c r="U1193" s="26">
        <f t="shared" si="6"/>
        <v>0.2985781991</v>
      </c>
      <c r="V1193" s="26">
        <f t="shared" si="7"/>
        <v>0.03791469194</v>
      </c>
      <c r="W1193" s="19">
        <f t="shared" si="8"/>
        <v>4.523809524</v>
      </c>
      <c r="X1193" s="20">
        <f t="shared" si="9"/>
        <v>525</v>
      </c>
      <c r="Y1193" s="27"/>
      <c r="Z1193" s="17"/>
      <c r="AA1193" s="17"/>
      <c r="AB1193" s="17"/>
      <c r="AC1193" s="17"/>
      <c r="AD1193" s="27"/>
    </row>
    <row r="1194" ht="15.75" customHeight="1">
      <c r="A1194" s="16" t="s">
        <v>2832</v>
      </c>
      <c r="B1194" s="16" t="s">
        <v>2998</v>
      </c>
      <c r="C1194" s="16" t="str">
        <f t="shared" si="11"/>
        <v>PackIt Gourmet Chicken - White Meat (Freeze-Dried)</v>
      </c>
      <c r="D1194" s="17" t="s">
        <v>33</v>
      </c>
      <c r="E1194" s="17" t="s">
        <v>2833</v>
      </c>
      <c r="F1194" s="17">
        <v>1.0</v>
      </c>
      <c r="G1194" s="19">
        <f t="shared" si="10"/>
        <v>2.010617471</v>
      </c>
      <c r="H1194" s="17">
        <v>57.0</v>
      </c>
      <c r="I1194" s="10">
        <v>230.0</v>
      </c>
      <c r="J1194" s="17">
        <v>2.0</v>
      </c>
      <c r="K1194" s="17">
        <v>65.0</v>
      </c>
      <c r="L1194" s="17">
        <v>0.0</v>
      </c>
      <c r="M1194" s="20">
        <v>0.0</v>
      </c>
      <c r="N1194" s="20">
        <v>0.0</v>
      </c>
      <c r="O1194" s="20">
        <v>0.0</v>
      </c>
      <c r="P1194" s="20">
        <f t="shared" si="2"/>
        <v>0</v>
      </c>
      <c r="Q1194" s="21">
        <v>52.0</v>
      </c>
      <c r="R1194" s="205">
        <f t="shared" si="3"/>
        <v>114.3927193</v>
      </c>
      <c r="S1194" s="19">
        <f t="shared" si="4"/>
        <v>4.035087719</v>
      </c>
      <c r="T1194" s="24">
        <f t="shared" si="5"/>
        <v>0</v>
      </c>
      <c r="U1194" s="26">
        <f t="shared" si="6"/>
        <v>0.0796460177</v>
      </c>
      <c r="V1194" s="26" t="str">
        <f t="shared" si="7"/>
        <v>0%</v>
      </c>
      <c r="W1194" s="19">
        <f t="shared" si="8"/>
        <v>0.2826086957</v>
      </c>
      <c r="X1194" s="20">
        <f t="shared" si="9"/>
        <v>230</v>
      </c>
      <c r="Y1194" s="27"/>
      <c r="Z1194" s="17"/>
      <c r="AA1194" s="17"/>
      <c r="AB1194" s="17"/>
      <c r="AC1194" s="17"/>
      <c r="AD1194" s="27"/>
    </row>
    <row r="1195" ht="15.75" customHeight="1">
      <c r="A1195" s="16" t="s">
        <v>2896</v>
      </c>
      <c r="B1195" s="16" t="s">
        <v>2999</v>
      </c>
      <c r="C1195" s="16" t="str">
        <f t="shared" si="11"/>
        <v>Firepot Baked Apple Porridge</v>
      </c>
      <c r="D1195" s="17" t="s">
        <v>92</v>
      </c>
      <c r="E1195" s="17" t="s">
        <v>2833</v>
      </c>
      <c r="F1195" s="17">
        <v>2.0</v>
      </c>
      <c r="G1195" s="19">
        <f t="shared" si="10"/>
        <v>2.892467239</v>
      </c>
      <c r="H1195" s="17">
        <v>82.0</v>
      </c>
      <c r="I1195" s="10">
        <v>330.0</v>
      </c>
      <c r="J1195" s="17">
        <v>5.0</v>
      </c>
      <c r="K1195" s="17">
        <v>90.0</v>
      </c>
      <c r="L1195" s="17">
        <v>125.0</v>
      </c>
      <c r="M1195" s="20">
        <v>70.0</v>
      </c>
      <c r="N1195" s="20">
        <v>7.0</v>
      </c>
      <c r="O1195" s="20">
        <v>26.0</v>
      </c>
      <c r="P1195" s="20">
        <f t="shared" si="2"/>
        <v>37</v>
      </c>
      <c r="Q1195" s="21">
        <v>7.0</v>
      </c>
      <c r="R1195" s="205">
        <f t="shared" si="3"/>
        <v>114.0894512</v>
      </c>
      <c r="S1195" s="19">
        <f t="shared" si="4"/>
        <v>4.024390244</v>
      </c>
      <c r="T1195" s="24">
        <f t="shared" si="5"/>
        <v>10</v>
      </c>
      <c r="U1195" s="26">
        <f t="shared" si="6"/>
        <v>0.1274787535</v>
      </c>
      <c r="V1195" s="26">
        <f t="shared" si="7"/>
        <v>0.2946175637</v>
      </c>
      <c r="W1195" s="19">
        <f t="shared" si="8"/>
        <v>0.2727272727</v>
      </c>
      <c r="X1195" s="20">
        <f t="shared" si="9"/>
        <v>660</v>
      </c>
      <c r="Y1195" s="27"/>
      <c r="Z1195" s="17"/>
      <c r="AA1195" s="17"/>
      <c r="AB1195" s="17"/>
      <c r="AC1195" s="17"/>
      <c r="AD1195" s="27"/>
    </row>
    <row r="1196" ht="15.75" customHeight="1">
      <c r="A1196" s="16" t="s">
        <v>2891</v>
      </c>
      <c r="B1196" s="16" t="s">
        <v>3000</v>
      </c>
      <c r="C1196" s="16" t="str">
        <f t="shared" si="11"/>
        <v>Alpine Aire Pasta Primavera with Grilled Chicken</v>
      </c>
      <c r="D1196" s="17" t="s">
        <v>2846</v>
      </c>
      <c r="E1196" s="17" t="s">
        <v>2833</v>
      </c>
      <c r="F1196" s="17">
        <v>2.0</v>
      </c>
      <c r="G1196" s="19">
        <f t="shared" si="10"/>
        <v>2.892467239</v>
      </c>
      <c r="H1196" s="17">
        <v>82.0</v>
      </c>
      <c r="I1196" s="10">
        <v>330.0</v>
      </c>
      <c r="J1196" s="17">
        <v>10.0</v>
      </c>
      <c r="K1196" s="17">
        <v>710.0</v>
      </c>
      <c r="L1196" s="17">
        <v>754.0</v>
      </c>
      <c r="M1196" s="20">
        <v>38.0</v>
      </c>
      <c r="N1196" s="20">
        <v>2.0</v>
      </c>
      <c r="O1196" s="20">
        <v>8.0</v>
      </c>
      <c r="P1196" s="20">
        <f t="shared" si="2"/>
        <v>28</v>
      </c>
      <c r="Q1196" s="21">
        <v>24.0</v>
      </c>
      <c r="R1196" s="205">
        <f t="shared" si="3"/>
        <v>114.0894512</v>
      </c>
      <c r="S1196" s="19">
        <f t="shared" si="4"/>
        <v>4.024390244</v>
      </c>
      <c r="T1196" s="24">
        <f t="shared" si="5"/>
        <v>1.583333333</v>
      </c>
      <c r="U1196" s="26">
        <f t="shared" si="6"/>
        <v>0.2662721893</v>
      </c>
      <c r="V1196" s="26">
        <f t="shared" si="7"/>
        <v>0.09467455621</v>
      </c>
      <c r="W1196" s="19">
        <f t="shared" si="8"/>
        <v>2.151515152</v>
      </c>
      <c r="X1196" s="20">
        <f t="shared" si="9"/>
        <v>660</v>
      </c>
      <c r="Y1196" s="27"/>
      <c r="Z1196" s="17"/>
      <c r="AA1196" s="17"/>
      <c r="AB1196" s="17"/>
      <c r="AC1196" s="17"/>
      <c r="AD1196" s="27"/>
    </row>
    <row r="1197" ht="15.75" customHeight="1">
      <c r="A1197" s="16" t="s">
        <v>2931</v>
      </c>
      <c r="B1197" s="16" t="s">
        <v>3001</v>
      </c>
      <c r="C1197" s="16" t="str">
        <f t="shared" si="11"/>
        <v>Good To-Go Oatmeal</v>
      </c>
      <c r="D1197" s="17" t="s">
        <v>92</v>
      </c>
      <c r="E1197" s="17" t="s">
        <v>2833</v>
      </c>
      <c r="F1197" s="17">
        <v>1.0</v>
      </c>
      <c r="G1197" s="19">
        <f t="shared" si="10"/>
        <v>4.303426868</v>
      </c>
      <c r="H1197" s="17">
        <v>122.0</v>
      </c>
      <c r="I1197" s="10">
        <v>490.0</v>
      </c>
      <c r="J1197" s="17">
        <v>14.0</v>
      </c>
      <c r="K1197" s="17">
        <v>170.0</v>
      </c>
      <c r="L1197" s="17">
        <v>630.0</v>
      </c>
      <c r="M1197" s="20">
        <v>76.0</v>
      </c>
      <c r="N1197" s="20">
        <v>12.0</v>
      </c>
      <c r="O1197" s="20">
        <v>27.0</v>
      </c>
      <c r="P1197" s="20">
        <f t="shared" si="2"/>
        <v>37</v>
      </c>
      <c r="Q1197" s="21">
        <v>16.0</v>
      </c>
      <c r="R1197" s="205">
        <f t="shared" si="3"/>
        <v>113.8627459</v>
      </c>
      <c r="S1197" s="19">
        <f t="shared" si="4"/>
        <v>4.016393443</v>
      </c>
      <c r="T1197" s="24">
        <f t="shared" si="5"/>
        <v>4.75</v>
      </c>
      <c r="U1197" s="26">
        <f t="shared" si="6"/>
        <v>0.2550607287</v>
      </c>
      <c r="V1197" s="26">
        <f t="shared" si="7"/>
        <v>0.2186234818</v>
      </c>
      <c r="W1197" s="19">
        <f t="shared" si="8"/>
        <v>0.3469387755</v>
      </c>
      <c r="X1197" s="20">
        <f t="shared" si="9"/>
        <v>490</v>
      </c>
      <c r="Y1197" s="27"/>
      <c r="Z1197" s="17"/>
      <c r="AA1197" s="17"/>
      <c r="AB1197" s="17"/>
      <c r="AC1197" s="17"/>
      <c r="AD1197" s="27"/>
    </row>
    <row r="1198" ht="15.75" customHeight="1">
      <c r="A1198" s="16" t="s">
        <v>2832</v>
      </c>
      <c r="B1198" s="16" t="s">
        <v>3002</v>
      </c>
      <c r="C1198" s="16" t="str">
        <f t="shared" si="11"/>
        <v>PackIt Gourmet Boston Crème Parfait</v>
      </c>
      <c r="D1198" s="17" t="s">
        <v>478</v>
      </c>
      <c r="E1198" s="17" t="s">
        <v>2839</v>
      </c>
      <c r="F1198" s="17">
        <v>1.0</v>
      </c>
      <c r="G1198" s="19">
        <f t="shared" si="10"/>
        <v>5.36164659</v>
      </c>
      <c r="H1198" s="17">
        <v>152.0</v>
      </c>
      <c r="I1198" s="10">
        <v>610.0</v>
      </c>
      <c r="J1198" s="17">
        <v>19.0</v>
      </c>
      <c r="K1198" s="17">
        <v>810.0</v>
      </c>
      <c r="L1198" s="17">
        <v>20.0</v>
      </c>
      <c r="M1198" s="20">
        <v>98.0</v>
      </c>
      <c r="N1198" s="20">
        <v>0.0</v>
      </c>
      <c r="O1198" s="20">
        <v>75.0</v>
      </c>
      <c r="P1198" s="20">
        <f t="shared" si="2"/>
        <v>23</v>
      </c>
      <c r="Q1198" s="21">
        <v>9.0</v>
      </c>
      <c r="R1198" s="205">
        <f t="shared" si="3"/>
        <v>113.7710197</v>
      </c>
      <c r="S1198" s="19">
        <f t="shared" si="4"/>
        <v>4.013157895</v>
      </c>
      <c r="T1198" s="24">
        <f t="shared" si="5"/>
        <v>10.88888889</v>
      </c>
      <c r="U1198" s="26">
        <f t="shared" si="6"/>
        <v>0.285475793</v>
      </c>
      <c r="V1198" s="26">
        <f t="shared" si="7"/>
        <v>0.5008347245</v>
      </c>
      <c r="W1198" s="19">
        <f t="shared" si="8"/>
        <v>1.327868852</v>
      </c>
      <c r="X1198" s="20">
        <f t="shared" si="9"/>
        <v>610</v>
      </c>
      <c r="Y1198" s="27"/>
      <c r="Z1198" s="17"/>
      <c r="AA1198" s="17"/>
      <c r="AB1198" s="17"/>
      <c r="AC1198" s="17"/>
      <c r="AD1198" s="27"/>
    </row>
    <row r="1199" ht="15.75" customHeight="1">
      <c r="A1199" s="16" t="s">
        <v>2832</v>
      </c>
      <c r="B1199" s="16" t="s">
        <v>3003</v>
      </c>
      <c r="C1199" s="16" t="str">
        <f t="shared" si="11"/>
        <v>PackIt Gourmet West Memphis Grits Souffle</v>
      </c>
      <c r="D1199" s="17" t="s">
        <v>92</v>
      </c>
      <c r="E1199" s="17" t="s">
        <v>2833</v>
      </c>
      <c r="F1199" s="17">
        <v>1.0</v>
      </c>
      <c r="G1199" s="19">
        <f t="shared" si="10"/>
        <v>3.174659165</v>
      </c>
      <c r="H1199" s="17">
        <v>90.0</v>
      </c>
      <c r="I1199" s="10">
        <v>360.0</v>
      </c>
      <c r="J1199" s="17">
        <v>12.0</v>
      </c>
      <c r="K1199" s="17">
        <v>810.0</v>
      </c>
      <c r="L1199" s="17">
        <v>40.0</v>
      </c>
      <c r="M1199" s="20">
        <v>52.0</v>
      </c>
      <c r="N1199" s="20">
        <v>3.0</v>
      </c>
      <c r="O1199" s="20">
        <v>6.0</v>
      </c>
      <c r="P1199" s="20">
        <f t="shared" si="2"/>
        <v>43</v>
      </c>
      <c r="Q1199" s="21">
        <v>14.0</v>
      </c>
      <c r="R1199" s="205">
        <f t="shared" si="3"/>
        <v>113.398</v>
      </c>
      <c r="S1199" s="19">
        <f t="shared" si="4"/>
        <v>4</v>
      </c>
      <c r="T1199" s="24">
        <f t="shared" si="5"/>
        <v>3.714285714</v>
      </c>
      <c r="U1199" s="26">
        <f t="shared" si="6"/>
        <v>0.2903225806</v>
      </c>
      <c r="V1199" s="26">
        <f t="shared" si="7"/>
        <v>0.06451612903</v>
      </c>
      <c r="W1199" s="19">
        <f t="shared" si="8"/>
        <v>2.25</v>
      </c>
      <c r="X1199" s="20">
        <f t="shared" si="9"/>
        <v>360</v>
      </c>
      <c r="Y1199" s="27"/>
      <c r="Z1199" s="17"/>
      <c r="AA1199" s="17"/>
      <c r="AB1199" s="17"/>
      <c r="AC1199" s="17"/>
      <c r="AD1199" s="27"/>
    </row>
    <row r="1200" ht="15.75" customHeight="1">
      <c r="A1200" s="16" t="s">
        <v>2899</v>
      </c>
      <c r="B1200" s="16" t="s">
        <v>3004</v>
      </c>
      <c r="C1200" s="16" t="str">
        <f t="shared" si="11"/>
        <v>ReadyWise Sunrise Strawberry Granola Crunch</v>
      </c>
      <c r="D1200" s="17" t="s">
        <v>92</v>
      </c>
      <c r="E1200" s="17" t="s">
        <v>2839</v>
      </c>
      <c r="F1200" s="17">
        <v>2.5</v>
      </c>
      <c r="G1200" s="19">
        <f t="shared" si="10"/>
        <v>1.763699536</v>
      </c>
      <c r="H1200" s="17">
        <v>50.0</v>
      </c>
      <c r="I1200" s="10">
        <v>200.0</v>
      </c>
      <c r="J1200" s="17">
        <v>4.0</v>
      </c>
      <c r="K1200" s="17">
        <v>130.0</v>
      </c>
      <c r="L1200" s="17">
        <v>190.0</v>
      </c>
      <c r="M1200" s="20">
        <v>34.0</v>
      </c>
      <c r="N1200" s="20">
        <v>1.0</v>
      </c>
      <c r="O1200" s="20">
        <v>14.0</v>
      </c>
      <c r="P1200" s="20">
        <f t="shared" si="2"/>
        <v>19</v>
      </c>
      <c r="Q1200" s="21">
        <v>5.0</v>
      </c>
      <c r="R1200" s="205">
        <f t="shared" si="3"/>
        <v>113.398</v>
      </c>
      <c r="S1200" s="19">
        <f t="shared" si="4"/>
        <v>4</v>
      </c>
      <c r="T1200" s="24">
        <f t="shared" si="5"/>
        <v>6.8</v>
      </c>
      <c r="U1200" s="26">
        <f t="shared" si="6"/>
        <v>0.1875</v>
      </c>
      <c r="V1200" s="26">
        <f t="shared" si="7"/>
        <v>0.2916666667</v>
      </c>
      <c r="W1200" s="19">
        <f t="shared" si="8"/>
        <v>0.65</v>
      </c>
      <c r="X1200" s="20">
        <f t="shared" si="9"/>
        <v>500</v>
      </c>
      <c r="Y1200" s="27"/>
      <c r="Z1200" s="17"/>
      <c r="AA1200" s="17"/>
      <c r="AB1200" s="17"/>
      <c r="AC1200" s="17"/>
      <c r="AD1200" s="27"/>
    </row>
    <row r="1201" ht="15.75" customHeight="1">
      <c r="A1201" s="16" t="s">
        <v>2832</v>
      </c>
      <c r="B1201" s="16" t="s">
        <v>3005</v>
      </c>
      <c r="C1201" s="16" t="str">
        <f t="shared" si="11"/>
        <v>PackIt Gourmet Molten Chocolate Lava Cakes</v>
      </c>
      <c r="D1201" s="17" t="s">
        <v>478</v>
      </c>
      <c r="E1201" s="17" t="s">
        <v>2837</v>
      </c>
      <c r="F1201" s="17">
        <v>4.0</v>
      </c>
      <c r="G1201" s="19">
        <f t="shared" si="10"/>
        <v>1.763699536</v>
      </c>
      <c r="H1201" s="17">
        <v>50.0</v>
      </c>
      <c r="I1201" s="10">
        <v>200.0</v>
      </c>
      <c r="J1201" s="17">
        <v>5.0</v>
      </c>
      <c r="K1201" s="17">
        <v>230.0</v>
      </c>
      <c r="L1201" s="17">
        <v>130.0</v>
      </c>
      <c r="M1201" s="20">
        <v>40.0</v>
      </c>
      <c r="N1201" s="20">
        <v>2.0</v>
      </c>
      <c r="O1201" s="20">
        <v>25.0</v>
      </c>
      <c r="P1201" s="20">
        <f t="shared" si="2"/>
        <v>13</v>
      </c>
      <c r="Q1201" s="21">
        <v>2.0</v>
      </c>
      <c r="R1201" s="205">
        <f t="shared" si="3"/>
        <v>113.398</v>
      </c>
      <c r="S1201" s="19">
        <f t="shared" si="4"/>
        <v>4</v>
      </c>
      <c r="T1201" s="24">
        <f t="shared" si="5"/>
        <v>20</v>
      </c>
      <c r="U1201" s="26">
        <f t="shared" si="6"/>
        <v>0.2112676056</v>
      </c>
      <c r="V1201" s="26">
        <f t="shared" si="7"/>
        <v>0.4694835681</v>
      </c>
      <c r="W1201" s="19">
        <f t="shared" si="8"/>
        <v>1.15</v>
      </c>
      <c r="X1201" s="20">
        <f t="shared" si="9"/>
        <v>800</v>
      </c>
      <c r="Y1201" s="27"/>
      <c r="Z1201" s="17"/>
      <c r="AA1201" s="17"/>
      <c r="AB1201" s="17"/>
      <c r="AC1201" s="17"/>
      <c r="AD1201" s="27"/>
    </row>
    <row r="1202" ht="15.75" customHeight="1">
      <c r="A1202" s="16" t="s">
        <v>2832</v>
      </c>
      <c r="B1202" s="16" t="s">
        <v>3006</v>
      </c>
      <c r="C1202" s="16" t="str">
        <f t="shared" si="11"/>
        <v>PackIt Gourmet Peach Passion Jump Start Smoothie</v>
      </c>
      <c r="D1202" s="17" t="s">
        <v>99</v>
      </c>
      <c r="E1202" s="17" t="s">
        <v>2839</v>
      </c>
      <c r="F1202" s="17">
        <v>1.0</v>
      </c>
      <c r="G1202" s="19">
        <f t="shared" si="10"/>
        <v>3.527399072</v>
      </c>
      <c r="H1202" s="17">
        <v>100.0</v>
      </c>
      <c r="I1202" s="10">
        <v>400.0</v>
      </c>
      <c r="J1202" s="17">
        <v>6.0</v>
      </c>
      <c r="K1202" s="17">
        <v>160.0</v>
      </c>
      <c r="L1202" s="17">
        <v>530.0</v>
      </c>
      <c r="M1202" s="20">
        <v>51.0</v>
      </c>
      <c r="N1202" s="20">
        <v>2.0</v>
      </c>
      <c r="O1202" s="20">
        <v>46.0</v>
      </c>
      <c r="P1202" s="20">
        <f t="shared" si="2"/>
        <v>3</v>
      </c>
      <c r="Q1202" s="21">
        <v>34.0</v>
      </c>
      <c r="R1202" s="205">
        <f t="shared" si="3"/>
        <v>113.398</v>
      </c>
      <c r="S1202" s="19">
        <f t="shared" si="4"/>
        <v>4</v>
      </c>
      <c r="T1202" s="24">
        <f t="shared" si="5"/>
        <v>1.5</v>
      </c>
      <c r="U1202" s="26">
        <f t="shared" si="6"/>
        <v>0.1370558376</v>
      </c>
      <c r="V1202" s="26">
        <f t="shared" si="7"/>
        <v>0.4670050761</v>
      </c>
      <c r="W1202" s="19">
        <f t="shared" si="8"/>
        <v>0.4</v>
      </c>
      <c r="X1202" s="20">
        <f t="shared" si="9"/>
        <v>400</v>
      </c>
      <c r="Y1202" s="27"/>
      <c r="Z1202" s="17"/>
      <c r="AA1202" s="17"/>
      <c r="AB1202" s="17"/>
      <c r="AC1202" s="17"/>
      <c r="AD1202" s="27"/>
    </row>
    <row r="1203" ht="15.75" customHeight="1">
      <c r="A1203" s="16" t="s">
        <v>2891</v>
      </c>
      <c r="B1203" s="16" t="s">
        <v>3007</v>
      </c>
      <c r="C1203" s="16" t="str">
        <f t="shared" si="11"/>
        <v>Alpine Aire Creamy Potato Cheddar Soup</v>
      </c>
      <c r="D1203" s="17" t="s">
        <v>2846</v>
      </c>
      <c r="E1203" s="17" t="s">
        <v>2833</v>
      </c>
      <c r="F1203" s="17">
        <v>2.0</v>
      </c>
      <c r="G1203" s="19">
        <f t="shared" si="10"/>
        <v>1.763699536</v>
      </c>
      <c r="H1203" s="17">
        <v>50.0</v>
      </c>
      <c r="I1203" s="10">
        <v>200.0</v>
      </c>
      <c r="J1203" s="17">
        <v>7.0</v>
      </c>
      <c r="K1203" s="17">
        <v>630.0</v>
      </c>
      <c r="L1203" s="17">
        <v>1002.0</v>
      </c>
      <c r="M1203" s="20">
        <v>28.0</v>
      </c>
      <c r="N1203" s="20">
        <v>1.0</v>
      </c>
      <c r="O1203" s="20">
        <v>6.0</v>
      </c>
      <c r="P1203" s="20">
        <f t="shared" si="2"/>
        <v>21</v>
      </c>
      <c r="Q1203" s="21">
        <v>7.0</v>
      </c>
      <c r="R1203" s="205">
        <f t="shared" si="3"/>
        <v>113.398</v>
      </c>
      <c r="S1203" s="19">
        <f t="shared" si="4"/>
        <v>4</v>
      </c>
      <c r="T1203" s="24">
        <f t="shared" si="5"/>
        <v>4</v>
      </c>
      <c r="U1203" s="26">
        <f t="shared" si="6"/>
        <v>0.3103448276</v>
      </c>
      <c r="V1203" s="26">
        <f t="shared" si="7"/>
        <v>0.118226601</v>
      </c>
      <c r="W1203" s="19">
        <f t="shared" si="8"/>
        <v>3.15</v>
      </c>
      <c r="X1203" s="20">
        <f t="shared" si="9"/>
        <v>400</v>
      </c>
      <c r="Y1203" s="27"/>
      <c r="Z1203" s="17"/>
      <c r="AA1203" s="17"/>
      <c r="AB1203" s="17"/>
      <c r="AC1203" s="17"/>
      <c r="AD1203" s="27"/>
    </row>
    <row r="1204" ht="15.75" customHeight="1">
      <c r="A1204" s="16" t="s">
        <v>2891</v>
      </c>
      <c r="B1204" s="16" t="s">
        <v>3008</v>
      </c>
      <c r="C1204" s="16" t="str">
        <f t="shared" si="11"/>
        <v>Alpine Aire Pasta Roma</v>
      </c>
      <c r="D1204" s="17" t="s">
        <v>2846</v>
      </c>
      <c r="E1204" s="17" t="s">
        <v>2833</v>
      </c>
      <c r="F1204" s="17">
        <v>2.0</v>
      </c>
      <c r="G1204" s="19">
        <f t="shared" si="10"/>
        <v>2.998289211</v>
      </c>
      <c r="H1204" s="17">
        <v>85.0</v>
      </c>
      <c r="I1204" s="10">
        <v>340.0</v>
      </c>
      <c r="J1204" s="17">
        <v>8.0</v>
      </c>
      <c r="K1204" s="17">
        <v>740.0</v>
      </c>
      <c r="L1204" s="17">
        <v>885.0</v>
      </c>
      <c r="M1204" s="20">
        <v>49.0</v>
      </c>
      <c r="N1204" s="20">
        <v>2.0</v>
      </c>
      <c r="O1204" s="20">
        <v>11.0</v>
      </c>
      <c r="P1204" s="20">
        <f t="shared" si="2"/>
        <v>36</v>
      </c>
      <c r="Q1204" s="21">
        <v>17.0</v>
      </c>
      <c r="R1204" s="205">
        <f t="shared" si="3"/>
        <v>113.398</v>
      </c>
      <c r="S1204" s="19">
        <f t="shared" si="4"/>
        <v>4</v>
      </c>
      <c r="T1204" s="24">
        <f t="shared" si="5"/>
        <v>2.882352941</v>
      </c>
      <c r="U1204" s="26">
        <f t="shared" si="6"/>
        <v>0.2142857143</v>
      </c>
      <c r="V1204" s="26">
        <f t="shared" si="7"/>
        <v>0.130952381</v>
      </c>
      <c r="W1204" s="19">
        <f t="shared" si="8"/>
        <v>2.176470588</v>
      </c>
      <c r="X1204" s="20">
        <f t="shared" si="9"/>
        <v>680</v>
      </c>
      <c r="Y1204" s="27"/>
      <c r="Z1204" s="17"/>
      <c r="AA1204" s="17"/>
      <c r="AB1204" s="17"/>
      <c r="AC1204" s="17"/>
      <c r="AD1204" s="27"/>
    </row>
    <row r="1205" ht="15.75" customHeight="1">
      <c r="A1205" s="16" t="s">
        <v>2891</v>
      </c>
      <c r="B1205" s="16" t="s">
        <v>3009</v>
      </c>
      <c r="C1205" s="16" t="str">
        <f t="shared" si="11"/>
        <v>Alpine Aire Southwestern Style Masa with Beef</v>
      </c>
      <c r="D1205" s="17" t="s">
        <v>2846</v>
      </c>
      <c r="E1205" s="17" t="s">
        <v>2833</v>
      </c>
      <c r="F1205" s="17">
        <v>2.0</v>
      </c>
      <c r="G1205" s="19">
        <f t="shared" si="10"/>
        <v>2.998289211</v>
      </c>
      <c r="H1205" s="17">
        <v>85.0</v>
      </c>
      <c r="I1205" s="10">
        <v>340.0</v>
      </c>
      <c r="J1205" s="17">
        <v>10.0</v>
      </c>
      <c r="K1205" s="17">
        <v>750.0</v>
      </c>
      <c r="L1205" s="17">
        <v>1135.0</v>
      </c>
      <c r="M1205" s="20">
        <v>47.0</v>
      </c>
      <c r="N1205" s="20">
        <v>1.0</v>
      </c>
      <c r="O1205" s="20">
        <v>10.0</v>
      </c>
      <c r="P1205" s="20">
        <f t="shared" si="2"/>
        <v>36</v>
      </c>
      <c r="Q1205" s="21">
        <v>18.0</v>
      </c>
      <c r="R1205" s="205">
        <f t="shared" si="3"/>
        <v>113.398</v>
      </c>
      <c r="S1205" s="19">
        <f t="shared" si="4"/>
        <v>4</v>
      </c>
      <c r="T1205" s="24">
        <f t="shared" si="5"/>
        <v>2.611111111</v>
      </c>
      <c r="U1205" s="26">
        <f t="shared" si="6"/>
        <v>0.2571428571</v>
      </c>
      <c r="V1205" s="26">
        <f t="shared" si="7"/>
        <v>0.1142857143</v>
      </c>
      <c r="W1205" s="19">
        <f t="shared" si="8"/>
        <v>2.205882353</v>
      </c>
      <c r="X1205" s="20">
        <f t="shared" si="9"/>
        <v>680</v>
      </c>
      <c r="Y1205" s="27"/>
      <c r="Z1205" s="17"/>
      <c r="AA1205" s="17"/>
      <c r="AB1205" s="17"/>
      <c r="AC1205" s="17"/>
      <c r="AD1205" s="27"/>
    </row>
    <row r="1206" ht="15.75" customHeight="1">
      <c r="A1206" s="16" t="s">
        <v>2891</v>
      </c>
      <c r="B1206" s="16" t="s">
        <v>3010</v>
      </c>
      <c r="C1206" s="16" t="str">
        <f t="shared" si="11"/>
        <v>Alpine Aire Tuscan Grilled Chicken Alfredo</v>
      </c>
      <c r="D1206" s="17" t="s">
        <v>2846</v>
      </c>
      <c r="E1206" s="17" t="s">
        <v>2833</v>
      </c>
      <c r="F1206" s="17">
        <v>2.0</v>
      </c>
      <c r="G1206" s="19">
        <f t="shared" si="10"/>
        <v>2.998289211</v>
      </c>
      <c r="H1206" s="17">
        <v>85.0</v>
      </c>
      <c r="I1206" s="10">
        <v>340.0</v>
      </c>
      <c r="J1206" s="17">
        <v>9.0</v>
      </c>
      <c r="K1206" s="17">
        <v>780.0</v>
      </c>
      <c r="L1206" s="17">
        <v>628.0</v>
      </c>
      <c r="M1206" s="20">
        <v>46.0</v>
      </c>
      <c r="N1206" s="20">
        <v>0.0</v>
      </c>
      <c r="O1206" s="20">
        <v>8.0</v>
      </c>
      <c r="P1206" s="20">
        <f t="shared" si="2"/>
        <v>38</v>
      </c>
      <c r="Q1206" s="21">
        <v>20.0</v>
      </c>
      <c r="R1206" s="205">
        <f t="shared" si="3"/>
        <v>113.398</v>
      </c>
      <c r="S1206" s="19">
        <f t="shared" si="4"/>
        <v>4</v>
      </c>
      <c r="T1206" s="24">
        <f t="shared" si="5"/>
        <v>2.3</v>
      </c>
      <c r="U1206" s="26">
        <f t="shared" si="6"/>
        <v>0.2347826087</v>
      </c>
      <c r="V1206" s="26">
        <f t="shared" si="7"/>
        <v>0.09275362319</v>
      </c>
      <c r="W1206" s="19">
        <f t="shared" si="8"/>
        <v>2.294117647</v>
      </c>
      <c r="X1206" s="20">
        <f t="shared" si="9"/>
        <v>680</v>
      </c>
      <c r="Y1206" s="27"/>
      <c r="Z1206" s="17"/>
      <c r="AA1206" s="17"/>
      <c r="AB1206" s="17"/>
      <c r="AC1206" s="17"/>
      <c r="AD1206" s="27"/>
    </row>
    <row r="1207" ht="15.75" customHeight="1">
      <c r="A1207" s="16" t="s">
        <v>1402</v>
      </c>
      <c r="B1207" s="16" t="s">
        <v>3011</v>
      </c>
      <c r="C1207" s="16" t="str">
        <f t="shared" si="11"/>
        <v>Backpacker's Pantry Pad Thai</v>
      </c>
      <c r="D1207" s="17" t="s">
        <v>2846</v>
      </c>
      <c r="E1207" s="17" t="s">
        <v>2833</v>
      </c>
      <c r="F1207" s="17">
        <v>2.0</v>
      </c>
      <c r="G1207" s="19">
        <f t="shared" si="10"/>
        <v>4.056508933</v>
      </c>
      <c r="H1207" s="17">
        <v>115.0</v>
      </c>
      <c r="I1207" s="10">
        <v>460.0</v>
      </c>
      <c r="J1207" s="17">
        <v>17.0</v>
      </c>
      <c r="K1207" s="17">
        <v>780.0</v>
      </c>
      <c r="L1207" s="17">
        <v>985.0</v>
      </c>
      <c r="M1207" s="20">
        <v>65.0</v>
      </c>
      <c r="N1207" s="20">
        <v>8.0</v>
      </c>
      <c r="O1207" s="20">
        <v>14.0</v>
      </c>
      <c r="P1207" s="20">
        <f t="shared" si="2"/>
        <v>43</v>
      </c>
      <c r="Q1207" s="21">
        <v>20.0</v>
      </c>
      <c r="R1207" s="205">
        <f t="shared" si="3"/>
        <v>113.398</v>
      </c>
      <c r="S1207" s="19">
        <f t="shared" si="4"/>
        <v>4</v>
      </c>
      <c r="T1207" s="24">
        <f t="shared" si="5"/>
        <v>3.25</v>
      </c>
      <c r="U1207" s="26">
        <f t="shared" si="6"/>
        <v>0.3103448276</v>
      </c>
      <c r="V1207" s="26">
        <f t="shared" si="7"/>
        <v>0.1135902637</v>
      </c>
      <c r="W1207" s="19">
        <f t="shared" si="8"/>
        <v>1.695652174</v>
      </c>
      <c r="X1207" s="20">
        <f t="shared" si="9"/>
        <v>920</v>
      </c>
      <c r="Y1207" s="27"/>
      <c r="Z1207" s="17"/>
      <c r="AA1207" s="17"/>
      <c r="AB1207" s="17"/>
      <c r="AC1207" s="17"/>
      <c r="AD1207" s="27"/>
    </row>
    <row r="1208" ht="15.75" customHeight="1">
      <c r="A1208" s="16" t="s">
        <v>2931</v>
      </c>
      <c r="B1208" s="16" t="s">
        <v>3012</v>
      </c>
      <c r="C1208" s="16" t="str">
        <f t="shared" si="11"/>
        <v>Good To-Go Thai Curry</v>
      </c>
      <c r="D1208" s="17" t="s">
        <v>2846</v>
      </c>
      <c r="E1208" s="17" t="s">
        <v>2833</v>
      </c>
      <c r="F1208" s="17">
        <v>2.0</v>
      </c>
      <c r="G1208" s="19">
        <f t="shared" si="10"/>
        <v>3.351029119</v>
      </c>
      <c r="H1208" s="17">
        <v>95.0</v>
      </c>
      <c r="I1208" s="10">
        <v>380.0</v>
      </c>
      <c r="J1208" s="17">
        <v>14.0</v>
      </c>
      <c r="K1208" s="17">
        <v>500.0</v>
      </c>
      <c r="L1208" s="17">
        <v>413.0</v>
      </c>
      <c r="M1208" s="20">
        <v>56.0</v>
      </c>
      <c r="N1208" s="20">
        <v>7.0</v>
      </c>
      <c r="O1208" s="20">
        <v>8.0</v>
      </c>
      <c r="P1208" s="20">
        <f t="shared" si="2"/>
        <v>41</v>
      </c>
      <c r="Q1208" s="21">
        <v>10.0</v>
      </c>
      <c r="R1208" s="205">
        <f t="shared" si="3"/>
        <v>113.398</v>
      </c>
      <c r="S1208" s="19">
        <f t="shared" si="4"/>
        <v>4</v>
      </c>
      <c r="T1208" s="24">
        <f t="shared" si="5"/>
        <v>5.6</v>
      </c>
      <c r="U1208" s="26">
        <f t="shared" si="6"/>
        <v>0.3230769231</v>
      </c>
      <c r="V1208" s="26">
        <f t="shared" si="7"/>
        <v>0.08205128205</v>
      </c>
      <c r="W1208" s="19">
        <f t="shared" si="8"/>
        <v>1.315789474</v>
      </c>
      <c r="X1208" s="20">
        <f t="shared" si="9"/>
        <v>760</v>
      </c>
      <c r="Y1208" s="27"/>
      <c r="Z1208" s="17"/>
      <c r="AA1208" s="17"/>
      <c r="AB1208" s="17"/>
      <c r="AC1208" s="17"/>
      <c r="AD1208" s="27"/>
    </row>
    <row r="1209" ht="15.75" customHeight="1">
      <c r="A1209" s="16" t="s">
        <v>2899</v>
      </c>
      <c r="B1209" s="16" t="s">
        <v>3013</v>
      </c>
      <c r="C1209" s="16" t="str">
        <f t="shared" si="11"/>
        <v>ReadyWise Summit Sweet Potato Curry</v>
      </c>
      <c r="D1209" s="17" t="s">
        <v>2846</v>
      </c>
      <c r="E1209" s="17" t="s">
        <v>2833</v>
      </c>
      <c r="F1209" s="17">
        <v>2.5</v>
      </c>
      <c r="G1209" s="19">
        <f t="shared" si="10"/>
        <v>2.645549304</v>
      </c>
      <c r="H1209" s="17">
        <v>75.0</v>
      </c>
      <c r="I1209" s="10">
        <v>300.0</v>
      </c>
      <c r="J1209" s="17">
        <v>7.0</v>
      </c>
      <c r="K1209" s="17">
        <v>440.0</v>
      </c>
      <c r="L1209" s="17">
        <v>520.0</v>
      </c>
      <c r="M1209" s="20">
        <v>51.0</v>
      </c>
      <c r="N1209" s="20">
        <v>7.0</v>
      </c>
      <c r="O1209" s="20">
        <v>9.0</v>
      </c>
      <c r="P1209" s="20">
        <f t="shared" si="2"/>
        <v>35</v>
      </c>
      <c r="Q1209" s="21">
        <v>8.0</v>
      </c>
      <c r="R1209" s="205">
        <f t="shared" si="3"/>
        <v>113.398</v>
      </c>
      <c r="S1209" s="19">
        <f t="shared" si="4"/>
        <v>4</v>
      </c>
      <c r="T1209" s="24">
        <f t="shared" si="5"/>
        <v>6.375</v>
      </c>
      <c r="U1209" s="26">
        <f t="shared" si="6"/>
        <v>0.2107023411</v>
      </c>
      <c r="V1209" s="26">
        <f t="shared" si="7"/>
        <v>0.1204013378</v>
      </c>
      <c r="W1209" s="19">
        <f t="shared" si="8"/>
        <v>1.466666667</v>
      </c>
      <c r="X1209" s="20">
        <f t="shared" si="9"/>
        <v>750</v>
      </c>
      <c r="Y1209" s="27"/>
      <c r="Z1209" s="17"/>
      <c r="AA1209" s="17"/>
      <c r="AB1209" s="17"/>
      <c r="AC1209" s="17"/>
      <c r="AD1209" s="27"/>
    </row>
    <row r="1210" ht="15.75" customHeight="1">
      <c r="A1210" s="16" t="s">
        <v>2832</v>
      </c>
      <c r="B1210" s="16" t="s">
        <v>3014</v>
      </c>
      <c r="C1210" s="16" t="str">
        <f t="shared" si="11"/>
        <v>PackIt Gourmet Happy Hour Black Bean Dip</v>
      </c>
      <c r="D1210" s="17" t="s">
        <v>2880</v>
      </c>
      <c r="E1210" s="17" t="s">
        <v>2833</v>
      </c>
      <c r="F1210" s="17">
        <v>2.0</v>
      </c>
      <c r="G1210" s="19">
        <f t="shared" si="10"/>
        <v>1.410959629</v>
      </c>
      <c r="H1210" s="17">
        <v>40.0</v>
      </c>
      <c r="I1210" s="10">
        <v>160.0</v>
      </c>
      <c r="J1210" s="17">
        <v>5.0</v>
      </c>
      <c r="K1210" s="17">
        <v>400.0</v>
      </c>
      <c r="L1210" s="17">
        <v>490.0</v>
      </c>
      <c r="M1210" s="20">
        <v>20.0</v>
      </c>
      <c r="N1210" s="20">
        <v>5.0</v>
      </c>
      <c r="O1210" s="20">
        <v>1.0</v>
      </c>
      <c r="P1210" s="20">
        <f t="shared" si="2"/>
        <v>14</v>
      </c>
      <c r="Q1210" s="21">
        <v>10.0</v>
      </c>
      <c r="R1210" s="205">
        <f t="shared" si="3"/>
        <v>113.398</v>
      </c>
      <c r="S1210" s="19">
        <f t="shared" si="4"/>
        <v>4</v>
      </c>
      <c r="T1210" s="24">
        <f t="shared" si="5"/>
        <v>2</v>
      </c>
      <c r="U1210" s="26">
        <f t="shared" si="6"/>
        <v>0.2727272727</v>
      </c>
      <c r="V1210" s="26">
        <f t="shared" si="7"/>
        <v>0.02424242424</v>
      </c>
      <c r="W1210" s="19">
        <f t="shared" si="8"/>
        <v>2.5</v>
      </c>
      <c r="X1210" s="20">
        <f t="shared" si="9"/>
        <v>320</v>
      </c>
      <c r="Y1210" s="27"/>
      <c r="Z1210" s="17"/>
      <c r="AA1210" s="17"/>
      <c r="AB1210" s="17"/>
      <c r="AC1210" s="17"/>
      <c r="AD1210" s="27"/>
    </row>
    <row r="1211" ht="15.75" customHeight="1">
      <c r="A1211" s="16" t="s">
        <v>2835</v>
      </c>
      <c r="B1211" s="16" t="s">
        <v>3015</v>
      </c>
      <c r="C1211" s="16" t="str">
        <f t="shared" si="11"/>
        <v>Trailtopia Triple Berry Crisp</v>
      </c>
      <c r="D1211" s="17" t="s">
        <v>478</v>
      </c>
      <c r="E1211" s="17" t="s">
        <v>2833</v>
      </c>
      <c r="F1211" s="17">
        <v>2.0</v>
      </c>
      <c r="G1211" s="19">
        <f t="shared" si="10"/>
        <v>2.081165453</v>
      </c>
      <c r="H1211" s="17">
        <v>59.0</v>
      </c>
      <c r="I1211" s="10">
        <v>235.0</v>
      </c>
      <c r="J1211" s="17">
        <v>4.0</v>
      </c>
      <c r="K1211" s="17">
        <v>48.0</v>
      </c>
      <c r="L1211" s="17"/>
      <c r="M1211" s="20">
        <v>48.0</v>
      </c>
      <c r="N1211" s="20">
        <v>4.0</v>
      </c>
      <c r="O1211" s="20">
        <v>31.0</v>
      </c>
      <c r="P1211" s="20">
        <f t="shared" si="2"/>
        <v>13</v>
      </c>
      <c r="Q1211" s="21">
        <v>2.0</v>
      </c>
      <c r="R1211" s="205">
        <f t="shared" si="3"/>
        <v>112.9175</v>
      </c>
      <c r="S1211" s="19">
        <f t="shared" si="4"/>
        <v>3.983050847</v>
      </c>
      <c r="T1211" s="24">
        <f t="shared" si="5"/>
        <v>24</v>
      </c>
      <c r="U1211" s="26">
        <f t="shared" si="6"/>
        <v>0.1525423729</v>
      </c>
      <c r="V1211" s="26">
        <f t="shared" si="7"/>
        <v>0.5254237288</v>
      </c>
      <c r="W1211" s="19">
        <f t="shared" si="8"/>
        <v>0.2042553191</v>
      </c>
      <c r="X1211" s="20">
        <f t="shared" si="9"/>
        <v>470</v>
      </c>
      <c r="Y1211" s="27"/>
      <c r="Z1211" s="17"/>
      <c r="AA1211" s="17"/>
      <c r="AB1211" s="17"/>
      <c r="AC1211" s="17"/>
      <c r="AD1211" s="27"/>
    </row>
    <row r="1212" ht="15.75" customHeight="1">
      <c r="A1212" s="16" t="s">
        <v>2899</v>
      </c>
      <c r="B1212" s="16" t="s">
        <v>3016</v>
      </c>
      <c r="C1212" s="16" t="str">
        <f t="shared" si="11"/>
        <v>ReadyWise Golden Fields Mac &amp; Cheese</v>
      </c>
      <c r="D1212" s="17" t="s">
        <v>2846</v>
      </c>
      <c r="E1212" s="17" t="s">
        <v>2833</v>
      </c>
      <c r="F1212" s="17">
        <v>2.5</v>
      </c>
      <c r="G1212" s="19">
        <f t="shared" si="10"/>
        <v>2.222261416</v>
      </c>
      <c r="H1212" s="17">
        <v>63.0</v>
      </c>
      <c r="I1212" s="10">
        <v>250.0</v>
      </c>
      <c r="J1212" s="17">
        <v>5.0</v>
      </c>
      <c r="K1212" s="17">
        <v>600.0</v>
      </c>
      <c r="L1212" s="17">
        <v>480.0</v>
      </c>
      <c r="M1212" s="20">
        <v>43.0</v>
      </c>
      <c r="N1212" s="20">
        <v>1.0</v>
      </c>
      <c r="O1212" s="20">
        <v>5.0</v>
      </c>
      <c r="P1212" s="20">
        <f t="shared" si="2"/>
        <v>37</v>
      </c>
      <c r="Q1212" s="21">
        <v>6.0</v>
      </c>
      <c r="R1212" s="205">
        <f t="shared" si="3"/>
        <v>112.4980159</v>
      </c>
      <c r="S1212" s="19">
        <f t="shared" si="4"/>
        <v>3.968253968</v>
      </c>
      <c r="T1212" s="24">
        <f t="shared" si="5"/>
        <v>7.166666667</v>
      </c>
      <c r="U1212" s="26">
        <f t="shared" si="6"/>
        <v>0.1867219917</v>
      </c>
      <c r="V1212" s="26">
        <f t="shared" si="7"/>
        <v>0.08298755187</v>
      </c>
      <c r="W1212" s="19">
        <f t="shared" si="8"/>
        <v>2.4</v>
      </c>
      <c r="X1212" s="20">
        <f t="shared" si="9"/>
        <v>625</v>
      </c>
      <c r="Y1212" s="27"/>
      <c r="Z1212" s="17"/>
      <c r="AA1212" s="17"/>
      <c r="AB1212" s="17"/>
      <c r="AC1212" s="17"/>
      <c r="AD1212" s="27"/>
    </row>
    <row r="1213" ht="15.75" customHeight="1">
      <c r="A1213" s="16" t="s">
        <v>2899</v>
      </c>
      <c r="B1213" s="16" t="s">
        <v>3017</v>
      </c>
      <c r="C1213" s="16" t="str">
        <f t="shared" si="11"/>
        <v>ReadyWise Appalachian Apple Cinnamon Cereal</v>
      </c>
      <c r="D1213" s="17" t="s">
        <v>92</v>
      </c>
      <c r="E1213" s="17" t="s">
        <v>2839</v>
      </c>
      <c r="F1213" s="17">
        <v>2.5</v>
      </c>
      <c r="G1213" s="19">
        <f t="shared" si="10"/>
        <v>1.869521508</v>
      </c>
      <c r="H1213" s="17">
        <v>53.0</v>
      </c>
      <c r="I1213" s="10">
        <v>210.0</v>
      </c>
      <c r="J1213" s="17">
        <v>3.0</v>
      </c>
      <c r="K1213" s="17">
        <v>110.0</v>
      </c>
      <c r="L1213" s="17">
        <v>160.0</v>
      </c>
      <c r="M1213" s="20">
        <v>42.0</v>
      </c>
      <c r="N1213" s="20">
        <v>5.0</v>
      </c>
      <c r="O1213" s="20">
        <v>13.0</v>
      </c>
      <c r="P1213" s="20">
        <f t="shared" si="2"/>
        <v>24</v>
      </c>
      <c r="Q1213" s="21">
        <v>4.0</v>
      </c>
      <c r="R1213" s="205">
        <f t="shared" si="3"/>
        <v>112.3282075</v>
      </c>
      <c r="S1213" s="19">
        <f t="shared" si="4"/>
        <v>3.962264151</v>
      </c>
      <c r="T1213" s="24">
        <f t="shared" si="5"/>
        <v>10.5</v>
      </c>
      <c r="U1213" s="26">
        <f t="shared" si="6"/>
        <v>0.1279620853</v>
      </c>
      <c r="V1213" s="26">
        <f t="shared" si="7"/>
        <v>0.2464454976</v>
      </c>
      <c r="W1213" s="19">
        <f t="shared" si="8"/>
        <v>0.5238095238</v>
      </c>
      <c r="X1213" s="20">
        <f t="shared" si="9"/>
        <v>525</v>
      </c>
      <c r="Y1213" s="27"/>
      <c r="Z1213" s="17"/>
      <c r="AA1213" s="17"/>
      <c r="AB1213" s="17"/>
      <c r="AC1213" s="17"/>
      <c r="AD1213" s="27"/>
    </row>
    <row r="1214" ht="15.75" customHeight="1">
      <c r="A1214" s="16" t="s">
        <v>2899</v>
      </c>
      <c r="B1214" s="16" t="s">
        <v>3018</v>
      </c>
      <c r="C1214" s="16" t="str">
        <f t="shared" si="11"/>
        <v>ReadyWise Daybreak Coconut Blueberry Multi-Grain</v>
      </c>
      <c r="D1214" s="17" t="s">
        <v>92</v>
      </c>
      <c r="E1214" s="17" t="s">
        <v>2839</v>
      </c>
      <c r="F1214" s="17">
        <v>2.5</v>
      </c>
      <c r="G1214" s="19">
        <f t="shared" si="10"/>
        <v>1.693151555</v>
      </c>
      <c r="H1214" s="17">
        <v>48.0</v>
      </c>
      <c r="I1214" s="10">
        <v>190.0</v>
      </c>
      <c r="J1214" s="17">
        <v>4.5</v>
      </c>
      <c r="K1214" s="17">
        <v>75.0</v>
      </c>
      <c r="L1214" s="17">
        <v>160.0</v>
      </c>
      <c r="M1214" s="20">
        <v>35.0</v>
      </c>
      <c r="N1214" s="20">
        <v>5.0</v>
      </c>
      <c r="O1214" s="20">
        <v>9.0</v>
      </c>
      <c r="P1214" s="20">
        <f t="shared" si="2"/>
        <v>21</v>
      </c>
      <c r="Q1214" s="21">
        <v>4.0</v>
      </c>
      <c r="R1214" s="205">
        <f t="shared" si="3"/>
        <v>112.2167708</v>
      </c>
      <c r="S1214" s="19">
        <f t="shared" si="4"/>
        <v>3.958333333</v>
      </c>
      <c r="T1214" s="24">
        <f t="shared" si="5"/>
        <v>8.75</v>
      </c>
      <c r="U1214" s="26">
        <f t="shared" si="6"/>
        <v>0.2061068702</v>
      </c>
      <c r="V1214" s="26">
        <f t="shared" si="7"/>
        <v>0.1832061069</v>
      </c>
      <c r="W1214" s="19">
        <f t="shared" si="8"/>
        <v>0.3947368421</v>
      </c>
      <c r="X1214" s="20">
        <f t="shared" si="9"/>
        <v>475</v>
      </c>
      <c r="Y1214" s="27"/>
      <c r="Z1214" s="17"/>
      <c r="AA1214" s="17"/>
      <c r="AB1214" s="17"/>
      <c r="AC1214" s="17"/>
      <c r="AD1214" s="27"/>
    </row>
    <row r="1215" ht="15.75" customHeight="1">
      <c r="A1215" s="16" t="s">
        <v>2835</v>
      </c>
      <c r="B1215" s="16" t="s">
        <v>3019</v>
      </c>
      <c r="C1215" s="16" t="str">
        <f t="shared" si="11"/>
        <v>Trailtopia Apple Crisp</v>
      </c>
      <c r="D1215" s="17" t="s">
        <v>478</v>
      </c>
      <c r="E1215" s="17" t="s">
        <v>2833</v>
      </c>
      <c r="F1215" s="17">
        <v>2.0</v>
      </c>
      <c r="G1215" s="19">
        <f t="shared" si="10"/>
        <v>1.94006949</v>
      </c>
      <c r="H1215" s="17">
        <v>55.0</v>
      </c>
      <c r="I1215" s="10">
        <v>217.0</v>
      </c>
      <c r="J1215" s="17">
        <v>4.0</v>
      </c>
      <c r="K1215" s="17">
        <v>43.0</v>
      </c>
      <c r="L1215" s="17"/>
      <c r="M1215" s="20">
        <v>45.0</v>
      </c>
      <c r="N1215" s="20">
        <v>4.0</v>
      </c>
      <c r="O1215" s="20">
        <v>30.0</v>
      </c>
      <c r="P1215" s="20">
        <f t="shared" si="2"/>
        <v>11</v>
      </c>
      <c r="Q1215" s="21">
        <v>1.0</v>
      </c>
      <c r="R1215" s="205">
        <f t="shared" si="3"/>
        <v>111.8516636</v>
      </c>
      <c r="S1215" s="19">
        <f t="shared" si="4"/>
        <v>3.945454545</v>
      </c>
      <c r="T1215" s="24">
        <f t="shared" si="5"/>
        <v>45</v>
      </c>
      <c r="U1215" s="26">
        <f t="shared" si="6"/>
        <v>0.1636363636</v>
      </c>
      <c r="V1215" s="26">
        <f t="shared" si="7"/>
        <v>0.5454545455</v>
      </c>
      <c r="W1215" s="19">
        <f t="shared" si="8"/>
        <v>0.198156682</v>
      </c>
      <c r="X1215" s="20">
        <f t="shared" si="9"/>
        <v>434</v>
      </c>
      <c r="Y1215" s="27"/>
      <c r="Z1215" s="17"/>
      <c r="AA1215" s="17"/>
      <c r="AB1215" s="17"/>
      <c r="AC1215" s="17"/>
      <c r="AD1215" s="27"/>
    </row>
    <row r="1216" ht="15.75" customHeight="1">
      <c r="A1216" s="16" t="s">
        <v>2931</v>
      </c>
      <c r="B1216" s="16" t="s">
        <v>3011</v>
      </c>
      <c r="C1216" s="16" t="str">
        <f t="shared" si="11"/>
        <v>Good To-Go Pad Thai</v>
      </c>
      <c r="D1216" s="17" t="s">
        <v>2846</v>
      </c>
      <c r="E1216" s="17" t="s">
        <v>2833</v>
      </c>
      <c r="F1216" s="17">
        <v>2.0</v>
      </c>
      <c r="G1216" s="19">
        <f t="shared" si="10"/>
        <v>3.844864989</v>
      </c>
      <c r="H1216" s="17">
        <v>109.0</v>
      </c>
      <c r="I1216" s="10">
        <v>430.0</v>
      </c>
      <c r="J1216" s="17">
        <v>10.0</v>
      </c>
      <c r="K1216" s="17">
        <v>340.0</v>
      </c>
      <c r="L1216" s="17">
        <v>596.0</v>
      </c>
      <c r="M1216" s="20">
        <v>73.0</v>
      </c>
      <c r="N1216" s="20">
        <v>5.0</v>
      </c>
      <c r="O1216" s="20">
        <v>15.0</v>
      </c>
      <c r="P1216" s="20">
        <f t="shared" si="2"/>
        <v>53</v>
      </c>
      <c r="Q1216" s="21">
        <v>16.0</v>
      </c>
      <c r="R1216" s="205">
        <f t="shared" si="3"/>
        <v>111.8374771</v>
      </c>
      <c r="S1216" s="19">
        <f t="shared" si="4"/>
        <v>3.944954128</v>
      </c>
      <c r="T1216" s="24">
        <f t="shared" si="5"/>
        <v>4.5625</v>
      </c>
      <c r="U1216" s="26">
        <f t="shared" si="6"/>
        <v>0.201793722</v>
      </c>
      <c r="V1216" s="26">
        <f t="shared" si="7"/>
        <v>0.134529148</v>
      </c>
      <c r="W1216" s="19">
        <f t="shared" si="8"/>
        <v>0.7906976744</v>
      </c>
      <c r="X1216" s="20">
        <f t="shared" si="9"/>
        <v>860</v>
      </c>
      <c r="Y1216" s="27"/>
      <c r="Z1216" s="17"/>
      <c r="AA1216" s="17"/>
      <c r="AB1216" s="17"/>
      <c r="AC1216" s="17"/>
      <c r="AD1216" s="27"/>
    </row>
    <row r="1217" ht="15.75" customHeight="1">
      <c r="A1217" s="16" t="s">
        <v>2891</v>
      </c>
      <c r="B1217" s="16" t="s">
        <v>3020</v>
      </c>
      <c r="C1217" s="16" t="str">
        <f t="shared" si="11"/>
        <v>Alpine Aire Chocolate Mudslide</v>
      </c>
      <c r="D1217" s="17" t="s">
        <v>478</v>
      </c>
      <c r="E1217" s="17" t="s">
        <v>2839</v>
      </c>
      <c r="F1217" s="17">
        <v>2.0</v>
      </c>
      <c r="G1217" s="19">
        <f t="shared" si="10"/>
        <v>2.504453341</v>
      </c>
      <c r="H1217" s="17">
        <v>71.0</v>
      </c>
      <c r="I1217" s="10">
        <v>280.0</v>
      </c>
      <c r="J1217" s="17">
        <v>7.0</v>
      </c>
      <c r="K1217" s="17">
        <v>220.0</v>
      </c>
      <c r="L1217" s="17">
        <v>892.0</v>
      </c>
      <c r="M1217" s="20">
        <v>51.0</v>
      </c>
      <c r="N1217" s="20">
        <v>0.0</v>
      </c>
      <c r="O1217" s="20">
        <v>33.0</v>
      </c>
      <c r="P1217" s="20">
        <f t="shared" si="2"/>
        <v>18</v>
      </c>
      <c r="Q1217" s="21">
        <v>7.0</v>
      </c>
      <c r="R1217" s="205">
        <f t="shared" si="3"/>
        <v>111.8008451</v>
      </c>
      <c r="S1217" s="19">
        <f t="shared" si="4"/>
        <v>3.943661972</v>
      </c>
      <c r="T1217" s="24">
        <f t="shared" si="5"/>
        <v>7.285714286</v>
      </c>
      <c r="U1217" s="26">
        <f t="shared" si="6"/>
        <v>0.213559322</v>
      </c>
      <c r="V1217" s="26">
        <f t="shared" si="7"/>
        <v>0.4474576271</v>
      </c>
      <c r="W1217" s="19">
        <f t="shared" si="8"/>
        <v>0.7857142857</v>
      </c>
      <c r="X1217" s="20">
        <f t="shared" si="9"/>
        <v>560</v>
      </c>
      <c r="Y1217" s="27"/>
      <c r="Z1217" s="17"/>
      <c r="AA1217" s="17"/>
      <c r="AB1217" s="17"/>
      <c r="AC1217" s="17"/>
      <c r="AD1217" s="27"/>
    </row>
    <row r="1218" ht="15.75" customHeight="1">
      <c r="A1218" s="16" t="s">
        <v>2899</v>
      </c>
      <c r="B1218" s="16" t="s">
        <v>3021</v>
      </c>
      <c r="C1218" s="16" t="str">
        <f t="shared" si="11"/>
        <v>ReadyWise Desert High Chili Mac with Beef</v>
      </c>
      <c r="D1218" s="17" t="s">
        <v>2846</v>
      </c>
      <c r="E1218" s="17" t="s">
        <v>2833</v>
      </c>
      <c r="F1218" s="17">
        <v>2.5</v>
      </c>
      <c r="G1218" s="19">
        <f t="shared" si="10"/>
        <v>2.328083388</v>
      </c>
      <c r="H1218" s="17">
        <v>66.0</v>
      </c>
      <c r="I1218" s="10">
        <v>260.0</v>
      </c>
      <c r="J1218" s="17">
        <v>6.0</v>
      </c>
      <c r="K1218" s="17">
        <v>640.0</v>
      </c>
      <c r="L1218" s="17">
        <v>480.0</v>
      </c>
      <c r="M1218" s="20">
        <v>39.0</v>
      </c>
      <c r="N1218" s="20">
        <v>6.0</v>
      </c>
      <c r="O1218" s="20">
        <v>4.0</v>
      </c>
      <c r="P1218" s="20">
        <f t="shared" si="2"/>
        <v>29</v>
      </c>
      <c r="Q1218" s="21">
        <v>13.0</v>
      </c>
      <c r="R1218" s="205">
        <f t="shared" si="3"/>
        <v>111.6798485</v>
      </c>
      <c r="S1218" s="19">
        <f t="shared" si="4"/>
        <v>3.939393939</v>
      </c>
      <c r="T1218" s="24">
        <f t="shared" si="5"/>
        <v>3</v>
      </c>
      <c r="U1218" s="26">
        <f t="shared" si="6"/>
        <v>0.2061068702</v>
      </c>
      <c r="V1218" s="26">
        <f t="shared" si="7"/>
        <v>0.06106870229</v>
      </c>
      <c r="W1218" s="19">
        <f t="shared" si="8"/>
        <v>2.461538462</v>
      </c>
      <c r="X1218" s="20">
        <f t="shared" si="9"/>
        <v>650</v>
      </c>
      <c r="Y1218" s="27"/>
      <c r="Z1218" s="17"/>
      <c r="AA1218" s="17"/>
      <c r="AB1218" s="17"/>
      <c r="AC1218" s="17"/>
      <c r="AD1218" s="27"/>
    </row>
    <row r="1219" ht="15.75" customHeight="1">
      <c r="A1219" s="16" t="s">
        <v>2891</v>
      </c>
      <c r="B1219" s="16" t="s">
        <v>3022</v>
      </c>
      <c r="C1219" s="16" t="str">
        <f t="shared" si="11"/>
        <v>Alpine Aire Spicy Sausage Bolognese</v>
      </c>
      <c r="D1219" s="17" t="s">
        <v>2846</v>
      </c>
      <c r="E1219" s="17" t="s">
        <v>2833</v>
      </c>
      <c r="F1219" s="17">
        <v>2.0</v>
      </c>
      <c r="G1219" s="19">
        <f t="shared" si="10"/>
        <v>3.315755128</v>
      </c>
      <c r="H1219" s="17">
        <v>94.0</v>
      </c>
      <c r="I1219" s="10">
        <v>370.0</v>
      </c>
      <c r="J1219" s="17">
        <v>10.0</v>
      </c>
      <c r="K1219" s="17">
        <v>530.0</v>
      </c>
      <c r="L1219" s="17">
        <v>1467.0</v>
      </c>
      <c r="M1219" s="20">
        <v>56.0</v>
      </c>
      <c r="N1219" s="20">
        <v>3.0</v>
      </c>
      <c r="O1219" s="20">
        <v>14.0</v>
      </c>
      <c r="P1219" s="20">
        <f t="shared" si="2"/>
        <v>39</v>
      </c>
      <c r="Q1219" s="21">
        <v>17.0</v>
      </c>
      <c r="R1219" s="205">
        <f t="shared" si="3"/>
        <v>111.5884574</v>
      </c>
      <c r="S1219" s="19">
        <f t="shared" si="4"/>
        <v>3.936170213</v>
      </c>
      <c r="T1219" s="24">
        <f t="shared" si="5"/>
        <v>3.294117647</v>
      </c>
      <c r="U1219" s="26">
        <f t="shared" si="6"/>
        <v>0.2356020942</v>
      </c>
      <c r="V1219" s="26">
        <f t="shared" si="7"/>
        <v>0.1465968586</v>
      </c>
      <c r="W1219" s="19">
        <f t="shared" si="8"/>
        <v>1.432432432</v>
      </c>
      <c r="X1219" s="20">
        <f t="shared" si="9"/>
        <v>740</v>
      </c>
      <c r="Y1219" s="27"/>
      <c r="Z1219" s="17"/>
      <c r="AA1219" s="17"/>
      <c r="AB1219" s="17"/>
      <c r="AC1219" s="17"/>
      <c r="AD1219" s="27"/>
    </row>
    <row r="1220" ht="15.75" customHeight="1">
      <c r="A1220" s="16" t="s">
        <v>1402</v>
      </c>
      <c r="B1220" s="16" t="s">
        <v>3023</v>
      </c>
      <c r="C1220" s="16" t="str">
        <f t="shared" si="11"/>
        <v>Backpacker's Pantry Freeze-Dried Cooked Chicken Breast</v>
      </c>
      <c r="D1220" s="17" t="s">
        <v>33</v>
      </c>
      <c r="E1220" s="17" t="s">
        <v>2833</v>
      </c>
      <c r="F1220" s="17">
        <v>1.0</v>
      </c>
      <c r="G1220" s="19">
        <f t="shared" si="10"/>
        <v>0.9876717402</v>
      </c>
      <c r="H1220" s="17">
        <v>28.0</v>
      </c>
      <c r="I1220" s="10">
        <v>110.0</v>
      </c>
      <c r="J1220" s="17">
        <v>1.0</v>
      </c>
      <c r="K1220" s="17">
        <v>30.0</v>
      </c>
      <c r="L1220" s="17">
        <v>161.0</v>
      </c>
      <c r="M1220" s="20">
        <v>0.0</v>
      </c>
      <c r="N1220" s="20">
        <v>0.0</v>
      </c>
      <c r="O1220" s="20">
        <v>0.0</v>
      </c>
      <c r="P1220" s="20">
        <f t="shared" si="2"/>
        <v>0</v>
      </c>
      <c r="Q1220" s="21">
        <v>26.0</v>
      </c>
      <c r="R1220" s="205">
        <f t="shared" si="3"/>
        <v>111.3730357</v>
      </c>
      <c r="S1220" s="19">
        <f t="shared" si="4"/>
        <v>3.928571429</v>
      </c>
      <c r="T1220" s="24">
        <f t="shared" si="5"/>
        <v>0</v>
      </c>
      <c r="U1220" s="26">
        <f t="shared" si="6"/>
        <v>0.0796460177</v>
      </c>
      <c r="V1220" s="26" t="str">
        <f t="shared" si="7"/>
        <v>0%</v>
      </c>
      <c r="W1220" s="19">
        <f t="shared" si="8"/>
        <v>0.2727272727</v>
      </c>
      <c r="X1220" s="20">
        <f t="shared" si="9"/>
        <v>110</v>
      </c>
      <c r="Y1220" s="27"/>
      <c r="Z1220" s="17"/>
      <c r="AA1220" s="17"/>
      <c r="AB1220" s="17"/>
      <c r="AC1220" s="17"/>
      <c r="AD1220" s="27"/>
    </row>
    <row r="1221" ht="15.75" customHeight="1">
      <c r="A1221" s="16" t="s">
        <v>2832</v>
      </c>
      <c r="B1221" s="16" t="s">
        <v>3024</v>
      </c>
      <c r="C1221" s="16" t="str">
        <f t="shared" si="11"/>
        <v>PackIt Gourmet Pineapple Dices (Freeze-Dried)</v>
      </c>
      <c r="D1221" s="17" t="s">
        <v>33</v>
      </c>
      <c r="E1221" s="17" t="s">
        <v>2839</v>
      </c>
      <c r="F1221" s="17">
        <v>1.0</v>
      </c>
      <c r="G1221" s="19">
        <f t="shared" si="10"/>
        <v>0.9876717402</v>
      </c>
      <c r="H1221" s="17">
        <v>28.0</v>
      </c>
      <c r="I1221" s="10">
        <v>110.0</v>
      </c>
      <c r="J1221" s="17">
        <v>0.0</v>
      </c>
      <c r="K1221" s="17">
        <v>0.0</v>
      </c>
      <c r="L1221" s="17">
        <v>0.0</v>
      </c>
      <c r="M1221" s="20">
        <v>25.0</v>
      </c>
      <c r="N1221" s="20">
        <v>2.0</v>
      </c>
      <c r="O1221" s="20">
        <v>23.0</v>
      </c>
      <c r="P1221" s="20">
        <f t="shared" si="2"/>
        <v>0</v>
      </c>
      <c r="Q1221" s="21">
        <v>1.0</v>
      </c>
      <c r="R1221" s="205">
        <f t="shared" si="3"/>
        <v>111.3730357</v>
      </c>
      <c r="S1221" s="19">
        <f t="shared" si="4"/>
        <v>3.928571429</v>
      </c>
      <c r="T1221" s="24">
        <f t="shared" si="5"/>
        <v>25</v>
      </c>
      <c r="U1221" s="26" t="str">
        <f t="shared" si="6"/>
        <v>0%</v>
      </c>
      <c r="V1221" s="26">
        <f t="shared" si="7"/>
        <v>0.8846153846</v>
      </c>
      <c r="W1221" s="19">
        <f t="shared" si="8"/>
        <v>0</v>
      </c>
      <c r="X1221" s="20">
        <f t="shared" si="9"/>
        <v>110</v>
      </c>
      <c r="Y1221" s="27"/>
      <c r="Z1221" s="17"/>
      <c r="AA1221" s="17"/>
      <c r="AB1221" s="17"/>
      <c r="AC1221" s="17"/>
      <c r="AD1221" s="27"/>
    </row>
    <row r="1222" ht="15.75" customHeight="1">
      <c r="A1222" s="16" t="s">
        <v>2891</v>
      </c>
      <c r="B1222" s="16" t="s">
        <v>3025</v>
      </c>
      <c r="C1222" s="16" t="str">
        <f t="shared" si="11"/>
        <v>Alpine Aire Pork Pad Thai</v>
      </c>
      <c r="D1222" s="17" t="s">
        <v>2846</v>
      </c>
      <c r="E1222" s="17" t="s">
        <v>2833</v>
      </c>
      <c r="F1222" s="17">
        <v>2.0</v>
      </c>
      <c r="G1222" s="19">
        <f t="shared" si="10"/>
        <v>2.963015221</v>
      </c>
      <c r="H1222" s="17">
        <v>84.0</v>
      </c>
      <c r="I1222" s="10">
        <v>330.0</v>
      </c>
      <c r="J1222" s="17">
        <v>8.0</v>
      </c>
      <c r="K1222" s="17">
        <v>870.0</v>
      </c>
      <c r="L1222" s="17">
        <v>616.0</v>
      </c>
      <c r="M1222" s="20">
        <v>55.0</v>
      </c>
      <c r="N1222" s="20">
        <v>1.0</v>
      </c>
      <c r="O1222" s="20">
        <v>9.0</v>
      </c>
      <c r="P1222" s="20">
        <f t="shared" si="2"/>
        <v>45</v>
      </c>
      <c r="Q1222" s="21">
        <v>12.0</v>
      </c>
      <c r="R1222" s="205">
        <f t="shared" si="3"/>
        <v>111.3730357</v>
      </c>
      <c r="S1222" s="19">
        <f t="shared" si="4"/>
        <v>3.928571429</v>
      </c>
      <c r="T1222" s="24">
        <f t="shared" si="5"/>
        <v>4.583333333</v>
      </c>
      <c r="U1222" s="26">
        <f t="shared" si="6"/>
        <v>0.2117647059</v>
      </c>
      <c r="V1222" s="26">
        <f t="shared" si="7"/>
        <v>0.1058823529</v>
      </c>
      <c r="W1222" s="19">
        <f t="shared" si="8"/>
        <v>2.636363636</v>
      </c>
      <c r="X1222" s="20">
        <f t="shared" si="9"/>
        <v>660</v>
      </c>
      <c r="Y1222" s="27"/>
      <c r="Z1222" s="17"/>
      <c r="AA1222" s="17"/>
      <c r="AB1222" s="17"/>
      <c r="AC1222" s="17"/>
      <c r="AD1222" s="27"/>
    </row>
    <row r="1223" ht="15.75" customHeight="1">
      <c r="A1223" s="16" t="s">
        <v>2891</v>
      </c>
      <c r="B1223" s="16" t="s">
        <v>3026</v>
      </c>
      <c r="C1223" s="16" t="str">
        <f t="shared" si="11"/>
        <v>Alpine Aire Strawberry Granola with Milk</v>
      </c>
      <c r="D1223" s="17" t="s">
        <v>92</v>
      </c>
      <c r="E1223" s="17" t="s">
        <v>2839</v>
      </c>
      <c r="F1223" s="17">
        <v>2.0</v>
      </c>
      <c r="G1223" s="19">
        <f t="shared" si="10"/>
        <v>3.245207147</v>
      </c>
      <c r="H1223" s="17">
        <v>92.0</v>
      </c>
      <c r="I1223" s="10">
        <v>360.0</v>
      </c>
      <c r="J1223" s="17">
        <v>10.0</v>
      </c>
      <c r="K1223" s="17">
        <v>160.0</v>
      </c>
      <c r="L1223" s="17"/>
      <c r="M1223" s="20">
        <v>49.0</v>
      </c>
      <c r="N1223" s="20">
        <v>4.0</v>
      </c>
      <c r="O1223" s="20">
        <v>19.0</v>
      </c>
      <c r="P1223" s="20">
        <f t="shared" si="2"/>
        <v>26</v>
      </c>
      <c r="Q1223" s="21">
        <v>13.0</v>
      </c>
      <c r="R1223" s="205">
        <f t="shared" si="3"/>
        <v>110.9328261</v>
      </c>
      <c r="S1223" s="19">
        <f t="shared" si="4"/>
        <v>3.913043478</v>
      </c>
      <c r="T1223" s="24">
        <f t="shared" si="5"/>
        <v>3.769230769</v>
      </c>
      <c r="U1223" s="26">
        <f t="shared" si="6"/>
        <v>0.2662721893</v>
      </c>
      <c r="V1223" s="26">
        <f t="shared" si="7"/>
        <v>0.224852071</v>
      </c>
      <c r="W1223" s="19">
        <f t="shared" si="8"/>
        <v>0.4444444444</v>
      </c>
      <c r="X1223" s="20">
        <f t="shared" si="9"/>
        <v>720</v>
      </c>
      <c r="Y1223" s="27"/>
      <c r="Z1223" s="17"/>
      <c r="AA1223" s="17"/>
      <c r="AB1223" s="17"/>
      <c r="AC1223" s="17"/>
      <c r="AD1223" s="27"/>
    </row>
    <row r="1224" ht="15.75" customHeight="1">
      <c r="A1224" s="16" t="s">
        <v>2835</v>
      </c>
      <c r="B1224" s="16" t="s">
        <v>3027</v>
      </c>
      <c r="C1224" s="16" t="str">
        <f t="shared" si="11"/>
        <v>Trailtopia Sweet Potato Chili Mac with Hemp Seed Protein</v>
      </c>
      <c r="D1224" s="17" t="s">
        <v>2846</v>
      </c>
      <c r="E1224" s="17" t="s">
        <v>2833</v>
      </c>
      <c r="F1224" s="17">
        <v>2.0</v>
      </c>
      <c r="G1224" s="19">
        <f t="shared" si="10"/>
        <v>3.88013898</v>
      </c>
      <c r="H1224" s="17">
        <v>110.0</v>
      </c>
      <c r="I1224" s="10">
        <v>430.0</v>
      </c>
      <c r="J1224" s="17">
        <v>10.0</v>
      </c>
      <c r="K1224" s="17">
        <v>285.0</v>
      </c>
      <c r="L1224" s="17">
        <v>0.0</v>
      </c>
      <c r="M1224" s="20">
        <v>70.0</v>
      </c>
      <c r="N1224" s="20">
        <v>7.0</v>
      </c>
      <c r="O1224" s="20">
        <v>13.0</v>
      </c>
      <c r="P1224" s="20">
        <f t="shared" si="2"/>
        <v>50</v>
      </c>
      <c r="Q1224" s="21">
        <v>16.0</v>
      </c>
      <c r="R1224" s="205">
        <f t="shared" si="3"/>
        <v>110.8207727</v>
      </c>
      <c r="S1224" s="19">
        <f t="shared" si="4"/>
        <v>3.909090909</v>
      </c>
      <c r="T1224" s="24">
        <f t="shared" si="5"/>
        <v>4.375</v>
      </c>
      <c r="U1224" s="26">
        <f t="shared" si="6"/>
        <v>0.2073732719</v>
      </c>
      <c r="V1224" s="26">
        <f t="shared" si="7"/>
        <v>0.1198156682</v>
      </c>
      <c r="W1224" s="19">
        <f t="shared" si="8"/>
        <v>0.6627906977</v>
      </c>
      <c r="X1224" s="20">
        <f t="shared" si="9"/>
        <v>860</v>
      </c>
      <c r="Y1224" s="27"/>
      <c r="Z1224" s="17"/>
      <c r="AA1224" s="17"/>
      <c r="AB1224" s="17"/>
      <c r="AC1224" s="17"/>
      <c r="AD1224" s="27"/>
    </row>
    <row r="1225" ht="15.75" customHeight="1">
      <c r="A1225" s="16" t="s">
        <v>2835</v>
      </c>
      <c r="B1225" s="16" t="s">
        <v>2961</v>
      </c>
      <c r="C1225" s="16" t="str">
        <f t="shared" si="11"/>
        <v>Trailtopia Chili Mac with Beef</v>
      </c>
      <c r="D1225" s="17" t="s">
        <v>2846</v>
      </c>
      <c r="E1225" s="17" t="s">
        <v>2833</v>
      </c>
      <c r="F1225" s="17">
        <v>2.0</v>
      </c>
      <c r="G1225" s="19">
        <f t="shared" si="10"/>
        <v>3.068837193</v>
      </c>
      <c r="H1225" s="17">
        <v>87.0</v>
      </c>
      <c r="I1225" s="10">
        <v>340.0</v>
      </c>
      <c r="J1225" s="17">
        <v>6.0</v>
      </c>
      <c r="K1225" s="17">
        <v>440.0</v>
      </c>
      <c r="L1225" s="17"/>
      <c r="M1225" s="20">
        <v>83.0</v>
      </c>
      <c r="N1225" s="20">
        <v>6.0</v>
      </c>
      <c r="O1225" s="20">
        <v>8.0</v>
      </c>
      <c r="P1225" s="20">
        <f t="shared" si="2"/>
        <v>69</v>
      </c>
      <c r="Q1225" s="21">
        <v>15.0</v>
      </c>
      <c r="R1225" s="205">
        <f t="shared" si="3"/>
        <v>110.7911494</v>
      </c>
      <c r="S1225" s="19">
        <f t="shared" si="4"/>
        <v>3.908045977</v>
      </c>
      <c r="T1225" s="24">
        <f t="shared" si="5"/>
        <v>5.533333333</v>
      </c>
      <c r="U1225" s="26">
        <f t="shared" si="6"/>
        <v>0.1210762332</v>
      </c>
      <c r="V1225" s="26">
        <f t="shared" si="7"/>
        <v>0.07174887892</v>
      </c>
      <c r="W1225" s="19">
        <f t="shared" si="8"/>
        <v>1.294117647</v>
      </c>
      <c r="X1225" s="20">
        <f t="shared" si="9"/>
        <v>680</v>
      </c>
      <c r="Y1225" s="27"/>
      <c r="Z1225" s="17"/>
      <c r="AA1225" s="17"/>
      <c r="AB1225" s="17"/>
      <c r="AC1225" s="17"/>
      <c r="AD1225" s="27"/>
    </row>
    <row r="1226" ht="15.75" customHeight="1">
      <c r="A1226" s="16" t="s">
        <v>2835</v>
      </c>
      <c r="B1226" s="16" t="s">
        <v>3028</v>
      </c>
      <c r="C1226" s="16" t="str">
        <f t="shared" si="11"/>
        <v>Trailtopia Ginger Chicken Stir Fry</v>
      </c>
      <c r="D1226" s="17" t="s">
        <v>2846</v>
      </c>
      <c r="E1226" s="17" t="s">
        <v>2833</v>
      </c>
      <c r="F1226" s="17">
        <v>2.0</v>
      </c>
      <c r="G1226" s="19">
        <f t="shared" si="10"/>
        <v>2.892467239</v>
      </c>
      <c r="H1226" s="17">
        <v>82.0</v>
      </c>
      <c r="I1226" s="10">
        <v>320.0</v>
      </c>
      <c r="J1226" s="17">
        <v>4.0</v>
      </c>
      <c r="K1226" s="17">
        <v>1100.0</v>
      </c>
      <c r="L1226" s="17"/>
      <c r="M1226" s="20">
        <v>48.0</v>
      </c>
      <c r="N1226" s="20">
        <v>10.0</v>
      </c>
      <c r="O1226" s="20">
        <v>8.0</v>
      </c>
      <c r="P1226" s="20">
        <f t="shared" si="2"/>
        <v>30</v>
      </c>
      <c r="Q1226" s="21">
        <v>22.0</v>
      </c>
      <c r="R1226" s="205">
        <f t="shared" si="3"/>
        <v>110.6321951</v>
      </c>
      <c r="S1226" s="19">
        <f t="shared" si="4"/>
        <v>3.902439024</v>
      </c>
      <c r="T1226" s="24">
        <f t="shared" si="5"/>
        <v>2.181818182</v>
      </c>
      <c r="U1226" s="26">
        <f t="shared" si="6"/>
        <v>0.1139240506</v>
      </c>
      <c r="V1226" s="26">
        <f t="shared" si="7"/>
        <v>0.1012658228</v>
      </c>
      <c r="W1226" s="19">
        <f t="shared" si="8"/>
        <v>3.4375</v>
      </c>
      <c r="X1226" s="20">
        <f t="shared" si="9"/>
        <v>640</v>
      </c>
      <c r="Y1226" s="27"/>
      <c r="Z1226" s="17"/>
      <c r="AA1226" s="17"/>
      <c r="AB1226" s="17"/>
      <c r="AC1226" s="17"/>
      <c r="AD1226" s="27"/>
    </row>
    <row r="1227" ht="15.75" customHeight="1">
      <c r="A1227" s="16" t="s">
        <v>2896</v>
      </c>
      <c r="B1227" s="16" t="s">
        <v>3029</v>
      </c>
      <c r="C1227" s="16" t="str">
        <f t="shared" si="11"/>
        <v>Firepot Vegan Orzo Bolognese</v>
      </c>
      <c r="D1227" s="17" t="s">
        <v>2846</v>
      </c>
      <c r="E1227" s="17" t="s">
        <v>2833</v>
      </c>
      <c r="F1227" s="17">
        <v>2.0</v>
      </c>
      <c r="G1227" s="19">
        <f t="shared" si="10"/>
        <v>3.527399072</v>
      </c>
      <c r="H1227" s="17">
        <v>100.0</v>
      </c>
      <c r="I1227" s="10">
        <v>390.0</v>
      </c>
      <c r="J1227" s="17">
        <v>3.0</v>
      </c>
      <c r="K1227" s="17">
        <v>500.0</v>
      </c>
      <c r="L1227" s="17">
        <v>280.0</v>
      </c>
      <c r="M1227" s="20">
        <v>76.0</v>
      </c>
      <c r="N1227" s="20">
        <v>6.0</v>
      </c>
      <c r="O1227" s="20">
        <v>6.0</v>
      </c>
      <c r="P1227" s="20">
        <f t="shared" si="2"/>
        <v>64</v>
      </c>
      <c r="Q1227" s="21">
        <v>20.0</v>
      </c>
      <c r="R1227" s="205">
        <f t="shared" si="3"/>
        <v>110.56305</v>
      </c>
      <c r="S1227" s="19">
        <f t="shared" si="4"/>
        <v>3.9</v>
      </c>
      <c r="T1227" s="24">
        <f t="shared" si="5"/>
        <v>3.8</v>
      </c>
      <c r="U1227" s="26">
        <f t="shared" si="6"/>
        <v>0.06569343066</v>
      </c>
      <c r="V1227" s="26">
        <f t="shared" si="7"/>
        <v>0.05839416058</v>
      </c>
      <c r="W1227" s="19">
        <f t="shared" si="8"/>
        <v>1.282051282</v>
      </c>
      <c r="X1227" s="20">
        <f t="shared" si="9"/>
        <v>780</v>
      </c>
      <c r="Y1227" s="27"/>
      <c r="Z1227" s="17"/>
      <c r="AA1227" s="17"/>
      <c r="AB1227" s="17"/>
      <c r="AC1227" s="17"/>
      <c r="AD1227" s="27"/>
    </row>
    <row r="1228" ht="15.75" customHeight="1">
      <c r="A1228" s="16" t="s">
        <v>2931</v>
      </c>
      <c r="B1228" s="16" t="s">
        <v>3030</v>
      </c>
      <c r="C1228" s="16" t="str">
        <f t="shared" si="11"/>
        <v>Good To-Go Bibimbap</v>
      </c>
      <c r="D1228" s="17" t="s">
        <v>2846</v>
      </c>
      <c r="E1228" s="17" t="s">
        <v>2833</v>
      </c>
      <c r="F1228" s="17">
        <v>2.0</v>
      </c>
      <c r="G1228" s="19">
        <f t="shared" si="10"/>
        <v>3.351029119</v>
      </c>
      <c r="H1228" s="17">
        <v>95.0</v>
      </c>
      <c r="I1228" s="10">
        <v>370.0</v>
      </c>
      <c r="J1228" s="17">
        <v>8.0</v>
      </c>
      <c r="K1228" s="17">
        <v>670.0</v>
      </c>
      <c r="L1228" s="17">
        <v>576.0</v>
      </c>
      <c r="M1228" s="20">
        <v>66.0</v>
      </c>
      <c r="N1228" s="20">
        <v>4.0</v>
      </c>
      <c r="O1228" s="20">
        <v>11.0</v>
      </c>
      <c r="P1228" s="20">
        <f t="shared" si="2"/>
        <v>51</v>
      </c>
      <c r="Q1228" s="21">
        <v>9.0</v>
      </c>
      <c r="R1228" s="205">
        <f t="shared" si="3"/>
        <v>110.4138421</v>
      </c>
      <c r="S1228" s="19">
        <f t="shared" si="4"/>
        <v>3.894736842</v>
      </c>
      <c r="T1228" s="24">
        <f t="shared" si="5"/>
        <v>7.333333333</v>
      </c>
      <c r="U1228" s="26">
        <f t="shared" si="6"/>
        <v>0.1935483871</v>
      </c>
      <c r="V1228" s="26">
        <f t="shared" si="7"/>
        <v>0.1182795699</v>
      </c>
      <c r="W1228" s="19">
        <f t="shared" si="8"/>
        <v>1.810810811</v>
      </c>
      <c r="X1228" s="20">
        <f t="shared" si="9"/>
        <v>740</v>
      </c>
      <c r="Y1228" s="27"/>
      <c r="Z1228" s="17"/>
      <c r="AA1228" s="17"/>
      <c r="AB1228" s="17"/>
      <c r="AC1228" s="17"/>
      <c r="AD1228" s="27"/>
    </row>
    <row r="1229" ht="15.75" customHeight="1">
      <c r="A1229" s="16" t="s">
        <v>2835</v>
      </c>
      <c r="B1229" s="16" t="s">
        <v>3031</v>
      </c>
      <c r="C1229" s="16" t="str">
        <f t="shared" si="11"/>
        <v>Trailtopia Raspberry Chocolate Oatmeal</v>
      </c>
      <c r="D1229" s="17" t="s">
        <v>92</v>
      </c>
      <c r="E1229" s="17" t="s">
        <v>2833</v>
      </c>
      <c r="F1229" s="17">
        <v>1.0</v>
      </c>
      <c r="G1229" s="19">
        <f t="shared" si="10"/>
        <v>2.292809397</v>
      </c>
      <c r="H1229" s="17">
        <v>65.0</v>
      </c>
      <c r="I1229" s="10">
        <v>253.0</v>
      </c>
      <c r="J1229" s="17">
        <v>6.0</v>
      </c>
      <c r="K1229" s="17">
        <v>2.0</v>
      </c>
      <c r="L1229" s="17"/>
      <c r="M1229" s="20">
        <v>47.0</v>
      </c>
      <c r="N1229" s="20">
        <v>6.0</v>
      </c>
      <c r="O1229" s="20">
        <v>10.0</v>
      </c>
      <c r="P1229" s="20">
        <f t="shared" si="2"/>
        <v>31</v>
      </c>
      <c r="Q1229" s="21">
        <v>7.0</v>
      </c>
      <c r="R1229" s="205">
        <f t="shared" si="3"/>
        <v>110.3449769</v>
      </c>
      <c r="S1229" s="19">
        <f t="shared" si="4"/>
        <v>3.892307692</v>
      </c>
      <c r="T1229" s="24">
        <f t="shared" si="5"/>
        <v>6.714285714</v>
      </c>
      <c r="U1229" s="26">
        <f t="shared" si="6"/>
        <v>0.2</v>
      </c>
      <c r="V1229" s="26">
        <f t="shared" si="7"/>
        <v>0.1481481481</v>
      </c>
      <c r="W1229" s="19">
        <f t="shared" si="8"/>
        <v>0.00790513834</v>
      </c>
      <c r="X1229" s="20">
        <f t="shared" si="9"/>
        <v>253</v>
      </c>
      <c r="Y1229" s="27"/>
      <c r="Z1229" s="17"/>
      <c r="AA1229" s="17"/>
      <c r="AB1229" s="17"/>
      <c r="AC1229" s="17"/>
      <c r="AD1229" s="27"/>
    </row>
    <row r="1230" ht="15.75" customHeight="1">
      <c r="A1230" s="16" t="s">
        <v>2844</v>
      </c>
      <c r="B1230" s="16" t="s">
        <v>3032</v>
      </c>
      <c r="C1230" s="16" t="str">
        <f t="shared" si="11"/>
        <v>Peak Refuel Mountain Berry Granola</v>
      </c>
      <c r="D1230" s="17" t="s">
        <v>92</v>
      </c>
      <c r="E1230" s="17" t="s">
        <v>2839</v>
      </c>
      <c r="F1230" s="17">
        <v>2.0</v>
      </c>
      <c r="G1230" s="19">
        <f t="shared" si="10"/>
        <v>2.539727332</v>
      </c>
      <c r="H1230" s="17">
        <v>72.0</v>
      </c>
      <c r="I1230" s="10">
        <v>280.0</v>
      </c>
      <c r="J1230" s="17">
        <v>1.0</v>
      </c>
      <c r="K1230" s="17">
        <v>150.0</v>
      </c>
      <c r="L1230" s="17">
        <v>553.0</v>
      </c>
      <c r="M1230" s="20">
        <v>54.0</v>
      </c>
      <c r="N1230" s="20">
        <v>2.0</v>
      </c>
      <c r="O1230" s="20">
        <v>16.0</v>
      </c>
      <c r="P1230" s="20">
        <f t="shared" si="2"/>
        <v>36</v>
      </c>
      <c r="Q1230" s="21">
        <v>7.0</v>
      </c>
      <c r="R1230" s="205">
        <f t="shared" si="3"/>
        <v>110.2480556</v>
      </c>
      <c r="S1230" s="19">
        <f t="shared" si="4"/>
        <v>3.888888889</v>
      </c>
      <c r="T1230" s="24">
        <f t="shared" si="5"/>
        <v>7.714285714</v>
      </c>
      <c r="U1230" s="26">
        <f t="shared" si="6"/>
        <v>0.03557312253</v>
      </c>
      <c r="V1230" s="26">
        <f t="shared" si="7"/>
        <v>0.2529644269</v>
      </c>
      <c r="W1230" s="19">
        <f t="shared" si="8"/>
        <v>0.5357142857</v>
      </c>
      <c r="X1230" s="20">
        <f t="shared" si="9"/>
        <v>560</v>
      </c>
      <c r="Y1230" s="27"/>
      <c r="Z1230" s="17"/>
      <c r="AA1230" s="17"/>
      <c r="AB1230" s="17"/>
      <c r="AC1230" s="17"/>
      <c r="AD1230" s="27"/>
    </row>
    <row r="1231" ht="15.75" customHeight="1">
      <c r="A1231" s="16" t="s">
        <v>2891</v>
      </c>
      <c r="B1231" s="16" t="s">
        <v>3033</v>
      </c>
      <c r="C1231" s="16" t="str">
        <f t="shared" si="11"/>
        <v>Alpine Aire Black Bart Chili with Beef &amp; Beans</v>
      </c>
      <c r="D1231" s="17" t="s">
        <v>2846</v>
      </c>
      <c r="E1231" s="17" t="s">
        <v>2833</v>
      </c>
      <c r="F1231" s="17">
        <v>2.0</v>
      </c>
      <c r="G1231" s="19">
        <f t="shared" si="10"/>
        <v>2.998289211</v>
      </c>
      <c r="H1231" s="17">
        <v>85.0</v>
      </c>
      <c r="I1231" s="10">
        <v>330.0</v>
      </c>
      <c r="J1231" s="17">
        <v>7.0</v>
      </c>
      <c r="K1231" s="17">
        <v>750.0</v>
      </c>
      <c r="L1231" s="17">
        <v>1937.0</v>
      </c>
      <c r="M1231" s="20">
        <v>43.0</v>
      </c>
      <c r="N1231" s="20">
        <v>4.0</v>
      </c>
      <c r="O1231" s="20">
        <v>7.0</v>
      </c>
      <c r="P1231" s="20">
        <f t="shared" si="2"/>
        <v>32</v>
      </c>
      <c r="Q1231" s="21">
        <v>24.0</v>
      </c>
      <c r="R1231" s="205">
        <f t="shared" si="3"/>
        <v>110.0627647</v>
      </c>
      <c r="S1231" s="19">
        <f t="shared" si="4"/>
        <v>3.882352941</v>
      </c>
      <c r="T1231" s="24">
        <f t="shared" si="5"/>
        <v>1.791666667</v>
      </c>
      <c r="U1231" s="26">
        <f t="shared" si="6"/>
        <v>0.1903323263</v>
      </c>
      <c r="V1231" s="26">
        <f t="shared" si="7"/>
        <v>0.08459214502</v>
      </c>
      <c r="W1231" s="19">
        <f t="shared" si="8"/>
        <v>2.272727273</v>
      </c>
      <c r="X1231" s="20">
        <f t="shared" si="9"/>
        <v>660</v>
      </c>
      <c r="Y1231" s="27"/>
      <c r="Z1231" s="17"/>
      <c r="AA1231" s="17"/>
      <c r="AB1231" s="17"/>
      <c r="AC1231" s="17"/>
      <c r="AD1231" s="27"/>
    </row>
    <row r="1232" ht="15.75" customHeight="1">
      <c r="A1232" s="16" t="s">
        <v>2891</v>
      </c>
      <c r="B1232" s="16" t="s">
        <v>3034</v>
      </c>
      <c r="C1232" s="16" t="str">
        <f t="shared" si="11"/>
        <v>Alpine Aire Kung Pao Beef</v>
      </c>
      <c r="D1232" s="17" t="s">
        <v>2846</v>
      </c>
      <c r="E1232" s="17" t="s">
        <v>2833</v>
      </c>
      <c r="F1232" s="17">
        <v>2.0</v>
      </c>
      <c r="G1232" s="19">
        <f t="shared" si="10"/>
        <v>2.998289211</v>
      </c>
      <c r="H1232" s="17">
        <v>85.0</v>
      </c>
      <c r="I1232" s="10">
        <v>330.0</v>
      </c>
      <c r="J1232" s="17">
        <v>8.0</v>
      </c>
      <c r="K1232" s="17">
        <v>870.0</v>
      </c>
      <c r="L1232" s="17">
        <v>731.0</v>
      </c>
      <c r="M1232" s="20">
        <v>23.0</v>
      </c>
      <c r="N1232" s="20">
        <v>3.0</v>
      </c>
      <c r="O1232" s="20">
        <v>8.0</v>
      </c>
      <c r="P1232" s="20">
        <f t="shared" si="2"/>
        <v>12</v>
      </c>
      <c r="Q1232" s="21">
        <v>16.0</v>
      </c>
      <c r="R1232" s="205">
        <f t="shared" si="3"/>
        <v>110.0627647</v>
      </c>
      <c r="S1232" s="19">
        <f t="shared" si="4"/>
        <v>3.882352941</v>
      </c>
      <c r="T1232" s="24">
        <f t="shared" si="5"/>
        <v>1.4375</v>
      </c>
      <c r="U1232" s="26">
        <f t="shared" si="6"/>
        <v>0.3157894737</v>
      </c>
      <c r="V1232" s="26">
        <f t="shared" si="7"/>
        <v>0.1403508772</v>
      </c>
      <c r="W1232" s="19">
        <f t="shared" si="8"/>
        <v>2.636363636</v>
      </c>
      <c r="X1232" s="20">
        <f t="shared" si="9"/>
        <v>660</v>
      </c>
      <c r="Y1232" s="27"/>
      <c r="Z1232" s="17"/>
      <c r="AA1232" s="17"/>
      <c r="AB1232" s="17"/>
      <c r="AC1232" s="17"/>
      <c r="AD1232" s="27"/>
    </row>
    <row r="1233" ht="15.75" customHeight="1">
      <c r="A1233" s="16" t="s">
        <v>2891</v>
      </c>
      <c r="B1233" s="16" t="s">
        <v>3035</v>
      </c>
      <c r="C1233" s="16" t="str">
        <f t="shared" si="11"/>
        <v>Alpine Aire Kung Pao Grilled Chicken</v>
      </c>
      <c r="D1233" s="17" t="s">
        <v>2846</v>
      </c>
      <c r="E1233" s="17" t="s">
        <v>2833</v>
      </c>
      <c r="F1233" s="17">
        <v>2.0</v>
      </c>
      <c r="G1233" s="19">
        <f t="shared" si="10"/>
        <v>2.998289211</v>
      </c>
      <c r="H1233" s="17">
        <v>85.0</v>
      </c>
      <c r="I1233" s="10">
        <v>330.0</v>
      </c>
      <c r="J1233" s="17">
        <v>7.0</v>
      </c>
      <c r="K1233" s="17">
        <v>860.0</v>
      </c>
      <c r="L1233" s="17">
        <v>739.0</v>
      </c>
      <c r="M1233" s="20">
        <v>24.0</v>
      </c>
      <c r="N1233" s="20">
        <v>3.0</v>
      </c>
      <c r="O1233" s="20">
        <v>8.0</v>
      </c>
      <c r="P1233" s="20">
        <f t="shared" si="2"/>
        <v>13</v>
      </c>
      <c r="Q1233" s="21">
        <v>17.0</v>
      </c>
      <c r="R1233" s="205">
        <f t="shared" si="3"/>
        <v>110.0627647</v>
      </c>
      <c r="S1233" s="19">
        <f t="shared" si="4"/>
        <v>3.882352941</v>
      </c>
      <c r="T1233" s="24">
        <f t="shared" si="5"/>
        <v>1.411764706</v>
      </c>
      <c r="U1233" s="26">
        <f t="shared" si="6"/>
        <v>0.2775330396</v>
      </c>
      <c r="V1233" s="26">
        <f t="shared" si="7"/>
        <v>0.140969163</v>
      </c>
      <c r="W1233" s="19">
        <f t="shared" si="8"/>
        <v>2.606060606</v>
      </c>
      <c r="X1233" s="20">
        <f t="shared" si="9"/>
        <v>660</v>
      </c>
      <c r="Y1233" s="27"/>
      <c r="Z1233" s="17"/>
      <c r="AA1233" s="17"/>
      <c r="AB1233" s="17"/>
      <c r="AC1233" s="17"/>
      <c r="AD1233" s="27"/>
    </row>
    <row r="1234" ht="15.75" customHeight="1">
      <c r="A1234" s="16" t="s">
        <v>2844</v>
      </c>
      <c r="B1234" s="16" t="s">
        <v>3036</v>
      </c>
      <c r="C1234" s="16" t="str">
        <f t="shared" si="11"/>
        <v>Peak Refuel Strawberry Granola</v>
      </c>
      <c r="D1234" s="17" t="s">
        <v>92</v>
      </c>
      <c r="E1234" s="17" t="s">
        <v>2839</v>
      </c>
      <c r="F1234" s="17">
        <v>2.0</v>
      </c>
      <c r="G1234" s="19">
        <f t="shared" si="10"/>
        <v>2.363357378</v>
      </c>
      <c r="H1234" s="17">
        <v>67.0</v>
      </c>
      <c r="I1234" s="10">
        <v>260.0</v>
      </c>
      <c r="J1234" s="17">
        <v>4.5</v>
      </c>
      <c r="K1234" s="17">
        <v>200.0</v>
      </c>
      <c r="L1234" s="17">
        <v>345.0</v>
      </c>
      <c r="M1234" s="20">
        <v>44.0</v>
      </c>
      <c r="N1234" s="20">
        <v>3.0</v>
      </c>
      <c r="O1234" s="20">
        <v>23.0</v>
      </c>
      <c r="P1234" s="20">
        <f t="shared" si="2"/>
        <v>18</v>
      </c>
      <c r="Q1234" s="21">
        <v>12.0</v>
      </c>
      <c r="R1234" s="205">
        <f t="shared" si="3"/>
        <v>110.0129851</v>
      </c>
      <c r="S1234" s="19">
        <f t="shared" si="4"/>
        <v>3.880597015</v>
      </c>
      <c r="T1234" s="24">
        <f t="shared" si="5"/>
        <v>3.666666667</v>
      </c>
      <c r="U1234" s="26">
        <f t="shared" si="6"/>
        <v>0.1531190926</v>
      </c>
      <c r="V1234" s="26">
        <f t="shared" si="7"/>
        <v>0.347826087</v>
      </c>
      <c r="W1234" s="19">
        <f t="shared" si="8"/>
        <v>0.7692307692</v>
      </c>
      <c r="X1234" s="20">
        <f t="shared" si="9"/>
        <v>520</v>
      </c>
      <c r="Y1234" s="27"/>
      <c r="Z1234" s="17"/>
      <c r="AA1234" s="17"/>
      <c r="AB1234" s="17"/>
      <c r="AC1234" s="17"/>
      <c r="AD1234" s="27"/>
    </row>
    <row r="1235" ht="15.75" customHeight="1">
      <c r="A1235" s="16" t="s">
        <v>2899</v>
      </c>
      <c r="B1235" s="16" t="s">
        <v>3037</v>
      </c>
      <c r="C1235" s="16" t="str">
        <f t="shared" si="11"/>
        <v>ReadyWise Crest Peak Creamy Pasta &amp; Chicken</v>
      </c>
      <c r="D1235" s="17" t="s">
        <v>2846</v>
      </c>
      <c r="E1235" s="17" t="s">
        <v>2833</v>
      </c>
      <c r="F1235" s="17">
        <v>2.5</v>
      </c>
      <c r="G1235" s="19">
        <f t="shared" si="10"/>
        <v>1.728425545</v>
      </c>
      <c r="H1235" s="17">
        <v>49.0</v>
      </c>
      <c r="I1235" s="10">
        <v>190.0</v>
      </c>
      <c r="J1235" s="17">
        <v>3.0</v>
      </c>
      <c r="K1235" s="17">
        <v>480.0</v>
      </c>
      <c r="L1235" s="17">
        <v>430.0</v>
      </c>
      <c r="M1235" s="20">
        <v>27.0</v>
      </c>
      <c r="N1235" s="20">
        <v>1.0</v>
      </c>
      <c r="O1235" s="20">
        <v>4.0</v>
      </c>
      <c r="P1235" s="20">
        <f t="shared" si="2"/>
        <v>22</v>
      </c>
      <c r="Q1235" s="21">
        <v>13.0</v>
      </c>
      <c r="R1235" s="205">
        <f t="shared" si="3"/>
        <v>109.9266327</v>
      </c>
      <c r="S1235" s="19">
        <f t="shared" si="4"/>
        <v>3.87755102</v>
      </c>
      <c r="T1235" s="24">
        <f t="shared" si="5"/>
        <v>2.076923077</v>
      </c>
      <c r="U1235" s="26">
        <f t="shared" si="6"/>
        <v>0.1443850267</v>
      </c>
      <c r="V1235" s="26">
        <f t="shared" si="7"/>
        <v>0.08556149733</v>
      </c>
      <c r="W1235" s="19">
        <f t="shared" si="8"/>
        <v>2.526315789</v>
      </c>
      <c r="X1235" s="20">
        <f t="shared" si="9"/>
        <v>475</v>
      </c>
      <c r="Y1235" s="27"/>
      <c r="Z1235" s="17"/>
      <c r="AA1235" s="17"/>
      <c r="AB1235" s="17"/>
      <c r="AC1235" s="17"/>
      <c r="AD1235" s="27"/>
    </row>
    <row r="1236" ht="15.75" customHeight="1">
      <c r="A1236" s="16" t="s">
        <v>2931</v>
      </c>
      <c r="B1236" s="16" t="s">
        <v>3038</v>
      </c>
      <c r="C1236" s="16" t="str">
        <f t="shared" si="11"/>
        <v>Good To-Go Kale and White Bean Stew</v>
      </c>
      <c r="D1236" s="17" t="s">
        <v>2846</v>
      </c>
      <c r="E1236" s="17" t="s">
        <v>2833</v>
      </c>
      <c r="F1236" s="17">
        <v>2.0</v>
      </c>
      <c r="G1236" s="19">
        <f t="shared" si="10"/>
        <v>3.280481137</v>
      </c>
      <c r="H1236" s="17">
        <v>93.0</v>
      </c>
      <c r="I1236" s="10">
        <v>360.0</v>
      </c>
      <c r="J1236" s="17">
        <v>8.0</v>
      </c>
      <c r="K1236" s="17">
        <v>640.0</v>
      </c>
      <c r="L1236" s="17">
        <v>1430.0</v>
      </c>
      <c r="M1236" s="20">
        <v>60.0</v>
      </c>
      <c r="N1236" s="20">
        <v>13.0</v>
      </c>
      <c r="O1236" s="20">
        <v>12.0</v>
      </c>
      <c r="P1236" s="20">
        <f t="shared" si="2"/>
        <v>35</v>
      </c>
      <c r="Q1236" s="21">
        <v>16.0</v>
      </c>
      <c r="R1236" s="205">
        <f t="shared" si="3"/>
        <v>109.74</v>
      </c>
      <c r="S1236" s="19">
        <f t="shared" si="4"/>
        <v>3.870967742</v>
      </c>
      <c r="T1236" s="24">
        <f t="shared" si="5"/>
        <v>3.75</v>
      </c>
      <c r="U1236" s="26">
        <f t="shared" si="6"/>
        <v>0.1914893617</v>
      </c>
      <c r="V1236" s="26">
        <f t="shared" si="7"/>
        <v>0.1276595745</v>
      </c>
      <c r="W1236" s="19">
        <f t="shared" si="8"/>
        <v>1.777777778</v>
      </c>
      <c r="X1236" s="20">
        <f t="shared" si="9"/>
        <v>720</v>
      </c>
      <c r="Y1236" s="27"/>
      <c r="Z1236" s="17"/>
      <c r="AA1236" s="17"/>
      <c r="AB1236" s="17"/>
      <c r="AC1236" s="17"/>
      <c r="AD1236" s="27"/>
    </row>
    <row r="1237" ht="15.75" customHeight="1">
      <c r="A1237" s="184" t="s">
        <v>1526</v>
      </c>
      <c r="B1237" s="184" t="s">
        <v>3039</v>
      </c>
      <c r="C1237" s="16" t="str">
        <f t="shared" si="11"/>
        <v>Mountain House Oriental Style Spicy Chicken (LRP)</v>
      </c>
      <c r="D1237" s="206" t="s">
        <v>2846</v>
      </c>
      <c r="E1237" s="17" t="s">
        <v>2833</v>
      </c>
      <c r="F1237" s="206">
        <v>1.0</v>
      </c>
      <c r="G1237" s="207">
        <f t="shared" si="10"/>
        <v>5.291098608</v>
      </c>
      <c r="H1237" s="206">
        <v>150.0</v>
      </c>
      <c r="I1237" s="208">
        <v>580.0</v>
      </c>
      <c r="J1237" s="206">
        <v>8.0</v>
      </c>
      <c r="K1237" s="206">
        <v>2590.0</v>
      </c>
      <c r="L1237" s="206"/>
      <c r="M1237" s="209">
        <v>99.0</v>
      </c>
      <c r="N1237" s="209">
        <v>7.0</v>
      </c>
      <c r="O1237" s="209">
        <v>10.0</v>
      </c>
      <c r="P1237" s="209">
        <f t="shared" si="2"/>
        <v>82</v>
      </c>
      <c r="Q1237" s="210">
        <v>32.0</v>
      </c>
      <c r="R1237" s="205">
        <f t="shared" si="3"/>
        <v>109.6180667</v>
      </c>
      <c r="S1237" s="19">
        <f t="shared" si="4"/>
        <v>3.866666667</v>
      </c>
      <c r="T1237" s="24">
        <f t="shared" si="5"/>
        <v>3.09375</v>
      </c>
      <c r="U1237" s="26">
        <f t="shared" si="6"/>
        <v>0.1208053691</v>
      </c>
      <c r="V1237" s="26">
        <f t="shared" si="7"/>
        <v>0.06711409396</v>
      </c>
      <c r="W1237" s="19">
        <f t="shared" si="8"/>
        <v>4.465517241</v>
      </c>
      <c r="X1237" s="209">
        <f t="shared" si="9"/>
        <v>580</v>
      </c>
      <c r="Y1237" s="27"/>
      <c r="Z1237" s="17"/>
      <c r="AA1237" s="17"/>
      <c r="AB1237" s="17"/>
      <c r="AC1237" s="17"/>
      <c r="AD1237" s="27"/>
    </row>
    <row r="1238" ht="15.75" customHeight="1">
      <c r="A1238" s="16" t="s">
        <v>2832</v>
      </c>
      <c r="B1238" s="16" t="s">
        <v>3040</v>
      </c>
      <c r="C1238" s="16" t="str">
        <f t="shared" si="11"/>
        <v>PackIt Gourmet Pasta Beef Bolognese</v>
      </c>
      <c r="D1238" s="17" t="s">
        <v>2846</v>
      </c>
      <c r="E1238" s="17" t="s">
        <v>2837</v>
      </c>
      <c r="F1238" s="17">
        <v>1.0</v>
      </c>
      <c r="G1238" s="19">
        <f t="shared" si="10"/>
        <v>7.30171608</v>
      </c>
      <c r="H1238" s="17">
        <v>207.0</v>
      </c>
      <c r="I1238" s="10">
        <v>800.0</v>
      </c>
      <c r="J1238" s="17">
        <v>21.0</v>
      </c>
      <c r="K1238" s="17">
        <v>1260.0</v>
      </c>
      <c r="L1238" s="17">
        <v>2030.0</v>
      </c>
      <c r="M1238" s="20">
        <v>128.0</v>
      </c>
      <c r="N1238" s="20">
        <v>16.0</v>
      </c>
      <c r="O1238" s="20">
        <v>28.0</v>
      </c>
      <c r="P1238" s="20">
        <f t="shared" si="2"/>
        <v>84</v>
      </c>
      <c r="Q1238" s="21">
        <v>30.0</v>
      </c>
      <c r="R1238" s="205">
        <f t="shared" si="3"/>
        <v>109.563285</v>
      </c>
      <c r="S1238" s="19">
        <f t="shared" si="4"/>
        <v>3.8647343</v>
      </c>
      <c r="T1238" s="24">
        <f t="shared" si="5"/>
        <v>4.266666667</v>
      </c>
      <c r="U1238" s="26">
        <f t="shared" si="6"/>
        <v>0.2302070646</v>
      </c>
      <c r="V1238" s="26">
        <f t="shared" si="7"/>
        <v>0.1364190012</v>
      </c>
      <c r="W1238" s="19">
        <f t="shared" si="8"/>
        <v>1.575</v>
      </c>
      <c r="X1238" s="20">
        <f t="shared" si="9"/>
        <v>800</v>
      </c>
      <c r="Y1238" s="27"/>
      <c r="Z1238" s="17"/>
      <c r="AA1238" s="17"/>
      <c r="AB1238" s="17"/>
      <c r="AC1238" s="17"/>
      <c r="AD1238" s="27"/>
    </row>
    <row r="1239" ht="15.75" customHeight="1">
      <c r="A1239" s="16" t="s">
        <v>1402</v>
      </c>
      <c r="B1239" s="16" t="s">
        <v>3041</v>
      </c>
      <c r="C1239" s="16" t="str">
        <f t="shared" si="11"/>
        <v>Backpacker's Pantry Lasagna</v>
      </c>
      <c r="D1239" s="17" t="s">
        <v>2846</v>
      </c>
      <c r="E1239" s="17" t="s">
        <v>2833</v>
      </c>
      <c r="F1239" s="17">
        <v>2.0</v>
      </c>
      <c r="G1239" s="19">
        <f t="shared" si="10"/>
        <v>3.104111184</v>
      </c>
      <c r="H1239" s="17">
        <v>88.0</v>
      </c>
      <c r="I1239" s="10">
        <v>340.0</v>
      </c>
      <c r="J1239" s="17">
        <v>8.0</v>
      </c>
      <c r="K1239" s="17">
        <v>880.0</v>
      </c>
      <c r="L1239" s="17">
        <v>895.0</v>
      </c>
      <c r="M1239" s="20">
        <v>49.0</v>
      </c>
      <c r="N1239" s="20">
        <v>4.0</v>
      </c>
      <c r="O1239" s="20">
        <v>11.0</v>
      </c>
      <c r="P1239" s="20">
        <f t="shared" si="2"/>
        <v>34</v>
      </c>
      <c r="Q1239" s="21">
        <v>19.0</v>
      </c>
      <c r="R1239" s="205">
        <f t="shared" si="3"/>
        <v>109.5321591</v>
      </c>
      <c r="S1239" s="19">
        <f t="shared" si="4"/>
        <v>3.863636364</v>
      </c>
      <c r="T1239" s="24">
        <f t="shared" si="5"/>
        <v>2.578947368</v>
      </c>
      <c r="U1239" s="26">
        <f t="shared" si="6"/>
        <v>0.2093023256</v>
      </c>
      <c r="V1239" s="26">
        <f t="shared" si="7"/>
        <v>0.1279069767</v>
      </c>
      <c r="W1239" s="19">
        <f t="shared" si="8"/>
        <v>2.588235294</v>
      </c>
      <c r="X1239" s="20">
        <f t="shared" si="9"/>
        <v>680</v>
      </c>
      <c r="Y1239" s="27"/>
      <c r="Z1239" s="17"/>
      <c r="AA1239" s="17"/>
      <c r="AB1239" s="17"/>
      <c r="AC1239" s="17"/>
      <c r="AD1239" s="27"/>
    </row>
    <row r="1240" ht="15.75" customHeight="1">
      <c r="A1240" s="16" t="s">
        <v>1402</v>
      </c>
      <c r="B1240" s="16" t="s">
        <v>3042</v>
      </c>
      <c r="C1240" s="16" t="str">
        <f t="shared" si="11"/>
        <v>Backpacker's Pantry Santa Fe Style Rice &amp; Beans with Chicken</v>
      </c>
      <c r="D1240" s="17" t="s">
        <v>2846</v>
      </c>
      <c r="E1240" s="17" t="s">
        <v>2833</v>
      </c>
      <c r="F1240" s="17">
        <v>2.0</v>
      </c>
      <c r="G1240" s="19">
        <f t="shared" si="10"/>
        <v>3.104111184</v>
      </c>
      <c r="H1240" s="17">
        <v>88.0</v>
      </c>
      <c r="I1240" s="10">
        <v>340.0</v>
      </c>
      <c r="J1240" s="17">
        <v>8.0</v>
      </c>
      <c r="K1240" s="17">
        <v>600.0</v>
      </c>
      <c r="L1240" s="17">
        <v>428.0</v>
      </c>
      <c r="M1240" s="20">
        <v>49.0</v>
      </c>
      <c r="N1240" s="20">
        <v>12.0</v>
      </c>
      <c r="O1240" s="20">
        <v>6.0</v>
      </c>
      <c r="P1240" s="20">
        <f t="shared" si="2"/>
        <v>31</v>
      </c>
      <c r="Q1240" s="21">
        <v>20.0</v>
      </c>
      <c r="R1240" s="205">
        <f t="shared" si="3"/>
        <v>109.5321591</v>
      </c>
      <c r="S1240" s="19">
        <f t="shared" si="4"/>
        <v>3.863636364</v>
      </c>
      <c r="T1240" s="24">
        <f t="shared" si="5"/>
        <v>2.45</v>
      </c>
      <c r="U1240" s="26">
        <f t="shared" si="6"/>
        <v>0.2068965517</v>
      </c>
      <c r="V1240" s="26">
        <f t="shared" si="7"/>
        <v>0.06896551724</v>
      </c>
      <c r="W1240" s="19">
        <f t="shared" si="8"/>
        <v>1.764705882</v>
      </c>
      <c r="X1240" s="20">
        <f t="shared" si="9"/>
        <v>680</v>
      </c>
      <c r="Y1240" s="27"/>
      <c r="Z1240" s="17"/>
      <c r="AA1240" s="17"/>
      <c r="AB1240" s="17"/>
      <c r="AC1240" s="17"/>
      <c r="AD1240" s="27"/>
    </row>
    <row r="1241" ht="15.75" customHeight="1">
      <c r="A1241" s="16" t="s">
        <v>2832</v>
      </c>
      <c r="B1241" s="16" t="s">
        <v>3043</v>
      </c>
      <c r="C1241" s="16" t="str">
        <f t="shared" si="11"/>
        <v>PackIt Gourmet Tuscan Beef Stew &amp; Italian Polenta</v>
      </c>
      <c r="D1241" s="17" t="s">
        <v>2846</v>
      </c>
      <c r="E1241" s="17" t="s">
        <v>2833</v>
      </c>
      <c r="F1241" s="17">
        <v>1.0</v>
      </c>
      <c r="G1241" s="19">
        <f t="shared" si="10"/>
        <v>5.114728655</v>
      </c>
      <c r="H1241" s="17">
        <v>145.0</v>
      </c>
      <c r="I1241" s="10">
        <v>560.0</v>
      </c>
      <c r="J1241" s="17">
        <v>14.0</v>
      </c>
      <c r="K1241" s="17">
        <v>1780.0</v>
      </c>
      <c r="L1241" s="17">
        <v>1070.0</v>
      </c>
      <c r="M1241" s="20">
        <v>69.0</v>
      </c>
      <c r="N1241" s="20">
        <v>11.0</v>
      </c>
      <c r="O1241" s="20">
        <v>17.0</v>
      </c>
      <c r="P1241" s="20">
        <f t="shared" si="2"/>
        <v>41</v>
      </c>
      <c r="Q1241" s="21">
        <v>41.0</v>
      </c>
      <c r="R1241" s="205">
        <f t="shared" si="3"/>
        <v>109.4877241</v>
      </c>
      <c r="S1241" s="19">
        <f t="shared" si="4"/>
        <v>3.862068966</v>
      </c>
      <c r="T1241" s="24">
        <f t="shared" si="5"/>
        <v>1.682926829</v>
      </c>
      <c r="U1241" s="26">
        <f t="shared" si="6"/>
        <v>0.222614841</v>
      </c>
      <c r="V1241" s="26">
        <f t="shared" si="7"/>
        <v>0.1201413428</v>
      </c>
      <c r="W1241" s="19">
        <f t="shared" si="8"/>
        <v>3.178571429</v>
      </c>
      <c r="X1241" s="20">
        <f t="shared" si="9"/>
        <v>560</v>
      </c>
      <c r="Y1241" s="27"/>
      <c r="Z1241" s="17"/>
      <c r="AA1241" s="17"/>
      <c r="AB1241" s="17"/>
      <c r="AC1241" s="17"/>
      <c r="AD1241" s="27"/>
    </row>
    <row r="1242" ht="15.75" customHeight="1">
      <c r="A1242" s="16" t="s">
        <v>2891</v>
      </c>
      <c r="B1242" s="16" t="s">
        <v>2966</v>
      </c>
      <c r="C1242" s="16" t="str">
        <f t="shared" si="11"/>
        <v>Alpine Aire Sweet and Sour Pork</v>
      </c>
      <c r="D1242" s="17" t="s">
        <v>2846</v>
      </c>
      <c r="E1242" s="17" t="s">
        <v>2833</v>
      </c>
      <c r="F1242" s="17">
        <v>2.0</v>
      </c>
      <c r="G1242" s="19">
        <f t="shared" si="10"/>
        <v>2.92774123</v>
      </c>
      <c r="H1242" s="17">
        <v>83.0</v>
      </c>
      <c r="I1242" s="10">
        <v>320.0</v>
      </c>
      <c r="J1242" s="17">
        <v>4.5</v>
      </c>
      <c r="K1242" s="17">
        <v>970.0</v>
      </c>
      <c r="L1242" s="17">
        <v>354.0</v>
      </c>
      <c r="M1242" s="20">
        <v>34.0</v>
      </c>
      <c r="N1242" s="20">
        <v>1.0</v>
      </c>
      <c r="O1242" s="20">
        <v>13.0</v>
      </c>
      <c r="P1242" s="20">
        <f t="shared" si="2"/>
        <v>20</v>
      </c>
      <c r="Q1242" s="21">
        <v>14.0</v>
      </c>
      <c r="R1242" s="205">
        <f t="shared" si="3"/>
        <v>109.2992771</v>
      </c>
      <c r="S1242" s="19">
        <f t="shared" si="4"/>
        <v>3.855421687</v>
      </c>
      <c r="T1242" s="24">
        <f t="shared" si="5"/>
        <v>2.428571429</v>
      </c>
      <c r="U1242" s="26">
        <f t="shared" si="6"/>
        <v>0.1741935484</v>
      </c>
      <c r="V1242" s="26">
        <f t="shared" si="7"/>
        <v>0.223655914</v>
      </c>
      <c r="W1242" s="19">
        <f t="shared" si="8"/>
        <v>3.03125</v>
      </c>
      <c r="X1242" s="20">
        <f t="shared" si="9"/>
        <v>640</v>
      </c>
      <c r="Y1242" s="27"/>
      <c r="Z1242" s="17"/>
      <c r="AA1242" s="17"/>
      <c r="AB1242" s="17"/>
      <c r="AC1242" s="17"/>
      <c r="AD1242" s="27"/>
    </row>
    <row r="1243" ht="15.75" customHeight="1">
      <c r="A1243" s="16" t="s">
        <v>2832</v>
      </c>
      <c r="B1243" s="16" t="s">
        <v>3044</v>
      </c>
      <c r="C1243" s="16" t="str">
        <f t="shared" si="11"/>
        <v>PackIt Gourmet Rustic Skillet Bread</v>
      </c>
      <c r="D1243" s="17" t="s">
        <v>2880</v>
      </c>
      <c r="E1243" s="17" t="s">
        <v>2837</v>
      </c>
      <c r="F1243" s="17">
        <v>2.0</v>
      </c>
      <c r="G1243" s="19">
        <f t="shared" si="10"/>
        <v>2.92774123</v>
      </c>
      <c r="H1243" s="17">
        <v>83.0</v>
      </c>
      <c r="I1243" s="10">
        <v>320.0</v>
      </c>
      <c r="J1243" s="17">
        <v>9.0</v>
      </c>
      <c r="K1243" s="17">
        <v>630.0</v>
      </c>
      <c r="L1243" s="17">
        <v>90.0</v>
      </c>
      <c r="M1243" s="20">
        <v>54.0</v>
      </c>
      <c r="N1243" s="20">
        <v>1.0</v>
      </c>
      <c r="O1243" s="20">
        <v>5.0</v>
      </c>
      <c r="P1243" s="20">
        <f t="shared" si="2"/>
        <v>48</v>
      </c>
      <c r="Q1243" s="21">
        <v>8.0</v>
      </c>
      <c r="R1243" s="205">
        <f t="shared" si="3"/>
        <v>109.2992771</v>
      </c>
      <c r="S1243" s="19">
        <f t="shared" si="4"/>
        <v>3.855421687</v>
      </c>
      <c r="T1243" s="24">
        <f t="shared" si="5"/>
        <v>6.75</v>
      </c>
      <c r="U1243" s="26">
        <f t="shared" si="6"/>
        <v>0.2462006079</v>
      </c>
      <c r="V1243" s="26">
        <f t="shared" si="7"/>
        <v>0.06079027356</v>
      </c>
      <c r="W1243" s="19">
        <f t="shared" si="8"/>
        <v>1.96875</v>
      </c>
      <c r="X1243" s="20">
        <f t="shared" si="9"/>
        <v>640</v>
      </c>
      <c r="Y1243" s="27"/>
      <c r="Z1243" s="17"/>
      <c r="AA1243" s="17"/>
      <c r="AB1243" s="17"/>
      <c r="AC1243" s="17"/>
      <c r="AD1243" s="27"/>
    </row>
    <row r="1244" ht="15.75" customHeight="1">
      <c r="A1244" s="16" t="s">
        <v>2835</v>
      </c>
      <c r="B1244" s="16" t="s">
        <v>3045</v>
      </c>
      <c r="C1244" s="16" t="str">
        <f t="shared" si="11"/>
        <v>Trailtopia Jambalaya</v>
      </c>
      <c r="D1244" s="17" t="s">
        <v>2846</v>
      </c>
      <c r="E1244" s="17" t="s">
        <v>2833</v>
      </c>
      <c r="F1244" s="17">
        <v>2.0</v>
      </c>
      <c r="G1244" s="19">
        <f t="shared" si="10"/>
        <v>3.386303109</v>
      </c>
      <c r="H1244" s="17">
        <v>96.0</v>
      </c>
      <c r="I1244" s="10">
        <v>370.0</v>
      </c>
      <c r="J1244" s="17">
        <v>8.0</v>
      </c>
      <c r="K1244" s="17">
        <v>1110.0</v>
      </c>
      <c r="L1244" s="17"/>
      <c r="M1244" s="20">
        <v>48.0</v>
      </c>
      <c r="N1244" s="20">
        <v>8.0</v>
      </c>
      <c r="O1244" s="20">
        <v>7.0</v>
      </c>
      <c r="P1244" s="20">
        <f t="shared" si="2"/>
        <v>33</v>
      </c>
      <c r="Q1244" s="21">
        <v>20.0</v>
      </c>
      <c r="R1244" s="205">
        <f t="shared" si="3"/>
        <v>109.2636979</v>
      </c>
      <c r="S1244" s="19">
        <f t="shared" si="4"/>
        <v>3.854166667</v>
      </c>
      <c r="T1244" s="24">
        <f t="shared" si="5"/>
        <v>2.4</v>
      </c>
      <c r="U1244" s="26">
        <f t="shared" si="6"/>
        <v>0.2093023256</v>
      </c>
      <c r="V1244" s="26">
        <f t="shared" si="7"/>
        <v>0.08139534884</v>
      </c>
      <c r="W1244" s="19">
        <f t="shared" si="8"/>
        <v>3</v>
      </c>
      <c r="X1244" s="20">
        <f t="shared" si="9"/>
        <v>740</v>
      </c>
      <c r="Y1244" s="27"/>
      <c r="Z1244" s="17"/>
      <c r="AA1244" s="17"/>
      <c r="AB1244" s="17"/>
      <c r="AC1244" s="17"/>
      <c r="AD1244" s="27"/>
    </row>
    <row r="1245" ht="15.75" customHeight="1">
      <c r="A1245" s="16" t="s">
        <v>2835</v>
      </c>
      <c r="B1245" s="16" t="s">
        <v>3046</v>
      </c>
      <c r="C1245" s="16" t="str">
        <f t="shared" si="11"/>
        <v>Trailtopia Pesto Chicken Pasta</v>
      </c>
      <c r="D1245" s="17" t="s">
        <v>2846</v>
      </c>
      <c r="E1245" s="17" t="s">
        <v>2833</v>
      </c>
      <c r="F1245" s="17">
        <v>2.0</v>
      </c>
      <c r="G1245" s="19">
        <f t="shared" si="10"/>
        <v>3.386303109</v>
      </c>
      <c r="H1245" s="17">
        <v>96.0</v>
      </c>
      <c r="I1245" s="10">
        <v>370.0</v>
      </c>
      <c r="J1245" s="17">
        <v>4.0</v>
      </c>
      <c r="K1245" s="17">
        <v>1050.0</v>
      </c>
      <c r="L1245" s="17"/>
      <c r="M1245" s="20">
        <v>57.0</v>
      </c>
      <c r="N1245" s="20">
        <v>4.0</v>
      </c>
      <c r="O1245" s="20">
        <v>4.0</v>
      </c>
      <c r="P1245" s="20">
        <f t="shared" si="2"/>
        <v>49</v>
      </c>
      <c r="Q1245" s="21">
        <v>21.0</v>
      </c>
      <c r="R1245" s="205">
        <f t="shared" si="3"/>
        <v>109.2636979</v>
      </c>
      <c r="S1245" s="19">
        <f t="shared" si="4"/>
        <v>3.854166667</v>
      </c>
      <c r="T1245" s="24">
        <f t="shared" si="5"/>
        <v>2.714285714</v>
      </c>
      <c r="U1245" s="26">
        <f t="shared" si="6"/>
        <v>0.1034482759</v>
      </c>
      <c r="V1245" s="26">
        <f t="shared" si="7"/>
        <v>0.04597701149</v>
      </c>
      <c r="W1245" s="19">
        <f t="shared" si="8"/>
        <v>2.837837838</v>
      </c>
      <c r="X1245" s="20">
        <f t="shared" si="9"/>
        <v>740</v>
      </c>
      <c r="Y1245" s="27"/>
      <c r="Z1245" s="17"/>
      <c r="AA1245" s="17"/>
      <c r="AB1245" s="17"/>
      <c r="AC1245" s="17"/>
      <c r="AD1245" s="27"/>
    </row>
    <row r="1246" ht="15.75" customHeight="1">
      <c r="A1246" s="16" t="s">
        <v>1402</v>
      </c>
      <c r="B1246" s="16" t="s">
        <v>3047</v>
      </c>
      <c r="C1246" s="16" t="str">
        <f t="shared" si="11"/>
        <v>Backpacker's Pantry Chana Masala</v>
      </c>
      <c r="D1246" s="17" t="s">
        <v>2846</v>
      </c>
      <c r="E1246" s="17" t="s">
        <v>2833</v>
      </c>
      <c r="F1246" s="17">
        <v>2.0</v>
      </c>
      <c r="G1246" s="19">
        <f t="shared" si="10"/>
        <v>3.950686961</v>
      </c>
      <c r="H1246" s="17">
        <v>112.0</v>
      </c>
      <c r="I1246" s="10">
        <v>430.0</v>
      </c>
      <c r="J1246" s="17">
        <v>7.0</v>
      </c>
      <c r="K1246" s="17">
        <v>810.0</v>
      </c>
      <c r="L1246" s="17">
        <v>278.0</v>
      </c>
      <c r="M1246" s="20">
        <v>77.0</v>
      </c>
      <c r="N1246" s="20">
        <v>7.0</v>
      </c>
      <c r="O1246" s="20">
        <v>4.0</v>
      </c>
      <c r="P1246" s="20">
        <f t="shared" si="2"/>
        <v>66</v>
      </c>
      <c r="Q1246" s="21">
        <v>14.0</v>
      </c>
      <c r="R1246" s="205">
        <f t="shared" si="3"/>
        <v>108.8418304</v>
      </c>
      <c r="S1246" s="19">
        <f t="shared" si="4"/>
        <v>3.839285714</v>
      </c>
      <c r="T1246" s="24">
        <f t="shared" si="5"/>
        <v>5.5</v>
      </c>
      <c r="U1246" s="26">
        <f t="shared" si="6"/>
        <v>0.1475409836</v>
      </c>
      <c r="V1246" s="26">
        <f t="shared" si="7"/>
        <v>0.037470726</v>
      </c>
      <c r="W1246" s="19">
        <f t="shared" si="8"/>
        <v>1.88372093</v>
      </c>
      <c r="X1246" s="20">
        <f t="shared" si="9"/>
        <v>860</v>
      </c>
      <c r="Y1246" s="27"/>
      <c r="Z1246" s="17"/>
      <c r="AA1246" s="17"/>
      <c r="AB1246" s="17"/>
      <c r="AC1246" s="17"/>
      <c r="AD1246" s="27"/>
    </row>
    <row r="1247" ht="15.75" customHeight="1">
      <c r="A1247" s="16" t="s">
        <v>1402</v>
      </c>
      <c r="B1247" s="16" t="s">
        <v>2988</v>
      </c>
      <c r="C1247" s="16" t="str">
        <f t="shared" si="11"/>
        <v>Backpacker's Pantry Pasta Primavera</v>
      </c>
      <c r="D1247" s="17" t="s">
        <v>2846</v>
      </c>
      <c r="E1247" s="17" t="s">
        <v>2833</v>
      </c>
      <c r="F1247" s="17">
        <v>2.0</v>
      </c>
      <c r="G1247" s="19">
        <f t="shared" si="10"/>
        <v>3.033563202</v>
      </c>
      <c r="H1247" s="17">
        <v>86.0</v>
      </c>
      <c r="I1247" s="10">
        <v>330.0</v>
      </c>
      <c r="J1247" s="17">
        <v>7.0</v>
      </c>
      <c r="K1247" s="17">
        <v>960.0</v>
      </c>
      <c r="L1247" s="17">
        <v>333.0</v>
      </c>
      <c r="M1247" s="20">
        <v>54.0</v>
      </c>
      <c r="N1247" s="20">
        <v>1.0</v>
      </c>
      <c r="O1247" s="20">
        <v>5.0</v>
      </c>
      <c r="P1247" s="20">
        <f t="shared" si="2"/>
        <v>48</v>
      </c>
      <c r="Q1247" s="21">
        <v>14.0</v>
      </c>
      <c r="R1247" s="205">
        <f t="shared" si="3"/>
        <v>108.7829651</v>
      </c>
      <c r="S1247" s="19">
        <f t="shared" si="4"/>
        <v>3.837209302</v>
      </c>
      <c r="T1247" s="24">
        <f t="shared" si="5"/>
        <v>3.857142857</v>
      </c>
      <c r="U1247" s="26">
        <f t="shared" si="6"/>
        <v>0.1880597015</v>
      </c>
      <c r="V1247" s="26">
        <f t="shared" si="7"/>
        <v>0.05970149254</v>
      </c>
      <c r="W1247" s="19">
        <f t="shared" si="8"/>
        <v>2.909090909</v>
      </c>
      <c r="X1247" s="20">
        <f t="shared" si="9"/>
        <v>660</v>
      </c>
      <c r="Y1247" s="27"/>
      <c r="Z1247" s="17"/>
      <c r="AA1247" s="17"/>
      <c r="AB1247" s="17"/>
      <c r="AC1247" s="17"/>
      <c r="AD1247" s="27"/>
    </row>
    <row r="1248" ht="15.75" customHeight="1">
      <c r="A1248" s="16" t="s">
        <v>2835</v>
      </c>
      <c r="B1248" s="16" t="s">
        <v>3048</v>
      </c>
      <c r="C1248" s="16" t="str">
        <f t="shared" si="11"/>
        <v>Trailtopia Szechuan Chicken with Rice</v>
      </c>
      <c r="D1248" s="17" t="s">
        <v>2846</v>
      </c>
      <c r="E1248" s="17" t="s">
        <v>2833</v>
      </c>
      <c r="F1248" s="17">
        <v>2.0</v>
      </c>
      <c r="G1248" s="19">
        <f t="shared" si="10"/>
        <v>3.88013898</v>
      </c>
      <c r="H1248" s="17">
        <v>110.0</v>
      </c>
      <c r="I1248" s="10">
        <v>422.0</v>
      </c>
      <c r="J1248" s="17">
        <v>8.0</v>
      </c>
      <c r="K1248" s="17">
        <v>700.0</v>
      </c>
      <c r="L1248" s="17">
        <v>2850.0</v>
      </c>
      <c r="M1248" s="20">
        <v>59.0</v>
      </c>
      <c r="N1248" s="20">
        <v>11.0</v>
      </c>
      <c r="O1248" s="20">
        <v>10.0</v>
      </c>
      <c r="P1248" s="20">
        <f t="shared" si="2"/>
        <v>38</v>
      </c>
      <c r="Q1248" s="21">
        <v>27.0</v>
      </c>
      <c r="R1248" s="205">
        <f t="shared" si="3"/>
        <v>108.7589909</v>
      </c>
      <c r="S1248" s="19">
        <f t="shared" si="4"/>
        <v>3.836363636</v>
      </c>
      <c r="T1248" s="24">
        <f t="shared" si="5"/>
        <v>2.185185185</v>
      </c>
      <c r="U1248" s="26">
        <f t="shared" si="6"/>
        <v>0.1730769231</v>
      </c>
      <c r="V1248" s="26">
        <f t="shared" si="7"/>
        <v>0.09615384615</v>
      </c>
      <c r="W1248" s="19">
        <f t="shared" si="8"/>
        <v>1.658767773</v>
      </c>
      <c r="X1248" s="20">
        <f t="shared" si="9"/>
        <v>844</v>
      </c>
      <c r="Y1248" s="27"/>
      <c r="Z1248" s="17"/>
      <c r="AA1248" s="17"/>
      <c r="AB1248" s="17"/>
      <c r="AC1248" s="17"/>
      <c r="AD1248" s="27"/>
    </row>
    <row r="1249" ht="15.75" customHeight="1">
      <c r="A1249" s="16" t="s">
        <v>2891</v>
      </c>
      <c r="B1249" s="16" t="s">
        <v>3049</v>
      </c>
      <c r="C1249" s="16" t="str">
        <f t="shared" si="11"/>
        <v>Alpine Aire Three Cheese Lasagna</v>
      </c>
      <c r="D1249" s="17" t="s">
        <v>2846</v>
      </c>
      <c r="E1249" s="17" t="s">
        <v>2833</v>
      </c>
      <c r="F1249" s="17">
        <v>2.0</v>
      </c>
      <c r="G1249" s="19">
        <f t="shared" si="10"/>
        <v>2.575001323</v>
      </c>
      <c r="H1249" s="17">
        <v>73.0</v>
      </c>
      <c r="I1249" s="10">
        <v>280.0</v>
      </c>
      <c r="J1249" s="17">
        <v>6.0</v>
      </c>
      <c r="K1249" s="17">
        <v>440.0</v>
      </c>
      <c r="L1249" s="17">
        <v>1072.0</v>
      </c>
      <c r="M1249" s="20">
        <v>44.0</v>
      </c>
      <c r="N1249" s="20">
        <v>4.0</v>
      </c>
      <c r="O1249" s="20">
        <v>11.0</v>
      </c>
      <c r="P1249" s="20">
        <f t="shared" si="2"/>
        <v>29</v>
      </c>
      <c r="Q1249" s="21">
        <v>14.0</v>
      </c>
      <c r="R1249" s="205">
        <f t="shared" si="3"/>
        <v>108.7378082</v>
      </c>
      <c r="S1249" s="19">
        <f t="shared" si="4"/>
        <v>3.835616438</v>
      </c>
      <c r="T1249" s="24">
        <f t="shared" si="5"/>
        <v>3.142857143</v>
      </c>
      <c r="U1249" s="26">
        <f t="shared" si="6"/>
        <v>0.1888111888</v>
      </c>
      <c r="V1249" s="26">
        <f t="shared" si="7"/>
        <v>0.1538461538</v>
      </c>
      <c r="W1249" s="19">
        <f t="shared" si="8"/>
        <v>1.571428571</v>
      </c>
      <c r="X1249" s="20">
        <f t="shared" si="9"/>
        <v>560</v>
      </c>
      <c r="Y1249" s="27"/>
      <c r="Z1249" s="17"/>
      <c r="AA1249" s="17"/>
      <c r="AB1249" s="17"/>
      <c r="AC1249" s="17"/>
      <c r="AD1249" s="27"/>
    </row>
    <row r="1250" ht="15.75" customHeight="1">
      <c r="A1250" s="16" t="s">
        <v>1402</v>
      </c>
      <c r="B1250" s="16" t="s">
        <v>3050</v>
      </c>
      <c r="C1250" s="16" t="str">
        <f t="shared" si="11"/>
        <v>Backpacker's Pantry Summit Breakfast Scramble</v>
      </c>
      <c r="D1250" s="17" t="s">
        <v>92</v>
      </c>
      <c r="E1250" s="17" t="s">
        <v>2833</v>
      </c>
      <c r="F1250" s="17">
        <v>1.0</v>
      </c>
      <c r="G1250" s="19">
        <f t="shared" si="10"/>
        <v>2.116439443</v>
      </c>
      <c r="H1250" s="17">
        <v>60.0</v>
      </c>
      <c r="I1250" s="10">
        <v>230.0</v>
      </c>
      <c r="J1250" s="17">
        <v>8.0</v>
      </c>
      <c r="K1250" s="17">
        <v>730.0</v>
      </c>
      <c r="L1250" s="17">
        <v>328.0</v>
      </c>
      <c r="M1250" s="20">
        <v>24.0</v>
      </c>
      <c r="N1250" s="20">
        <v>6.0</v>
      </c>
      <c r="O1250" s="20">
        <v>3.0</v>
      </c>
      <c r="P1250" s="20">
        <f t="shared" si="2"/>
        <v>15</v>
      </c>
      <c r="Q1250" s="21">
        <v>17.0</v>
      </c>
      <c r="R1250" s="205">
        <f t="shared" si="3"/>
        <v>108.6730833</v>
      </c>
      <c r="S1250" s="19">
        <f t="shared" si="4"/>
        <v>3.833333333</v>
      </c>
      <c r="T1250" s="24">
        <f t="shared" si="5"/>
        <v>1.411764706</v>
      </c>
      <c r="U1250" s="26">
        <f t="shared" si="6"/>
        <v>0.3050847458</v>
      </c>
      <c r="V1250" s="26">
        <f t="shared" si="7"/>
        <v>0.05084745763</v>
      </c>
      <c r="W1250" s="19">
        <f t="shared" si="8"/>
        <v>3.173913043</v>
      </c>
      <c r="X1250" s="20">
        <f t="shared" si="9"/>
        <v>230</v>
      </c>
      <c r="Y1250" s="27"/>
      <c r="Z1250" s="17"/>
      <c r="AA1250" s="17"/>
      <c r="AB1250" s="17"/>
      <c r="AC1250" s="17"/>
      <c r="AD1250" s="27"/>
    </row>
    <row r="1251" ht="15.75" customHeight="1">
      <c r="A1251" s="16" t="s">
        <v>1402</v>
      </c>
      <c r="B1251" s="16" t="s">
        <v>3051</v>
      </c>
      <c r="C1251" s="16" t="str">
        <f t="shared" si="11"/>
        <v>Backpacker's Pantry Shepherd's Potato Stew with Beef</v>
      </c>
      <c r="D1251" s="17" t="s">
        <v>2846</v>
      </c>
      <c r="E1251" s="17" t="s">
        <v>2833</v>
      </c>
      <c r="F1251" s="17">
        <v>2.0</v>
      </c>
      <c r="G1251" s="19">
        <f t="shared" si="10"/>
        <v>2.116439443</v>
      </c>
      <c r="H1251" s="17">
        <v>60.0</v>
      </c>
      <c r="I1251" s="10">
        <v>230.0</v>
      </c>
      <c r="J1251" s="17">
        <v>5.0</v>
      </c>
      <c r="K1251" s="17">
        <v>940.0</v>
      </c>
      <c r="L1251" s="17">
        <v>767.0</v>
      </c>
      <c r="M1251" s="20">
        <v>33.0</v>
      </c>
      <c r="N1251" s="20">
        <v>4.0</v>
      </c>
      <c r="O1251" s="20">
        <v>6.0</v>
      </c>
      <c r="P1251" s="20">
        <f t="shared" si="2"/>
        <v>23</v>
      </c>
      <c r="Q1251" s="21">
        <v>13.0</v>
      </c>
      <c r="R1251" s="205">
        <f t="shared" si="3"/>
        <v>108.6730833</v>
      </c>
      <c r="S1251" s="19">
        <f t="shared" si="4"/>
        <v>3.833333333</v>
      </c>
      <c r="T1251" s="24">
        <f t="shared" si="5"/>
        <v>2.538461538</v>
      </c>
      <c r="U1251" s="26">
        <f t="shared" si="6"/>
        <v>0.1965065502</v>
      </c>
      <c r="V1251" s="26">
        <f t="shared" si="7"/>
        <v>0.1048034934</v>
      </c>
      <c r="W1251" s="19">
        <f t="shared" si="8"/>
        <v>4.086956522</v>
      </c>
      <c r="X1251" s="20">
        <f t="shared" si="9"/>
        <v>460</v>
      </c>
      <c r="Y1251" s="27"/>
      <c r="Z1251" s="17"/>
      <c r="AA1251" s="17"/>
      <c r="AB1251" s="17"/>
      <c r="AC1251" s="17"/>
      <c r="AD1251" s="27"/>
    </row>
    <row r="1252" ht="15.75" customHeight="1">
      <c r="A1252" s="16" t="s">
        <v>1402</v>
      </c>
      <c r="B1252" s="16" t="s">
        <v>3052</v>
      </c>
      <c r="C1252" s="16" t="str">
        <f t="shared" si="11"/>
        <v>Backpacker's Pantry Mashed Potatoes &amp; Gravy with Beef</v>
      </c>
      <c r="D1252" s="17" t="s">
        <v>2846</v>
      </c>
      <c r="E1252" s="17" t="s">
        <v>2833</v>
      </c>
      <c r="F1252" s="17">
        <v>2.0</v>
      </c>
      <c r="G1252" s="19">
        <f t="shared" si="10"/>
        <v>1.657877564</v>
      </c>
      <c r="H1252" s="17">
        <v>47.0</v>
      </c>
      <c r="I1252" s="10">
        <v>180.0</v>
      </c>
      <c r="J1252" s="17">
        <v>3.0</v>
      </c>
      <c r="K1252" s="17">
        <v>830.0</v>
      </c>
      <c r="L1252" s="17">
        <v>498.0</v>
      </c>
      <c r="M1252" s="20">
        <v>29.0</v>
      </c>
      <c r="N1252" s="20">
        <v>2.0</v>
      </c>
      <c r="O1252" s="20">
        <v>2.0</v>
      </c>
      <c r="P1252" s="20">
        <f t="shared" si="2"/>
        <v>25</v>
      </c>
      <c r="Q1252" s="21">
        <v>9.0</v>
      </c>
      <c r="R1252" s="205">
        <f t="shared" si="3"/>
        <v>108.5725532</v>
      </c>
      <c r="S1252" s="19">
        <f t="shared" si="4"/>
        <v>3.829787234</v>
      </c>
      <c r="T1252" s="24">
        <f t="shared" si="5"/>
        <v>3.222222222</v>
      </c>
      <c r="U1252" s="26">
        <f t="shared" si="6"/>
        <v>0.1508379888</v>
      </c>
      <c r="V1252" s="26">
        <f t="shared" si="7"/>
        <v>0.04469273743</v>
      </c>
      <c r="W1252" s="19">
        <f t="shared" si="8"/>
        <v>4.611111111</v>
      </c>
      <c r="X1252" s="20">
        <f t="shared" si="9"/>
        <v>360</v>
      </c>
      <c r="Y1252" s="27"/>
      <c r="Z1252" s="17"/>
      <c r="AA1252" s="17"/>
      <c r="AB1252" s="17"/>
      <c r="AC1252" s="17"/>
      <c r="AD1252" s="27"/>
    </row>
    <row r="1253" ht="15.75" customHeight="1">
      <c r="A1253" s="16" t="s">
        <v>1402</v>
      </c>
      <c r="B1253" s="16" t="s">
        <v>3053</v>
      </c>
      <c r="C1253" s="16" t="str">
        <f t="shared" si="11"/>
        <v>Backpacker's Pantry Sweet &amp; Sour Rice and Chicken</v>
      </c>
      <c r="D1253" s="17" t="s">
        <v>2846</v>
      </c>
      <c r="E1253" s="17" t="s">
        <v>2833</v>
      </c>
      <c r="F1253" s="17">
        <v>2.0</v>
      </c>
      <c r="G1253" s="19">
        <f t="shared" si="10"/>
        <v>3.139385174</v>
      </c>
      <c r="H1253" s="17">
        <v>89.0</v>
      </c>
      <c r="I1253" s="10">
        <v>340.0</v>
      </c>
      <c r="J1253" s="17">
        <v>6.0</v>
      </c>
      <c r="K1253" s="17">
        <v>550.0</v>
      </c>
      <c r="L1253" s="17">
        <v>332.0</v>
      </c>
      <c r="M1253" s="20">
        <v>56.0</v>
      </c>
      <c r="N1253" s="20">
        <v>2.0</v>
      </c>
      <c r="O1253" s="20">
        <v>9.0</v>
      </c>
      <c r="P1253" s="20">
        <f t="shared" si="2"/>
        <v>45</v>
      </c>
      <c r="Q1253" s="21">
        <v>19.0</v>
      </c>
      <c r="R1253" s="205">
        <f t="shared" si="3"/>
        <v>108.3014607</v>
      </c>
      <c r="S1253" s="19">
        <f t="shared" si="4"/>
        <v>3.820224719</v>
      </c>
      <c r="T1253" s="24">
        <f t="shared" si="5"/>
        <v>2.947368421</v>
      </c>
      <c r="U1253" s="26">
        <f t="shared" si="6"/>
        <v>0.1525423729</v>
      </c>
      <c r="V1253" s="26">
        <f t="shared" si="7"/>
        <v>0.1016949153</v>
      </c>
      <c r="W1253" s="19">
        <f t="shared" si="8"/>
        <v>1.617647059</v>
      </c>
      <c r="X1253" s="20">
        <f t="shared" si="9"/>
        <v>680</v>
      </c>
      <c r="Y1253" s="27"/>
      <c r="Z1253" s="17"/>
      <c r="AA1253" s="17"/>
      <c r="AB1253" s="17"/>
      <c r="AC1253" s="17"/>
      <c r="AD1253" s="27"/>
    </row>
    <row r="1254" ht="15.75" customHeight="1">
      <c r="A1254" s="16" t="s">
        <v>2832</v>
      </c>
      <c r="B1254" s="16" t="s">
        <v>3054</v>
      </c>
      <c r="C1254" s="16" t="str">
        <f t="shared" si="11"/>
        <v>PackIt Gourmet Poblano Corn Chowder</v>
      </c>
      <c r="D1254" s="17" t="s">
        <v>2846</v>
      </c>
      <c r="E1254" s="17" t="s">
        <v>2833</v>
      </c>
      <c r="F1254" s="17">
        <v>1.0</v>
      </c>
      <c r="G1254" s="19">
        <f t="shared" si="10"/>
        <v>3.88013898</v>
      </c>
      <c r="H1254" s="17">
        <v>110.0</v>
      </c>
      <c r="I1254" s="10">
        <v>420.0</v>
      </c>
      <c r="J1254" s="17">
        <v>13.0</v>
      </c>
      <c r="K1254" s="17">
        <v>580.0</v>
      </c>
      <c r="L1254" s="17">
        <v>370.0</v>
      </c>
      <c r="M1254" s="20">
        <v>69.0</v>
      </c>
      <c r="N1254" s="20">
        <v>5.0</v>
      </c>
      <c r="O1254" s="20">
        <v>18.0</v>
      </c>
      <c r="P1254" s="20">
        <f t="shared" si="2"/>
        <v>46</v>
      </c>
      <c r="Q1254" s="21">
        <v>15.0</v>
      </c>
      <c r="R1254" s="205">
        <f t="shared" si="3"/>
        <v>108.2435455</v>
      </c>
      <c r="S1254" s="19">
        <f t="shared" si="4"/>
        <v>3.818181818</v>
      </c>
      <c r="T1254" s="24">
        <f t="shared" si="5"/>
        <v>4.6</v>
      </c>
      <c r="U1254" s="26">
        <f t="shared" si="6"/>
        <v>0.2582781457</v>
      </c>
      <c r="V1254" s="26">
        <f t="shared" si="7"/>
        <v>0.1589403974</v>
      </c>
      <c r="W1254" s="19">
        <f t="shared" si="8"/>
        <v>1.380952381</v>
      </c>
      <c r="X1254" s="20">
        <f t="shared" si="9"/>
        <v>420</v>
      </c>
      <c r="Y1254" s="27"/>
      <c r="Z1254" s="17"/>
      <c r="AA1254" s="17"/>
      <c r="AB1254" s="17"/>
      <c r="AC1254" s="17"/>
      <c r="AD1254" s="27"/>
    </row>
    <row r="1255" ht="15.75" customHeight="1">
      <c r="A1255" s="16" t="s">
        <v>2891</v>
      </c>
      <c r="B1255" s="16" t="s">
        <v>3055</v>
      </c>
      <c r="C1255" s="16" t="str">
        <f t="shared" si="11"/>
        <v>Alpine Aire Grilled Chicken Pad Thai</v>
      </c>
      <c r="D1255" s="17" t="s">
        <v>2846</v>
      </c>
      <c r="E1255" s="17" t="s">
        <v>2833</v>
      </c>
      <c r="F1255" s="17">
        <v>2.0</v>
      </c>
      <c r="G1255" s="19">
        <f t="shared" si="10"/>
        <v>2.963015221</v>
      </c>
      <c r="H1255" s="17">
        <v>84.0</v>
      </c>
      <c r="I1255" s="10">
        <v>320.0</v>
      </c>
      <c r="J1255" s="17">
        <v>5.0</v>
      </c>
      <c r="K1255" s="17">
        <v>900.0</v>
      </c>
      <c r="L1255" s="17">
        <v>630.0</v>
      </c>
      <c r="M1255" s="20">
        <v>55.0</v>
      </c>
      <c r="N1255" s="20">
        <v>1.0</v>
      </c>
      <c r="O1255" s="20">
        <v>9.0</v>
      </c>
      <c r="P1255" s="20">
        <f t="shared" si="2"/>
        <v>45</v>
      </c>
      <c r="Q1255" s="21">
        <v>15.0</v>
      </c>
      <c r="R1255" s="205">
        <f t="shared" si="3"/>
        <v>107.9980952</v>
      </c>
      <c r="S1255" s="19">
        <f t="shared" si="4"/>
        <v>3.80952381</v>
      </c>
      <c r="T1255" s="24">
        <f t="shared" si="5"/>
        <v>3.666666667</v>
      </c>
      <c r="U1255" s="26">
        <f t="shared" si="6"/>
        <v>0.1384615385</v>
      </c>
      <c r="V1255" s="26">
        <f t="shared" si="7"/>
        <v>0.1107692308</v>
      </c>
      <c r="W1255" s="19">
        <f t="shared" si="8"/>
        <v>2.8125</v>
      </c>
      <c r="X1255" s="20">
        <f t="shared" si="9"/>
        <v>640</v>
      </c>
      <c r="Y1255" s="27"/>
      <c r="Z1255" s="17"/>
      <c r="AA1255" s="17"/>
      <c r="AB1255" s="17"/>
      <c r="AC1255" s="17"/>
      <c r="AD1255" s="27"/>
    </row>
    <row r="1256" ht="15.75" customHeight="1">
      <c r="A1256" s="16" t="s">
        <v>2891</v>
      </c>
      <c r="B1256" s="16" t="s">
        <v>3056</v>
      </c>
      <c r="C1256" s="16" t="str">
        <f t="shared" si="11"/>
        <v>Alpine Aire Sweet Potato Chicken and Rice</v>
      </c>
      <c r="D1256" s="17" t="s">
        <v>2846</v>
      </c>
      <c r="E1256" s="17" t="s">
        <v>2833</v>
      </c>
      <c r="F1256" s="17">
        <v>2.0</v>
      </c>
      <c r="G1256" s="19">
        <f t="shared" si="10"/>
        <v>2.504453341</v>
      </c>
      <c r="H1256" s="17">
        <v>71.0</v>
      </c>
      <c r="I1256" s="10">
        <v>270.0</v>
      </c>
      <c r="J1256" s="17">
        <v>1.5</v>
      </c>
      <c r="K1256" s="17">
        <v>310.0</v>
      </c>
      <c r="L1256" s="17">
        <v>519.0</v>
      </c>
      <c r="M1256" s="20">
        <v>24.0</v>
      </c>
      <c r="N1256" s="20">
        <v>1.0</v>
      </c>
      <c r="O1256" s="20">
        <v>8.0</v>
      </c>
      <c r="P1256" s="20">
        <f t="shared" si="2"/>
        <v>15</v>
      </c>
      <c r="Q1256" s="21">
        <v>10.0</v>
      </c>
      <c r="R1256" s="205">
        <f t="shared" si="3"/>
        <v>107.8079577</v>
      </c>
      <c r="S1256" s="19">
        <f t="shared" si="4"/>
        <v>3.802816901</v>
      </c>
      <c r="T1256" s="24">
        <f t="shared" si="5"/>
        <v>2.4</v>
      </c>
      <c r="U1256" s="26">
        <f t="shared" si="6"/>
        <v>0.09030100334</v>
      </c>
      <c r="V1256" s="26">
        <f t="shared" si="7"/>
        <v>0.2140468227</v>
      </c>
      <c r="W1256" s="19">
        <f t="shared" si="8"/>
        <v>1.148148148</v>
      </c>
      <c r="X1256" s="20">
        <f t="shared" si="9"/>
        <v>540</v>
      </c>
      <c r="Y1256" s="27"/>
      <c r="Z1256" s="17"/>
      <c r="AA1256" s="17"/>
      <c r="AB1256" s="17"/>
      <c r="AC1256" s="17"/>
      <c r="AD1256" s="27"/>
    </row>
    <row r="1257" ht="15.75" customHeight="1">
      <c r="A1257" s="16" t="s">
        <v>2832</v>
      </c>
      <c r="B1257" s="16" t="s">
        <v>3057</v>
      </c>
      <c r="C1257" s="16" t="str">
        <f t="shared" si="11"/>
        <v>PackIt Gourmet Berry Berry Jump Start Smoothie</v>
      </c>
      <c r="D1257" s="17" t="s">
        <v>99</v>
      </c>
      <c r="E1257" s="17" t="s">
        <v>2839</v>
      </c>
      <c r="F1257" s="17">
        <v>1.0</v>
      </c>
      <c r="G1257" s="19">
        <f t="shared" si="10"/>
        <v>3.527399072</v>
      </c>
      <c r="H1257" s="17">
        <v>100.0</v>
      </c>
      <c r="I1257" s="10">
        <v>380.0</v>
      </c>
      <c r="J1257" s="17">
        <v>5.0</v>
      </c>
      <c r="K1257" s="17">
        <v>470.0</v>
      </c>
      <c r="L1257" s="17">
        <v>940.0</v>
      </c>
      <c r="M1257" s="20">
        <v>76.0</v>
      </c>
      <c r="N1257" s="20">
        <v>4.0</v>
      </c>
      <c r="O1257" s="20">
        <v>45.0</v>
      </c>
      <c r="P1257" s="20">
        <f t="shared" si="2"/>
        <v>27</v>
      </c>
      <c r="Q1257" s="21">
        <v>11.0</v>
      </c>
      <c r="R1257" s="205">
        <f t="shared" si="3"/>
        <v>107.7281</v>
      </c>
      <c r="S1257" s="19">
        <f t="shared" si="4"/>
        <v>3.8</v>
      </c>
      <c r="T1257" s="24">
        <f t="shared" si="5"/>
        <v>6.909090909</v>
      </c>
      <c r="U1257" s="26">
        <f t="shared" si="6"/>
        <v>0.1145038168</v>
      </c>
      <c r="V1257" s="26">
        <f t="shared" si="7"/>
        <v>0.4580152672</v>
      </c>
      <c r="W1257" s="19">
        <f t="shared" si="8"/>
        <v>1.236842105</v>
      </c>
      <c r="X1257" s="20">
        <f t="shared" si="9"/>
        <v>380</v>
      </c>
      <c r="Y1257" s="27"/>
      <c r="Z1257" s="17"/>
      <c r="AA1257" s="17"/>
      <c r="AB1257" s="17"/>
      <c r="AC1257" s="17"/>
      <c r="AD1257" s="27"/>
    </row>
    <row r="1258" ht="15.75" customHeight="1">
      <c r="A1258" s="16" t="s">
        <v>2835</v>
      </c>
      <c r="B1258" s="16" t="s">
        <v>3058</v>
      </c>
      <c r="C1258" s="16" t="str">
        <f t="shared" si="11"/>
        <v>Trailtopia Garden Vegetable Pasta</v>
      </c>
      <c r="D1258" s="17" t="s">
        <v>2846</v>
      </c>
      <c r="E1258" s="17" t="s">
        <v>2833</v>
      </c>
      <c r="F1258" s="17">
        <v>2.0</v>
      </c>
      <c r="G1258" s="19">
        <f t="shared" si="10"/>
        <v>3.527399072</v>
      </c>
      <c r="H1258" s="17">
        <v>100.0</v>
      </c>
      <c r="I1258" s="10">
        <v>380.0</v>
      </c>
      <c r="J1258" s="17">
        <v>12.0</v>
      </c>
      <c r="K1258" s="17">
        <v>600.0</v>
      </c>
      <c r="L1258" s="17">
        <v>1950.0</v>
      </c>
      <c r="M1258" s="20">
        <v>55.0</v>
      </c>
      <c r="N1258" s="20">
        <v>8.0</v>
      </c>
      <c r="O1258" s="20">
        <v>18.0</v>
      </c>
      <c r="P1258" s="20">
        <f t="shared" si="2"/>
        <v>29</v>
      </c>
      <c r="Q1258" s="21">
        <v>17.0</v>
      </c>
      <c r="R1258" s="205">
        <f t="shared" si="3"/>
        <v>107.7281</v>
      </c>
      <c r="S1258" s="19">
        <f t="shared" si="4"/>
        <v>3.8</v>
      </c>
      <c r="T1258" s="24">
        <f t="shared" si="5"/>
        <v>3.235294118</v>
      </c>
      <c r="U1258" s="26">
        <f t="shared" si="6"/>
        <v>0.2727272727</v>
      </c>
      <c r="V1258" s="26">
        <f t="shared" si="7"/>
        <v>0.1818181818</v>
      </c>
      <c r="W1258" s="19">
        <f t="shared" si="8"/>
        <v>1.578947368</v>
      </c>
      <c r="X1258" s="20">
        <f t="shared" si="9"/>
        <v>760</v>
      </c>
      <c r="Y1258" s="27"/>
      <c r="Z1258" s="17"/>
      <c r="AA1258" s="17"/>
      <c r="AB1258" s="17"/>
      <c r="AC1258" s="17"/>
      <c r="AD1258" s="27"/>
    </row>
    <row r="1259" ht="15.75" customHeight="1">
      <c r="A1259" s="16" t="s">
        <v>1402</v>
      </c>
      <c r="B1259" s="16" t="s">
        <v>3059</v>
      </c>
      <c r="C1259" s="16" t="str">
        <f t="shared" si="11"/>
        <v>Backpacker's Pantry Three Sisters Stew</v>
      </c>
      <c r="D1259" s="17" t="s">
        <v>2846</v>
      </c>
      <c r="E1259" s="17" t="s">
        <v>2833</v>
      </c>
      <c r="F1259" s="17">
        <v>2.0</v>
      </c>
      <c r="G1259" s="19">
        <f t="shared" si="10"/>
        <v>3.809590998</v>
      </c>
      <c r="H1259" s="17">
        <v>108.0</v>
      </c>
      <c r="I1259" s="10">
        <v>410.0</v>
      </c>
      <c r="J1259" s="17">
        <v>9.0</v>
      </c>
      <c r="K1259" s="17">
        <v>720.0</v>
      </c>
      <c r="L1259" s="17">
        <v>505.0</v>
      </c>
      <c r="M1259" s="20">
        <v>69.0</v>
      </c>
      <c r="N1259" s="20">
        <v>13.0</v>
      </c>
      <c r="O1259" s="20">
        <v>4.0</v>
      </c>
      <c r="P1259" s="20">
        <f t="shared" si="2"/>
        <v>52</v>
      </c>
      <c r="Q1259" s="21">
        <v>14.0</v>
      </c>
      <c r="R1259" s="205">
        <f t="shared" si="3"/>
        <v>107.6231019</v>
      </c>
      <c r="S1259" s="19">
        <f t="shared" si="4"/>
        <v>3.796296296</v>
      </c>
      <c r="T1259" s="24">
        <f t="shared" si="5"/>
        <v>4.928571429</v>
      </c>
      <c r="U1259" s="26">
        <f t="shared" si="6"/>
        <v>0.196125908</v>
      </c>
      <c r="V1259" s="26">
        <f t="shared" si="7"/>
        <v>0.0387409201</v>
      </c>
      <c r="W1259" s="19">
        <f t="shared" si="8"/>
        <v>1.756097561</v>
      </c>
      <c r="X1259" s="20">
        <f t="shared" si="9"/>
        <v>820</v>
      </c>
      <c r="Y1259" s="27"/>
      <c r="Z1259" s="17"/>
      <c r="AA1259" s="17"/>
      <c r="AB1259" s="17"/>
      <c r="AC1259" s="17"/>
      <c r="AD1259" s="27"/>
    </row>
    <row r="1260" ht="15.75" customHeight="1">
      <c r="A1260" s="16" t="s">
        <v>2891</v>
      </c>
      <c r="B1260" s="16" t="s">
        <v>3060</v>
      </c>
      <c r="C1260" s="16" t="str">
        <f t="shared" si="11"/>
        <v>Alpine Aire Al Pastor with Cilantro Lime Rice</v>
      </c>
      <c r="D1260" s="17" t="s">
        <v>2846</v>
      </c>
      <c r="E1260" s="17" t="s">
        <v>2833</v>
      </c>
      <c r="F1260" s="17">
        <v>2.0</v>
      </c>
      <c r="G1260" s="19">
        <f t="shared" si="10"/>
        <v>3.068837193</v>
      </c>
      <c r="H1260" s="17">
        <v>87.0</v>
      </c>
      <c r="I1260" s="10">
        <v>330.0</v>
      </c>
      <c r="J1260" s="17">
        <v>5.0</v>
      </c>
      <c r="K1260" s="17">
        <v>450.0</v>
      </c>
      <c r="L1260" s="17">
        <v>713.0</v>
      </c>
      <c r="M1260" s="20">
        <v>20.0</v>
      </c>
      <c r="N1260" s="20">
        <v>1.0</v>
      </c>
      <c r="O1260" s="20">
        <v>4.0</v>
      </c>
      <c r="P1260" s="20">
        <f t="shared" si="2"/>
        <v>15</v>
      </c>
      <c r="Q1260" s="21">
        <v>17.0</v>
      </c>
      <c r="R1260" s="205">
        <f t="shared" si="3"/>
        <v>107.5325862</v>
      </c>
      <c r="S1260" s="19">
        <f t="shared" si="4"/>
        <v>3.793103448</v>
      </c>
      <c r="T1260" s="24">
        <f t="shared" si="5"/>
        <v>1.176470588</v>
      </c>
      <c r="U1260" s="26">
        <f t="shared" si="6"/>
        <v>0.2331606218</v>
      </c>
      <c r="V1260" s="26">
        <f t="shared" si="7"/>
        <v>0.0829015544</v>
      </c>
      <c r="W1260" s="19">
        <f t="shared" si="8"/>
        <v>1.363636364</v>
      </c>
      <c r="X1260" s="20">
        <f t="shared" si="9"/>
        <v>660</v>
      </c>
      <c r="Y1260" s="27"/>
      <c r="Z1260" s="17"/>
      <c r="AA1260" s="17"/>
      <c r="AB1260" s="17"/>
      <c r="AC1260" s="17"/>
      <c r="AD1260" s="27"/>
    </row>
    <row r="1261" ht="15.75" customHeight="1">
      <c r="A1261" s="16" t="s">
        <v>1402</v>
      </c>
      <c r="B1261" s="16" t="s">
        <v>3061</v>
      </c>
      <c r="C1261" s="16" t="str">
        <f t="shared" si="11"/>
        <v>Backpacker's Pantry Fettuccini Alfredo with Chicken</v>
      </c>
      <c r="D1261" s="17" t="s">
        <v>2846</v>
      </c>
      <c r="E1261" s="17" t="s">
        <v>2833</v>
      </c>
      <c r="F1261" s="17">
        <v>2.0</v>
      </c>
      <c r="G1261" s="19">
        <f t="shared" si="10"/>
        <v>3.351029119</v>
      </c>
      <c r="H1261" s="17">
        <v>95.0</v>
      </c>
      <c r="I1261" s="10">
        <v>360.0</v>
      </c>
      <c r="J1261" s="17">
        <v>9.0</v>
      </c>
      <c r="K1261" s="17">
        <v>870.0</v>
      </c>
      <c r="L1261" s="17">
        <v>240.0</v>
      </c>
      <c r="M1261" s="20">
        <v>51.0</v>
      </c>
      <c r="N1261" s="20">
        <v>1.0</v>
      </c>
      <c r="O1261" s="20">
        <v>6.0</v>
      </c>
      <c r="P1261" s="20">
        <f t="shared" si="2"/>
        <v>44</v>
      </c>
      <c r="Q1261" s="21">
        <v>22.0</v>
      </c>
      <c r="R1261" s="205">
        <f t="shared" si="3"/>
        <v>107.4296842</v>
      </c>
      <c r="S1261" s="19">
        <f t="shared" si="4"/>
        <v>3.789473684</v>
      </c>
      <c r="T1261" s="24">
        <f t="shared" si="5"/>
        <v>2.318181818</v>
      </c>
      <c r="U1261" s="26">
        <f t="shared" si="6"/>
        <v>0.2171581769</v>
      </c>
      <c r="V1261" s="26">
        <f t="shared" si="7"/>
        <v>0.06434316354</v>
      </c>
      <c r="W1261" s="19">
        <f t="shared" si="8"/>
        <v>2.416666667</v>
      </c>
      <c r="X1261" s="20">
        <f t="shared" si="9"/>
        <v>720</v>
      </c>
      <c r="Y1261" s="27"/>
      <c r="Z1261" s="17"/>
      <c r="AA1261" s="17"/>
      <c r="AB1261" s="17"/>
      <c r="AC1261" s="17"/>
      <c r="AD1261" s="27"/>
    </row>
    <row r="1262" ht="15.75" customHeight="1">
      <c r="A1262" s="16" t="s">
        <v>2891</v>
      </c>
      <c r="B1262" s="16" t="s">
        <v>3062</v>
      </c>
      <c r="C1262" s="16" t="str">
        <f t="shared" si="11"/>
        <v>Alpine Aire Hearty Beef Stew</v>
      </c>
      <c r="D1262" s="17" t="s">
        <v>2846</v>
      </c>
      <c r="E1262" s="17" t="s">
        <v>2833</v>
      </c>
      <c r="F1262" s="17">
        <v>2.0</v>
      </c>
      <c r="G1262" s="19">
        <f t="shared" si="10"/>
        <v>2.328083388</v>
      </c>
      <c r="H1262" s="17">
        <v>66.0</v>
      </c>
      <c r="I1262" s="10">
        <v>250.0</v>
      </c>
      <c r="J1262" s="17">
        <v>6.0</v>
      </c>
      <c r="K1262" s="17">
        <v>630.0</v>
      </c>
      <c r="L1262" s="17">
        <v>1073.0</v>
      </c>
      <c r="M1262" s="20">
        <v>35.0</v>
      </c>
      <c r="N1262" s="20">
        <v>3.0</v>
      </c>
      <c r="O1262" s="20">
        <v>8.0</v>
      </c>
      <c r="P1262" s="20">
        <f t="shared" si="2"/>
        <v>24</v>
      </c>
      <c r="Q1262" s="21">
        <v>17.0</v>
      </c>
      <c r="R1262" s="205">
        <f t="shared" si="3"/>
        <v>107.3844697</v>
      </c>
      <c r="S1262" s="19">
        <f t="shared" si="4"/>
        <v>3.787878788</v>
      </c>
      <c r="T1262" s="24">
        <f t="shared" si="5"/>
        <v>2.058823529</v>
      </c>
      <c r="U1262" s="26">
        <f t="shared" si="6"/>
        <v>0.2061068702</v>
      </c>
      <c r="V1262" s="26">
        <f t="shared" si="7"/>
        <v>0.1221374046</v>
      </c>
      <c r="W1262" s="19">
        <f t="shared" si="8"/>
        <v>2.52</v>
      </c>
      <c r="X1262" s="20">
        <f t="shared" si="9"/>
        <v>500</v>
      </c>
      <c r="Y1262" s="27"/>
      <c r="Z1262" s="17"/>
      <c r="AA1262" s="17"/>
      <c r="AB1262" s="17"/>
      <c r="AC1262" s="17"/>
      <c r="AD1262" s="27"/>
    </row>
    <row r="1263" ht="15.75" customHeight="1">
      <c r="A1263" s="27" t="s">
        <v>1402</v>
      </c>
      <c r="B1263" s="27" t="s">
        <v>3063</v>
      </c>
      <c r="C1263" s="16" t="str">
        <f t="shared" si="11"/>
        <v>Backpacker's Pantry Cuban Coconut Rice &amp; Black Beans</v>
      </c>
      <c r="D1263" s="17" t="s">
        <v>2880</v>
      </c>
      <c r="E1263" s="17" t="s">
        <v>2833</v>
      </c>
      <c r="F1263" s="17">
        <v>2.0</v>
      </c>
      <c r="G1263" s="19">
        <f t="shared" si="10"/>
        <v>3.91541297</v>
      </c>
      <c r="H1263" s="17">
        <v>111.0</v>
      </c>
      <c r="I1263" s="10">
        <v>420.0</v>
      </c>
      <c r="J1263" s="17">
        <v>7.0</v>
      </c>
      <c r="K1263" s="17">
        <v>820.0</v>
      </c>
      <c r="L1263" s="17">
        <v>158.0</v>
      </c>
      <c r="M1263" s="20">
        <v>77.0</v>
      </c>
      <c r="N1263" s="20">
        <v>14.0</v>
      </c>
      <c r="O1263" s="20">
        <v>5.0</v>
      </c>
      <c r="P1263" s="20">
        <f t="shared" si="2"/>
        <v>58</v>
      </c>
      <c r="Q1263" s="21">
        <v>14.0</v>
      </c>
      <c r="R1263" s="205">
        <f t="shared" si="3"/>
        <v>107.2683784</v>
      </c>
      <c r="S1263" s="19">
        <f t="shared" si="4"/>
        <v>3.783783784</v>
      </c>
      <c r="T1263" s="24">
        <f t="shared" si="5"/>
        <v>5.5</v>
      </c>
      <c r="U1263" s="26">
        <f t="shared" si="6"/>
        <v>0.1475409836</v>
      </c>
      <c r="V1263" s="26">
        <f t="shared" si="7"/>
        <v>0.04683840749</v>
      </c>
      <c r="W1263" s="19">
        <f t="shared" si="8"/>
        <v>1.952380952</v>
      </c>
      <c r="X1263" s="20">
        <f t="shared" si="9"/>
        <v>840</v>
      </c>
      <c r="Y1263" s="27"/>
      <c r="Z1263" s="17"/>
      <c r="AA1263" s="17"/>
      <c r="AB1263" s="17"/>
      <c r="AC1263" s="17"/>
      <c r="AD1263" s="27"/>
    </row>
    <row r="1264" ht="15.75" customHeight="1">
      <c r="A1264" s="16" t="s">
        <v>2891</v>
      </c>
      <c r="B1264" s="16" t="s">
        <v>3064</v>
      </c>
      <c r="C1264" s="16" t="str">
        <f t="shared" si="11"/>
        <v>Alpine Aire Three Berry Crumble</v>
      </c>
      <c r="D1264" s="17" t="s">
        <v>478</v>
      </c>
      <c r="E1264" s="17" t="s">
        <v>2833</v>
      </c>
      <c r="F1264" s="17">
        <v>2.0</v>
      </c>
      <c r="G1264" s="19">
        <f t="shared" si="10"/>
        <v>1.869521508</v>
      </c>
      <c r="H1264" s="17">
        <v>53.0</v>
      </c>
      <c r="I1264" s="10">
        <v>200.0</v>
      </c>
      <c r="J1264" s="17">
        <v>2.0</v>
      </c>
      <c r="K1264" s="17">
        <v>65.0</v>
      </c>
      <c r="L1264" s="17"/>
      <c r="M1264" s="20">
        <v>56.0</v>
      </c>
      <c r="N1264" s="20">
        <v>2.0</v>
      </c>
      <c r="O1264" s="20">
        <v>26.0</v>
      </c>
      <c r="P1264" s="20">
        <f t="shared" si="2"/>
        <v>28</v>
      </c>
      <c r="Q1264" s="21">
        <v>1.0</v>
      </c>
      <c r="R1264" s="205">
        <f t="shared" si="3"/>
        <v>106.9792453</v>
      </c>
      <c r="S1264" s="19">
        <f t="shared" si="4"/>
        <v>3.773584906</v>
      </c>
      <c r="T1264" s="24">
        <f t="shared" si="5"/>
        <v>56</v>
      </c>
      <c r="U1264" s="26">
        <f t="shared" si="6"/>
        <v>0.07317073171</v>
      </c>
      <c r="V1264" s="26">
        <f t="shared" si="7"/>
        <v>0.4227642276</v>
      </c>
      <c r="W1264" s="19">
        <f t="shared" si="8"/>
        <v>0.325</v>
      </c>
      <c r="X1264" s="20">
        <f t="shared" si="9"/>
        <v>400</v>
      </c>
      <c r="Y1264" s="27"/>
      <c r="Z1264" s="17"/>
      <c r="AA1264" s="17"/>
      <c r="AB1264" s="17"/>
      <c r="AC1264" s="17"/>
      <c r="AD1264" s="27"/>
    </row>
    <row r="1265" ht="15.75" customHeight="1">
      <c r="A1265" s="16" t="s">
        <v>2835</v>
      </c>
      <c r="B1265" s="16" t="s">
        <v>3065</v>
      </c>
      <c r="C1265" s="16" t="str">
        <f t="shared" si="11"/>
        <v>Trailtopia Peach Oatmeal</v>
      </c>
      <c r="D1265" s="17" t="s">
        <v>92</v>
      </c>
      <c r="E1265" s="17" t="s">
        <v>2833</v>
      </c>
      <c r="F1265" s="17">
        <v>1.0</v>
      </c>
      <c r="G1265" s="19">
        <f t="shared" si="10"/>
        <v>2.010617471</v>
      </c>
      <c r="H1265" s="17">
        <v>57.0</v>
      </c>
      <c r="I1265" s="10">
        <v>215.0</v>
      </c>
      <c r="J1265" s="17">
        <v>3.0</v>
      </c>
      <c r="K1265" s="17">
        <v>1.0</v>
      </c>
      <c r="L1265" s="17"/>
      <c r="M1265" s="20">
        <v>42.0</v>
      </c>
      <c r="N1265" s="20">
        <v>5.0</v>
      </c>
      <c r="O1265" s="20">
        <v>8.0</v>
      </c>
      <c r="P1265" s="20">
        <f t="shared" si="2"/>
        <v>29</v>
      </c>
      <c r="Q1265" s="21">
        <v>6.0</v>
      </c>
      <c r="R1265" s="205">
        <f t="shared" si="3"/>
        <v>106.9323246</v>
      </c>
      <c r="S1265" s="19">
        <f t="shared" si="4"/>
        <v>3.771929825</v>
      </c>
      <c r="T1265" s="24">
        <f t="shared" si="5"/>
        <v>7</v>
      </c>
      <c r="U1265" s="26">
        <f t="shared" si="6"/>
        <v>0.1232876712</v>
      </c>
      <c r="V1265" s="26">
        <f t="shared" si="7"/>
        <v>0.1461187215</v>
      </c>
      <c r="W1265" s="19">
        <f t="shared" si="8"/>
        <v>0.004651162791</v>
      </c>
      <c r="X1265" s="20">
        <f t="shared" si="9"/>
        <v>215</v>
      </c>
      <c r="Y1265" s="27"/>
      <c r="Z1265" s="17"/>
      <c r="AA1265" s="17"/>
      <c r="AB1265" s="17"/>
      <c r="AC1265" s="17"/>
      <c r="AD1265" s="27"/>
    </row>
    <row r="1266" ht="15.75" customHeight="1">
      <c r="A1266" s="16" t="s">
        <v>2891</v>
      </c>
      <c r="B1266" s="16" t="s">
        <v>3066</v>
      </c>
      <c r="C1266" s="16" t="str">
        <f t="shared" si="11"/>
        <v>Alpine Aire Himalayan Lentils &amp; Rice</v>
      </c>
      <c r="D1266" s="17" t="s">
        <v>2846</v>
      </c>
      <c r="E1266" s="17" t="s">
        <v>2833</v>
      </c>
      <c r="F1266" s="17">
        <v>2.0</v>
      </c>
      <c r="G1266" s="19">
        <f t="shared" si="10"/>
        <v>2.998289211</v>
      </c>
      <c r="H1266" s="17">
        <v>85.0</v>
      </c>
      <c r="I1266" s="10">
        <v>320.0</v>
      </c>
      <c r="J1266" s="17">
        <v>3.0</v>
      </c>
      <c r="K1266" s="17">
        <v>160.0</v>
      </c>
      <c r="L1266" s="17">
        <v>763.0</v>
      </c>
      <c r="M1266" s="20">
        <v>31.0</v>
      </c>
      <c r="N1266" s="20">
        <v>2.0</v>
      </c>
      <c r="O1266" s="20">
        <v>10.0</v>
      </c>
      <c r="P1266" s="20">
        <f t="shared" si="2"/>
        <v>19</v>
      </c>
      <c r="Q1266" s="21">
        <v>11.0</v>
      </c>
      <c r="R1266" s="205">
        <f t="shared" si="3"/>
        <v>106.7275294</v>
      </c>
      <c r="S1266" s="19">
        <f t="shared" si="4"/>
        <v>3.764705882</v>
      </c>
      <c r="T1266" s="24">
        <f t="shared" si="5"/>
        <v>2.818181818</v>
      </c>
      <c r="U1266" s="26">
        <f t="shared" si="6"/>
        <v>0.1384615385</v>
      </c>
      <c r="V1266" s="26">
        <f t="shared" si="7"/>
        <v>0.2051282051</v>
      </c>
      <c r="W1266" s="19">
        <f t="shared" si="8"/>
        <v>0.5</v>
      </c>
      <c r="X1266" s="20">
        <f t="shared" si="9"/>
        <v>640</v>
      </c>
      <c r="Y1266" s="27"/>
      <c r="Z1266" s="17"/>
      <c r="AA1266" s="17"/>
      <c r="AB1266" s="17"/>
      <c r="AC1266" s="17"/>
      <c r="AD1266" s="27"/>
    </row>
    <row r="1267" ht="15.75" customHeight="1">
      <c r="A1267" s="16" t="s">
        <v>2891</v>
      </c>
      <c r="B1267" s="16" t="s">
        <v>3067</v>
      </c>
      <c r="C1267" s="16" t="str">
        <f t="shared" si="11"/>
        <v>Alpine Aire Pepper Beef with Rice</v>
      </c>
      <c r="D1267" s="17" t="s">
        <v>2846</v>
      </c>
      <c r="E1267" s="17" t="s">
        <v>2833</v>
      </c>
      <c r="F1267" s="17">
        <v>2.0</v>
      </c>
      <c r="G1267" s="19">
        <f t="shared" si="10"/>
        <v>2.998289211</v>
      </c>
      <c r="H1267" s="17">
        <v>85.0</v>
      </c>
      <c r="I1267" s="10">
        <v>320.0</v>
      </c>
      <c r="J1267" s="17">
        <v>4.0</v>
      </c>
      <c r="K1267" s="17">
        <v>590.0</v>
      </c>
      <c r="L1267" s="17">
        <v>899.0</v>
      </c>
      <c r="M1267" s="20">
        <v>27.0</v>
      </c>
      <c r="N1267" s="20">
        <v>1.0</v>
      </c>
      <c r="O1267" s="20">
        <v>2.0</v>
      </c>
      <c r="P1267" s="20">
        <f t="shared" si="2"/>
        <v>24</v>
      </c>
      <c r="Q1267" s="21">
        <v>13.0</v>
      </c>
      <c r="R1267" s="205">
        <f t="shared" si="3"/>
        <v>106.7275294</v>
      </c>
      <c r="S1267" s="19">
        <f t="shared" si="4"/>
        <v>3.764705882</v>
      </c>
      <c r="T1267" s="24">
        <f t="shared" si="5"/>
        <v>2.076923077</v>
      </c>
      <c r="U1267" s="26">
        <f t="shared" si="6"/>
        <v>0.1836734694</v>
      </c>
      <c r="V1267" s="26">
        <f t="shared" si="7"/>
        <v>0.04081632653</v>
      </c>
      <c r="W1267" s="19">
        <f t="shared" si="8"/>
        <v>1.84375</v>
      </c>
      <c r="X1267" s="20">
        <f t="shared" si="9"/>
        <v>640</v>
      </c>
      <c r="Y1267" s="27"/>
      <c r="Z1267" s="17"/>
      <c r="AA1267" s="17"/>
      <c r="AB1267" s="17"/>
      <c r="AC1267" s="17"/>
      <c r="AD1267" s="27"/>
    </row>
    <row r="1268" ht="15.75" customHeight="1">
      <c r="A1268" s="16" t="s">
        <v>2832</v>
      </c>
      <c r="B1268" s="16" t="s">
        <v>3068</v>
      </c>
      <c r="C1268" s="16" t="str">
        <f t="shared" si="11"/>
        <v>PackIt Gourmet Market Pasta Puttanesca</v>
      </c>
      <c r="D1268" s="17" t="s">
        <v>2846</v>
      </c>
      <c r="E1268" s="17" t="s">
        <v>2837</v>
      </c>
      <c r="F1268" s="17">
        <v>1.0</v>
      </c>
      <c r="G1268" s="19">
        <f t="shared" si="10"/>
        <v>6.666784247</v>
      </c>
      <c r="H1268" s="17">
        <v>189.0</v>
      </c>
      <c r="I1268" s="10">
        <v>710.0</v>
      </c>
      <c r="J1268" s="17">
        <v>16.0</v>
      </c>
      <c r="K1268" s="17">
        <v>1030.0</v>
      </c>
      <c r="L1268" s="17">
        <v>1780.0</v>
      </c>
      <c r="M1268" s="20">
        <v>122.0</v>
      </c>
      <c r="N1268" s="20">
        <v>14.0</v>
      </c>
      <c r="O1268" s="20">
        <v>26.0</v>
      </c>
      <c r="P1268" s="20">
        <f t="shared" si="2"/>
        <v>82</v>
      </c>
      <c r="Q1268" s="21">
        <v>24.0</v>
      </c>
      <c r="R1268" s="205">
        <f t="shared" si="3"/>
        <v>106.4981217</v>
      </c>
      <c r="S1268" s="19">
        <f t="shared" si="4"/>
        <v>3.756613757</v>
      </c>
      <c r="T1268" s="24">
        <f t="shared" si="5"/>
        <v>5.083333333</v>
      </c>
      <c r="U1268" s="26">
        <f t="shared" si="6"/>
        <v>0.1978021978</v>
      </c>
      <c r="V1268" s="26">
        <f t="shared" si="7"/>
        <v>0.1428571429</v>
      </c>
      <c r="W1268" s="19">
        <f t="shared" si="8"/>
        <v>1.450704225</v>
      </c>
      <c r="X1268" s="20">
        <f t="shared" si="9"/>
        <v>710</v>
      </c>
      <c r="Y1268" s="27"/>
      <c r="Z1268" s="17"/>
      <c r="AA1268" s="17"/>
      <c r="AB1268" s="17"/>
      <c r="AC1268" s="17"/>
      <c r="AD1268" s="27"/>
    </row>
    <row r="1269" ht="15.75" customHeight="1">
      <c r="A1269" s="16" t="s">
        <v>2835</v>
      </c>
      <c r="B1269" s="16" t="s">
        <v>3069</v>
      </c>
      <c r="C1269" s="16" t="str">
        <f t="shared" si="11"/>
        <v>Trailtopia Cajun Smack Chicken &amp; Rice</v>
      </c>
      <c r="D1269" s="17" t="s">
        <v>2846</v>
      </c>
      <c r="E1269" s="17" t="s">
        <v>2833</v>
      </c>
      <c r="F1269" s="17">
        <v>2.0</v>
      </c>
      <c r="G1269" s="19">
        <f t="shared" si="10"/>
        <v>2.963015221</v>
      </c>
      <c r="H1269" s="17">
        <v>84.0</v>
      </c>
      <c r="I1269" s="10">
        <v>315.0</v>
      </c>
      <c r="J1269" s="17">
        <v>4.0</v>
      </c>
      <c r="K1269" s="17">
        <v>660.0</v>
      </c>
      <c r="L1269" s="17">
        <v>1322.0</v>
      </c>
      <c r="M1269" s="20">
        <v>44.0</v>
      </c>
      <c r="N1269" s="20">
        <v>7.0</v>
      </c>
      <c r="O1269" s="20">
        <v>5.0</v>
      </c>
      <c r="P1269" s="20">
        <f t="shared" si="2"/>
        <v>32</v>
      </c>
      <c r="Q1269" s="21">
        <v>21.0</v>
      </c>
      <c r="R1269" s="205">
        <f t="shared" si="3"/>
        <v>106.310625</v>
      </c>
      <c r="S1269" s="19">
        <f t="shared" si="4"/>
        <v>3.75</v>
      </c>
      <c r="T1269" s="24">
        <f t="shared" si="5"/>
        <v>2.095238095</v>
      </c>
      <c r="U1269" s="26">
        <f t="shared" si="6"/>
        <v>0.1216216216</v>
      </c>
      <c r="V1269" s="26">
        <f t="shared" si="7"/>
        <v>0.06756756757</v>
      </c>
      <c r="W1269" s="19">
        <f t="shared" si="8"/>
        <v>2.095238095</v>
      </c>
      <c r="X1269" s="20">
        <f t="shared" si="9"/>
        <v>630</v>
      </c>
      <c r="Y1269" s="27"/>
      <c r="Z1269" s="17"/>
      <c r="AA1269" s="17"/>
      <c r="AB1269" s="17"/>
      <c r="AC1269" s="17"/>
      <c r="AD1269" s="27"/>
    </row>
    <row r="1270" ht="15.75" customHeight="1">
      <c r="A1270" s="16" t="s">
        <v>2835</v>
      </c>
      <c r="B1270" s="16" t="s">
        <v>2809</v>
      </c>
      <c r="C1270" s="16" t="str">
        <f t="shared" si="11"/>
        <v>Trailtopia Beef Stew</v>
      </c>
      <c r="D1270" s="17" t="s">
        <v>2846</v>
      </c>
      <c r="E1270" s="17" t="s">
        <v>2833</v>
      </c>
      <c r="F1270" s="17">
        <v>2.0</v>
      </c>
      <c r="G1270" s="19">
        <f t="shared" si="10"/>
        <v>2.539727332</v>
      </c>
      <c r="H1270" s="17">
        <v>72.0</v>
      </c>
      <c r="I1270" s="10">
        <v>270.0</v>
      </c>
      <c r="J1270" s="17">
        <v>3.0</v>
      </c>
      <c r="K1270" s="17">
        <v>930.0</v>
      </c>
      <c r="L1270" s="17">
        <v>1350.0</v>
      </c>
      <c r="M1270" s="20">
        <v>45.0</v>
      </c>
      <c r="N1270" s="20">
        <v>8.0</v>
      </c>
      <c r="O1270" s="20">
        <v>8.0</v>
      </c>
      <c r="P1270" s="20">
        <f t="shared" si="2"/>
        <v>29</v>
      </c>
      <c r="Q1270" s="21">
        <v>15.0</v>
      </c>
      <c r="R1270" s="205">
        <f t="shared" si="3"/>
        <v>106.310625</v>
      </c>
      <c r="S1270" s="19">
        <f t="shared" si="4"/>
        <v>3.75</v>
      </c>
      <c r="T1270" s="24">
        <f t="shared" si="5"/>
        <v>3</v>
      </c>
      <c r="U1270" s="26">
        <f t="shared" si="6"/>
        <v>0.1011235955</v>
      </c>
      <c r="V1270" s="26">
        <f t="shared" si="7"/>
        <v>0.1198501873</v>
      </c>
      <c r="W1270" s="19">
        <f t="shared" si="8"/>
        <v>3.444444444</v>
      </c>
      <c r="X1270" s="20">
        <f t="shared" si="9"/>
        <v>540</v>
      </c>
      <c r="Y1270" s="27"/>
      <c r="Z1270" s="17"/>
      <c r="AA1270" s="17"/>
      <c r="AB1270" s="17"/>
      <c r="AC1270" s="17"/>
      <c r="AD1270" s="27"/>
    </row>
    <row r="1271" ht="15.75" customHeight="1">
      <c r="A1271" s="16" t="s">
        <v>2832</v>
      </c>
      <c r="B1271" s="16" t="s">
        <v>3070</v>
      </c>
      <c r="C1271" s="16" t="str">
        <f t="shared" si="11"/>
        <v>PackIt Gourmet Austintacious Tortilla Soup</v>
      </c>
      <c r="D1271" s="17" t="s">
        <v>2846</v>
      </c>
      <c r="E1271" s="17" t="s">
        <v>2833</v>
      </c>
      <c r="F1271" s="17">
        <v>1.0</v>
      </c>
      <c r="G1271" s="19">
        <f t="shared" si="10"/>
        <v>3.492125082</v>
      </c>
      <c r="H1271" s="17">
        <v>99.0</v>
      </c>
      <c r="I1271" s="10">
        <v>370.0</v>
      </c>
      <c r="J1271" s="17">
        <v>9.0</v>
      </c>
      <c r="K1271" s="17">
        <v>1100.0</v>
      </c>
      <c r="L1271" s="17">
        <v>710.0</v>
      </c>
      <c r="M1271" s="20">
        <v>51.0</v>
      </c>
      <c r="N1271" s="20">
        <v>6.0</v>
      </c>
      <c r="O1271" s="20">
        <v>9.0</v>
      </c>
      <c r="P1271" s="20">
        <f t="shared" si="2"/>
        <v>36</v>
      </c>
      <c r="Q1271" s="21">
        <v>23.0</v>
      </c>
      <c r="R1271" s="205">
        <f t="shared" si="3"/>
        <v>105.9526768</v>
      </c>
      <c r="S1271" s="19">
        <f t="shared" si="4"/>
        <v>3.737373737</v>
      </c>
      <c r="T1271" s="24">
        <f t="shared" si="5"/>
        <v>2.217391304</v>
      </c>
      <c r="U1271" s="26">
        <f t="shared" si="6"/>
        <v>0.2148541114</v>
      </c>
      <c r="V1271" s="26">
        <f t="shared" si="7"/>
        <v>0.09549071618</v>
      </c>
      <c r="W1271" s="19">
        <f t="shared" si="8"/>
        <v>2.972972973</v>
      </c>
      <c r="X1271" s="20">
        <f t="shared" si="9"/>
        <v>370</v>
      </c>
      <c r="Y1271" s="27"/>
      <c r="Z1271" s="17"/>
      <c r="AA1271" s="17"/>
      <c r="AB1271" s="17"/>
      <c r="AC1271" s="17"/>
      <c r="AD1271" s="27"/>
    </row>
    <row r="1272" ht="15.75" customHeight="1">
      <c r="A1272" s="16" t="s">
        <v>2891</v>
      </c>
      <c r="B1272" s="16" t="s">
        <v>3071</v>
      </c>
      <c r="C1272" s="16" t="str">
        <f t="shared" si="11"/>
        <v>Alpine Aire Sweet &amp; Sour Grilled Chicken</v>
      </c>
      <c r="D1272" s="17" t="s">
        <v>2846</v>
      </c>
      <c r="E1272" s="17" t="s">
        <v>2833</v>
      </c>
      <c r="F1272" s="17">
        <v>2.0</v>
      </c>
      <c r="G1272" s="19">
        <f t="shared" si="10"/>
        <v>2.92774123</v>
      </c>
      <c r="H1272" s="17">
        <v>83.0</v>
      </c>
      <c r="I1272" s="10">
        <v>310.0</v>
      </c>
      <c r="J1272" s="17">
        <v>2.5</v>
      </c>
      <c r="K1272" s="17">
        <v>970.0</v>
      </c>
      <c r="L1272" s="17">
        <v>366.0</v>
      </c>
      <c r="M1272" s="20">
        <v>34.0</v>
      </c>
      <c r="N1272" s="20">
        <v>1.0</v>
      </c>
      <c r="O1272" s="20">
        <v>13.0</v>
      </c>
      <c r="P1272" s="20">
        <f t="shared" si="2"/>
        <v>20</v>
      </c>
      <c r="Q1272" s="21">
        <v>17.0</v>
      </c>
      <c r="R1272" s="205">
        <f t="shared" si="3"/>
        <v>105.8836747</v>
      </c>
      <c r="S1272" s="19">
        <f t="shared" si="4"/>
        <v>3.734939759</v>
      </c>
      <c r="T1272" s="24">
        <f t="shared" si="5"/>
        <v>2</v>
      </c>
      <c r="U1272" s="26">
        <f t="shared" si="6"/>
        <v>0.09933774834</v>
      </c>
      <c r="V1272" s="26">
        <f t="shared" si="7"/>
        <v>0.229580574</v>
      </c>
      <c r="W1272" s="19">
        <f t="shared" si="8"/>
        <v>3.129032258</v>
      </c>
      <c r="X1272" s="20">
        <f t="shared" si="9"/>
        <v>620</v>
      </c>
      <c r="Y1272" s="27"/>
      <c r="Z1272" s="17"/>
      <c r="AA1272" s="17"/>
      <c r="AB1272" s="17"/>
      <c r="AC1272" s="17"/>
      <c r="AD1272" s="27"/>
    </row>
    <row r="1273" ht="15.75" customHeight="1">
      <c r="A1273" s="16" t="s">
        <v>2832</v>
      </c>
      <c r="B1273" s="16" t="s">
        <v>3072</v>
      </c>
      <c r="C1273" s="16" t="str">
        <f t="shared" si="11"/>
        <v>PackIt Gourmet Big'un Burrito with Fajita Chicken (BYOB)</v>
      </c>
      <c r="D1273" s="17" t="s">
        <v>2846</v>
      </c>
      <c r="E1273" s="17" t="s">
        <v>2833</v>
      </c>
      <c r="F1273" s="17">
        <v>1.0</v>
      </c>
      <c r="G1273" s="19">
        <f t="shared" si="10"/>
        <v>3.597947054</v>
      </c>
      <c r="H1273" s="17">
        <v>102.0</v>
      </c>
      <c r="I1273" s="10">
        <v>380.0</v>
      </c>
      <c r="J1273" s="17">
        <v>10.0</v>
      </c>
      <c r="K1273" s="17">
        <v>490.0</v>
      </c>
      <c r="L1273" s="17">
        <v>1070.0</v>
      </c>
      <c r="M1273" s="20">
        <v>52.0</v>
      </c>
      <c r="N1273" s="20">
        <v>10.0</v>
      </c>
      <c r="O1273" s="20">
        <v>7.0</v>
      </c>
      <c r="P1273" s="20">
        <f t="shared" si="2"/>
        <v>35</v>
      </c>
      <c r="Q1273" s="21">
        <v>25.0</v>
      </c>
      <c r="R1273" s="205">
        <f t="shared" si="3"/>
        <v>105.6157843</v>
      </c>
      <c r="S1273" s="19">
        <f t="shared" si="4"/>
        <v>3.725490196</v>
      </c>
      <c r="T1273" s="24">
        <f t="shared" si="5"/>
        <v>2.08</v>
      </c>
      <c r="U1273" s="26">
        <f t="shared" si="6"/>
        <v>0.2261306533</v>
      </c>
      <c r="V1273" s="26">
        <f t="shared" si="7"/>
        <v>0.07035175879</v>
      </c>
      <c r="W1273" s="19">
        <f t="shared" si="8"/>
        <v>1.289473684</v>
      </c>
      <c r="X1273" s="20">
        <f t="shared" si="9"/>
        <v>380</v>
      </c>
      <c r="Y1273" s="27"/>
      <c r="Z1273" s="17"/>
      <c r="AA1273" s="17"/>
      <c r="AB1273" s="17"/>
      <c r="AC1273" s="17"/>
      <c r="AD1273" s="27"/>
    </row>
    <row r="1274" ht="15.75" customHeight="1">
      <c r="A1274" s="16" t="s">
        <v>2891</v>
      </c>
      <c r="B1274" s="16" t="s">
        <v>3073</v>
      </c>
      <c r="C1274" s="16" t="str">
        <f t="shared" si="11"/>
        <v>Alpine Aire Mexican Style Beef Bowl</v>
      </c>
      <c r="D1274" s="17" t="s">
        <v>2846</v>
      </c>
      <c r="E1274" s="17" t="s">
        <v>2833</v>
      </c>
      <c r="F1274" s="17">
        <v>2.0</v>
      </c>
      <c r="G1274" s="19">
        <f t="shared" si="10"/>
        <v>3.139385174</v>
      </c>
      <c r="H1274" s="17">
        <v>89.0</v>
      </c>
      <c r="I1274" s="10">
        <v>330.0</v>
      </c>
      <c r="J1274" s="17">
        <v>5.0</v>
      </c>
      <c r="K1274" s="17">
        <v>740.0</v>
      </c>
      <c r="L1274" s="17">
        <v>829.0</v>
      </c>
      <c r="M1274" s="20">
        <v>24.0</v>
      </c>
      <c r="N1274" s="20">
        <v>4.0</v>
      </c>
      <c r="O1274" s="20">
        <v>4.0</v>
      </c>
      <c r="P1274" s="20">
        <f t="shared" si="2"/>
        <v>16</v>
      </c>
      <c r="Q1274" s="21">
        <v>16.0</v>
      </c>
      <c r="R1274" s="205">
        <f t="shared" si="3"/>
        <v>105.1161236</v>
      </c>
      <c r="S1274" s="19">
        <f t="shared" si="4"/>
        <v>3.707865169</v>
      </c>
      <c r="T1274" s="24">
        <f t="shared" si="5"/>
        <v>1.5</v>
      </c>
      <c r="U1274" s="26">
        <f t="shared" si="6"/>
        <v>0.2195121951</v>
      </c>
      <c r="V1274" s="26">
        <f t="shared" si="7"/>
        <v>0.07804878049</v>
      </c>
      <c r="W1274" s="19">
        <f t="shared" si="8"/>
        <v>2.242424242</v>
      </c>
      <c r="X1274" s="20">
        <f t="shared" si="9"/>
        <v>660</v>
      </c>
      <c r="Y1274" s="27"/>
      <c r="Z1274" s="17"/>
      <c r="AA1274" s="17"/>
      <c r="AB1274" s="17"/>
      <c r="AC1274" s="17"/>
      <c r="AD1274" s="27"/>
    </row>
    <row r="1275" ht="15.75" customHeight="1">
      <c r="A1275" s="16" t="s">
        <v>2835</v>
      </c>
      <c r="B1275" s="16" t="s">
        <v>3074</v>
      </c>
      <c r="C1275" s="16" t="str">
        <f t="shared" si="11"/>
        <v>Trailtopia Mango Oatmeal</v>
      </c>
      <c r="D1275" s="17" t="s">
        <v>92</v>
      </c>
      <c r="E1275" s="17" t="s">
        <v>2833</v>
      </c>
      <c r="F1275" s="17">
        <v>1.0</v>
      </c>
      <c r="G1275" s="19">
        <f t="shared" si="10"/>
        <v>2.045891462</v>
      </c>
      <c r="H1275" s="17">
        <v>58.0</v>
      </c>
      <c r="I1275" s="10">
        <v>215.0</v>
      </c>
      <c r="J1275" s="17">
        <v>3.0</v>
      </c>
      <c r="K1275" s="17">
        <v>1.0</v>
      </c>
      <c r="L1275" s="17"/>
      <c r="M1275" s="20">
        <v>43.0</v>
      </c>
      <c r="N1275" s="20">
        <v>5.0</v>
      </c>
      <c r="O1275" s="20">
        <v>12.0</v>
      </c>
      <c r="P1275" s="20">
        <f t="shared" si="2"/>
        <v>26</v>
      </c>
      <c r="Q1275" s="21">
        <v>6.0</v>
      </c>
      <c r="R1275" s="205">
        <f t="shared" si="3"/>
        <v>105.0886638</v>
      </c>
      <c r="S1275" s="19">
        <f t="shared" si="4"/>
        <v>3.706896552</v>
      </c>
      <c r="T1275" s="24">
        <f t="shared" si="5"/>
        <v>7.166666667</v>
      </c>
      <c r="U1275" s="26">
        <f t="shared" si="6"/>
        <v>0.1210762332</v>
      </c>
      <c r="V1275" s="26">
        <f t="shared" si="7"/>
        <v>0.2152466368</v>
      </c>
      <c r="W1275" s="19">
        <f t="shared" si="8"/>
        <v>0.004651162791</v>
      </c>
      <c r="X1275" s="20">
        <f t="shared" si="9"/>
        <v>215</v>
      </c>
      <c r="Y1275" s="27"/>
      <c r="Z1275" s="17"/>
      <c r="AA1275" s="17"/>
      <c r="AB1275" s="17"/>
      <c r="AC1275" s="17"/>
      <c r="AD1275" s="27"/>
    </row>
    <row r="1276" ht="15.75" customHeight="1">
      <c r="A1276" s="16" t="s">
        <v>2832</v>
      </c>
      <c r="B1276" s="16" t="s">
        <v>3075</v>
      </c>
      <c r="C1276" s="16" t="str">
        <f t="shared" si="11"/>
        <v>PackIt Gourmet Southwest Corn &amp; Black Bean Salad</v>
      </c>
      <c r="D1276" s="17" t="s">
        <v>2880</v>
      </c>
      <c r="E1276" s="17" t="s">
        <v>2839</v>
      </c>
      <c r="F1276" s="17">
        <v>1.0</v>
      </c>
      <c r="G1276" s="19">
        <f t="shared" si="10"/>
        <v>5.044180673</v>
      </c>
      <c r="H1276" s="17">
        <v>143.0</v>
      </c>
      <c r="I1276" s="10">
        <v>530.0</v>
      </c>
      <c r="J1276" s="17">
        <v>22.0</v>
      </c>
      <c r="K1276" s="17">
        <v>490.0</v>
      </c>
      <c r="L1276" s="17">
        <v>1270.0</v>
      </c>
      <c r="M1276" s="20">
        <v>73.0</v>
      </c>
      <c r="N1276" s="20">
        <v>13.0</v>
      </c>
      <c r="O1276" s="20">
        <v>17.0</v>
      </c>
      <c r="P1276" s="20">
        <f t="shared" si="2"/>
        <v>43</v>
      </c>
      <c r="Q1276" s="21">
        <v>21.0</v>
      </c>
      <c r="R1276" s="205">
        <f t="shared" si="3"/>
        <v>105.0715734</v>
      </c>
      <c r="S1276" s="19">
        <f t="shared" si="4"/>
        <v>3.706293706</v>
      </c>
      <c r="T1276" s="24">
        <f t="shared" si="5"/>
        <v>3.476190476</v>
      </c>
      <c r="U1276" s="26">
        <f t="shared" si="6"/>
        <v>0.3449477352</v>
      </c>
      <c r="V1276" s="26">
        <f t="shared" si="7"/>
        <v>0.118466899</v>
      </c>
      <c r="W1276" s="19">
        <f t="shared" si="8"/>
        <v>0.9245283019</v>
      </c>
      <c r="X1276" s="20">
        <f t="shared" si="9"/>
        <v>530</v>
      </c>
      <c r="Y1276" s="27"/>
      <c r="Z1276" s="17"/>
      <c r="AA1276" s="17"/>
      <c r="AB1276" s="17"/>
      <c r="AC1276" s="17"/>
      <c r="AD1276" s="27"/>
    </row>
    <row r="1277" ht="15.75" customHeight="1">
      <c r="A1277" s="16" t="s">
        <v>2835</v>
      </c>
      <c r="B1277" s="16" t="s">
        <v>3076</v>
      </c>
      <c r="C1277" s="16" t="str">
        <f t="shared" si="11"/>
        <v>Trailtopia Blueberry Oatmeal</v>
      </c>
      <c r="D1277" s="17" t="s">
        <v>92</v>
      </c>
      <c r="E1277" s="17" t="s">
        <v>2833</v>
      </c>
      <c r="F1277" s="17">
        <v>1.0</v>
      </c>
      <c r="G1277" s="19">
        <f t="shared" si="10"/>
        <v>2.010617471</v>
      </c>
      <c r="H1277" s="17">
        <v>57.0</v>
      </c>
      <c r="I1277" s="10">
        <v>211.0</v>
      </c>
      <c r="J1277" s="17">
        <v>3.0</v>
      </c>
      <c r="K1277" s="17">
        <v>1.0</v>
      </c>
      <c r="L1277" s="17"/>
      <c r="M1277" s="20">
        <v>41.0</v>
      </c>
      <c r="N1277" s="20">
        <v>5.0</v>
      </c>
      <c r="O1277" s="20">
        <v>11.0</v>
      </c>
      <c r="P1277" s="20">
        <f t="shared" si="2"/>
        <v>25</v>
      </c>
      <c r="Q1277" s="21">
        <v>6.0</v>
      </c>
      <c r="R1277" s="205">
        <f t="shared" si="3"/>
        <v>104.942886</v>
      </c>
      <c r="S1277" s="19">
        <f t="shared" si="4"/>
        <v>3.701754386</v>
      </c>
      <c r="T1277" s="24">
        <f t="shared" si="5"/>
        <v>6.833333333</v>
      </c>
      <c r="U1277" s="26">
        <f t="shared" si="6"/>
        <v>0.1255813953</v>
      </c>
      <c r="V1277" s="26">
        <f t="shared" si="7"/>
        <v>0.2046511628</v>
      </c>
      <c r="W1277" s="19">
        <f t="shared" si="8"/>
        <v>0.004739336493</v>
      </c>
      <c r="X1277" s="20">
        <f t="shared" si="9"/>
        <v>211</v>
      </c>
      <c r="Y1277" s="27"/>
      <c r="Z1277" s="17"/>
      <c r="AA1277" s="17"/>
      <c r="AB1277" s="17"/>
      <c r="AC1277" s="17"/>
      <c r="AD1277" s="27"/>
    </row>
    <row r="1278" ht="15.75" customHeight="1">
      <c r="A1278" s="16" t="s">
        <v>2835</v>
      </c>
      <c r="B1278" s="16" t="s">
        <v>3077</v>
      </c>
      <c r="C1278" s="16" t="str">
        <f t="shared" si="11"/>
        <v>Trailtopia Strawberry Oatmeal</v>
      </c>
      <c r="D1278" s="17" t="s">
        <v>92</v>
      </c>
      <c r="E1278" s="17" t="s">
        <v>2833</v>
      </c>
      <c r="F1278" s="17">
        <v>1.0</v>
      </c>
      <c r="G1278" s="19">
        <f t="shared" si="10"/>
        <v>1.97534348</v>
      </c>
      <c r="H1278" s="17">
        <v>56.0</v>
      </c>
      <c r="I1278" s="10">
        <v>207.0</v>
      </c>
      <c r="J1278" s="17">
        <v>3.0</v>
      </c>
      <c r="K1278" s="17">
        <v>1.0</v>
      </c>
      <c r="L1278" s="17"/>
      <c r="M1278" s="20">
        <v>41.0</v>
      </c>
      <c r="N1278" s="20">
        <v>5.0</v>
      </c>
      <c r="O1278" s="20">
        <v>10.0</v>
      </c>
      <c r="P1278" s="20">
        <f t="shared" si="2"/>
        <v>26</v>
      </c>
      <c r="Q1278" s="21">
        <v>6.0</v>
      </c>
      <c r="R1278" s="205">
        <f t="shared" si="3"/>
        <v>104.7919018</v>
      </c>
      <c r="S1278" s="19">
        <f t="shared" si="4"/>
        <v>3.696428571</v>
      </c>
      <c r="T1278" s="24">
        <f t="shared" si="5"/>
        <v>6.833333333</v>
      </c>
      <c r="U1278" s="26">
        <f t="shared" si="6"/>
        <v>0.1255813953</v>
      </c>
      <c r="V1278" s="26">
        <f t="shared" si="7"/>
        <v>0.1860465116</v>
      </c>
      <c r="W1278" s="19">
        <f t="shared" si="8"/>
        <v>0.004830917874</v>
      </c>
      <c r="X1278" s="20">
        <f t="shared" si="9"/>
        <v>207</v>
      </c>
      <c r="Y1278" s="27"/>
      <c r="Z1278" s="17"/>
      <c r="AA1278" s="17"/>
      <c r="AB1278" s="17"/>
      <c r="AC1278" s="17"/>
      <c r="AD1278" s="27"/>
    </row>
    <row r="1279" ht="15.75" customHeight="1">
      <c r="A1279" s="211" t="s">
        <v>1526</v>
      </c>
      <c r="B1279" s="211" t="s">
        <v>3078</v>
      </c>
      <c r="C1279" s="16" t="str">
        <f t="shared" si="11"/>
        <v>Mountain House Italian Style Pepper Steak with Rice</v>
      </c>
      <c r="D1279" s="162" t="s">
        <v>2846</v>
      </c>
      <c r="E1279" s="17" t="s">
        <v>2833</v>
      </c>
      <c r="F1279" s="162">
        <v>2.0</v>
      </c>
      <c r="G1279" s="212">
        <f t="shared" si="10"/>
        <v>2.292809397</v>
      </c>
      <c r="H1279" s="162">
        <v>65.0</v>
      </c>
      <c r="I1279" s="213">
        <v>240.0</v>
      </c>
      <c r="J1279" s="162">
        <v>3.5</v>
      </c>
      <c r="K1279" s="162">
        <v>640.0</v>
      </c>
      <c r="L1279" s="162"/>
      <c r="M1279" s="214">
        <v>41.0</v>
      </c>
      <c r="N1279" s="214">
        <v>6.0</v>
      </c>
      <c r="O1279" s="214">
        <v>3.0</v>
      </c>
      <c r="P1279" s="214">
        <f t="shared" si="2"/>
        <v>32</v>
      </c>
      <c r="Q1279" s="215">
        <v>16.0</v>
      </c>
      <c r="R1279" s="205">
        <f t="shared" si="3"/>
        <v>104.6750769</v>
      </c>
      <c r="S1279" s="19">
        <f t="shared" si="4"/>
        <v>3.692307692</v>
      </c>
      <c r="T1279" s="24">
        <f t="shared" si="5"/>
        <v>2.5625</v>
      </c>
      <c r="U1279" s="26">
        <f t="shared" si="6"/>
        <v>0.1213872832</v>
      </c>
      <c r="V1279" s="26">
        <f t="shared" si="7"/>
        <v>0.04624277457</v>
      </c>
      <c r="W1279" s="19">
        <f t="shared" si="8"/>
        <v>2.666666667</v>
      </c>
      <c r="X1279" s="214">
        <f t="shared" si="9"/>
        <v>480</v>
      </c>
      <c r="Y1279" s="27"/>
      <c r="Z1279" s="17"/>
      <c r="AA1279" s="17"/>
      <c r="AB1279" s="17"/>
      <c r="AC1279" s="17"/>
      <c r="AD1279" s="27"/>
    </row>
    <row r="1280" ht="15.75" customHeight="1">
      <c r="A1280" s="16" t="s">
        <v>2835</v>
      </c>
      <c r="B1280" s="16" t="s">
        <v>3079</v>
      </c>
      <c r="C1280" s="16" t="str">
        <f t="shared" si="11"/>
        <v>Trailtopia Apple Cinnamon Oatmeal</v>
      </c>
      <c r="D1280" s="17" t="s">
        <v>92</v>
      </c>
      <c r="E1280" s="17" t="s">
        <v>2833</v>
      </c>
      <c r="F1280" s="17">
        <v>1.0</v>
      </c>
      <c r="G1280" s="19">
        <f t="shared" si="10"/>
        <v>2.045891462</v>
      </c>
      <c r="H1280" s="17">
        <v>58.0</v>
      </c>
      <c r="I1280" s="10">
        <v>214.0</v>
      </c>
      <c r="J1280" s="17">
        <v>3.0</v>
      </c>
      <c r="K1280" s="17">
        <v>1.0</v>
      </c>
      <c r="L1280" s="17"/>
      <c r="M1280" s="20">
        <v>43.0</v>
      </c>
      <c r="N1280" s="20">
        <v>5.0</v>
      </c>
      <c r="O1280" s="20">
        <v>12.0</v>
      </c>
      <c r="P1280" s="20">
        <f t="shared" si="2"/>
        <v>26</v>
      </c>
      <c r="Q1280" s="21">
        <v>6.0</v>
      </c>
      <c r="R1280" s="205">
        <f t="shared" si="3"/>
        <v>104.5998793</v>
      </c>
      <c r="S1280" s="19">
        <f t="shared" si="4"/>
        <v>3.689655172</v>
      </c>
      <c r="T1280" s="24">
        <f t="shared" si="5"/>
        <v>7.166666667</v>
      </c>
      <c r="U1280" s="26">
        <f t="shared" si="6"/>
        <v>0.1210762332</v>
      </c>
      <c r="V1280" s="26">
        <f t="shared" si="7"/>
        <v>0.2152466368</v>
      </c>
      <c r="W1280" s="19">
        <f t="shared" si="8"/>
        <v>0.004672897196</v>
      </c>
      <c r="X1280" s="20">
        <f t="shared" si="9"/>
        <v>214</v>
      </c>
      <c r="Y1280" s="27"/>
      <c r="Z1280" s="17"/>
      <c r="AA1280" s="17"/>
      <c r="AB1280" s="17"/>
      <c r="AC1280" s="17"/>
      <c r="AD1280" s="27"/>
    </row>
    <row r="1281" ht="15.75" customHeight="1">
      <c r="A1281" s="16" t="s">
        <v>2832</v>
      </c>
      <c r="B1281" s="16" t="s">
        <v>3080</v>
      </c>
      <c r="C1281" s="16" t="str">
        <f t="shared" si="11"/>
        <v>PackIt Gourmet Green English Peas (Freeze-Dried)</v>
      </c>
      <c r="D1281" s="17" t="s">
        <v>33</v>
      </c>
      <c r="E1281" s="17" t="s">
        <v>2833</v>
      </c>
      <c r="F1281" s="17">
        <v>1.0</v>
      </c>
      <c r="G1281" s="19">
        <f t="shared" si="10"/>
        <v>2.010617471</v>
      </c>
      <c r="H1281" s="17">
        <v>57.0</v>
      </c>
      <c r="I1281" s="10">
        <v>210.0</v>
      </c>
      <c r="J1281" s="17">
        <v>1.0</v>
      </c>
      <c r="K1281" s="17">
        <v>15.0</v>
      </c>
      <c r="L1281" s="17">
        <v>630.0</v>
      </c>
      <c r="M1281" s="20">
        <v>37.0</v>
      </c>
      <c r="N1281" s="20">
        <v>13.0</v>
      </c>
      <c r="O1281" s="20">
        <v>14.0</v>
      </c>
      <c r="P1281" s="20">
        <f t="shared" si="2"/>
        <v>10</v>
      </c>
      <c r="Q1281" s="21">
        <v>14.0</v>
      </c>
      <c r="R1281" s="205">
        <f t="shared" si="3"/>
        <v>104.4455263</v>
      </c>
      <c r="S1281" s="19">
        <f t="shared" si="4"/>
        <v>3.684210526</v>
      </c>
      <c r="T1281" s="24">
        <f t="shared" si="5"/>
        <v>2.642857143</v>
      </c>
      <c r="U1281" s="26">
        <f t="shared" si="6"/>
        <v>0.04225352113</v>
      </c>
      <c r="V1281" s="26">
        <f t="shared" si="7"/>
        <v>0.2629107981</v>
      </c>
      <c r="W1281" s="19">
        <f t="shared" si="8"/>
        <v>0.07142857143</v>
      </c>
      <c r="X1281" s="20">
        <f t="shared" si="9"/>
        <v>210</v>
      </c>
      <c r="Y1281" s="27"/>
      <c r="Z1281" s="17"/>
      <c r="AA1281" s="17"/>
      <c r="AB1281" s="17"/>
      <c r="AC1281" s="17"/>
      <c r="AD1281" s="27"/>
    </row>
    <row r="1282" ht="15.75" customHeight="1">
      <c r="A1282" s="16" t="s">
        <v>2832</v>
      </c>
      <c r="B1282" s="16" t="s">
        <v>3081</v>
      </c>
      <c r="C1282" s="16" t="str">
        <f t="shared" si="11"/>
        <v>PackIt Gourmet Potato Dices (Freeze-Dried)</v>
      </c>
      <c r="D1282" s="17" t="s">
        <v>33</v>
      </c>
      <c r="E1282" s="17" t="s">
        <v>2833</v>
      </c>
      <c r="F1282" s="17">
        <v>1.0</v>
      </c>
      <c r="G1282" s="19">
        <f t="shared" si="10"/>
        <v>2.010617471</v>
      </c>
      <c r="H1282" s="17">
        <v>57.0</v>
      </c>
      <c r="I1282" s="10">
        <v>210.0</v>
      </c>
      <c r="J1282" s="17">
        <v>0.0</v>
      </c>
      <c r="K1282" s="17">
        <v>100.0</v>
      </c>
      <c r="L1282" s="17">
        <v>1410.0</v>
      </c>
      <c r="M1282" s="20">
        <v>46.0</v>
      </c>
      <c r="N1282" s="20">
        <v>11.0</v>
      </c>
      <c r="O1282" s="20">
        <v>0.0</v>
      </c>
      <c r="P1282" s="20">
        <f t="shared" si="2"/>
        <v>35</v>
      </c>
      <c r="Q1282" s="21">
        <v>6.0</v>
      </c>
      <c r="R1282" s="205">
        <f t="shared" si="3"/>
        <v>104.4455263</v>
      </c>
      <c r="S1282" s="19">
        <f t="shared" si="4"/>
        <v>3.684210526</v>
      </c>
      <c r="T1282" s="24">
        <f t="shared" si="5"/>
        <v>7.666666667</v>
      </c>
      <c r="U1282" s="26" t="str">
        <f t="shared" si="6"/>
        <v>0%</v>
      </c>
      <c r="V1282" s="26" t="str">
        <f t="shared" si="7"/>
        <v>0%</v>
      </c>
      <c r="W1282" s="19">
        <f t="shared" si="8"/>
        <v>0.4761904762</v>
      </c>
      <c r="X1282" s="20">
        <f t="shared" si="9"/>
        <v>210</v>
      </c>
      <c r="Y1282" s="27"/>
      <c r="Z1282" s="17"/>
      <c r="AA1282" s="17"/>
      <c r="AB1282" s="17"/>
      <c r="AC1282" s="17"/>
      <c r="AD1282" s="27"/>
    </row>
    <row r="1283" ht="15.75" customHeight="1">
      <c r="A1283" s="16" t="s">
        <v>2891</v>
      </c>
      <c r="B1283" s="16" t="s">
        <v>3082</v>
      </c>
      <c r="C1283" s="16" t="str">
        <f t="shared" si="11"/>
        <v>Alpine Aire Cinnamon Apple Crisp</v>
      </c>
      <c r="D1283" s="17" t="s">
        <v>478</v>
      </c>
      <c r="E1283" s="17" t="s">
        <v>2833</v>
      </c>
      <c r="F1283" s="17">
        <v>2.0</v>
      </c>
      <c r="G1283" s="19">
        <f t="shared" si="10"/>
        <v>2.010617471</v>
      </c>
      <c r="H1283" s="17">
        <v>57.0</v>
      </c>
      <c r="I1283" s="10">
        <v>210.0</v>
      </c>
      <c r="J1283" s="17">
        <v>1.0</v>
      </c>
      <c r="K1283" s="17">
        <v>30.0</v>
      </c>
      <c r="L1283" s="17"/>
      <c r="M1283" s="20">
        <v>57.0</v>
      </c>
      <c r="N1283" s="20">
        <v>1.0</v>
      </c>
      <c r="O1283" s="20">
        <v>24.0</v>
      </c>
      <c r="P1283" s="20">
        <f t="shared" si="2"/>
        <v>32</v>
      </c>
      <c r="Q1283" s="21">
        <v>1.0</v>
      </c>
      <c r="R1283" s="205">
        <f t="shared" si="3"/>
        <v>104.4455263</v>
      </c>
      <c r="S1283" s="19">
        <f t="shared" si="4"/>
        <v>3.684210526</v>
      </c>
      <c r="T1283" s="24">
        <f t="shared" si="5"/>
        <v>57</v>
      </c>
      <c r="U1283" s="26">
        <f t="shared" si="6"/>
        <v>0.03734439834</v>
      </c>
      <c r="V1283" s="26">
        <f t="shared" si="7"/>
        <v>0.398340249</v>
      </c>
      <c r="W1283" s="19">
        <f t="shared" si="8"/>
        <v>0.1428571429</v>
      </c>
      <c r="X1283" s="20">
        <f t="shared" si="9"/>
        <v>420</v>
      </c>
      <c r="Y1283" s="27"/>
      <c r="Z1283" s="17"/>
      <c r="AA1283" s="17"/>
      <c r="AB1283" s="17"/>
      <c r="AC1283" s="17"/>
      <c r="AD1283" s="27"/>
    </row>
    <row r="1284" ht="15.75" customHeight="1">
      <c r="A1284" s="16" t="s">
        <v>2931</v>
      </c>
      <c r="B1284" s="16" t="s">
        <v>3083</v>
      </c>
      <c r="C1284" s="16" t="str">
        <f t="shared" si="11"/>
        <v>Good To-Go Mexican Quinoa Bowl</v>
      </c>
      <c r="D1284" s="17" t="s">
        <v>2846</v>
      </c>
      <c r="E1284" s="17" t="s">
        <v>2833</v>
      </c>
      <c r="F1284" s="17">
        <v>2.0</v>
      </c>
      <c r="G1284" s="19">
        <f t="shared" si="10"/>
        <v>3.351029119</v>
      </c>
      <c r="H1284" s="17">
        <v>95.0</v>
      </c>
      <c r="I1284" s="10">
        <v>350.0</v>
      </c>
      <c r="J1284" s="17">
        <v>8.0</v>
      </c>
      <c r="K1284" s="17">
        <v>390.0</v>
      </c>
      <c r="L1284" s="17">
        <v>1236.0</v>
      </c>
      <c r="M1284" s="20">
        <v>67.0</v>
      </c>
      <c r="N1284" s="20">
        <v>9.0</v>
      </c>
      <c r="O1284" s="20">
        <v>9.0</v>
      </c>
      <c r="P1284" s="20">
        <f t="shared" si="2"/>
        <v>49</v>
      </c>
      <c r="Q1284" s="21">
        <v>13.0</v>
      </c>
      <c r="R1284" s="205">
        <f t="shared" si="3"/>
        <v>104.4455263</v>
      </c>
      <c r="S1284" s="19">
        <f t="shared" si="4"/>
        <v>3.684210526</v>
      </c>
      <c r="T1284" s="24">
        <f t="shared" si="5"/>
        <v>5.153846154</v>
      </c>
      <c r="U1284" s="26">
        <f t="shared" si="6"/>
        <v>0.1836734694</v>
      </c>
      <c r="V1284" s="26">
        <f t="shared" si="7"/>
        <v>0.09183673469</v>
      </c>
      <c r="W1284" s="19">
        <f t="shared" si="8"/>
        <v>1.114285714</v>
      </c>
      <c r="X1284" s="20">
        <f t="shared" si="9"/>
        <v>700</v>
      </c>
      <c r="Y1284" s="27"/>
      <c r="Z1284" s="17"/>
      <c r="AA1284" s="17"/>
      <c r="AB1284" s="17"/>
      <c r="AC1284" s="17"/>
      <c r="AD1284" s="27"/>
    </row>
    <row r="1285" ht="15.75" customHeight="1">
      <c r="A1285" s="16" t="s">
        <v>2899</v>
      </c>
      <c r="B1285" s="16" t="s">
        <v>3084</v>
      </c>
      <c r="C1285" s="16" t="str">
        <f t="shared" si="11"/>
        <v>ReadyWise Treeline Teriyaki Chicken &amp; Rice</v>
      </c>
      <c r="D1285" s="17" t="s">
        <v>2846</v>
      </c>
      <c r="E1285" s="17" t="s">
        <v>2833</v>
      </c>
      <c r="F1285" s="17">
        <v>2.5</v>
      </c>
      <c r="G1285" s="19">
        <f t="shared" si="10"/>
        <v>2.398631369</v>
      </c>
      <c r="H1285" s="17">
        <v>68.0</v>
      </c>
      <c r="I1285" s="10">
        <v>250.0</v>
      </c>
      <c r="J1285" s="17">
        <v>2.0</v>
      </c>
      <c r="K1285" s="17">
        <v>790.0</v>
      </c>
      <c r="L1285" s="17">
        <v>280.0</v>
      </c>
      <c r="M1285" s="20">
        <v>46.0</v>
      </c>
      <c r="N1285" s="20">
        <v>1.0</v>
      </c>
      <c r="O1285" s="20">
        <v>9.0</v>
      </c>
      <c r="P1285" s="20">
        <f t="shared" si="2"/>
        <v>36</v>
      </c>
      <c r="Q1285" s="21">
        <v>12.0</v>
      </c>
      <c r="R1285" s="205">
        <f t="shared" si="3"/>
        <v>104.2261029</v>
      </c>
      <c r="S1285" s="19">
        <f t="shared" si="4"/>
        <v>3.676470588</v>
      </c>
      <c r="T1285" s="24">
        <f t="shared" si="5"/>
        <v>3.833333333</v>
      </c>
      <c r="U1285" s="26">
        <f t="shared" si="6"/>
        <v>0.072</v>
      </c>
      <c r="V1285" s="26">
        <f t="shared" si="7"/>
        <v>0.144</v>
      </c>
      <c r="W1285" s="19">
        <f t="shared" si="8"/>
        <v>3.16</v>
      </c>
      <c r="X1285" s="20">
        <f t="shared" si="9"/>
        <v>625</v>
      </c>
      <c r="Y1285" s="27"/>
      <c r="Z1285" s="17"/>
      <c r="AA1285" s="17"/>
      <c r="AB1285" s="17"/>
      <c r="AC1285" s="17"/>
      <c r="AD1285" s="27"/>
    </row>
    <row r="1286" ht="15.75" customHeight="1">
      <c r="A1286" s="27" t="s">
        <v>1402</v>
      </c>
      <c r="B1286" s="27" t="s">
        <v>3085</v>
      </c>
      <c r="C1286" s="16" t="str">
        <f t="shared" si="11"/>
        <v>Backpacker's Pantry Risotto with Chicken</v>
      </c>
      <c r="D1286" s="17" t="s">
        <v>2846</v>
      </c>
      <c r="E1286" s="17" t="s">
        <v>2833</v>
      </c>
      <c r="F1286" s="17">
        <v>2.0</v>
      </c>
      <c r="G1286" s="19">
        <f t="shared" si="10"/>
        <v>2.892467239</v>
      </c>
      <c r="H1286" s="17">
        <v>82.0</v>
      </c>
      <c r="I1286" s="10">
        <v>300.0</v>
      </c>
      <c r="J1286" s="17">
        <v>3.0</v>
      </c>
      <c r="K1286" s="17">
        <v>1220.0</v>
      </c>
      <c r="L1286" s="17">
        <v>291.0</v>
      </c>
      <c r="M1286" s="20">
        <v>50.0</v>
      </c>
      <c r="N1286" s="20">
        <v>2.0</v>
      </c>
      <c r="O1286" s="20">
        <v>4.0</v>
      </c>
      <c r="P1286" s="20">
        <f t="shared" si="2"/>
        <v>44</v>
      </c>
      <c r="Q1286" s="21">
        <v>19.0</v>
      </c>
      <c r="R1286" s="205">
        <f t="shared" si="3"/>
        <v>103.7176829</v>
      </c>
      <c r="S1286" s="19">
        <f t="shared" si="4"/>
        <v>3.658536585</v>
      </c>
      <c r="T1286" s="24">
        <f t="shared" si="5"/>
        <v>2.631578947</v>
      </c>
      <c r="U1286" s="26">
        <f t="shared" si="6"/>
        <v>0.08910891089</v>
      </c>
      <c r="V1286" s="26">
        <f t="shared" si="7"/>
        <v>0.05280528053</v>
      </c>
      <c r="W1286" s="19">
        <f t="shared" si="8"/>
        <v>4.066666667</v>
      </c>
      <c r="X1286" s="20">
        <f t="shared" si="9"/>
        <v>600</v>
      </c>
      <c r="Y1286" s="27"/>
      <c r="Z1286" s="17"/>
      <c r="AA1286" s="17"/>
      <c r="AB1286" s="17"/>
      <c r="AC1286" s="17"/>
      <c r="AD1286" s="27"/>
    </row>
    <row r="1287" ht="15.75" customHeight="1">
      <c r="A1287" s="16" t="s">
        <v>2832</v>
      </c>
      <c r="B1287" s="16" t="s">
        <v>3086</v>
      </c>
      <c r="C1287" s="16" t="str">
        <f t="shared" si="11"/>
        <v>PackIt Gourmet Black Beans (Pre-Cooked)</v>
      </c>
      <c r="D1287" s="17" t="s">
        <v>33</v>
      </c>
      <c r="E1287" s="17" t="s">
        <v>2833</v>
      </c>
      <c r="F1287" s="17">
        <v>1.0</v>
      </c>
      <c r="G1287" s="19">
        <f t="shared" si="10"/>
        <v>2.998289211</v>
      </c>
      <c r="H1287" s="17">
        <v>85.0</v>
      </c>
      <c r="I1287" s="10">
        <v>310.0</v>
      </c>
      <c r="J1287" s="17">
        <v>2.0</v>
      </c>
      <c r="K1287" s="17">
        <v>0.0</v>
      </c>
      <c r="L1287" s="17">
        <v>0.0</v>
      </c>
      <c r="M1287" s="20">
        <v>56.0</v>
      </c>
      <c r="N1287" s="20">
        <v>14.0</v>
      </c>
      <c r="O1287" s="20">
        <v>2.0</v>
      </c>
      <c r="P1287" s="20">
        <f t="shared" si="2"/>
        <v>40</v>
      </c>
      <c r="Q1287" s="21">
        <v>20.0</v>
      </c>
      <c r="R1287" s="205">
        <f t="shared" si="3"/>
        <v>103.3922941</v>
      </c>
      <c r="S1287" s="19">
        <f t="shared" si="4"/>
        <v>3.647058824</v>
      </c>
      <c r="T1287" s="24">
        <f t="shared" si="5"/>
        <v>2.8</v>
      </c>
      <c r="U1287" s="26">
        <f t="shared" si="6"/>
        <v>0.05590062112</v>
      </c>
      <c r="V1287" s="26">
        <f t="shared" si="7"/>
        <v>0.0248447205</v>
      </c>
      <c r="W1287" s="19">
        <f t="shared" si="8"/>
        <v>0</v>
      </c>
      <c r="X1287" s="20">
        <f t="shared" si="9"/>
        <v>310</v>
      </c>
      <c r="Y1287" s="27"/>
      <c r="Z1287" s="17"/>
      <c r="AA1287" s="17"/>
      <c r="AB1287" s="17"/>
      <c r="AC1287" s="17"/>
      <c r="AD1287" s="27"/>
    </row>
    <row r="1288" ht="15.75" customHeight="1">
      <c r="A1288" s="16" t="s">
        <v>2832</v>
      </c>
      <c r="B1288" s="16" t="s">
        <v>3087</v>
      </c>
      <c r="C1288" s="16" t="str">
        <f t="shared" si="11"/>
        <v>PackIt Gourmet Lentils (Pre-Cooked)</v>
      </c>
      <c r="D1288" s="17" t="s">
        <v>33</v>
      </c>
      <c r="E1288" s="17" t="s">
        <v>2833</v>
      </c>
      <c r="F1288" s="17">
        <v>1.0</v>
      </c>
      <c r="G1288" s="19">
        <f t="shared" si="10"/>
        <v>2.998289211</v>
      </c>
      <c r="H1288" s="17">
        <v>85.0</v>
      </c>
      <c r="I1288" s="10">
        <v>310.0</v>
      </c>
      <c r="J1288" s="17">
        <v>2.0</v>
      </c>
      <c r="K1288" s="17">
        <v>15.0</v>
      </c>
      <c r="L1288" s="17">
        <v>0.0</v>
      </c>
      <c r="M1288" s="20">
        <v>53.0</v>
      </c>
      <c r="N1288" s="20">
        <v>17.0</v>
      </c>
      <c r="O1288" s="20">
        <v>2.0</v>
      </c>
      <c r="P1288" s="20">
        <f t="shared" si="2"/>
        <v>34</v>
      </c>
      <c r="Q1288" s="21">
        <v>21.0</v>
      </c>
      <c r="R1288" s="205">
        <f t="shared" si="3"/>
        <v>103.3922941</v>
      </c>
      <c r="S1288" s="19">
        <f t="shared" si="4"/>
        <v>3.647058824</v>
      </c>
      <c r="T1288" s="24">
        <f t="shared" si="5"/>
        <v>2.523809524</v>
      </c>
      <c r="U1288" s="26">
        <f t="shared" si="6"/>
        <v>0.05732484076</v>
      </c>
      <c r="V1288" s="26">
        <f t="shared" si="7"/>
        <v>0.02547770701</v>
      </c>
      <c r="W1288" s="19">
        <f t="shared" si="8"/>
        <v>0.04838709677</v>
      </c>
      <c r="X1288" s="20">
        <f t="shared" si="9"/>
        <v>310</v>
      </c>
      <c r="Y1288" s="27"/>
      <c r="Z1288" s="17"/>
      <c r="AA1288" s="17"/>
      <c r="AB1288" s="17"/>
      <c r="AC1288" s="17"/>
      <c r="AD1288" s="27"/>
    </row>
    <row r="1289" ht="15.75" customHeight="1">
      <c r="A1289" s="16" t="s">
        <v>2891</v>
      </c>
      <c r="B1289" s="16" t="s">
        <v>3088</v>
      </c>
      <c r="C1289" s="16" t="str">
        <f t="shared" si="11"/>
        <v>Alpine Aire Pork Jambalaya</v>
      </c>
      <c r="D1289" s="17" t="s">
        <v>2846</v>
      </c>
      <c r="E1289" s="17" t="s">
        <v>2833</v>
      </c>
      <c r="F1289" s="17">
        <v>2.0</v>
      </c>
      <c r="G1289" s="19">
        <f t="shared" si="10"/>
        <v>2.998289211</v>
      </c>
      <c r="H1289" s="17">
        <v>85.0</v>
      </c>
      <c r="I1289" s="10">
        <v>310.0</v>
      </c>
      <c r="J1289" s="17">
        <v>4.5</v>
      </c>
      <c r="K1289" s="17">
        <v>940.0</v>
      </c>
      <c r="L1289" s="17">
        <v>892.0</v>
      </c>
      <c r="M1289" s="20">
        <v>20.0</v>
      </c>
      <c r="N1289" s="20">
        <v>2.0</v>
      </c>
      <c r="O1289" s="20">
        <v>6.0</v>
      </c>
      <c r="P1289" s="20">
        <f t="shared" si="2"/>
        <v>12</v>
      </c>
      <c r="Q1289" s="21">
        <v>15.0</v>
      </c>
      <c r="R1289" s="205">
        <f t="shared" si="3"/>
        <v>103.3922941</v>
      </c>
      <c r="S1289" s="19">
        <f t="shared" si="4"/>
        <v>3.647058824</v>
      </c>
      <c r="T1289" s="24">
        <f t="shared" si="5"/>
        <v>1.333333333</v>
      </c>
      <c r="U1289" s="26">
        <f t="shared" si="6"/>
        <v>0.2243767313</v>
      </c>
      <c r="V1289" s="26">
        <f t="shared" si="7"/>
        <v>0.1329639889</v>
      </c>
      <c r="W1289" s="19">
        <f t="shared" si="8"/>
        <v>3.032258065</v>
      </c>
      <c r="X1289" s="20">
        <f t="shared" si="9"/>
        <v>620</v>
      </c>
      <c r="Y1289" s="27"/>
      <c r="Z1289" s="17"/>
      <c r="AA1289" s="17"/>
      <c r="AB1289" s="17"/>
      <c r="AC1289" s="17"/>
      <c r="AD1289" s="27"/>
    </row>
    <row r="1290" ht="15.75" customHeight="1">
      <c r="A1290" s="16" t="s">
        <v>2891</v>
      </c>
      <c r="B1290" s="16" t="s">
        <v>3089</v>
      </c>
      <c r="C1290" s="16" t="str">
        <f t="shared" si="11"/>
        <v>Alpine Aire Spicy Grilled Chicken Curry</v>
      </c>
      <c r="D1290" s="17" t="s">
        <v>2846</v>
      </c>
      <c r="E1290" s="17" t="s">
        <v>2833</v>
      </c>
      <c r="F1290" s="17">
        <v>2.0</v>
      </c>
      <c r="G1290" s="19">
        <f t="shared" si="10"/>
        <v>2.998289211</v>
      </c>
      <c r="H1290" s="17">
        <v>85.0</v>
      </c>
      <c r="I1290" s="10">
        <v>310.0</v>
      </c>
      <c r="J1290" s="17">
        <v>5.0</v>
      </c>
      <c r="K1290" s="17">
        <v>520.0</v>
      </c>
      <c r="L1290" s="17">
        <v>811.0</v>
      </c>
      <c r="M1290" s="20">
        <v>36.0</v>
      </c>
      <c r="N1290" s="20">
        <v>1.0</v>
      </c>
      <c r="O1290" s="20">
        <v>17.0</v>
      </c>
      <c r="P1290" s="20">
        <f t="shared" si="2"/>
        <v>18</v>
      </c>
      <c r="Q1290" s="21">
        <v>14.0</v>
      </c>
      <c r="R1290" s="205">
        <f t="shared" si="3"/>
        <v>103.3922941</v>
      </c>
      <c r="S1290" s="19">
        <f t="shared" si="4"/>
        <v>3.647058824</v>
      </c>
      <c r="T1290" s="24">
        <f t="shared" si="5"/>
        <v>2.571428571</v>
      </c>
      <c r="U1290" s="26">
        <f t="shared" si="6"/>
        <v>0.1836734694</v>
      </c>
      <c r="V1290" s="26">
        <f t="shared" si="7"/>
        <v>0.2775510204</v>
      </c>
      <c r="W1290" s="19">
        <f t="shared" si="8"/>
        <v>1.677419355</v>
      </c>
      <c r="X1290" s="20">
        <f t="shared" si="9"/>
        <v>620</v>
      </c>
      <c r="Y1290" s="27"/>
      <c r="Z1290" s="17"/>
      <c r="AA1290" s="17"/>
      <c r="AB1290" s="17"/>
      <c r="AC1290" s="17"/>
      <c r="AD1290" s="27"/>
    </row>
    <row r="1291" ht="15.75" customHeight="1">
      <c r="A1291" s="16" t="s">
        <v>2835</v>
      </c>
      <c r="B1291" s="16" t="s">
        <v>3090</v>
      </c>
      <c r="C1291" s="16" t="str">
        <f t="shared" si="11"/>
        <v>Trailtopia Banana Oatmeal</v>
      </c>
      <c r="D1291" s="17" t="s">
        <v>92</v>
      </c>
      <c r="E1291" s="17" t="s">
        <v>2833</v>
      </c>
      <c r="F1291" s="17">
        <v>1.0</v>
      </c>
      <c r="G1291" s="19">
        <f t="shared" si="10"/>
        <v>2.257535406</v>
      </c>
      <c r="H1291" s="17">
        <v>64.0</v>
      </c>
      <c r="I1291" s="10">
        <v>233.0</v>
      </c>
      <c r="J1291" s="17">
        <v>3.0</v>
      </c>
      <c r="K1291" s="17">
        <v>1.0</v>
      </c>
      <c r="L1291" s="17"/>
      <c r="M1291" s="20">
        <v>48.0</v>
      </c>
      <c r="N1291" s="20">
        <v>5.0</v>
      </c>
      <c r="O1291" s="20">
        <v>16.0</v>
      </c>
      <c r="P1291" s="20">
        <f t="shared" si="2"/>
        <v>27</v>
      </c>
      <c r="Q1291" s="21">
        <v>6.0</v>
      </c>
      <c r="R1291" s="205">
        <f t="shared" si="3"/>
        <v>103.2098984</v>
      </c>
      <c r="S1291" s="19">
        <f t="shared" si="4"/>
        <v>3.640625</v>
      </c>
      <c r="T1291" s="24">
        <f t="shared" si="5"/>
        <v>8</v>
      </c>
      <c r="U1291" s="26">
        <f t="shared" si="6"/>
        <v>0.1111111111</v>
      </c>
      <c r="V1291" s="26">
        <f t="shared" si="7"/>
        <v>0.2633744856</v>
      </c>
      <c r="W1291" s="19">
        <f t="shared" si="8"/>
        <v>0.004291845494</v>
      </c>
      <c r="X1291" s="20">
        <f t="shared" si="9"/>
        <v>233</v>
      </c>
      <c r="Y1291" s="27"/>
      <c r="Z1291" s="17"/>
      <c r="AA1291" s="17"/>
      <c r="AB1291" s="17"/>
      <c r="AC1291" s="17"/>
      <c r="AD1291" s="27"/>
    </row>
    <row r="1292" ht="15.75" customHeight="1">
      <c r="A1292" s="16" t="s">
        <v>2832</v>
      </c>
      <c r="B1292" s="16" t="s">
        <v>3091</v>
      </c>
      <c r="C1292" s="16" t="str">
        <f t="shared" si="11"/>
        <v>PackIt Gourmet Rice, Brown (Instant)</v>
      </c>
      <c r="D1292" s="17" t="s">
        <v>33</v>
      </c>
      <c r="E1292" s="17" t="s">
        <v>2833</v>
      </c>
      <c r="F1292" s="17">
        <v>9.0</v>
      </c>
      <c r="G1292" s="19">
        <f t="shared" si="10"/>
        <v>1.552055592</v>
      </c>
      <c r="H1292" s="17">
        <v>44.0</v>
      </c>
      <c r="I1292" s="10">
        <v>160.0</v>
      </c>
      <c r="J1292" s="17">
        <v>1.5</v>
      </c>
      <c r="K1292" s="17">
        <v>20.0</v>
      </c>
      <c r="L1292" s="17">
        <v>0.0</v>
      </c>
      <c r="M1292" s="20">
        <v>34.0</v>
      </c>
      <c r="N1292" s="20">
        <v>2.0</v>
      </c>
      <c r="O1292" s="20">
        <v>0.0</v>
      </c>
      <c r="P1292" s="20">
        <f t="shared" si="2"/>
        <v>32</v>
      </c>
      <c r="Q1292" s="21">
        <v>3.0</v>
      </c>
      <c r="R1292" s="205">
        <f t="shared" si="3"/>
        <v>103.0890909</v>
      </c>
      <c r="S1292" s="19">
        <f t="shared" si="4"/>
        <v>3.636363636</v>
      </c>
      <c r="T1292" s="24">
        <f t="shared" si="5"/>
        <v>11.33333333</v>
      </c>
      <c r="U1292" s="26">
        <f t="shared" si="6"/>
        <v>0.08359133127</v>
      </c>
      <c r="V1292" s="26" t="str">
        <f t="shared" si="7"/>
        <v>0%</v>
      </c>
      <c r="W1292" s="19">
        <f t="shared" si="8"/>
        <v>0.125</v>
      </c>
      <c r="X1292" s="20">
        <f t="shared" si="9"/>
        <v>1440</v>
      </c>
      <c r="Y1292" s="27"/>
      <c r="Z1292" s="17"/>
      <c r="AA1292" s="17"/>
      <c r="AB1292" s="17"/>
      <c r="AC1292" s="17"/>
      <c r="AD1292" s="27"/>
    </row>
    <row r="1293" ht="15.75" customHeight="1">
      <c r="A1293" s="16" t="s">
        <v>2832</v>
      </c>
      <c r="B1293" s="16" t="s">
        <v>3092</v>
      </c>
      <c r="C1293" s="16" t="str">
        <f t="shared" si="11"/>
        <v>PackIt Gourmet Rice, White (Instant)</v>
      </c>
      <c r="D1293" s="17" t="s">
        <v>33</v>
      </c>
      <c r="E1293" s="17" t="s">
        <v>2833</v>
      </c>
      <c r="F1293" s="17">
        <v>9.0</v>
      </c>
      <c r="G1293" s="19">
        <f t="shared" si="10"/>
        <v>1.552055592</v>
      </c>
      <c r="H1293" s="17">
        <v>44.0</v>
      </c>
      <c r="I1293" s="10">
        <v>160.0</v>
      </c>
      <c r="J1293" s="17">
        <v>0.0</v>
      </c>
      <c r="K1293" s="17">
        <v>5.0</v>
      </c>
      <c r="L1293" s="17">
        <v>0.0</v>
      </c>
      <c r="M1293" s="20">
        <v>36.0</v>
      </c>
      <c r="N1293" s="20">
        <v>1.0</v>
      </c>
      <c r="O1293" s="20">
        <v>0.0</v>
      </c>
      <c r="P1293" s="20">
        <f t="shared" si="2"/>
        <v>35</v>
      </c>
      <c r="Q1293" s="21">
        <v>4.0</v>
      </c>
      <c r="R1293" s="205">
        <f t="shared" si="3"/>
        <v>103.0890909</v>
      </c>
      <c r="S1293" s="19">
        <f t="shared" si="4"/>
        <v>3.636363636</v>
      </c>
      <c r="T1293" s="24">
        <f t="shared" si="5"/>
        <v>9</v>
      </c>
      <c r="U1293" s="26" t="str">
        <f t="shared" si="6"/>
        <v>0%</v>
      </c>
      <c r="V1293" s="26" t="str">
        <f t="shared" si="7"/>
        <v>0%</v>
      </c>
      <c r="W1293" s="19">
        <f t="shared" si="8"/>
        <v>0.03125</v>
      </c>
      <c r="X1293" s="20">
        <f t="shared" si="9"/>
        <v>1440</v>
      </c>
      <c r="Y1293" s="27"/>
      <c r="Z1293" s="17"/>
      <c r="AA1293" s="17"/>
      <c r="AB1293" s="17"/>
      <c r="AC1293" s="17"/>
      <c r="AD1293" s="27"/>
    </row>
    <row r="1294" ht="15.75" customHeight="1">
      <c r="A1294" s="16" t="s">
        <v>2891</v>
      </c>
      <c r="B1294" s="16" t="s">
        <v>3093</v>
      </c>
      <c r="C1294" s="16" t="str">
        <f t="shared" si="11"/>
        <v>Alpine Aire Mexican-Style Grilled Chicken Bowl</v>
      </c>
      <c r="D1294" s="17" t="s">
        <v>2846</v>
      </c>
      <c r="E1294" s="17" t="s">
        <v>2833</v>
      </c>
      <c r="F1294" s="17">
        <v>2.0</v>
      </c>
      <c r="G1294" s="19">
        <f t="shared" si="10"/>
        <v>3.104111184</v>
      </c>
      <c r="H1294" s="17">
        <v>88.0</v>
      </c>
      <c r="I1294" s="10">
        <v>320.0</v>
      </c>
      <c r="J1294" s="17">
        <v>4.0</v>
      </c>
      <c r="K1294" s="17">
        <v>730.0</v>
      </c>
      <c r="L1294" s="17">
        <v>833.0</v>
      </c>
      <c r="M1294" s="20">
        <v>24.0</v>
      </c>
      <c r="N1294" s="20">
        <v>4.0</v>
      </c>
      <c r="O1294" s="20">
        <v>4.0</v>
      </c>
      <c r="P1294" s="20">
        <f t="shared" si="2"/>
        <v>16</v>
      </c>
      <c r="Q1294" s="21">
        <v>17.0</v>
      </c>
      <c r="R1294" s="205">
        <f t="shared" si="3"/>
        <v>103.0890909</v>
      </c>
      <c r="S1294" s="19">
        <f t="shared" si="4"/>
        <v>3.636363636</v>
      </c>
      <c r="T1294" s="24">
        <f t="shared" si="5"/>
        <v>1.411764706</v>
      </c>
      <c r="U1294" s="26">
        <f t="shared" si="6"/>
        <v>0.18</v>
      </c>
      <c r="V1294" s="26">
        <f t="shared" si="7"/>
        <v>0.08</v>
      </c>
      <c r="W1294" s="19">
        <f t="shared" si="8"/>
        <v>2.28125</v>
      </c>
      <c r="X1294" s="20">
        <f t="shared" si="9"/>
        <v>640</v>
      </c>
      <c r="Y1294" s="27"/>
      <c r="Z1294" s="17"/>
      <c r="AA1294" s="17"/>
      <c r="AB1294" s="17"/>
      <c r="AC1294" s="17"/>
      <c r="AD1294" s="27"/>
    </row>
    <row r="1295" ht="15.75" customHeight="1">
      <c r="A1295" s="16" t="s">
        <v>2835</v>
      </c>
      <c r="B1295" s="16" t="s">
        <v>2857</v>
      </c>
      <c r="C1295" s="16" t="str">
        <f t="shared" si="11"/>
        <v>Trailtopia Beef Stroganoff</v>
      </c>
      <c r="D1295" s="17" t="s">
        <v>2846</v>
      </c>
      <c r="E1295" s="17" t="s">
        <v>2833</v>
      </c>
      <c r="F1295" s="17">
        <v>2.0</v>
      </c>
      <c r="G1295" s="19">
        <f t="shared" si="10"/>
        <v>3.104111184</v>
      </c>
      <c r="H1295" s="17">
        <v>88.0</v>
      </c>
      <c r="I1295" s="10">
        <v>320.0</v>
      </c>
      <c r="J1295" s="17">
        <v>8.0</v>
      </c>
      <c r="K1295" s="17">
        <v>1290.0</v>
      </c>
      <c r="L1295" s="17"/>
      <c r="M1295" s="20">
        <v>47.0</v>
      </c>
      <c r="N1295" s="20">
        <v>3.0</v>
      </c>
      <c r="O1295" s="20">
        <v>9.0</v>
      </c>
      <c r="P1295" s="20">
        <f t="shared" si="2"/>
        <v>35</v>
      </c>
      <c r="Q1295" s="21">
        <v>18.0</v>
      </c>
      <c r="R1295" s="205">
        <f t="shared" si="3"/>
        <v>103.0890909</v>
      </c>
      <c r="S1295" s="19">
        <f t="shared" si="4"/>
        <v>3.636363636</v>
      </c>
      <c r="T1295" s="24">
        <f t="shared" si="5"/>
        <v>2.611111111</v>
      </c>
      <c r="U1295" s="26">
        <f t="shared" si="6"/>
        <v>0.2168674699</v>
      </c>
      <c r="V1295" s="26">
        <f t="shared" si="7"/>
        <v>0.1084337349</v>
      </c>
      <c r="W1295" s="19">
        <f t="shared" si="8"/>
        <v>4.03125</v>
      </c>
      <c r="X1295" s="20">
        <f t="shared" si="9"/>
        <v>640</v>
      </c>
      <c r="Y1295" s="27"/>
      <c r="Z1295" s="17"/>
      <c r="AA1295" s="17"/>
      <c r="AB1295" s="17"/>
      <c r="AC1295" s="17"/>
      <c r="AD1295" s="27"/>
    </row>
    <row r="1296" ht="15.75" customHeight="1">
      <c r="A1296" s="16" t="s">
        <v>1402</v>
      </c>
      <c r="B1296" s="16" t="s">
        <v>3094</v>
      </c>
      <c r="C1296" s="16" t="str">
        <f t="shared" si="11"/>
        <v>Backpacker's Pantry Cinnamon Apple Oats &amp; Quinoa</v>
      </c>
      <c r="D1296" s="17" t="s">
        <v>92</v>
      </c>
      <c r="E1296" s="17" t="s">
        <v>2833</v>
      </c>
      <c r="F1296" s="17">
        <v>2.0</v>
      </c>
      <c r="G1296" s="19">
        <f t="shared" si="10"/>
        <v>3.809590998</v>
      </c>
      <c r="H1296" s="17">
        <v>108.0</v>
      </c>
      <c r="I1296" s="10">
        <v>390.0</v>
      </c>
      <c r="J1296" s="17">
        <v>4.5</v>
      </c>
      <c r="K1296" s="17">
        <v>300.0</v>
      </c>
      <c r="L1296" s="17">
        <v>318.0</v>
      </c>
      <c r="M1296" s="20">
        <v>44.0</v>
      </c>
      <c r="N1296" s="20">
        <v>7.0</v>
      </c>
      <c r="O1296" s="20">
        <v>30.0</v>
      </c>
      <c r="P1296" s="20">
        <f t="shared" si="2"/>
        <v>7</v>
      </c>
      <c r="Q1296" s="21">
        <v>15.0</v>
      </c>
      <c r="R1296" s="205">
        <f t="shared" si="3"/>
        <v>102.3731944</v>
      </c>
      <c r="S1296" s="19">
        <f t="shared" si="4"/>
        <v>3.611111111</v>
      </c>
      <c r="T1296" s="24">
        <f t="shared" si="5"/>
        <v>2.933333333</v>
      </c>
      <c r="U1296" s="26">
        <f t="shared" si="6"/>
        <v>0.1464737794</v>
      </c>
      <c r="V1296" s="26">
        <f t="shared" si="7"/>
        <v>0.4339963834</v>
      </c>
      <c r="W1296" s="19">
        <f t="shared" si="8"/>
        <v>0.7692307692</v>
      </c>
      <c r="X1296" s="20">
        <f t="shared" si="9"/>
        <v>780</v>
      </c>
      <c r="Y1296" s="27"/>
      <c r="Z1296" s="17"/>
      <c r="AA1296" s="17"/>
      <c r="AB1296" s="17"/>
      <c r="AC1296" s="17"/>
      <c r="AD1296" s="27"/>
    </row>
    <row r="1297" ht="15.75" customHeight="1">
      <c r="A1297" s="16" t="s">
        <v>2835</v>
      </c>
      <c r="B1297" s="16" t="s">
        <v>3095</v>
      </c>
      <c r="C1297" s="16" t="str">
        <f t="shared" si="11"/>
        <v>Trailtopia Teriyaki Chicken &amp; Rice</v>
      </c>
      <c r="D1297" s="17" t="s">
        <v>2846</v>
      </c>
      <c r="E1297" s="17" t="s">
        <v>2833</v>
      </c>
      <c r="F1297" s="17">
        <v>2.0</v>
      </c>
      <c r="G1297" s="19">
        <f t="shared" si="10"/>
        <v>3.033563202</v>
      </c>
      <c r="H1297" s="17">
        <v>86.0</v>
      </c>
      <c r="I1297" s="10">
        <v>310.0</v>
      </c>
      <c r="J1297" s="17">
        <v>1.0</v>
      </c>
      <c r="K1297" s="17">
        <v>1130.0</v>
      </c>
      <c r="L1297" s="17"/>
      <c r="M1297" s="20">
        <v>54.0</v>
      </c>
      <c r="N1297" s="20">
        <v>8.0</v>
      </c>
      <c r="O1297" s="20">
        <v>12.0</v>
      </c>
      <c r="P1297" s="20">
        <f t="shared" si="2"/>
        <v>34</v>
      </c>
      <c r="Q1297" s="21">
        <v>19.0</v>
      </c>
      <c r="R1297" s="205">
        <f t="shared" si="3"/>
        <v>102.1900581</v>
      </c>
      <c r="S1297" s="19">
        <f t="shared" si="4"/>
        <v>3.604651163</v>
      </c>
      <c r="T1297" s="24">
        <f t="shared" si="5"/>
        <v>2.842105263</v>
      </c>
      <c r="U1297" s="26">
        <f t="shared" si="6"/>
        <v>0.02990033223</v>
      </c>
      <c r="V1297" s="26">
        <f t="shared" si="7"/>
        <v>0.1594684385</v>
      </c>
      <c r="W1297" s="19">
        <f t="shared" si="8"/>
        <v>3.64516129</v>
      </c>
      <c r="X1297" s="20">
        <f t="shared" si="9"/>
        <v>620</v>
      </c>
      <c r="Y1297" s="27"/>
      <c r="Z1297" s="17"/>
      <c r="AA1297" s="17"/>
      <c r="AB1297" s="17"/>
      <c r="AC1297" s="17"/>
      <c r="AD1297" s="27"/>
    </row>
    <row r="1298" ht="15.75" customHeight="1">
      <c r="A1298" s="16" t="s">
        <v>2891</v>
      </c>
      <c r="B1298" s="16" t="s">
        <v>3096</v>
      </c>
      <c r="C1298" s="16" t="str">
        <f t="shared" si="11"/>
        <v>Alpine Aire Grilled Chicken Gumbo</v>
      </c>
      <c r="D1298" s="17" t="s">
        <v>2846</v>
      </c>
      <c r="E1298" s="17" t="s">
        <v>2833</v>
      </c>
      <c r="F1298" s="17">
        <v>2.0</v>
      </c>
      <c r="G1298" s="19">
        <f t="shared" si="10"/>
        <v>2.751371276</v>
      </c>
      <c r="H1298" s="17">
        <v>78.0</v>
      </c>
      <c r="I1298" s="10">
        <v>280.0</v>
      </c>
      <c r="J1298" s="17">
        <v>2.5</v>
      </c>
      <c r="K1298" s="17">
        <v>810.0</v>
      </c>
      <c r="L1298" s="17">
        <v>1431.0</v>
      </c>
      <c r="M1298" s="20">
        <v>21.0</v>
      </c>
      <c r="N1298" s="20">
        <v>1.0</v>
      </c>
      <c r="O1298" s="20">
        <v>7.0</v>
      </c>
      <c r="P1298" s="20">
        <f t="shared" si="2"/>
        <v>13</v>
      </c>
      <c r="Q1298" s="21">
        <v>16.0</v>
      </c>
      <c r="R1298" s="205">
        <f t="shared" si="3"/>
        <v>101.7674359</v>
      </c>
      <c r="S1298" s="19">
        <f t="shared" si="4"/>
        <v>3.58974359</v>
      </c>
      <c r="T1298" s="24">
        <f t="shared" si="5"/>
        <v>1.3125</v>
      </c>
      <c r="U1298" s="26">
        <f t="shared" si="6"/>
        <v>0.1319648094</v>
      </c>
      <c r="V1298" s="26">
        <f t="shared" si="7"/>
        <v>0.1642228739</v>
      </c>
      <c r="W1298" s="19">
        <f t="shared" si="8"/>
        <v>2.892857143</v>
      </c>
      <c r="X1298" s="20">
        <f t="shared" si="9"/>
        <v>560</v>
      </c>
      <c r="Y1298" s="27"/>
      <c r="Z1298" s="17"/>
      <c r="AA1298" s="17"/>
      <c r="AB1298" s="17"/>
      <c r="AC1298" s="17"/>
      <c r="AD1298" s="27"/>
    </row>
    <row r="1299" ht="15.75" customHeight="1">
      <c r="A1299" s="16" t="s">
        <v>2832</v>
      </c>
      <c r="B1299" s="16" t="s">
        <v>3097</v>
      </c>
      <c r="C1299" s="16" t="str">
        <f t="shared" si="11"/>
        <v>PackIt Gourmet Apple Dices (Freeze-Dried)</v>
      </c>
      <c r="D1299" s="17" t="s">
        <v>33</v>
      </c>
      <c r="E1299" s="17" t="s">
        <v>2839</v>
      </c>
      <c r="F1299" s="17">
        <v>1.0</v>
      </c>
      <c r="G1299" s="19">
        <f t="shared" si="10"/>
        <v>0.9876717402</v>
      </c>
      <c r="H1299" s="17">
        <v>28.0</v>
      </c>
      <c r="I1299" s="10">
        <v>100.0</v>
      </c>
      <c r="J1299" s="17">
        <v>0.0</v>
      </c>
      <c r="K1299" s="17">
        <v>0.0</v>
      </c>
      <c r="L1299" s="17">
        <v>200.0</v>
      </c>
      <c r="M1299" s="20">
        <v>26.0</v>
      </c>
      <c r="N1299" s="20">
        <v>6.0</v>
      </c>
      <c r="O1299" s="20">
        <v>19.0</v>
      </c>
      <c r="P1299" s="20">
        <f t="shared" si="2"/>
        <v>1</v>
      </c>
      <c r="Q1299" s="21">
        <v>0.0</v>
      </c>
      <c r="R1299" s="205">
        <f t="shared" si="3"/>
        <v>101.2482143</v>
      </c>
      <c r="S1299" s="19">
        <f t="shared" si="4"/>
        <v>3.571428571</v>
      </c>
      <c r="T1299" s="24" t="str">
        <f t="shared" si="5"/>
        <v>N/A</v>
      </c>
      <c r="U1299" s="26" t="str">
        <f t="shared" si="6"/>
        <v>0%</v>
      </c>
      <c r="V1299" s="26">
        <f t="shared" si="7"/>
        <v>0.7307692308</v>
      </c>
      <c r="W1299" s="19">
        <f t="shared" si="8"/>
        <v>0</v>
      </c>
      <c r="X1299" s="20">
        <f t="shared" si="9"/>
        <v>100</v>
      </c>
      <c r="Y1299" s="27"/>
      <c r="Z1299" s="17"/>
      <c r="AA1299" s="17"/>
      <c r="AB1299" s="17"/>
      <c r="AC1299" s="17"/>
      <c r="AD1299" s="27"/>
    </row>
    <row r="1300" ht="15.75" customHeight="1">
      <c r="A1300" s="16" t="s">
        <v>2832</v>
      </c>
      <c r="B1300" s="16" t="s">
        <v>3098</v>
      </c>
      <c r="C1300" s="16" t="str">
        <f t="shared" si="11"/>
        <v>PackIt Gourmet Blueberries (Freeze-Dried)</v>
      </c>
      <c r="D1300" s="17" t="s">
        <v>33</v>
      </c>
      <c r="E1300" s="17" t="s">
        <v>2839</v>
      </c>
      <c r="F1300" s="17">
        <v>1.0</v>
      </c>
      <c r="G1300" s="19">
        <f t="shared" si="10"/>
        <v>0.9876717402</v>
      </c>
      <c r="H1300" s="17">
        <v>28.0</v>
      </c>
      <c r="I1300" s="10">
        <v>100.0</v>
      </c>
      <c r="J1300" s="17">
        <v>0.5</v>
      </c>
      <c r="K1300" s="17">
        <v>0.0</v>
      </c>
      <c r="L1300" s="17">
        <v>0.0</v>
      </c>
      <c r="M1300" s="20">
        <v>25.0</v>
      </c>
      <c r="N1300" s="20">
        <v>4.0</v>
      </c>
      <c r="O1300" s="20">
        <v>17.0</v>
      </c>
      <c r="P1300" s="20">
        <f t="shared" si="2"/>
        <v>4</v>
      </c>
      <c r="Q1300" s="21">
        <v>1.0</v>
      </c>
      <c r="R1300" s="205">
        <f t="shared" si="3"/>
        <v>101.2482143</v>
      </c>
      <c r="S1300" s="19">
        <f t="shared" si="4"/>
        <v>3.571428571</v>
      </c>
      <c r="T1300" s="24">
        <f t="shared" si="5"/>
        <v>25</v>
      </c>
      <c r="U1300" s="26">
        <f t="shared" si="6"/>
        <v>0.04147465438</v>
      </c>
      <c r="V1300" s="26">
        <f t="shared" si="7"/>
        <v>0.6267281106</v>
      </c>
      <c r="W1300" s="19">
        <f t="shared" si="8"/>
        <v>0</v>
      </c>
      <c r="X1300" s="20">
        <f t="shared" si="9"/>
        <v>100</v>
      </c>
      <c r="Y1300" s="27"/>
      <c r="Z1300" s="17"/>
      <c r="AA1300" s="17"/>
      <c r="AB1300" s="17"/>
      <c r="AC1300" s="17"/>
      <c r="AD1300" s="27"/>
    </row>
    <row r="1301" ht="15.75" customHeight="1">
      <c r="A1301" s="16" t="s">
        <v>2832</v>
      </c>
      <c r="B1301" s="16" t="s">
        <v>3099</v>
      </c>
      <c r="C1301" s="16" t="str">
        <f t="shared" si="11"/>
        <v>PackIt Gourmet Green Beans (Freeze-Dried)</v>
      </c>
      <c r="D1301" s="17" t="s">
        <v>33</v>
      </c>
      <c r="E1301" s="17" t="s">
        <v>2833</v>
      </c>
      <c r="F1301" s="17">
        <v>1.0</v>
      </c>
      <c r="G1301" s="19">
        <f t="shared" si="10"/>
        <v>0.9876717402</v>
      </c>
      <c r="H1301" s="17">
        <v>28.0</v>
      </c>
      <c r="I1301" s="10">
        <v>100.0</v>
      </c>
      <c r="J1301" s="17">
        <v>0.0</v>
      </c>
      <c r="K1301" s="17">
        <v>15.0</v>
      </c>
      <c r="L1301" s="17">
        <v>0.0</v>
      </c>
      <c r="M1301" s="20">
        <v>20.0</v>
      </c>
      <c r="N1301" s="20">
        <v>9.0</v>
      </c>
      <c r="O1301" s="20">
        <v>7.0</v>
      </c>
      <c r="P1301" s="20">
        <f t="shared" si="2"/>
        <v>4</v>
      </c>
      <c r="Q1301" s="21">
        <v>5.0</v>
      </c>
      <c r="R1301" s="205">
        <f t="shared" si="3"/>
        <v>101.2482143</v>
      </c>
      <c r="S1301" s="19">
        <f t="shared" si="4"/>
        <v>3.571428571</v>
      </c>
      <c r="T1301" s="24">
        <f t="shared" si="5"/>
        <v>4</v>
      </c>
      <c r="U1301" s="26" t="str">
        <f t="shared" si="6"/>
        <v>0%</v>
      </c>
      <c r="V1301" s="26">
        <f t="shared" si="7"/>
        <v>0.28</v>
      </c>
      <c r="W1301" s="19">
        <f t="shared" si="8"/>
        <v>0.15</v>
      </c>
      <c r="X1301" s="20">
        <f t="shared" si="9"/>
        <v>100</v>
      </c>
      <c r="Y1301" s="27"/>
      <c r="Z1301" s="17"/>
      <c r="AA1301" s="17"/>
      <c r="AB1301" s="17"/>
      <c r="AC1301" s="17"/>
      <c r="AD1301" s="27"/>
    </row>
    <row r="1302" ht="15.75" customHeight="1">
      <c r="A1302" s="16" t="s">
        <v>2832</v>
      </c>
      <c r="B1302" s="16" t="s">
        <v>3100</v>
      </c>
      <c r="C1302" s="16" t="str">
        <f t="shared" si="11"/>
        <v>PackIt Gourmet Mango Dices (Freeze-Dried)</v>
      </c>
      <c r="D1302" s="17" t="s">
        <v>33</v>
      </c>
      <c r="E1302" s="17" t="s">
        <v>2839</v>
      </c>
      <c r="F1302" s="17">
        <v>1.0</v>
      </c>
      <c r="G1302" s="19">
        <f t="shared" si="10"/>
        <v>0.9876717402</v>
      </c>
      <c r="H1302" s="17">
        <v>28.0</v>
      </c>
      <c r="I1302" s="10">
        <v>100.0</v>
      </c>
      <c r="J1302" s="17">
        <v>0.0</v>
      </c>
      <c r="K1302" s="17">
        <v>5.0</v>
      </c>
      <c r="L1302" s="17">
        <v>0.0</v>
      </c>
      <c r="M1302" s="20">
        <v>25.0</v>
      </c>
      <c r="N1302" s="20">
        <v>2.0</v>
      </c>
      <c r="O1302" s="20">
        <v>18.0</v>
      </c>
      <c r="P1302" s="20">
        <f t="shared" si="2"/>
        <v>5</v>
      </c>
      <c r="Q1302" s="21">
        <v>1.0</v>
      </c>
      <c r="R1302" s="205">
        <f t="shared" si="3"/>
        <v>101.2482143</v>
      </c>
      <c r="S1302" s="19">
        <f t="shared" si="4"/>
        <v>3.571428571</v>
      </c>
      <c r="T1302" s="24">
        <f t="shared" si="5"/>
        <v>25</v>
      </c>
      <c r="U1302" s="26" t="str">
        <f t="shared" si="6"/>
        <v>0%</v>
      </c>
      <c r="V1302" s="26">
        <f t="shared" si="7"/>
        <v>0.6923076923</v>
      </c>
      <c r="W1302" s="19">
        <f t="shared" si="8"/>
        <v>0.05</v>
      </c>
      <c r="X1302" s="20">
        <f t="shared" si="9"/>
        <v>100</v>
      </c>
      <c r="Y1302" s="27"/>
      <c r="Z1302" s="17"/>
      <c r="AA1302" s="17"/>
      <c r="AB1302" s="17"/>
      <c r="AC1302" s="17"/>
      <c r="AD1302" s="27"/>
    </row>
    <row r="1303" ht="15.75" customHeight="1">
      <c r="A1303" s="16" t="s">
        <v>2832</v>
      </c>
      <c r="B1303" s="16" t="s">
        <v>3101</v>
      </c>
      <c r="C1303" s="16" t="str">
        <f t="shared" si="11"/>
        <v>PackIt Gourmet Okra Slices (Freeze-Dried)</v>
      </c>
      <c r="D1303" s="17" t="s">
        <v>33</v>
      </c>
      <c r="E1303" s="17" t="s">
        <v>2833</v>
      </c>
      <c r="F1303" s="17">
        <v>1.0</v>
      </c>
      <c r="G1303" s="19">
        <f t="shared" si="10"/>
        <v>0.4938358701</v>
      </c>
      <c r="H1303" s="17">
        <v>14.0</v>
      </c>
      <c r="I1303" s="10">
        <v>50.0</v>
      </c>
      <c r="J1303" s="17">
        <v>0.0</v>
      </c>
      <c r="K1303" s="17">
        <v>0.0</v>
      </c>
      <c r="L1303" s="17">
        <v>310.0</v>
      </c>
      <c r="M1303" s="20">
        <v>10.0</v>
      </c>
      <c r="N1303" s="20">
        <v>3.0</v>
      </c>
      <c r="O1303" s="20">
        <v>3.0</v>
      </c>
      <c r="P1303" s="20">
        <f t="shared" si="2"/>
        <v>4</v>
      </c>
      <c r="Q1303" s="21">
        <v>2.0</v>
      </c>
      <c r="R1303" s="205">
        <f t="shared" si="3"/>
        <v>101.2482143</v>
      </c>
      <c r="S1303" s="19">
        <f t="shared" si="4"/>
        <v>3.571428571</v>
      </c>
      <c r="T1303" s="24">
        <f t="shared" si="5"/>
        <v>5</v>
      </c>
      <c r="U1303" s="26" t="str">
        <f t="shared" si="6"/>
        <v>0%</v>
      </c>
      <c r="V1303" s="26">
        <f t="shared" si="7"/>
        <v>0.25</v>
      </c>
      <c r="W1303" s="19">
        <f t="shared" si="8"/>
        <v>0</v>
      </c>
      <c r="X1303" s="20">
        <f t="shared" si="9"/>
        <v>50</v>
      </c>
      <c r="Y1303" s="27"/>
      <c r="Z1303" s="17"/>
      <c r="AA1303" s="17"/>
      <c r="AB1303" s="17"/>
      <c r="AC1303" s="17"/>
      <c r="AD1303" s="27"/>
    </row>
    <row r="1304" ht="15.75" customHeight="1">
      <c r="A1304" s="16" t="s">
        <v>2832</v>
      </c>
      <c r="B1304" s="16" t="s">
        <v>3102</v>
      </c>
      <c r="C1304" s="16" t="str">
        <f t="shared" si="11"/>
        <v>PackIt Gourmet Onions, White Dices (Freeze-Dried)</v>
      </c>
      <c r="D1304" s="17" t="s">
        <v>33</v>
      </c>
      <c r="E1304" s="17" t="s">
        <v>2833</v>
      </c>
      <c r="F1304" s="17">
        <v>1.0</v>
      </c>
      <c r="G1304" s="19">
        <f t="shared" si="10"/>
        <v>0.9876717402</v>
      </c>
      <c r="H1304" s="17">
        <v>28.0</v>
      </c>
      <c r="I1304" s="10">
        <v>100.0</v>
      </c>
      <c r="J1304" s="17">
        <v>0.0</v>
      </c>
      <c r="K1304" s="17">
        <v>10.0</v>
      </c>
      <c r="L1304" s="17">
        <v>360.0</v>
      </c>
      <c r="M1304" s="20">
        <v>23.0</v>
      </c>
      <c r="N1304" s="20">
        <v>0.0</v>
      </c>
      <c r="O1304" s="20">
        <v>10.0</v>
      </c>
      <c r="P1304" s="20">
        <f t="shared" si="2"/>
        <v>13</v>
      </c>
      <c r="Q1304" s="21">
        <v>3.0</v>
      </c>
      <c r="R1304" s="205">
        <f t="shared" si="3"/>
        <v>101.2482143</v>
      </c>
      <c r="S1304" s="19">
        <f t="shared" si="4"/>
        <v>3.571428571</v>
      </c>
      <c r="T1304" s="24">
        <f t="shared" si="5"/>
        <v>7.666666667</v>
      </c>
      <c r="U1304" s="26" t="str">
        <f t="shared" si="6"/>
        <v>0%</v>
      </c>
      <c r="V1304" s="26">
        <f t="shared" si="7"/>
        <v>0.3846153846</v>
      </c>
      <c r="W1304" s="19">
        <f t="shared" si="8"/>
        <v>0.1</v>
      </c>
      <c r="X1304" s="20">
        <f t="shared" si="9"/>
        <v>100</v>
      </c>
      <c r="Y1304" s="27"/>
      <c r="Z1304" s="17"/>
      <c r="AA1304" s="17"/>
      <c r="AB1304" s="17"/>
      <c r="AC1304" s="17"/>
      <c r="AD1304" s="27"/>
    </row>
    <row r="1305" ht="15.75" customHeight="1">
      <c r="A1305" s="16" t="s">
        <v>3103</v>
      </c>
      <c r="B1305" s="16" t="s">
        <v>3104</v>
      </c>
      <c r="C1305" s="16" t="str">
        <f t="shared" si="11"/>
        <v>Patagonia Provisions Organic Breakfast Grains</v>
      </c>
      <c r="D1305" s="17" t="s">
        <v>92</v>
      </c>
      <c r="E1305" s="17" t="s">
        <v>2833</v>
      </c>
      <c r="F1305" s="17">
        <v>2.0</v>
      </c>
      <c r="G1305" s="19">
        <f t="shared" si="10"/>
        <v>2.081165453</v>
      </c>
      <c r="H1305" s="17">
        <v>59.0</v>
      </c>
      <c r="I1305" s="10">
        <v>210.0</v>
      </c>
      <c r="J1305" s="17">
        <v>3.0</v>
      </c>
      <c r="K1305" s="17">
        <v>125.0</v>
      </c>
      <c r="L1305" s="17"/>
      <c r="M1305" s="20">
        <v>42.0</v>
      </c>
      <c r="N1305" s="20">
        <v>8.0</v>
      </c>
      <c r="O1305" s="20">
        <v>8.0</v>
      </c>
      <c r="P1305" s="20">
        <f t="shared" si="2"/>
        <v>26</v>
      </c>
      <c r="Q1305" s="21">
        <v>8.0</v>
      </c>
      <c r="R1305" s="205">
        <f t="shared" si="3"/>
        <v>100.905</v>
      </c>
      <c r="S1305" s="19">
        <f t="shared" si="4"/>
        <v>3.559322034</v>
      </c>
      <c r="T1305" s="24">
        <f t="shared" si="5"/>
        <v>5.25</v>
      </c>
      <c r="U1305" s="26">
        <f t="shared" si="6"/>
        <v>0.1189427313</v>
      </c>
      <c r="V1305" s="26">
        <f t="shared" si="7"/>
        <v>0.140969163</v>
      </c>
      <c r="W1305" s="19">
        <f t="shared" si="8"/>
        <v>0.5952380952</v>
      </c>
      <c r="X1305" s="20">
        <f t="shared" si="9"/>
        <v>420</v>
      </c>
      <c r="Y1305" s="27"/>
      <c r="Z1305" s="17"/>
      <c r="AA1305" s="17"/>
      <c r="AB1305" s="17"/>
      <c r="AC1305" s="17"/>
      <c r="AD1305" s="27"/>
    </row>
    <row r="1306" ht="15.75" customHeight="1">
      <c r="A1306" s="16" t="s">
        <v>2931</v>
      </c>
      <c r="B1306" s="16" t="s">
        <v>3105</v>
      </c>
      <c r="C1306" s="16" t="str">
        <f t="shared" si="11"/>
        <v>Good To-Go New England Corn Chowdah</v>
      </c>
      <c r="D1306" s="17" t="s">
        <v>2846</v>
      </c>
      <c r="E1306" s="17" t="s">
        <v>2833</v>
      </c>
      <c r="F1306" s="17">
        <v>2.0</v>
      </c>
      <c r="G1306" s="19">
        <f t="shared" si="10"/>
        <v>3.280481137</v>
      </c>
      <c r="H1306" s="17">
        <v>93.0</v>
      </c>
      <c r="I1306" s="10">
        <v>330.0</v>
      </c>
      <c r="J1306" s="17">
        <v>6.0</v>
      </c>
      <c r="K1306" s="17">
        <v>620.0</v>
      </c>
      <c r="L1306" s="17">
        <v>930.0</v>
      </c>
      <c r="M1306" s="20">
        <v>63.0</v>
      </c>
      <c r="N1306" s="20">
        <v>6.0</v>
      </c>
      <c r="O1306" s="20">
        <v>15.0</v>
      </c>
      <c r="P1306" s="20">
        <f t="shared" si="2"/>
        <v>42</v>
      </c>
      <c r="Q1306" s="21">
        <v>13.0</v>
      </c>
      <c r="R1306" s="205">
        <f t="shared" si="3"/>
        <v>100.595</v>
      </c>
      <c r="S1306" s="19">
        <f t="shared" si="4"/>
        <v>3.548387097</v>
      </c>
      <c r="T1306" s="24">
        <f t="shared" si="5"/>
        <v>4.846153846</v>
      </c>
      <c r="U1306" s="26">
        <f t="shared" si="6"/>
        <v>0.1508379888</v>
      </c>
      <c r="V1306" s="26">
        <f t="shared" si="7"/>
        <v>0.1675977654</v>
      </c>
      <c r="W1306" s="19">
        <f t="shared" si="8"/>
        <v>1.878787879</v>
      </c>
      <c r="X1306" s="20">
        <f t="shared" si="9"/>
        <v>660</v>
      </c>
      <c r="Y1306" s="27"/>
      <c r="Z1306" s="17"/>
      <c r="AA1306" s="17"/>
      <c r="AB1306" s="17"/>
      <c r="AC1306" s="17"/>
      <c r="AD1306" s="27"/>
    </row>
    <row r="1307" ht="15.75" customHeight="1">
      <c r="A1307" s="16" t="s">
        <v>2891</v>
      </c>
      <c r="B1307" s="16" t="s">
        <v>3106</v>
      </c>
      <c r="C1307" s="16" t="str">
        <f t="shared" si="11"/>
        <v>Alpine Aire Grilled Chicken Jambalaya</v>
      </c>
      <c r="D1307" s="17" t="s">
        <v>2846</v>
      </c>
      <c r="E1307" s="17" t="s">
        <v>2833</v>
      </c>
      <c r="F1307" s="17">
        <v>2.0</v>
      </c>
      <c r="G1307" s="19">
        <f t="shared" si="10"/>
        <v>2.998289211</v>
      </c>
      <c r="H1307" s="17">
        <v>85.0</v>
      </c>
      <c r="I1307" s="10">
        <v>300.0</v>
      </c>
      <c r="J1307" s="17">
        <v>3.0</v>
      </c>
      <c r="K1307" s="17">
        <v>970.0</v>
      </c>
      <c r="L1307" s="17">
        <v>902.0</v>
      </c>
      <c r="M1307" s="20">
        <v>21.0</v>
      </c>
      <c r="N1307" s="20">
        <v>2.0</v>
      </c>
      <c r="O1307" s="20">
        <v>6.0</v>
      </c>
      <c r="P1307" s="20">
        <f t="shared" si="2"/>
        <v>13</v>
      </c>
      <c r="Q1307" s="21">
        <v>18.0</v>
      </c>
      <c r="R1307" s="205">
        <f t="shared" si="3"/>
        <v>100.0570588</v>
      </c>
      <c r="S1307" s="19">
        <f t="shared" si="4"/>
        <v>3.529411765</v>
      </c>
      <c r="T1307" s="24">
        <f t="shared" si="5"/>
        <v>1.166666667</v>
      </c>
      <c r="U1307" s="26">
        <f t="shared" si="6"/>
        <v>0.1475409836</v>
      </c>
      <c r="V1307" s="26">
        <f t="shared" si="7"/>
        <v>0.131147541</v>
      </c>
      <c r="W1307" s="19">
        <f t="shared" si="8"/>
        <v>3.233333333</v>
      </c>
      <c r="X1307" s="20">
        <f t="shared" si="9"/>
        <v>600</v>
      </c>
      <c r="Y1307" s="27"/>
      <c r="Z1307" s="17"/>
      <c r="AA1307" s="17"/>
      <c r="AB1307" s="17"/>
      <c r="AC1307" s="17"/>
      <c r="AD1307" s="27"/>
    </row>
    <row r="1308" ht="15.75" customHeight="1">
      <c r="A1308" s="16" t="s">
        <v>2835</v>
      </c>
      <c r="B1308" s="16" t="s">
        <v>3107</v>
      </c>
      <c r="C1308" s="16" t="str">
        <f t="shared" si="11"/>
        <v>Trailtopia Beer Braised Chicken Stew</v>
      </c>
      <c r="D1308" s="17" t="s">
        <v>2846</v>
      </c>
      <c r="E1308" s="17" t="s">
        <v>2833</v>
      </c>
      <c r="F1308" s="17">
        <v>2.0</v>
      </c>
      <c r="G1308" s="19">
        <f t="shared" si="10"/>
        <v>2.998289211</v>
      </c>
      <c r="H1308" s="17">
        <v>85.0</v>
      </c>
      <c r="I1308" s="10">
        <v>300.0</v>
      </c>
      <c r="J1308" s="17">
        <v>4.0</v>
      </c>
      <c r="K1308" s="17">
        <v>860.0</v>
      </c>
      <c r="L1308" s="17">
        <v>1046.0</v>
      </c>
      <c r="M1308" s="20">
        <v>50.0</v>
      </c>
      <c r="N1308" s="20">
        <v>6.0</v>
      </c>
      <c r="O1308" s="20">
        <v>13.0</v>
      </c>
      <c r="P1308" s="20">
        <f t="shared" si="2"/>
        <v>31</v>
      </c>
      <c r="Q1308" s="21">
        <v>20.0</v>
      </c>
      <c r="R1308" s="205">
        <f t="shared" si="3"/>
        <v>100.0570588</v>
      </c>
      <c r="S1308" s="19">
        <f t="shared" si="4"/>
        <v>3.529411765</v>
      </c>
      <c r="T1308" s="24">
        <f t="shared" si="5"/>
        <v>2.5</v>
      </c>
      <c r="U1308" s="26">
        <f t="shared" si="6"/>
        <v>0.1139240506</v>
      </c>
      <c r="V1308" s="26">
        <f t="shared" si="7"/>
        <v>0.164556962</v>
      </c>
      <c r="W1308" s="19">
        <f t="shared" si="8"/>
        <v>2.866666667</v>
      </c>
      <c r="X1308" s="20">
        <f t="shared" si="9"/>
        <v>600</v>
      </c>
      <c r="Y1308" s="27"/>
      <c r="Z1308" s="17"/>
      <c r="AA1308" s="17"/>
      <c r="AB1308" s="17"/>
      <c r="AC1308" s="17"/>
      <c r="AD1308" s="27"/>
    </row>
    <row r="1309" ht="15.75" customHeight="1">
      <c r="A1309" s="16" t="s">
        <v>1402</v>
      </c>
      <c r="B1309" s="16" t="s">
        <v>3108</v>
      </c>
      <c r="C1309" s="16" t="str">
        <f t="shared" si="11"/>
        <v>Backpacker's Pantry Kathmandu Curry</v>
      </c>
      <c r="D1309" s="17" t="s">
        <v>2846</v>
      </c>
      <c r="E1309" s="17" t="s">
        <v>2833</v>
      </c>
      <c r="F1309" s="17">
        <v>2.0</v>
      </c>
      <c r="G1309" s="19">
        <f t="shared" si="10"/>
        <v>3.315755128</v>
      </c>
      <c r="H1309" s="17">
        <v>94.0</v>
      </c>
      <c r="I1309" s="10">
        <v>330.0</v>
      </c>
      <c r="J1309" s="17">
        <v>2.5</v>
      </c>
      <c r="K1309" s="17">
        <v>1150.0</v>
      </c>
      <c r="L1309" s="17">
        <v>437.0</v>
      </c>
      <c r="M1309" s="20">
        <v>63.0</v>
      </c>
      <c r="N1309" s="20">
        <v>14.0</v>
      </c>
      <c r="O1309" s="20">
        <v>2.0</v>
      </c>
      <c r="P1309" s="20">
        <f t="shared" si="2"/>
        <v>47</v>
      </c>
      <c r="Q1309" s="21">
        <v>16.0</v>
      </c>
      <c r="R1309" s="205">
        <f t="shared" si="3"/>
        <v>99.52484043</v>
      </c>
      <c r="S1309" s="19">
        <f t="shared" si="4"/>
        <v>3.510638298</v>
      </c>
      <c r="T1309" s="24">
        <f t="shared" si="5"/>
        <v>3.9375</v>
      </c>
      <c r="U1309" s="26">
        <f t="shared" si="6"/>
        <v>0.06646971935</v>
      </c>
      <c r="V1309" s="26">
        <f t="shared" si="7"/>
        <v>0.02363367799</v>
      </c>
      <c r="W1309" s="19">
        <f t="shared" si="8"/>
        <v>3.484848485</v>
      </c>
      <c r="X1309" s="20">
        <f t="shared" si="9"/>
        <v>660</v>
      </c>
      <c r="Y1309" s="27"/>
      <c r="Z1309" s="17"/>
      <c r="AA1309" s="17"/>
      <c r="AB1309" s="17"/>
      <c r="AC1309" s="17"/>
      <c r="AD1309" s="27"/>
    </row>
    <row r="1310" ht="15.75" customHeight="1">
      <c r="A1310" s="16" t="s">
        <v>2832</v>
      </c>
      <c r="B1310" s="16" t="s">
        <v>3109</v>
      </c>
      <c r="C1310" s="16" t="str">
        <f t="shared" si="11"/>
        <v>PackIt Gourmet Corn, Yellow - Whole Kernel (Freeze-Dried)</v>
      </c>
      <c r="D1310" s="17" t="s">
        <v>33</v>
      </c>
      <c r="E1310" s="17" t="s">
        <v>2833</v>
      </c>
      <c r="F1310" s="17">
        <v>1.0</v>
      </c>
      <c r="G1310" s="19">
        <f t="shared" si="10"/>
        <v>2.010617471</v>
      </c>
      <c r="H1310" s="17">
        <v>57.0</v>
      </c>
      <c r="I1310" s="10">
        <v>200.0</v>
      </c>
      <c r="J1310" s="17">
        <v>5.0</v>
      </c>
      <c r="K1310" s="17">
        <v>0.0</v>
      </c>
      <c r="L1310" s="17">
        <v>550.0</v>
      </c>
      <c r="M1310" s="20">
        <v>39.0</v>
      </c>
      <c r="N1310" s="20">
        <v>4.0</v>
      </c>
      <c r="O1310" s="20">
        <v>11.0</v>
      </c>
      <c r="P1310" s="20">
        <f t="shared" si="2"/>
        <v>24</v>
      </c>
      <c r="Q1310" s="21">
        <v>9.0</v>
      </c>
      <c r="R1310" s="205">
        <f t="shared" si="3"/>
        <v>99.47192982</v>
      </c>
      <c r="S1310" s="19">
        <f t="shared" si="4"/>
        <v>3.50877193</v>
      </c>
      <c r="T1310" s="24">
        <f t="shared" si="5"/>
        <v>4.333333333</v>
      </c>
      <c r="U1310" s="26">
        <f t="shared" si="6"/>
        <v>0.1898734177</v>
      </c>
      <c r="V1310" s="26">
        <f t="shared" si="7"/>
        <v>0.1856540084</v>
      </c>
      <c r="W1310" s="19">
        <f t="shared" si="8"/>
        <v>0</v>
      </c>
      <c r="X1310" s="20">
        <f t="shared" si="9"/>
        <v>200</v>
      </c>
      <c r="Y1310" s="27"/>
      <c r="Z1310" s="17"/>
      <c r="AA1310" s="17"/>
      <c r="AB1310" s="17"/>
      <c r="AC1310" s="17"/>
      <c r="AD1310" s="27"/>
    </row>
    <row r="1311" ht="15.75" customHeight="1">
      <c r="A1311" s="16" t="s">
        <v>2832</v>
      </c>
      <c r="B1311" s="16" t="s">
        <v>3110</v>
      </c>
      <c r="C1311" s="16" t="str">
        <f t="shared" si="11"/>
        <v>PackIt Gourmet Onions, Sweet White - Chopped (Freeze-Dried)</v>
      </c>
      <c r="D1311" s="17" t="s">
        <v>33</v>
      </c>
      <c r="E1311" s="17" t="s">
        <v>2833</v>
      </c>
      <c r="F1311" s="17">
        <v>1.0</v>
      </c>
      <c r="G1311" s="19">
        <f t="shared" si="10"/>
        <v>2.010617471</v>
      </c>
      <c r="H1311" s="17">
        <v>57.0</v>
      </c>
      <c r="I1311" s="10">
        <v>200.0</v>
      </c>
      <c r="J1311" s="17">
        <v>0.0</v>
      </c>
      <c r="K1311" s="17">
        <v>20.0</v>
      </c>
      <c r="L1311" s="17">
        <v>920.0</v>
      </c>
      <c r="M1311" s="20">
        <v>46.0</v>
      </c>
      <c r="N1311" s="20">
        <v>5.0</v>
      </c>
      <c r="O1311" s="20">
        <v>21.0</v>
      </c>
      <c r="P1311" s="20">
        <f t="shared" si="2"/>
        <v>20</v>
      </c>
      <c r="Q1311" s="21">
        <v>5.0</v>
      </c>
      <c r="R1311" s="205">
        <f t="shared" si="3"/>
        <v>99.47192982</v>
      </c>
      <c r="S1311" s="19">
        <f t="shared" si="4"/>
        <v>3.50877193</v>
      </c>
      <c r="T1311" s="24">
        <f t="shared" si="5"/>
        <v>9.2</v>
      </c>
      <c r="U1311" s="26" t="str">
        <f t="shared" si="6"/>
        <v>0%</v>
      </c>
      <c r="V1311" s="26">
        <f t="shared" si="7"/>
        <v>0.4117647059</v>
      </c>
      <c r="W1311" s="19">
        <f t="shared" si="8"/>
        <v>0.1</v>
      </c>
      <c r="X1311" s="20">
        <f t="shared" si="9"/>
        <v>200</v>
      </c>
      <c r="Y1311" s="27"/>
      <c r="Z1311" s="17"/>
      <c r="AA1311" s="17"/>
      <c r="AB1311" s="17"/>
      <c r="AC1311" s="17"/>
      <c r="AD1311" s="27"/>
    </row>
    <row r="1312" ht="15.75" customHeight="1">
      <c r="A1312" s="16" t="s">
        <v>2835</v>
      </c>
      <c r="B1312" s="16" t="s">
        <v>3111</v>
      </c>
      <c r="C1312" s="16" t="str">
        <f t="shared" si="11"/>
        <v>Trailtopia Rocky Road Chocolate Pudding</v>
      </c>
      <c r="D1312" s="17" t="s">
        <v>478</v>
      </c>
      <c r="E1312" s="17" t="s">
        <v>2833</v>
      </c>
      <c r="F1312" s="17">
        <v>2.0</v>
      </c>
      <c r="G1312" s="19">
        <f t="shared" si="10"/>
        <v>1.234589675</v>
      </c>
      <c r="H1312" s="17">
        <v>35.0</v>
      </c>
      <c r="I1312" s="10">
        <v>122.0</v>
      </c>
      <c r="J1312" s="17">
        <v>1.0</v>
      </c>
      <c r="K1312" s="17">
        <v>55.0</v>
      </c>
      <c r="L1312" s="17"/>
      <c r="M1312" s="20">
        <v>31.0</v>
      </c>
      <c r="N1312" s="20">
        <v>3.0</v>
      </c>
      <c r="O1312" s="20">
        <v>17.0</v>
      </c>
      <c r="P1312" s="20">
        <f t="shared" si="2"/>
        <v>11</v>
      </c>
      <c r="Q1312" s="21">
        <v>1.0</v>
      </c>
      <c r="R1312" s="205">
        <f t="shared" si="3"/>
        <v>98.81825714</v>
      </c>
      <c r="S1312" s="19">
        <f t="shared" si="4"/>
        <v>3.485714286</v>
      </c>
      <c r="T1312" s="24">
        <f t="shared" si="5"/>
        <v>31</v>
      </c>
      <c r="U1312" s="26">
        <f t="shared" si="6"/>
        <v>0.06569343066</v>
      </c>
      <c r="V1312" s="26">
        <f t="shared" si="7"/>
        <v>0.496350365</v>
      </c>
      <c r="W1312" s="19">
        <f t="shared" si="8"/>
        <v>0.4508196721</v>
      </c>
      <c r="X1312" s="20">
        <f t="shared" si="9"/>
        <v>244</v>
      </c>
      <c r="Y1312" s="27"/>
      <c r="Z1312" s="17"/>
      <c r="AA1312" s="17"/>
      <c r="AB1312" s="17"/>
      <c r="AC1312" s="17"/>
      <c r="AD1312" s="27"/>
    </row>
    <row r="1313" ht="15.75" customHeight="1">
      <c r="A1313" s="16" t="s">
        <v>2891</v>
      </c>
      <c r="B1313" s="16" t="s">
        <v>3112</v>
      </c>
      <c r="C1313" s="16" t="str">
        <f t="shared" si="11"/>
        <v>Alpine Aire Mexican Style Veggie Bowl</v>
      </c>
      <c r="D1313" s="17" t="s">
        <v>2846</v>
      </c>
      <c r="E1313" s="17" t="s">
        <v>2833</v>
      </c>
      <c r="F1313" s="17">
        <v>2.0</v>
      </c>
      <c r="G1313" s="19">
        <f t="shared" si="10"/>
        <v>3.139385174</v>
      </c>
      <c r="H1313" s="17">
        <v>89.0</v>
      </c>
      <c r="I1313" s="10">
        <v>310.0</v>
      </c>
      <c r="J1313" s="17">
        <v>3.0</v>
      </c>
      <c r="K1313" s="17">
        <v>640.0</v>
      </c>
      <c r="L1313" s="17">
        <v>820.0</v>
      </c>
      <c r="M1313" s="20">
        <v>27.0</v>
      </c>
      <c r="N1313" s="20">
        <v>4.0</v>
      </c>
      <c r="O1313" s="20">
        <v>5.0</v>
      </c>
      <c r="P1313" s="20">
        <f t="shared" si="2"/>
        <v>18</v>
      </c>
      <c r="Q1313" s="21">
        <v>12.0</v>
      </c>
      <c r="R1313" s="205">
        <f t="shared" si="3"/>
        <v>98.74544944</v>
      </c>
      <c r="S1313" s="19">
        <f t="shared" si="4"/>
        <v>3.483146067</v>
      </c>
      <c r="T1313" s="24">
        <f t="shared" si="5"/>
        <v>2.25</v>
      </c>
      <c r="U1313" s="26">
        <f t="shared" si="6"/>
        <v>0.1475409836</v>
      </c>
      <c r="V1313" s="26">
        <f t="shared" si="7"/>
        <v>0.1092896175</v>
      </c>
      <c r="W1313" s="19">
        <f t="shared" si="8"/>
        <v>2.064516129</v>
      </c>
      <c r="X1313" s="20">
        <f t="shared" si="9"/>
        <v>620</v>
      </c>
      <c r="Y1313" s="27"/>
      <c r="Z1313" s="17"/>
      <c r="AA1313" s="17"/>
      <c r="AB1313" s="17"/>
      <c r="AC1313" s="17"/>
      <c r="AD1313" s="27"/>
    </row>
    <row r="1314" ht="15.75" customHeight="1">
      <c r="A1314" s="27" t="s">
        <v>1402</v>
      </c>
      <c r="B1314" s="27" t="s">
        <v>3113</v>
      </c>
      <c r="C1314" s="16" t="str">
        <f t="shared" si="11"/>
        <v>Backpacker's Pantry Jamaican Style Jerk Rice &amp; Beans with Chicken</v>
      </c>
      <c r="D1314" s="17" t="s">
        <v>2846</v>
      </c>
      <c r="E1314" s="17" t="s">
        <v>2833</v>
      </c>
      <c r="F1314" s="17">
        <v>2.0</v>
      </c>
      <c r="G1314" s="19">
        <f t="shared" si="10"/>
        <v>3.139385174</v>
      </c>
      <c r="H1314" s="17">
        <v>89.0</v>
      </c>
      <c r="I1314" s="10">
        <v>310.0</v>
      </c>
      <c r="J1314" s="17">
        <v>2.5</v>
      </c>
      <c r="K1314" s="17">
        <v>1430.0</v>
      </c>
      <c r="L1314" s="17">
        <v>367.0</v>
      </c>
      <c r="M1314" s="20">
        <v>56.0</v>
      </c>
      <c r="N1314" s="20">
        <v>8.0</v>
      </c>
      <c r="O1314" s="20">
        <v>4.0</v>
      </c>
      <c r="P1314" s="20">
        <f t="shared" si="2"/>
        <v>44</v>
      </c>
      <c r="Q1314" s="21">
        <v>17.0</v>
      </c>
      <c r="R1314" s="205">
        <f t="shared" si="3"/>
        <v>98.74544944</v>
      </c>
      <c r="S1314" s="19">
        <f t="shared" si="4"/>
        <v>3.483146067</v>
      </c>
      <c r="T1314" s="24">
        <f t="shared" si="5"/>
        <v>3.294117647</v>
      </c>
      <c r="U1314" s="26">
        <f t="shared" si="6"/>
        <v>0.07154213037</v>
      </c>
      <c r="V1314" s="26">
        <f t="shared" si="7"/>
        <v>0.05087440382</v>
      </c>
      <c r="W1314" s="19">
        <f t="shared" si="8"/>
        <v>4.612903226</v>
      </c>
      <c r="X1314" s="20">
        <f t="shared" si="9"/>
        <v>620</v>
      </c>
      <c r="Y1314" s="27"/>
      <c r="Z1314" s="17"/>
      <c r="AA1314" s="17"/>
      <c r="AB1314" s="17"/>
      <c r="AC1314" s="17"/>
      <c r="AD1314" s="27"/>
    </row>
    <row r="1315" ht="15.75" customHeight="1">
      <c r="A1315" s="16" t="s">
        <v>2891</v>
      </c>
      <c r="B1315" s="16" t="s">
        <v>3114</v>
      </c>
      <c r="C1315" s="16" t="str">
        <f t="shared" si="11"/>
        <v>Alpine Aire Santa Fe Black Beans &amp; Rice</v>
      </c>
      <c r="D1315" s="17" t="s">
        <v>2846</v>
      </c>
      <c r="E1315" s="17" t="s">
        <v>2833</v>
      </c>
      <c r="F1315" s="17">
        <v>2.0</v>
      </c>
      <c r="G1315" s="19">
        <f t="shared" si="10"/>
        <v>3.245207147</v>
      </c>
      <c r="H1315" s="17">
        <v>92.0</v>
      </c>
      <c r="I1315" s="10">
        <v>320.0</v>
      </c>
      <c r="J1315" s="17">
        <v>1.0</v>
      </c>
      <c r="K1315" s="17">
        <v>390.0</v>
      </c>
      <c r="L1315" s="17">
        <v>1385.0</v>
      </c>
      <c r="M1315" s="20">
        <v>25.0</v>
      </c>
      <c r="N1315" s="20">
        <v>5.0</v>
      </c>
      <c r="O1315" s="20">
        <v>6.0</v>
      </c>
      <c r="P1315" s="20">
        <f t="shared" si="2"/>
        <v>14</v>
      </c>
      <c r="Q1315" s="21">
        <v>11.0</v>
      </c>
      <c r="R1315" s="205">
        <f t="shared" si="3"/>
        <v>98.60695652</v>
      </c>
      <c r="S1315" s="19">
        <f t="shared" si="4"/>
        <v>3.47826087</v>
      </c>
      <c r="T1315" s="24">
        <f t="shared" si="5"/>
        <v>2.272727273</v>
      </c>
      <c r="U1315" s="26">
        <f t="shared" si="6"/>
        <v>0.05882352941</v>
      </c>
      <c r="V1315" s="26">
        <f t="shared" si="7"/>
        <v>0.1568627451</v>
      </c>
      <c r="W1315" s="19">
        <f t="shared" si="8"/>
        <v>1.21875</v>
      </c>
      <c r="X1315" s="20">
        <f t="shared" si="9"/>
        <v>640</v>
      </c>
      <c r="Y1315" s="27"/>
      <c r="Z1315" s="17"/>
      <c r="AA1315" s="17"/>
      <c r="AB1315" s="17"/>
      <c r="AC1315" s="17"/>
      <c r="AD1315" s="27"/>
    </row>
    <row r="1316" ht="15.75" customHeight="1">
      <c r="A1316" s="16" t="s">
        <v>2931</v>
      </c>
      <c r="B1316" s="16" t="s">
        <v>3115</v>
      </c>
      <c r="C1316" s="16" t="str">
        <f t="shared" si="11"/>
        <v>Good To-Go Chicken Gumbo</v>
      </c>
      <c r="D1316" s="17" t="s">
        <v>2846</v>
      </c>
      <c r="E1316" s="17" t="s">
        <v>2833</v>
      </c>
      <c r="F1316" s="17">
        <v>2.0</v>
      </c>
      <c r="G1316" s="19">
        <f t="shared" si="10"/>
        <v>3.351029119</v>
      </c>
      <c r="H1316" s="17">
        <v>95.0</v>
      </c>
      <c r="I1316" s="10">
        <v>330.0</v>
      </c>
      <c r="J1316" s="17">
        <v>8.0</v>
      </c>
      <c r="K1316" s="17">
        <v>420.0</v>
      </c>
      <c r="L1316" s="17">
        <v>770.0</v>
      </c>
      <c r="M1316" s="20">
        <v>54.0</v>
      </c>
      <c r="N1316" s="20">
        <v>6.0</v>
      </c>
      <c r="O1316" s="20">
        <v>3.0</v>
      </c>
      <c r="P1316" s="20">
        <f t="shared" si="2"/>
        <v>45</v>
      </c>
      <c r="Q1316" s="21">
        <v>16.0</v>
      </c>
      <c r="R1316" s="205">
        <f t="shared" si="3"/>
        <v>98.47721053</v>
      </c>
      <c r="S1316" s="19">
        <f t="shared" si="4"/>
        <v>3.473684211</v>
      </c>
      <c r="T1316" s="24">
        <f t="shared" si="5"/>
        <v>3.375</v>
      </c>
      <c r="U1316" s="26">
        <f t="shared" si="6"/>
        <v>0.2045454545</v>
      </c>
      <c r="V1316" s="26">
        <f t="shared" si="7"/>
        <v>0.03409090909</v>
      </c>
      <c r="W1316" s="19">
        <f t="shared" si="8"/>
        <v>1.272727273</v>
      </c>
      <c r="X1316" s="20">
        <f t="shared" si="9"/>
        <v>660</v>
      </c>
      <c r="Y1316" s="27"/>
      <c r="Z1316" s="17"/>
      <c r="AA1316" s="17"/>
      <c r="AB1316" s="17"/>
      <c r="AC1316" s="17"/>
      <c r="AD1316" s="27"/>
    </row>
    <row r="1317" ht="15.75" customHeight="1">
      <c r="A1317" s="16" t="s">
        <v>1526</v>
      </c>
      <c r="B1317" s="16" t="s">
        <v>3116</v>
      </c>
      <c r="C1317" s="16" t="str">
        <f t="shared" si="11"/>
        <v>Mountain House Diced Beef</v>
      </c>
      <c r="D1317" s="17" t="s">
        <v>33</v>
      </c>
      <c r="E1317" s="17" t="s">
        <v>2833</v>
      </c>
      <c r="F1317" s="17">
        <v>15.0</v>
      </c>
      <c r="G1317" s="19">
        <f t="shared" si="10"/>
        <v>1.128767703</v>
      </c>
      <c r="H1317" s="17">
        <v>32.0</v>
      </c>
      <c r="I1317" s="10">
        <v>110.0</v>
      </c>
      <c r="J1317" s="17">
        <v>2.5</v>
      </c>
      <c r="K1317" s="17">
        <v>880.0</v>
      </c>
      <c r="L1317" s="17">
        <v>0.0</v>
      </c>
      <c r="M1317" s="20">
        <v>0.0</v>
      </c>
      <c r="N1317" s="20">
        <v>0.0</v>
      </c>
      <c r="O1317" s="20">
        <v>0.0</v>
      </c>
      <c r="P1317" s="20">
        <f t="shared" si="2"/>
        <v>0</v>
      </c>
      <c r="Q1317" s="21">
        <v>26.0</v>
      </c>
      <c r="R1317" s="205">
        <f t="shared" si="3"/>
        <v>97.45140625</v>
      </c>
      <c r="S1317" s="19">
        <f t="shared" si="4"/>
        <v>3.4375</v>
      </c>
      <c r="T1317" s="24">
        <f t="shared" si="5"/>
        <v>0</v>
      </c>
      <c r="U1317" s="26">
        <f t="shared" si="6"/>
        <v>0.1778656126</v>
      </c>
      <c r="V1317" s="26" t="str">
        <f t="shared" si="7"/>
        <v>0%</v>
      </c>
      <c r="W1317" s="19">
        <f t="shared" si="8"/>
        <v>8</v>
      </c>
      <c r="X1317" s="20">
        <f t="shared" si="9"/>
        <v>1650</v>
      </c>
      <c r="Y1317" s="27"/>
      <c r="Z1317" s="17"/>
      <c r="AA1317" s="17"/>
      <c r="AB1317" s="17"/>
      <c r="AC1317" s="17"/>
      <c r="AD1317" s="27"/>
    </row>
    <row r="1318" ht="15.75" customHeight="1">
      <c r="A1318" s="16" t="s">
        <v>2899</v>
      </c>
      <c r="B1318" s="16" t="s">
        <v>3117</v>
      </c>
      <c r="C1318" s="16" t="str">
        <f t="shared" si="11"/>
        <v>ReadyWise Switchback Spicy Asian Style Noodles</v>
      </c>
      <c r="D1318" s="17" t="s">
        <v>2846</v>
      </c>
      <c r="E1318" s="17" t="s">
        <v>2833</v>
      </c>
      <c r="F1318" s="17">
        <v>2.5</v>
      </c>
      <c r="G1318" s="19">
        <f t="shared" si="10"/>
        <v>2.257535406</v>
      </c>
      <c r="H1318" s="17">
        <v>64.0</v>
      </c>
      <c r="I1318" s="10">
        <v>220.0</v>
      </c>
      <c r="J1318" s="17">
        <v>1.0</v>
      </c>
      <c r="K1318" s="17">
        <v>710.0</v>
      </c>
      <c r="L1318" s="17">
        <v>840.0</v>
      </c>
      <c r="M1318" s="20">
        <v>46.0</v>
      </c>
      <c r="N1318" s="20">
        <v>4.0</v>
      </c>
      <c r="O1318" s="20">
        <v>9.0</v>
      </c>
      <c r="P1318" s="20">
        <f t="shared" si="2"/>
        <v>33</v>
      </c>
      <c r="Q1318" s="21">
        <v>7.0</v>
      </c>
      <c r="R1318" s="205">
        <f t="shared" si="3"/>
        <v>97.45140625</v>
      </c>
      <c r="S1318" s="19">
        <f t="shared" si="4"/>
        <v>3.4375</v>
      </c>
      <c r="T1318" s="24">
        <f t="shared" si="5"/>
        <v>6.571428571</v>
      </c>
      <c r="U1318" s="26">
        <f t="shared" si="6"/>
        <v>0.0407239819</v>
      </c>
      <c r="V1318" s="26">
        <f t="shared" si="7"/>
        <v>0.1628959276</v>
      </c>
      <c r="W1318" s="19">
        <f t="shared" si="8"/>
        <v>3.227272727</v>
      </c>
      <c r="X1318" s="20">
        <f t="shared" si="9"/>
        <v>550</v>
      </c>
      <c r="Y1318" s="27"/>
      <c r="Z1318" s="17"/>
      <c r="AA1318" s="17"/>
      <c r="AB1318" s="17"/>
      <c r="AC1318" s="17"/>
      <c r="AD1318" s="27"/>
    </row>
    <row r="1319" ht="15.75" customHeight="1">
      <c r="A1319" s="16" t="s">
        <v>2931</v>
      </c>
      <c r="B1319" s="16" t="s">
        <v>3118</v>
      </c>
      <c r="C1319" s="16" t="str">
        <f t="shared" si="11"/>
        <v>Good To-Go Smoked Three Bean Chili</v>
      </c>
      <c r="D1319" s="17" t="s">
        <v>2846</v>
      </c>
      <c r="E1319" s="17" t="s">
        <v>2833</v>
      </c>
      <c r="F1319" s="17">
        <v>2.0</v>
      </c>
      <c r="G1319" s="19">
        <f t="shared" si="10"/>
        <v>3.492125082</v>
      </c>
      <c r="H1319" s="17">
        <v>99.0</v>
      </c>
      <c r="I1319" s="10">
        <v>340.0</v>
      </c>
      <c r="J1319" s="17">
        <v>5.0</v>
      </c>
      <c r="K1319" s="17">
        <v>360.0</v>
      </c>
      <c r="L1319" s="17">
        <v>1178.0</v>
      </c>
      <c r="M1319" s="20">
        <v>63.0</v>
      </c>
      <c r="N1319" s="20">
        <v>15.0</v>
      </c>
      <c r="O1319" s="20">
        <v>13.0</v>
      </c>
      <c r="P1319" s="20">
        <f t="shared" si="2"/>
        <v>35</v>
      </c>
      <c r="Q1319" s="21">
        <v>16.0</v>
      </c>
      <c r="R1319" s="205">
        <f t="shared" si="3"/>
        <v>97.36191919</v>
      </c>
      <c r="S1319" s="19">
        <f t="shared" si="4"/>
        <v>3.434343434</v>
      </c>
      <c r="T1319" s="24">
        <f t="shared" si="5"/>
        <v>3.9375</v>
      </c>
      <c r="U1319" s="26">
        <f t="shared" si="6"/>
        <v>0.1246537396</v>
      </c>
      <c r="V1319" s="26">
        <f t="shared" si="7"/>
        <v>0.1440443213</v>
      </c>
      <c r="W1319" s="19">
        <f t="shared" si="8"/>
        <v>1.058823529</v>
      </c>
      <c r="X1319" s="20">
        <f t="shared" si="9"/>
        <v>680</v>
      </c>
      <c r="Y1319" s="27"/>
      <c r="Z1319" s="17"/>
      <c r="AA1319" s="17"/>
      <c r="AB1319" s="17"/>
      <c r="AC1319" s="17"/>
      <c r="AD1319" s="27"/>
    </row>
    <row r="1320" ht="15.75" customHeight="1">
      <c r="A1320" s="16" t="s">
        <v>2832</v>
      </c>
      <c r="B1320" s="16" t="s">
        <v>3119</v>
      </c>
      <c r="C1320" s="16" t="str">
        <f t="shared" si="11"/>
        <v>PackIt Gourmet The 'Big Easy' Cajun Gumbo</v>
      </c>
      <c r="D1320" s="17" t="s">
        <v>2846</v>
      </c>
      <c r="E1320" s="17" t="s">
        <v>2833</v>
      </c>
      <c r="F1320" s="17">
        <v>1.0</v>
      </c>
      <c r="G1320" s="19">
        <f t="shared" si="10"/>
        <v>4.021234942</v>
      </c>
      <c r="H1320" s="17">
        <v>114.0</v>
      </c>
      <c r="I1320" s="10">
        <v>390.0</v>
      </c>
      <c r="J1320" s="17">
        <v>4.0</v>
      </c>
      <c r="K1320" s="17">
        <v>1460.0</v>
      </c>
      <c r="L1320" s="17">
        <v>630.0</v>
      </c>
      <c r="M1320" s="20">
        <v>55.0</v>
      </c>
      <c r="N1320" s="20">
        <v>4.0</v>
      </c>
      <c r="O1320" s="20">
        <v>8.0</v>
      </c>
      <c r="P1320" s="20">
        <f t="shared" si="2"/>
        <v>43</v>
      </c>
      <c r="Q1320" s="21">
        <v>36.0</v>
      </c>
      <c r="R1320" s="205">
        <f t="shared" si="3"/>
        <v>96.98513158</v>
      </c>
      <c r="S1320" s="19">
        <f t="shared" si="4"/>
        <v>3.421052632</v>
      </c>
      <c r="T1320" s="24">
        <f t="shared" si="5"/>
        <v>1.527777778</v>
      </c>
      <c r="U1320" s="26">
        <f t="shared" si="6"/>
        <v>0.09</v>
      </c>
      <c r="V1320" s="26">
        <f t="shared" si="7"/>
        <v>0.08</v>
      </c>
      <c r="W1320" s="19">
        <f t="shared" si="8"/>
        <v>3.743589744</v>
      </c>
      <c r="X1320" s="20">
        <f t="shared" si="9"/>
        <v>390</v>
      </c>
      <c r="Y1320" s="27"/>
      <c r="Z1320" s="17"/>
      <c r="AA1320" s="17"/>
      <c r="AB1320" s="17"/>
      <c r="AC1320" s="17"/>
      <c r="AD1320" s="27"/>
    </row>
    <row r="1321" ht="15.75" customHeight="1">
      <c r="A1321" s="16" t="s">
        <v>3103</v>
      </c>
      <c r="B1321" s="16" t="s">
        <v>3120</v>
      </c>
      <c r="C1321" s="16" t="str">
        <f t="shared" si="11"/>
        <v>Patagonia Provisions Organic Black Bean Soup</v>
      </c>
      <c r="D1321" s="17" t="s">
        <v>2846</v>
      </c>
      <c r="E1321" s="17" t="s">
        <v>2833</v>
      </c>
      <c r="F1321" s="17">
        <v>2.0</v>
      </c>
      <c r="G1321" s="19">
        <f t="shared" si="10"/>
        <v>2.892467239</v>
      </c>
      <c r="H1321" s="17">
        <v>82.0</v>
      </c>
      <c r="I1321" s="10">
        <v>280.0</v>
      </c>
      <c r="J1321" s="17">
        <v>1.5</v>
      </c>
      <c r="K1321" s="17">
        <v>440.0</v>
      </c>
      <c r="L1321" s="17">
        <v>1160.0</v>
      </c>
      <c r="M1321" s="20">
        <v>54.0</v>
      </c>
      <c r="N1321" s="20">
        <v>13.0</v>
      </c>
      <c r="O1321" s="20">
        <v>4.0</v>
      </c>
      <c r="P1321" s="20">
        <f t="shared" si="2"/>
        <v>37</v>
      </c>
      <c r="Q1321" s="21">
        <v>17.0</v>
      </c>
      <c r="R1321" s="205">
        <f t="shared" si="3"/>
        <v>96.80317073</v>
      </c>
      <c r="S1321" s="19">
        <f t="shared" si="4"/>
        <v>3.414634146</v>
      </c>
      <c r="T1321" s="24">
        <f t="shared" si="5"/>
        <v>3.176470588</v>
      </c>
      <c r="U1321" s="26">
        <f t="shared" si="6"/>
        <v>0.04537815126</v>
      </c>
      <c r="V1321" s="26">
        <f t="shared" si="7"/>
        <v>0.05378151261</v>
      </c>
      <c r="W1321" s="19">
        <f t="shared" si="8"/>
        <v>1.571428571</v>
      </c>
      <c r="X1321" s="20">
        <f t="shared" si="9"/>
        <v>560</v>
      </c>
      <c r="Y1321" s="27"/>
      <c r="Z1321" s="17"/>
      <c r="AA1321" s="17"/>
      <c r="AB1321" s="17"/>
      <c r="AC1321" s="17"/>
      <c r="AD1321" s="27"/>
    </row>
    <row r="1322" ht="15.75" customHeight="1">
      <c r="A1322" s="16" t="s">
        <v>2891</v>
      </c>
      <c r="B1322" s="16" t="s">
        <v>3121</v>
      </c>
      <c r="C1322" s="16" t="str">
        <f t="shared" si="11"/>
        <v>Alpine Aire Mountain Chili</v>
      </c>
      <c r="D1322" s="17" t="s">
        <v>2846</v>
      </c>
      <c r="E1322" s="17" t="s">
        <v>2833</v>
      </c>
      <c r="F1322" s="17">
        <v>2.0</v>
      </c>
      <c r="G1322" s="19">
        <f t="shared" si="10"/>
        <v>2.998289211</v>
      </c>
      <c r="H1322" s="17">
        <v>85.0</v>
      </c>
      <c r="I1322" s="10">
        <v>290.0</v>
      </c>
      <c r="J1322" s="17">
        <v>2.0</v>
      </c>
      <c r="K1322" s="17">
        <v>590.0</v>
      </c>
      <c r="L1322" s="17">
        <v>2340.0</v>
      </c>
      <c r="M1322" s="20">
        <v>48.0</v>
      </c>
      <c r="N1322" s="20">
        <v>7.0</v>
      </c>
      <c r="O1322" s="20">
        <v>10.0</v>
      </c>
      <c r="P1322" s="20">
        <f t="shared" si="2"/>
        <v>31</v>
      </c>
      <c r="Q1322" s="21">
        <v>22.0</v>
      </c>
      <c r="R1322" s="205">
        <f t="shared" si="3"/>
        <v>96.72182353</v>
      </c>
      <c r="S1322" s="19">
        <f t="shared" si="4"/>
        <v>3.411764706</v>
      </c>
      <c r="T1322" s="24">
        <f t="shared" si="5"/>
        <v>2.181818182</v>
      </c>
      <c r="U1322" s="26">
        <f t="shared" si="6"/>
        <v>0.06040268456</v>
      </c>
      <c r="V1322" s="26">
        <f t="shared" si="7"/>
        <v>0.1342281879</v>
      </c>
      <c r="W1322" s="19">
        <f t="shared" si="8"/>
        <v>2.034482759</v>
      </c>
      <c r="X1322" s="20">
        <f t="shared" si="9"/>
        <v>580</v>
      </c>
      <c r="Y1322" s="27"/>
      <c r="Z1322" s="17"/>
      <c r="AA1322" s="17"/>
      <c r="AB1322" s="17"/>
      <c r="AC1322" s="17"/>
      <c r="AD1322" s="27"/>
    </row>
    <row r="1323" ht="15.75" customHeight="1">
      <c r="A1323" s="27" t="s">
        <v>1402</v>
      </c>
      <c r="B1323" s="27" t="s">
        <v>3122</v>
      </c>
      <c r="C1323" s="16" t="str">
        <f t="shared" si="11"/>
        <v>Backpacker's Pantry Lousiana Red Beans &amp; Rice</v>
      </c>
      <c r="D1323" s="17" t="s">
        <v>2880</v>
      </c>
      <c r="E1323" s="17" t="s">
        <v>2833</v>
      </c>
      <c r="F1323" s="17">
        <v>2.0</v>
      </c>
      <c r="G1323" s="19">
        <f t="shared" si="10"/>
        <v>2.998289211</v>
      </c>
      <c r="H1323" s="17">
        <v>85.0</v>
      </c>
      <c r="I1323" s="10">
        <v>290.0</v>
      </c>
      <c r="J1323" s="17">
        <v>1.5</v>
      </c>
      <c r="K1323" s="17">
        <v>1100.0</v>
      </c>
      <c r="L1323" s="17">
        <v>201.0</v>
      </c>
      <c r="M1323" s="20">
        <v>59.0</v>
      </c>
      <c r="N1323" s="20">
        <v>9.0</v>
      </c>
      <c r="O1323" s="20">
        <v>5.0</v>
      </c>
      <c r="P1323" s="20">
        <f t="shared" si="2"/>
        <v>45</v>
      </c>
      <c r="Q1323" s="21">
        <v>12.0</v>
      </c>
      <c r="R1323" s="205">
        <f t="shared" si="3"/>
        <v>96.72182353</v>
      </c>
      <c r="S1323" s="19">
        <f t="shared" si="4"/>
        <v>3.411764706</v>
      </c>
      <c r="T1323" s="24">
        <f t="shared" si="5"/>
        <v>4.916666667</v>
      </c>
      <c r="U1323" s="26">
        <f t="shared" si="6"/>
        <v>0.04537815126</v>
      </c>
      <c r="V1323" s="26">
        <f t="shared" si="7"/>
        <v>0.06722689076</v>
      </c>
      <c r="W1323" s="19">
        <f t="shared" si="8"/>
        <v>3.793103448</v>
      </c>
      <c r="X1323" s="20">
        <f t="shared" si="9"/>
        <v>580</v>
      </c>
      <c r="Y1323" s="27"/>
      <c r="Z1323" s="17"/>
      <c r="AA1323" s="17"/>
      <c r="AB1323" s="17"/>
      <c r="AC1323" s="17"/>
      <c r="AD1323" s="27"/>
    </row>
    <row r="1324" ht="15.75" customHeight="1">
      <c r="A1324" s="16" t="s">
        <v>2899</v>
      </c>
      <c r="B1324" s="16" t="s">
        <v>3123</v>
      </c>
      <c r="C1324" s="16" t="str">
        <f t="shared" si="11"/>
        <v>ReadyWise Basecamp Four Bean &amp; Vegetable Soup</v>
      </c>
      <c r="D1324" s="17" t="s">
        <v>2846</v>
      </c>
      <c r="E1324" s="17" t="s">
        <v>2833</v>
      </c>
      <c r="F1324" s="17">
        <v>2.5</v>
      </c>
      <c r="G1324" s="19">
        <f t="shared" si="10"/>
        <v>2.081165453</v>
      </c>
      <c r="H1324" s="17">
        <v>59.0</v>
      </c>
      <c r="I1324" s="10">
        <v>200.0</v>
      </c>
      <c r="J1324" s="17">
        <v>1.5</v>
      </c>
      <c r="K1324" s="17">
        <v>330.0</v>
      </c>
      <c r="L1324" s="17">
        <v>630.0</v>
      </c>
      <c r="M1324" s="20">
        <v>38.0</v>
      </c>
      <c r="N1324" s="20">
        <v>12.0</v>
      </c>
      <c r="O1324" s="20">
        <v>4.0</v>
      </c>
      <c r="P1324" s="20">
        <f t="shared" si="2"/>
        <v>22</v>
      </c>
      <c r="Q1324" s="21">
        <v>11.0</v>
      </c>
      <c r="R1324" s="205">
        <f t="shared" si="3"/>
        <v>96.1</v>
      </c>
      <c r="S1324" s="19">
        <f t="shared" si="4"/>
        <v>3.389830508</v>
      </c>
      <c r="T1324" s="24">
        <f t="shared" si="5"/>
        <v>3.454545455</v>
      </c>
      <c r="U1324" s="26">
        <f t="shared" si="6"/>
        <v>0.06443914081</v>
      </c>
      <c r="V1324" s="26">
        <f t="shared" si="7"/>
        <v>0.07637231504</v>
      </c>
      <c r="W1324" s="19">
        <f t="shared" si="8"/>
        <v>1.65</v>
      </c>
      <c r="X1324" s="20">
        <f t="shared" si="9"/>
        <v>500</v>
      </c>
      <c r="Y1324" s="27"/>
      <c r="Z1324" s="17"/>
      <c r="AA1324" s="17"/>
      <c r="AB1324" s="17"/>
      <c r="AC1324" s="17"/>
      <c r="AD1324" s="27"/>
    </row>
    <row r="1325" ht="15.75" customHeight="1">
      <c r="A1325" s="16" t="s">
        <v>3103</v>
      </c>
      <c r="B1325" s="16" t="s">
        <v>3124</v>
      </c>
      <c r="C1325" s="16" t="str">
        <f t="shared" si="11"/>
        <v>Patagonia Provisions Organic Red Bean Chili</v>
      </c>
      <c r="D1325" s="17" t="s">
        <v>2846</v>
      </c>
      <c r="E1325" s="17" t="s">
        <v>2833</v>
      </c>
      <c r="F1325" s="17">
        <v>2.5</v>
      </c>
      <c r="G1325" s="19">
        <f t="shared" si="10"/>
        <v>2.292809397</v>
      </c>
      <c r="H1325" s="17">
        <v>65.0</v>
      </c>
      <c r="I1325" s="10">
        <v>220.0</v>
      </c>
      <c r="J1325" s="17">
        <v>2.0</v>
      </c>
      <c r="K1325" s="17">
        <v>380.0</v>
      </c>
      <c r="L1325" s="17">
        <v>860.0</v>
      </c>
      <c r="M1325" s="20">
        <v>40.0</v>
      </c>
      <c r="N1325" s="20">
        <v>12.0</v>
      </c>
      <c r="O1325" s="20">
        <v>5.0</v>
      </c>
      <c r="P1325" s="20">
        <f t="shared" si="2"/>
        <v>23</v>
      </c>
      <c r="Q1325" s="21">
        <v>14.0</v>
      </c>
      <c r="R1325" s="205">
        <f t="shared" si="3"/>
        <v>95.95215385</v>
      </c>
      <c r="S1325" s="19">
        <f t="shared" si="4"/>
        <v>3.384615385</v>
      </c>
      <c r="T1325" s="24">
        <f t="shared" si="5"/>
        <v>2.857142857</v>
      </c>
      <c r="U1325" s="26">
        <f t="shared" si="6"/>
        <v>0.07692307692</v>
      </c>
      <c r="V1325" s="26">
        <f t="shared" si="7"/>
        <v>0.08547008547</v>
      </c>
      <c r="W1325" s="19">
        <f t="shared" si="8"/>
        <v>1.727272727</v>
      </c>
      <c r="X1325" s="20">
        <f t="shared" si="9"/>
        <v>550</v>
      </c>
      <c r="Y1325" s="27"/>
      <c r="Z1325" s="17"/>
      <c r="AA1325" s="17"/>
      <c r="AB1325" s="17"/>
      <c r="AC1325" s="17"/>
      <c r="AD1325" s="27"/>
    </row>
    <row r="1326" ht="15.75" customHeight="1">
      <c r="A1326" s="16" t="s">
        <v>3103</v>
      </c>
      <c r="B1326" s="16" t="s">
        <v>3125</v>
      </c>
      <c r="C1326" s="16" t="str">
        <f t="shared" si="11"/>
        <v>Patagonia Provisions Spicy Red Bean Chili</v>
      </c>
      <c r="D1326" s="17" t="s">
        <v>2846</v>
      </c>
      <c r="E1326" s="17" t="s">
        <v>2833</v>
      </c>
      <c r="F1326" s="17">
        <v>2.5</v>
      </c>
      <c r="G1326" s="19">
        <f t="shared" si="10"/>
        <v>2.292809397</v>
      </c>
      <c r="H1326" s="17">
        <v>65.0</v>
      </c>
      <c r="I1326" s="10">
        <v>220.0</v>
      </c>
      <c r="J1326" s="17">
        <v>2.0</v>
      </c>
      <c r="K1326" s="17">
        <v>380.0</v>
      </c>
      <c r="L1326" s="17">
        <v>1030.0</v>
      </c>
      <c r="M1326" s="20">
        <v>40.0</v>
      </c>
      <c r="N1326" s="20">
        <v>13.0</v>
      </c>
      <c r="O1326" s="20">
        <v>5.0</v>
      </c>
      <c r="P1326" s="20">
        <f t="shared" si="2"/>
        <v>22</v>
      </c>
      <c r="Q1326" s="21">
        <v>13.0</v>
      </c>
      <c r="R1326" s="205">
        <f t="shared" si="3"/>
        <v>95.95215385</v>
      </c>
      <c r="S1326" s="19">
        <f t="shared" si="4"/>
        <v>3.384615385</v>
      </c>
      <c r="T1326" s="24">
        <f t="shared" si="5"/>
        <v>3.076923077</v>
      </c>
      <c r="U1326" s="26">
        <f t="shared" si="6"/>
        <v>0.07826086957</v>
      </c>
      <c r="V1326" s="26">
        <f t="shared" si="7"/>
        <v>0.08695652174</v>
      </c>
      <c r="W1326" s="19">
        <f t="shared" si="8"/>
        <v>1.727272727</v>
      </c>
      <c r="X1326" s="20">
        <f t="shared" si="9"/>
        <v>550</v>
      </c>
      <c r="Y1326" s="27"/>
      <c r="Z1326" s="17"/>
      <c r="AA1326" s="17"/>
      <c r="AB1326" s="17"/>
      <c r="AC1326" s="17"/>
      <c r="AD1326" s="27"/>
    </row>
    <row r="1327" ht="15.75" customHeight="1">
      <c r="A1327" s="16" t="s">
        <v>3103</v>
      </c>
      <c r="B1327" s="16" t="s">
        <v>3126</v>
      </c>
      <c r="C1327" s="16" t="str">
        <f t="shared" si="11"/>
        <v>Patagonia Provisions Organic Savory Grains, Green Kale, Wheat</v>
      </c>
      <c r="D1327" s="17" t="s">
        <v>2846</v>
      </c>
      <c r="E1327" s="17" t="s">
        <v>2833</v>
      </c>
      <c r="F1327" s="17">
        <v>1.0</v>
      </c>
      <c r="G1327" s="19">
        <f t="shared" si="10"/>
        <v>3.88013898</v>
      </c>
      <c r="H1327" s="17">
        <v>110.0</v>
      </c>
      <c r="I1327" s="10">
        <v>370.0</v>
      </c>
      <c r="J1327" s="17">
        <v>2.5</v>
      </c>
      <c r="K1327" s="17">
        <v>450.0</v>
      </c>
      <c r="L1327" s="17">
        <v>600.0</v>
      </c>
      <c r="M1327" s="20">
        <v>77.0</v>
      </c>
      <c r="N1327" s="20">
        <v>12.0</v>
      </c>
      <c r="O1327" s="20">
        <v>5.0</v>
      </c>
      <c r="P1327" s="20">
        <f t="shared" si="2"/>
        <v>60</v>
      </c>
      <c r="Q1327" s="21">
        <v>16.0</v>
      </c>
      <c r="R1327" s="205">
        <f t="shared" si="3"/>
        <v>95.35740909</v>
      </c>
      <c r="S1327" s="19">
        <f t="shared" si="4"/>
        <v>3.363636364</v>
      </c>
      <c r="T1327" s="24">
        <f t="shared" si="5"/>
        <v>4.8125</v>
      </c>
      <c r="U1327" s="26">
        <f t="shared" si="6"/>
        <v>0.05703422053</v>
      </c>
      <c r="V1327" s="26">
        <f t="shared" si="7"/>
        <v>0.05069708492</v>
      </c>
      <c r="W1327" s="19">
        <f t="shared" si="8"/>
        <v>1.216216216</v>
      </c>
      <c r="X1327" s="20">
        <f t="shared" si="9"/>
        <v>370</v>
      </c>
      <c r="Y1327" s="27"/>
      <c r="Z1327" s="17"/>
      <c r="AA1327" s="17"/>
      <c r="AB1327" s="17"/>
      <c r="AC1327" s="17"/>
      <c r="AD1327" s="27"/>
    </row>
    <row r="1328" ht="15.75" customHeight="1">
      <c r="A1328" s="16" t="s">
        <v>2835</v>
      </c>
      <c r="B1328" s="16" t="s">
        <v>3127</v>
      </c>
      <c r="C1328" s="16" t="str">
        <f t="shared" si="11"/>
        <v>Trailtopia Ramen Noodles - Beef flavored Stroganoff</v>
      </c>
      <c r="D1328" s="17" t="s">
        <v>2846</v>
      </c>
      <c r="E1328" s="17" t="s">
        <v>2833</v>
      </c>
      <c r="F1328" s="17">
        <v>1.0</v>
      </c>
      <c r="G1328" s="19">
        <f t="shared" si="10"/>
        <v>2.716097286</v>
      </c>
      <c r="H1328" s="17">
        <v>77.0</v>
      </c>
      <c r="I1328" s="10">
        <v>258.0</v>
      </c>
      <c r="J1328" s="17">
        <v>6.0</v>
      </c>
      <c r="K1328" s="17">
        <v>600.0</v>
      </c>
      <c r="L1328" s="17"/>
      <c r="M1328" s="20">
        <v>43.0</v>
      </c>
      <c r="N1328" s="20">
        <v>3.0</v>
      </c>
      <c r="O1328" s="20">
        <v>8.0</v>
      </c>
      <c r="P1328" s="20">
        <f t="shared" si="2"/>
        <v>32</v>
      </c>
      <c r="Q1328" s="21">
        <v>11.0</v>
      </c>
      <c r="R1328" s="205">
        <f t="shared" si="3"/>
        <v>94.98923377</v>
      </c>
      <c r="S1328" s="19">
        <f t="shared" si="4"/>
        <v>3.350649351</v>
      </c>
      <c r="T1328" s="24">
        <f t="shared" si="5"/>
        <v>3.909090909</v>
      </c>
      <c r="U1328" s="26">
        <f t="shared" si="6"/>
        <v>0.2</v>
      </c>
      <c r="V1328" s="26">
        <f t="shared" si="7"/>
        <v>0.1185185185</v>
      </c>
      <c r="W1328" s="19">
        <f t="shared" si="8"/>
        <v>2.325581395</v>
      </c>
      <c r="X1328" s="20">
        <f t="shared" si="9"/>
        <v>258</v>
      </c>
      <c r="Y1328" s="27"/>
      <c r="Z1328" s="17"/>
      <c r="AA1328" s="17"/>
      <c r="AB1328" s="17"/>
      <c r="AC1328" s="17"/>
      <c r="AD1328" s="27"/>
    </row>
    <row r="1329" ht="15.75" customHeight="1">
      <c r="A1329" s="16" t="s">
        <v>2832</v>
      </c>
      <c r="B1329" s="16" t="s">
        <v>3128</v>
      </c>
      <c r="C1329" s="16" t="str">
        <f t="shared" si="11"/>
        <v>PackIt Gourmet Carrot Dices (Freeze-Dried)</v>
      </c>
      <c r="D1329" s="17" t="s">
        <v>33</v>
      </c>
      <c r="E1329" s="17" t="s">
        <v>2833</v>
      </c>
      <c r="F1329" s="17">
        <v>1.0</v>
      </c>
      <c r="G1329" s="19">
        <f t="shared" si="10"/>
        <v>2.010617471</v>
      </c>
      <c r="H1329" s="17">
        <v>57.0</v>
      </c>
      <c r="I1329" s="10">
        <v>190.0</v>
      </c>
      <c r="J1329" s="17">
        <v>1.0</v>
      </c>
      <c r="K1329" s="17">
        <v>160.0</v>
      </c>
      <c r="L1329" s="17">
        <v>1450.0</v>
      </c>
      <c r="M1329" s="20">
        <v>45.0</v>
      </c>
      <c r="N1329" s="20">
        <v>13.0</v>
      </c>
      <c r="O1329" s="20">
        <v>22.0</v>
      </c>
      <c r="P1329" s="20">
        <f t="shared" si="2"/>
        <v>10</v>
      </c>
      <c r="Q1329" s="21">
        <v>5.0</v>
      </c>
      <c r="R1329" s="205">
        <f t="shared" si="3"/>
        <v>94.49833333</v>
      </c>
      <c r="S1329" s="19">
        <f t="shared" si="4"/>
        <v>3.333333333</v>
      </c>
      <c r="T1329" s="24">
        <f t="shared" si="5"/>
        <v>9</v>
      </c>
      <c r="U1329" s="26">
        <f t="shared" si="6"/>
        <v>0.04306220096</v>
      </c>
      <c r="V1329" s="26">
        <f t="shared" si="7"/>
        <v>0.4210526316</v>
      </c>
      <c r="W1329" s="19">
        <f t="shared" si="8"/>
        <v>0.8421052632</v>
      </c>
      <c r="X1329" s="20">
        <f t="shared" si="9"/>
        <v>190</v>
      </c>
      <c r="Y1329" s="27"/>
      <c r="Z1329" s="17"/>
      <c r="AA1329" s="17"/>
      <c r="AB1329" s="17"/>
      <c r="AC1329" s="17"/>
      <c r="AD1329" s="27"/>
    </row>
    <row r="1330" ht="15.75" customHeight="1">
      <c r="A1330" s="16" t="s">
        <v>2832</v>
      </c>
      <c r="B1330" s="16" t="s">
        <v>3129</v>
      </c>
      <c r="C1330" s="16" t="str">
        <f t="shared" si="11"/>
        <v>PackIt Gourmet Corn, Sweet - Roasted (Freeze-Dried)</v>
      </c>
      <c r="D1330" s="17" t="s">
        <v>33</v>
      </c>
      <c r="E1330" s="17" t="s">
        <v>2833</v>
      </c>
      <c r="F1330" s="17">
        <v>1.0</v>
      </c>
      <c r="G1330" s="19">
        <f t="shared" si="10"/>
        <v>2.010617471</v>
      </c>
      <c r="H1330" s="17">
        <v>57.0</v>
      </c>
      <c r="I1330" s="10">
        <v>190.0</v>
      </c>
      <c r="J1330" s="17">
        <v>2.5</v>
      </c>
      <c r="K1330" s="17">
        <v>0.0</v>
      </c>
      <c r="L1330" s="17">
        <v>580.0</v>
      </c>
      <c r="M1330" s="20">
        <v>43.0</v>
      </c>
      <c r="N1330" s="20">
        <v>7.0</v>
      </c>
      <c r="O1330" s="20">
        <v>12.0</v>
      </c>
      <c r="P1330" s="20">
        <f t="shared" si="2"/>
        <v>24</v>
      </c>
      <c r="Q1330" s="21">
        <v>7.0</v>
      </c>
      <c r="R1330" s="205">
        <f t="shared" si="3"/>
        <v>94.49833333</v>
      </c>
      <c r="S1330" s="19">
        <f t="shared" si="4"/>
        <v>3.333333333</v>
      </c>
      <c r="T1330" s="24">
        <f t="shared" si="5"/>
        <v>6.142857143</v>
      </c>
      <c r="U1330" s="26">
        <f t="shared" si="6"/>
        <v>0.1011235955</v>
      </c>
      <c r="V1330" s="26">
        <f t="shared" si="7"/>
        <v>0.2157303371</v>
      </c>
      <c r="W1330" s="19">
        <f t="shared" si="8"/>
        <v>0</v>
      </c>
      <c r="X1330" s="20">
        <f t="shared" si="9"/>
        <v>190</v>
      </c>
      <c r="Y1330" s="27"/>
      <c r="Z1330" s="17"/>
      <c r="AA1330" s="17"/>
      <c r="AB1330" s="17"/>
      <c r="AC1330" s="17"/>
      <c r="AD1330" s="27"/>
    </row>
    <row r="1331" ht="15.75" customHeight="1">
      <c r="A1331" s="16" t="s">
        <v>2899</v>
      </c>
      <c r="B1331" s="16" t="s">
        <v>3130</v>
      </c>
      <c r="C1331" s="16" t="str">
        <f t="shared" si="11"/>
        <v>ReadyWise High Plateau Veggie Chili Soup</v>
      </c>
      <c r="D1331" s="17" t="s">
        <v>2846</v>
      </c>
      <c r="E1331" s="17" t="s">
        <v>2833</v>
      </c>
      <c r="F1331" s="17">
        <v>2.5</v>
      </c>
      <c r="G1331" s="19">
        <f t="shared" si="10"/>
        <v>2.010617471</v>
      </c>
      <c r="H1331" s="17">
        <v>57.0</v>
      </c>
      <c r="I1331" s="10">
        <v>190.0</v>
      </c>
      <c r="J1331" s="17">
        <v>1.0</v>
      </c>
      <c r="K1331" s="17">
        <v>720.0</v>
      </c>
      <c r="L1331" s="17">
        <v>570.0</v>
      </c>
      <c r="M1331" s="20">
        <v>38.0</v>
      </c>
      <c r="N1331" s="20">
        <v>8.0</v>
      </c>
      <c r="O1331" s="20">
        <v>2.0</v>
      </c>
      <c r="P1331" s="20">
        <f t="shared" si="2"/>
        <v>28</v>
      </c>
      <c r="Q1331" s="21">
        <v>8.0</v>
      </c>
      <c r="R1331" s="205">
        <f t="shared" si="3"/>
        <v>94.49833333</v>
      </c>
      <c r="S1331" s="19">
        <f t="shared" si="4"/>
        <v>3.333333333</v>
      </c>
      <c r="T1331" s="24">
        <f t="shared" si="5"/>
        <v>4.75</v>
      </c>
      <c r="U1331" s="26">
        <f t="shared" si="6"/>
        <v>0.04663212435</v>
      </c>
      <c r="V1331" s="26">
        <f t="shared" si="7"/>
        <v>0.0414507772</v>
      </c>
      <c r="W1331" s="19">
        <f t="shared" si="8"/>
        <v>3.789473684</v>
      </c>
      <c r="X1331" s="20">
        <f t="shared" si="9"/>
        <v>475</v>
      </c>
      <c r="Y1331" s="27"/>
      <c r="Z1331" s="17"/>
      <c r="AA1331" s="17"/>
      <c r="AB1331" s="17"/>
      <c r="AC1331" s="17"/>
      <c r="AD1331" s="27"/>
    </row>
    <row r="1332" ht="15.75" customHeight="1">
      <c r="A1332" s="16" t="s">
        <v>2832</v>
      </c>
      <c r="B1332" s="16" t="s">
        <v>3131</v>
      </c>
      <c r="C1332" s="16" t="str">
        <f t="shared" si="11"/>
        <v>PackIt Gourmet Dottie's Chicken &amp; Dumplings</v>
      </c>
      <c r="D1332" s="17" t="s">
        <v>2846</v>
      </c>
      <c r="E1332" s="17" t="s">
        <v>2833</v>
      </c>
      <c r="F1332" s="17">
        <v>1.0</v>
      </c>
      <c r="G1332" s="19">
        <f t="shared" si="10"/>
        <v>3.950686961</v>
      </c>
      <c r="H1332" s="17">
        <v>112.0</v>
      </c>
      <c r="I1332" s="10">
        <v>370.0</v>
      </c>
      <c r="J1332" s="17">
        <v>6.0</v>
      </c>
      <c r="K1332" s="17">
        <v>1420.0</v>
      </c>
      <c r="L1332" s="17">
        <v>370.0</v>
      </c>
      <c r="M1332" s="20">
        <v>34.0</v>
      </c>
      <c r="N1332" s="20">
        <v>2.0</v>
      </c>
      <c r="O1332" s="20">
        <v>6.0</v>
      </c>
      <c r="P1332" s="20">
        <f t="shared" si="2"/>
        <v>26</v>
      </c>
      <c r="Q1332" s="21">
        <v>44.0</v>
      </c>
      <c r="R1332" s="205">
        <f t="shared" si="3"/>
        <v>93.65459821</v>
      </c>
      <c r="S1332" s="19">
        <f t="shared" si="4"/>
        <v>3.303571429</v>
      </c>
      <c r="T1332" s="24">
        <f t="shared" si="5"/>
        <v>0.7727272727</v>
      </c>
      <c r="U1332" s="26">
        <f t="shared" si="6"/>
        <v>0.1475409836</v>
      </c>
      <c r="V1332" s="26">
        <f t="shared" si="7"/>
        <v>0.06557377049</v>
      </c>
      <c r="W1332" s="19">
        <f t="shared" si="8"/>
        <v>3.837837838</v>
      </c>
      <c r="X1332" s="20">
        <f t="shared" si="9"/>
        <v>370</v>
      </c>
      <c r="Y1332" s="27"/>
      <c r="Z1332" s="17"/>
      <c r="AA1332" s="17"/>
      <c r="AB1332" s="17"/>
      <c r="AC1332" s="17"/>
      <c r="AD1332" s="27"/>
    </row>
    <row r="1333" ht="15.75" customHeight="1">
      <c r="A1333" s="16" t="s">
        <v>3103</v>
      </c>
      <c r="B1333" s="16" t="s">
        <v>3132</v>
      </c>
      <c r="C1333" s="16" t="str">
        <f t="shared" si="11"/>
        <v>Patagonia Provisions Savory Grains, Mushroom, Wheat</v>
      </c>
      <c r="D1333" s="17" t="s">
        <v>2846</v>
      </c>
      <c r="E1333" s="17" t="s">
        <v>2833</v>
      </c>
      <c r="F1333" s="17">
        <v>1.0</v>
      </c>
      <c r="G1333" s="19">
        <f t="shared" si="10"/>
        <v>4.091782924</v>
      </c>
      <c r="H1333" s="17">
        <v>116.0</v>
      </c>
      <c r="I1333" s="10">
        <v>380.0</v>
      </c>
      <c r="J1333" s="17">
        <v>2.5</v>
      </c>
      <c r="K1333" s="17">
        <v>470.0</v>
      </c>
      <c r="L1333" s="17">
        <v>459.0</v>
      </c>
      <c r="M1333" s="20">
        <v>81.0</v>
      </c>
      <c r="N1333" s="20">
        <v>12.0</v>
      </c>
      <c r="O1333" s="20">
        <v>5.0</v>
      </c>
      <c r="P1333" s="20">
        <f t="shared" si="2"/>
        <v>64</v>
      </c>
      <c r="Q1333" s="21">
        <v>16.0</v>
      </c>
      <c r="R1333" s="205">
        <f t="shared" si="3"/>
        <v>92.86905172</v>
      </c>
      <c r="S1333" s="19">
        <f t="shared" si="4"/>
        <v>3.275862069</v>
      </c>
      <c r="T1333" s="24">
        <f t="shared" si="5"/>
        <v>5.0625</v>
      </c>
      <c r="U1333" s="26">
        <f t="shared" si="6"/>
        <v>0.05481120585</v>
      </c>
      <c r="V1333" s="26">
        <f t="shared" si="7"/>
        <v>0.04872107186</v>
      </c>
      <c r="W1333" s="19">
        <f t="shared" si="8"/>
        <v>1.236842105</v>
      </c>
      <c r="X1333" s="20">
        <f t="shared" si="9"/>
        <v>380</v>
      </c>
      <c r="Y1333" s="27"/>
      <c r="Z1333" s="17"/>
      <c r="AA1333" s="17"/>
      <c r="AB1333" s="17"/>
      <c r="AC1333" s="17"/>
      <c r="AD1333" s="27"/>
    </row>
    <row r="1334" ht="15.75" customHeight="1">
      <c r="A1334" s="16" t="s">
        <v>3103</v>
      </c>
      <c r="B1334" s="16" t="s">
        <v>3133</v>
      </c>
      <c r="C1334" s="16" t="str">
        <f t="shared" si="11"/>
        <v>Patagonia Provisions Organic Tsampa Soup</v>
      </c>
      <c r="D1334" s="17" t="s">
        <v>2846</v>
      </c>
      <c r="E1334" s="17" t="s">
        <v>2833</v>
      </c>
      <c r="F1334" s="17">
        <v>2.0</v>
      </c>
      <c r="G1334" s="19">
        <f t="shared" si="10"/>
        <v>1.410959629</v>
      </c>
      <c r="H1334" s="17">
        <v>40.0</v>
      </c>
      <c r="I1334" s="10">
        <v>130.0</v>
      </c>
      <c r="J1334" s="17">
        <v>0.5</v>
      </c>
      <c r="K1334" s="17">
        <v>470.0</v>
      </c>
      <c r="L1334" s="17"/>
      <c r="M1334" s="20">
        <v>29.0</v>
      </c>
      <c r="N1334" s="20">
        <v>5.0</v>
      </c>
      <c r="O1334" s="20">
        <v>2.0</v>
      </c>
      <c r="P1334" s="20">
        <f t="shared" si="2"/>
        <v>22</v>
      </c>
      <c r="Q1334" s="21">
        <v>4.0</v>
      </c>
      <c r="R1334" s="205">
        <f t="shared" si="3"/>
        <v>92.135875</v>
      </c>
      <c r="S1334" s="19">
        <f t="shared" si="4"/>
        <v>3.25</v>
      </c>
      <c r="T1334" s="24">
        <f t="shared" si="5"/>
        <v>7.25</v>
      </c>
      <c r="U1334" s="26">
        <f t="shared" si="6"/>
        <v>0.03296703297</v>
      </c>
      <c r="V1334" s="26">
        <f t="shared" si="7"/>
        <v>0.05860805861</v>
      </c>
      <c r="W1334" s="19">
        <f t="shared" si="8"/>
        <v>3.615384615</v>
      </c>
      <c r="X1334" s="20">
        <f t="shared" si="9"/>
        <v>260</v>
      </c>
      <c r="Y1334" s="27"/>
      <c r="Z1334" s="17"/>
      <c r="AA1334" s="17"/>
      <c r="AB1334" s="17"/>
      <c r="AC1334" s="17"/>
      <c r="AD1334" s="27"/>
    </row>
    <row r="1335" ht="15.75" customHeight="1">
      <c r="A1335" s="16" t="s">
        <v>3103</v>
      </c>
      <c r="B1335" s="16" t="s">
        <v>3134</v>
      </c>
      <c r="C1335" s="16" t="str">
        <f t="shared" si="11"/>
        <v>Patagonia Provisions Organic Green Lentil Soup</v>
      </c>
      <c r="D1335" s="17" t="s">
        <v>2846</v>
      </c>
      <c r="E1335" s="17" t="s">
        <v>2833</v>
      </c>
      <c r="F1335" s="17">
        <v>2.0</v>
      </c>
      <c r="G1335" s="19">
        <f t="shared" si="10"/>
        <v>2.292809397</v>
      </c>
      <c r="H1335" s="17">
        <v>65.0</v>
      </c>
      <c r="I1335" s="10">
        <v>210.0</v>
      </c>
      <c r="J1335" s="17">
        <v>1.5</v>
      </c>
      <c r="K1335" s="17">
        <v>420.0</v>
      </c>
      <c r="L1335" s="17">
        <v>430.0</v>
      </c>
      <c r="M1335" s="20">
        <v>40.0</v>
      </c>
      <c r="N1335" s="20">
        <v>7.0</v>
      </c>
      <c r="O1335" s="20">
        <v>1.0</v>
      </c>
      <c r="P1335" s="20">
        <f t="shared" si="2"/>
        <v>32</v>
      </c>
      <c r="Q1335" s="21">
        <v>13.0</v>
      </c>
      <c r="R1335" s="205">
        <f t="shared" si="3"/>
        <v>91.59069231</v>
      </c>
      <c r="S1335" s="19">
        <f t="shared" si="4"/>
        <v>3.230769231</v>
      </c>
      <c r="T1335" s="24">
        <f t="shared" si="5"/>
        <v>3.076923077</v>
      </c>
      <c r="U1335" s="26">
        <f t="shared" si="6"/>
        <v>0.05986696231</v>
      </c>
      <c r="V1335" s="26">
        <f t="shared" si="7"/>
        <v>0.0177383592</v>
      </c>
      <c r="W1335" s="19">
        <f t="shared" si="8"/>
        <v>2</v>
      </c>
      <c r="X1335" s="20">
        <f t="shared" si="9"/>
        <v>420</v>
      </c>
      <c r="Y1335" s="27"/>
      <c r="Z1335" s="17"/>
      <c r="AA1335" s="17"/>
      <c r="AB1335" s="17"/>
      <c r="AC1335" s="17"/>
      <c r="AD1335" s="27"/>
    </row>
    <row r="1336" ht="15.75" customHeight="1">
      <c r="A1336" s="16" t="s">
        <v>2832</v>
      </c>
      <c r="B1336" s="16" t="s">
        <v>3135</v>
      </c>
      <c r="C1336" s="16" t="str">
        <f t="shared" si="11"/>
        <v>PackIt Gourmet Bell Pepper Dices (Freeze-Dried)</v>
      </c>
      <c r="D1336" s="17" t="s">
        <v>33</v>
      </c>
      <c r="E1336" s="17" t="s">
        <v>2833</v>
      </c>
      <c r="F1336" s="17">
        <v>1.0</v>
      </c>
      <c r="G1336" s="19">
        <f t="shared" si="10"/>
        <v>0.4938358701</v>
      </c>
      <c r="H1336" s="17">
        <v>14.0</v>
      </c>
      <c r="I1336" s="10">
        <v>45.0</v>
      </c>
      <c r="J1336" s="17">
        <v>0.0</v>
      </c>
      <c r="K1336" s="17">
        <v>0.0</v>
      </c>
      <c r="L1336" s="17">
        <v>300.0</v>
      </c>
      <c r="M1336" s="20">
        <v>11.0</v>
      </c>
      <c r="N1336" s="20">
        <v>3.0</v>
      </c>
      <c r="O1336" s="20">
        <v>4.0</v>
      </c>
      <c r="P1336" s="20">
        <f t="shared" si="2"/>
        <v>4</v>
      </c>
      <c r="Q1336" s="21">
        <v>2.0</v>
      </c>
      <c r="R1336" s="205">
        <f t="shared" si="3"/>
        <v>91.12339286</v>
      </c>
      <c r="S1336" s="19">
        <f t="shared" si="4"/>
        <v>3.214285714</v>
      </c>
      <c r="T1336" s="24">
        <f t="shared" si="5"/>
        <v>5.5</v>
      </c>
      <c r="U1336" s="26" t="str">
        <f t="shared" si="6"/>
        <v>0%</v>
      </c>
      <c r="V1336" s="26">
        <f t="shared" si="7"/>
        <v>0.3076923077</v>
      </c>
      <c r="W1336" s="19">
        <f t="shared" si="8"/>
        <v>0</v>
      </c>
      <c r="X1336" s="20">
        <f t="shared" si="9"/>
        <v>45</v>
      </c>
      <c r="Y1336" s="27"/>
      <c r="Z1336" s="17"/>
      <c r="AA1336" s="17"/>
      <c r="AB1336" s="17"/>
      <c r="AC1336" s="17"/>
      <c r="AD1336" s="27"/>
    </row>
    <row r="1337" ht="15.75" customHeight="1">
      <c r="A1337" s="16" t="s">
        <v>2832</v>
      </c>
      <c r="B1337" s="16" t="s">
        <v>3136</v>
      </c>
      <c r="C1337" s="16" t="str">
        <f t="shared" si="11"/>
        <v>PackIt Gourmet Celery - Chopped (Freeze-Dried)</v>
      </c>
      <c r="D1337" s="17" t="s">
        <v>33</v>
      </c>
      <c r="E1337" s="17" t="s">
        <v>2833</v>
      </c>
      <c r="F1337" s="17">
        <v>1.0</v>
      </c>
      <c r="G1337" s="19">
        <f t="shared" si="10"/>
        <v>0.4938358701</v>
      </c>
      <c r="H1337" s="17">
        <v>14.0</v>
      </c>
      <c r="I1337" s="10">
        <v>45.0</v>
      </c>
      <c r="J1337" s="17">
        <v>0.0</v>
      </c>
      <c r="K1337" s="17">
        <v>220.0</v>
      </c>
      <c r="L1337" s="17">
        <v>0.0</v>
      </c>
      <c r="M1337" s="20">
        <v>3.0</v>
      </c>
      <c r="N1337" s="20">
        <v>0.0</v>
      </c>
      <c r="O1337" s="20">
        <v>3.0</v>
      </c>
      <c r="P1337" s="20">
        <f t="shared" si="2"/>
        <v>0</v>
      </c>
      <c r="Q1337" s="21">
        <v>2.0</v>
      </c>
      <c r="R1337" s="205">
        <f t="shared" si="3"/>
        <v>91.12339286</v>
      </c>
      <c r="S1337" s="19">
        <f t="shared" si="4"/>
        <v>3.214285714</v>
      </c>
      <c r="T1337" s="24">
        <f t="shared" si="5"/>
        <v>1.5</v>
      </c>
      <c r="U1337" s="26" t="str">
        <f t="shared" si="6"/>
        <v>0%</v>
      </c>
      <c r="V1337" s="26">
        <f t="shared" si="7"/>
        <v>0.6</v>
      </c>
      <c r="W1337" s="19">
        <f t="shared" si="8"/>
        <v>4.888888889</v>
      </c>
      <c r="X1337" s="20">
        <f t="shared" si="9"/>
        <v>45</v>
      </c>
      <c r="Y1337" s="27"/>
      <c r="Z1337" s="17"/>
      <c r="AA1337" s="17"/>
      <c r="AB1337" s="17"/>
      <c r="AC1337" s="17"/>
      <c r="AD1337" s="27"/>
    </row>
    <row r="1338" ht="15.75" customHeight="1">
      <c r="A1338" s="16" t="s">
        <v>2832</v>
      </c>
      <c r="B1338" s="16" t="s">
        <v>3137</v>
      </c>
      <c r="C1338" s="16" t="str">
        <f t="shared" si="11"/>
        <v>PackIt Gourmet Jalapeno Pepper Dices (Freeze-Dried)</v>
      </c>
      <c r="D1338" s="17" t="s">
        <v>33</v>
      </c>
      <c r="E1338" s="17" t="s">
        <v>2833</v>
      </c>
      <c r="F1338" s="17">
        <v>1.0</v>
      </c>
      <c r="G1338" s="19">
        <f t="shared" si="10"/>
        <v>0.9876717402</v>
      </c>
      <c r="H1338" s="17">
        <v>28.0</v>
      </c>
      <c r="I1338" s="10">
        <v>90.0</v>
      </c>
      <c r="J1338" s="17">
        <v>1.0</v>
      </c>
      <c r="K1338" s="17">
        <v>10.0</v>
      </c>
      <c r="L1338" s="17">
        <v>790.0</v>
      </c>
      <c r="M1338" s="20">
        <v>21.0</v>
      </c>
      <c r="N1338" s="20">
        <v>8.0</v>
      </c>
      <c r="O1338" s="20">
        <v>12.0</v>
      </c>
      <c r="P1338" s="20">
        <f t="shared" si="2"/>
        <v>1</v>
      </c>
      <c r="Q1338" s="21">
        <v>3.0</v>
      </c>
      <c r="R1338" s="205">
        <f t="shared" si="3"/>
        <v>91.12339286</v>
      </c>
      <c r="S1338" s="19">
        <f t="shared" si="4"/>
        <v>3.214285714</v>
      </c>
      <c r="T1338" s="24">
        <f t="shared" si="5"/>
        <v>7</v>
      </c>
      <c r="U1338" s="26">
        <f t="shared" si="6"/>
        <v>0.08571428571</v>
      </c>
      <c r="V1338" s="26">
        <f t="shared" si="7"/>
        <v>0.4571428571</v>
      </c>
      <c r="W1338" s="19">
        <f t="shared" si="8"/>
        <v>0.1111111111</v>
      </c>
      <c r="X1338" s="20">
        <f t="shared" si="9"/>
        <v>90</v>
      </c>
      <c r="Y1338" s="27"/>
      <c r="Z1338" s="17"/>
      <c r="AA1338" s="17"/>
      <c r="AB1338" s="17"/>
      <c r="AC1338" s="17"/>
      <c r="AD1338" s="27"/>
    </row>
    <row r="1339" ht="15.75" customHeight="1">
      <c r="A1339" s="16" t="s">
        <v>2832</v>
      </c>
      <c r="B1339" s="16" t="s">
        <v>3138</v>
      </c>
      <c r="C1339" s="16" t="str">
        <f t="shared" si="11"/>
        <v>PackIt Gourmet Happy Hour Pico de Gallo Salsa</v>
      </c>
      <c r="D1339" s="17" t="s">
        <v>2880</v>
      </c>
      <c r="E1339" s="17" t="s">
        <v>2839</v>
      </c>
      <c r="F1339" s="17">
        <v>2.0</v>
      </c>
      <c r="G1339" s="19">
        <f t="shared" si="10"/>
        <v>0.388013898</v>
      </c>
      <c r="H1339" s="17">
        <v>11.0</v>
      </c>
      <c r="I1339" s="10">
        <v>35.0</v>
      </c>
      <c r="J1339" s="17">
        <v>0.0</v>
      </c>
      <c r="K1339" s="17">
        <v>300.0</v>
      </c>
      <c r="L1339" s="17">
        <v>60.0</v>
      </c>
      <c r="M1339" s="20">
        <v>7.0</v>
      </c>
      <c r="N1339" s="20">
        <v>1.0</v>
      </c>
      <c r="O1339" s="20">
        <v>4.0</v>
      </c>
      <c r="P1339" s="20">
        <f t="shared" si="2"/>
        <v>2</v>
      </c>
      <c r="Q1339" s="21">
        <v>1.0</v>
      </c>
      <c r="R1339" s="205">
        <f t="shared" si="3"/>
        <v>90.20295455</v>
      </c>
      <c r="S1339" s="19">
        <f t="shared" si="4"/>
        <v>3.181818182</v>
      </c>
      <c r="T1339" s="24">
        <f t="shared" si="5"/>
        <v>7</v>
      </c>
      <c r="U1339" s="26" t="str">
        <f t="shared" si="6"/>
        <v>0%</v>
      </c>
      <c r="V1339" s="26">
        <f t="shared" si="7"/>
        <v>0.5</v>
      </c>
      <c r="W1339" s="19">
        <f t="shared" si="8"/>
        <v>8.571428571</v>
      </c>
      <c r="X1339" s="20">
        <f t="shared" si="9"/>
        <v>70</v>
      </c>
      <c r="Y1339" s="27"/>
      <c r="Z1339" s="17"/>
      <c r="AA1339" s="17"/>
      <c r="AB1339" s="17"/>
      <c r="AC1339" s="17"/>
      <c r="AD1339" s="27"/>
    </row>
    <row r="1340" ht="15.75" customHeight="1">
      <c r="A1340" s="16" t="s">
        <v>2832</v>
      </c>
      <c r="B1340" s="16" t="s">
        <v>3139</v>
      </c>
      <c r="C1340" s="16" t="str">
        <f t="shared" si="11"/>
        <v>PackIt Gourmet Tomato Dices (Freeze-Dried)</v>
      </c>
      <c r="D1340" s="17" t="s">
        <v>33</v>
      </c>
      <c r="E1340" s="17" t="s">
        <v>2833</v>
      </c>
      <c r="F1340" s="17">
        <v>1.0</v>
      </c>
      <c r="G1340" s="19">
        <f t="shared" si="10"/>
        <v>2.010617471</v>
      </c>
      <c r="H1340" s="17">
        <v>57.0</v>
      </c>
      <c r="I1340" s="10">
        <v>180.0</v>
      </c>
      <c r="J1340" s="17">
        <v>2.0</v>
      </c>
      <c r="K1340" s="17">
        <v>50.0</v>
      </c>
      <c r="L1340" s="17">
        <v>2320.0</v>
      </c>
      <c r="M1340" s="20">
        <v>38.0</v>
      </c>
      <c r="N1340" s="20">
        <v>12.0</v>
      </c>
      <c r="O1340" s="20">
        <v>26.0</v>
      </c>
      <c r="P1340" s="20">
        <f t="shared" si="2"/>
        <v>0</v>
      </c>
      <c r="Q1340" s="21">
        <v>9.0</v>
      </c>
      <c r="R1340" s="205">
        <f t="shared" si="3"/>
        <v>89.52473684</v>
      </c>
      <c r="S1340" s="19">
        <f t="shared" si="4"/>
        <v>3.157894737</v>
      </c>
      <c r="T1340" s="24">
        <f t="shared" si="5"/>
        <v>4.222222222</v>
      </c>
      <c r="U1340" s="26">
        <f t="shared" si="6"/>
        <v>0.08737864078</v>
      </c>
      <c r="V1340" s="26">
        <f t="shared" si="7"/>
        <v>0.5048543689</v>
      </c>
      <c r="W1340" s="19">
        <f t="shared" si="8"/>
        <v>0.2777777778</v>
      </c>
      <c r="X1340" s="20">
        <f t="shared" si="9"/>
        <v>180</v>
      </c>
      <c r="Y1340" s="27"/>
      <c r="Z1340" s="17"/>
      <c r="AA1340" s="17"/>
      <c r="AB1340" s="17"/>
      <c r="AC1340" s="17"/>
      <c r="AD1340" s="27"/>
    </row>
    <row r="1341" ht="15.75" customHeight="1">
      <c r="A1341" s="16" t="s">
        <v>2832</v>
      </c>
      <c r="B1341" s="16" t="s">
        <v>3140</v>
      </c>
      <c r="C1341" s="16" t="str">
        <f t="shared" si="11"/>
        <v>PackIt Gourmet Vegetable Blend - Chopped (Freeze-Dried)</v>
      </c>
      <c r="D1341" s="17" t="s">
        <v>33</v>
      </c>
      <c r="E1341" s="17" t="s">
        <v>2833</v>
      </c>
      <c r="F1341" s="17">
        <v>1.0</v>
      </c>
      <c r="G1341" s="19">
        <f t="shared" si="10"/>
        <v>2.010617471</v>
      </c>
      <c r="H1341" s="17">
        <v>57.0</v>
      </c>
      <c r="I1341" s="10">
        <v>180.0</v>
      </c>
      <c r="J1341" s="17">
        <v>1.0</v>
      </c>
      <c r="K1341" s="17">
        <v>160.0</v>
      </c>
      <c r="L1341" s="17">
        <v>1430.0</v>
      </c>
      <c r="M1341" s="20">
        <v>43.0</v>
      </c>
      <c r="N1341" s="20">
        <v>5.0</v>
      </c>
      <c r="O1341" s="20">
        <v>17.0</v>
      </c>
      <c r="P1341" s="20">
        <f t="shared" si="2"/>
        <v>21</v>
      </c>
      <c r="Q1341" s="21">
        <v>7.0</v>
      </c>
      <c r="R1341" s="205">
        <f t="shared" si="3"/>
        <v>89.52473684</v>
      </c>
      <c r="S1341" s="19">
        <f t="shared" si="4"/>
        <v>3.157894737</v>
      </c>
      <c r="T1341" s="24">
        <f t="shared" si="5"/>
        <v>6.142857143</v>
      </c>
      <c r="U1341" s="26">
        <f t="shared" si="6"/>
        <v>0.04306220096</v>
      </c>
      <c r="V1341" s="26">
        <f t="shared" si="7"/>
        <v>0.3253588517</v>
      </c>
      <c r="W1341" s="19">
        <f t="shared" si="8"/>
        <v>0.8888888889</v>
      </c>
      <c r="X1341" s="20">
        <f t="shared" si="9"/>
        <v>180</v>
      </c>
      <c r="Y1341" s="27"/>
      <c r="Z1341" s="17"/>
      <c r="AA1341" s="17"/>
      <c r="AB1341" s="17"/>
      <c r="AC1341" s="17"/>
      <c r="AD1341" s="27"/>
    </row>
    <row r="1342" ht="15.75" customHeight="1">
      <c r="A1342" s="16" t="s">
        <v>2832</v>
      </c>
      <c r="B1342" s="16" t="s">
        <v>3141</v>
      </c>
      <c r="C1342" s="16" t="str">
        <f t="shared" si="11"/>
        <v>PackIt Gourmet Ramen Rescue with Chicken (BYO-Ramen)</v>
      </c>
      <c r="D1342" s="17" t="s">
        <v>2846</v>
      </c>
      <c r="E1342" s="17" t="s">
        <v>2833</v>
      </c>
      <c r="F1342" s="17">
        <v>1.0</v>
      </c>
      <c r="G1342" s="19">
        <f t="shared" si="10"/>
        <v>0.6702058237</v>
      </c>
      <c r="H1342" s="17">
        <v>19.0</v>
      </c>
      <c r="I1342" s="10">
        <v>60.0</v>
      </c>
      <c r="J1342" s="17">
        <v>0.5</v>
      </c>
      <c r="K1342" s="17">
        <v>40.0</v>
      </c>
      <c r="L1342" s="17">
        <v>280.0</v>
      </c>
      <c r="M1342" s="20">
        <v>11.0</v>
      </c>
      <c r="N1342" s="20">
        <v>3.0</v>
      </c>
      <c r="O1342" s="20">
        <v>5.0</v>
      </c>
      <c r="P1342" s="20">
        <f t="shared" si="2"/>
        <v>3</v>
      </c>
      <c r="Q1342" s="21">
        <v>6.0</v>
      </c>
      <c r="R1342" s="205">
        <f t="shared" si="3"/>
        <v>89.52473684</v>
      </c>
      <c r="S1342" s="19">
        <f t="shared" si="4"/>
        <v>3.157894737</v>
      </c>
      <c r="T1342" s="24">
        <f t="shared" si="5"/>
        <v>1.833333333</v>
      </c>
      <c r="U1342" s="26">
        <f t="shared" si="6"/>
        <v>0.06206896552</v>
      </c>
      <c r="V1342" s="26">
        <f t="shared" si="7"/>
        <v>0.275862069</v>
      </c>
      <c r="W1342" s="19">
        <f t="shared" si="8"/>
        <v>0.6666666667</v>
      </c>
      <c r="X1342" s="20">
        <f t="shared" si="9"/>
        <v>60</v>
      </c>
      <c r="Y1342" s="27"/>
      <c r="Z1342" s="17"/>
      <c r="AA1342" s="17"/>
      <c r="AB1342" s="17"/>
      <c r="AC1342" s="17"/>
      <c r="AD1342" s="27"/>
    </row>
    <row r="1343" ht="15.75" customHeight="1">
      <c r="A1343" s="16" t="s">
        <v>2832</v>
      </c>
      <c r="B1343" s="16" t="s">
        <v>3142</v>
      </c>
      <c r="C1343" s="16" t="str">
        <f t="shared" si="11"/>
        <v>PackIt Gourmet Vegetable Ramen Rescue (BYO-Ramen)</v>
      </c>
      <c r="D1343" s="17" t="s">
        <v>2846</v>
      </c>
      <c r="E1343" s="17" t="s">
        <v>2833</v>
      </c>
      <c r="F1343" s="17">
        <v>1.0</v>
      </c>
      <c r="G1343" s="19">
        <f t="shared" si="10"/>
        <v>0.6702058237</v>
      </c>
      <c r="H1343" s="17">
        <v>19.0</v>
      </c>
      <c r="I1343" s="10">
        <v>60.0</v>
      </c>
      <c r="J1343" s="17">
        <v>0.5</v>
      </c>
      <c r="K1343" s="17">
        <v>45.0</v>
      </c>
      <c r="L1343" s="17">
        <v>360.0</v>
      </c>
      <c r="M1343" s="20">
        <v>14.0</v>
      </c>
      <c r="N1343" s="20">
        <v>4.0</v>
      </c>
      <c r="O1343" s="20">
        <v>6.0</v>
      </c>
      <c r="P1343" s="20">
        <f t="shared" si="2"/>
        <v>4</v>
      </c>
      <c r="Q1343" s="21">
        <v>2.0</v>
      </c>
      <c r="R1343" s="205">
        <f t="shared" si="3"/>
        <v>89.52473684</v>
      </c>
      <c r="S1343" s="19">
        <f t="shared" si="4"/>
        <v>3.157894737</v>
      </c>
      <c r="T1343" s="24">
        <f t="shared" si="5"/>
        <v>7</v>
      </c>
      <c r="U1343" s="26">
        <f t="shared" si="6"/>
        <v>0.06569343066</v>
      </c>
      <c r="V1343" s="26">
        <f t="shared" si="7"/>
        <v>0.3503649635</v>
      </c>
      <c r="W1343" s="19">
        <f t="shared" si="8"/>
        <v>0.75</v>
      </c>
      <c r="X1343" s="20">
        <f t="shared" si="9"/>
        <v>60</v>
      </c>
      <c r="Y1343" s="27"/>
      <c r="Z1343" s="17"/>
      <c r="AA1343" s="17"/>
      <c r="AB1343" s="17"/>
      <c r="AC1343" s="17"/>
      <c r="AD1343" s="27"/>
    </row>
    <row r="1344" ht="15.75" customHeight="1">
      <c r="A1344" s="16" t="s">
        <v>1402</v>
      </c>
      <c r="B1344" s="16" t="s">
        <v>3143</v>
      </c>
      <c r="C1344" s="16" t="str">
        <f t="shared" si="11"/>
        <v>Backpacker's Pantry Organic Hot Cinnamon, Apple, Oats &amp; Quinoa Cereal</v>
      </c>
      <c r="D1344" s="17" t="s">
        <v>92</v>
      </c>
      <c r="E1344" s="17" t="s">
        <v>2833</v>
      </c>
      <c r="F1344" s="17">
        <v>1.0</v>
      </c>
      <c r="G1344" s="19">
        <f t="shared" si="10"/>
        <v>4.091782924</v>
      </c>
      <c r="H1344" s="17">
        <v>116.0</v>
      </c>
      <c r="I1344" s="10">
        <v>360.0</v>
      </c>
      <c r="J1344" s="17">
        <v>4.5</v>
      </c>
      <c r="K1344" s="17">
        <v>230.0</v>
      </c>
      <c r="L1344" s="17">
        <v>418.0</v>
      </c>
      <c r="M1344" s="20">
        <v>70.0</v>
      </c>
      <c r="N1344" s="20">
        <v>8.0</v>
      </c>
      <c r="O1344" s="20">
        <v>22.0</v>
      </c>
      <c r="P1344" s="20">
        <f t="shared" si="2"/>
        <v>40</v>
      </c>
      <c r="Q1344" s="21">
        <v>10.0</v>
      </c>
      <c r="R1344" s="205">
        <f t="shared" si="3"/>
        <v>87.9812069</v>
      </c>
      <c r="S1344" s="19">
        <f t="shared" si="4"/>
        <v>3.103448276</v>
      </c>
      <c r="T1344" s="24">
        <f t="shared" si="5"/>
        <v>7</v>
      </c>
      <c r="U1344" s="26">
        <f t="shared" si="6"/>
        <v>0.1123439667</v>
      </c>
      <c r="V1344" s="26">
        <f t="shared" si="7"/>
        <v>0.2441054092</v>
      </c>
      <c r="W1344" s="19">
        <f t="shared" si="8"/>
        <v>0.6388888889</v>
      </c>
      <c r="X1344" s="20">
        <f t="shared" si="9"/>
        <v>360</v>
      </c>
      <c r="Y1344" s="27"/>
      <c r="Z1344" s="17"/>
      <c r="AA1344" s="17"/>
      <c r="AB1344" s="17"/>
      <c r="AC1344" s="17"/>
      <c r="AD1344" s="27"/>
    </row>
    <row r="1345" ht="15.75" customHeight="1">
      <c r="A1345" s="16" t="s">
        <v>2835</v>
      </c>
      <c r="B1345" s="16" t="s">
        <v>3144</v>
      </c>
      <c r="C1345" s="16" t="str">
        <f t="shared" si="11"/>
        <v>Trailtopia Ramen Noodles - Curry</v>
      </c>
      <c r="D1345" s="17" t="s">
        <v>2846</v>
      </c>
      <c r="E1345" s="17" t="s">
        <v>2833</v>
      </c>
      <c r="F1345" s="17">
        <v>1.0</v>
      </c>
      <c r="G1345" s="19">
        <f t="shared" si="10"/>
        <v>2.469179351</v>
      </c>
      <c r="H1345" s="17">
        <v>70.0</v>
      </c>
      <c r="I1345" s="10">
        <v>216.0</v>
      </c>
      <c r="J1345" s="17">
        <v>1.0</v>
      </c>
      <c r="K1345" s="17">
        <v>241.0</v>
      </c>
      <c r="L1345" s="17"/>
      <c r="M1345" s="20">
        <v>43.0</v>
      </c>
      <c r="N1345" s="20">
        <v>3.0</v>
      </c>
      <c r="O1345" s="20">
        <v>8.0</v>
      </c>
      <c r="P1345" s="20">
        <f t="shared" si="2"/>
        <v>32</v>
      </c>
      <c r="Q1345" s="21">
        <v>12.0</v>
      </c>
      <c r="R1345" s="205">
        <f t="shared" si="3"/>
        <v>87.47845714</v>
      </c>
      <c r="S1345" s="19">
        <f t="shared" si="4"/>
        <v>3.085714286</v>
      </c>
      <c r="T1345" s="24">
        <f t="shared" si="5"/>
        <v>3.583333333</v>
      </c>
      <c r="U1345" s="26">
        <f t="shared" si="6"/>
        <v>0.03930131004</v>
      </c>
      <c r="V1345" s="26">
        <f t="shared" si="7"/>
        <v>0.1397379913</v>
      </c>
      <c r="W1345" s="19">
        <f t="shared" si="8"/>
        <v>1.115740741</v>
      </c>
      <c r="X1345" s="20">
        <f t="shared" si="9"/>
        <v>216</v>
      </c>
      <c r="Y1345" s="27"/>
      <c r="Z1345" s="17"/>
      <c r="AA1345" s="17"/>
      <c r="AB1345" s="17"/>
      <c r="AC1345" s="17"/>
      <c r="AD1345" s="27"/>
    </row>
    <row r="1346" ht="15.75" customHeight="1">
      <c r="A1346" s="16" t="s">
        <v>2835</v>
      </c>
      <c r="B1346" s="16" t="s">
        <v>3145</v>
      </c>
      <c r="C1346" s="16" t="str">
        <f t="shared" si="11"/>
        <v>Trailtopia Ramen Noodles - Chicken flavored with Broccoli</v>
      </c>
      <c r="D1346" s="17" t="s">
        <v>2846</v>
      </c>
      <c r="E1346" s="17" t="s">
        <v>2833</v>
      </c>
      <c r="F1346" s="17">
        <v>1.0</v>
      </c>
      <c r="G1346" s="19">
        <f t="shared" si="10"/>
        <v>2.257535406</v>
      </c>
      <c r="H1346" s="17">
        <v>64.0</v>
      </c>
      <c r="I1346" s="10">
        <v>190.0</v>
      </c>
      <c r="J1346" s="17">
        <v>1.0</v>
      </c>
      <c r="K1346" s="17">
        <v>998.0</v>
      </c>
      <c r="L1346" s="17"/>
      <c r="M1346" s="20">
        <v>38.0</v>
      </c>
      <c r="N1346" s="20">
        <v>2.0</v>
      </c>
      <c r="O1346" s="20">
        <v>3.0</v>
      </c>
      <c r="P1346" s="20">
        <f t="shared" si="2"/>
        <v>33</v>
      </c>
      <c r="Q1346" s="21">
        <v>9.0</v>
      </c>
      <c r="R1346" s="205">
        <f t="shared" si="3"/>
        <v>84.16257813</v>
      </c>
      <c r="S1346" s="19">
        <f t="shared" si="4"/>
        <v>2.96875</v>
      </c>
      <c r="T1346" s="24">
        <f t="shared" si="5"/>
        <v>4.222222222</v>
      </c>
      <c r="U1346" s="26">
        <f t="shared" si="6"/>
        <v>0.04568527919</v>
      </c>
      <c r="V1346" s="26">
        <f t="shared" si="7"/>
        <v>0.06091370558</v>
      </c>
      <c r="W1346" s="19">
        <f t="shared" si="8"/>
        <v>5.252631579</v>
      </c>
      <c r="X1346" s="20">
        <f t="shared" si="9"/>
        <v>190</v>
      </c>
      <c r="Y1346" s="27"/>
      <c r="Z1346" s="17"/>
      <c r="AA1346" s="17"/>
      <c r="AB1346" s="17"/>
      <c r="AC1346" s="17"/>
      <c r="AD1346" s="27"/>
    </row>
    <row r="1347" ht="15.75" customHeight="1">
      <c r="A1347" s="16" t="s">
        <v>2835</v>
      </c>
      <c r="B1347" s="16" t="s">
        <v>3146</v>
      </c>
      <c r="C1347" s="16" t="str">
        <f t="shared" si="11"/>
        <v>Trailtopia Ramen Noodles - Beef with Vegetables &amp; Mushrooms</v>
      </c>
      <c r="D1347" s="17" t="s">
        <v>2846</v>
      </c>
      <c r="E1347" s="17" t="s">
        <v>2833</v>
      </c>
      <c r="F1347" s="17">
        <v>1.0</v>
      </c>
      <c r="G1347" s="19">
        <f t="shared" si="10"/>
        <v>2.398631369</v>
      </c>
      <c r="H1347" s="17">
        <v>68.0</v>
      </c>
      <c r="I1347" s="10">
        <v>200.0</v>
      </c>
      <c r="J1347" s="17">
        <v>1.0</v>
      </c>
      <c r="K1347" s="17">
        <v>600.0</v>
      </c>
      <c r="L1347" s="17"/>
      <c r="M1347" s="20">
        <v>41.0</v>
      </c>
      <c r="N1347" s="20">
        <v>2.0</v>
      </c>
      <c r="O1347" s="20">
        <v>4.0</v>
      </c>
      <c r="P1347" s="20">
        <f t="shared" si="2"/>
        <v>35</v>
      </c>
      <c r="Q1347" s="21">
        <v>11.0</v>
      </c>
      <c r="R1347" s="205">
        <f t="shared" si="3"/>
        <v>83.38088235</v>
      </c>
      <c r="S1347" s="19">
        <f t="shared" si="4"/>
        <v>2.941176471</v>
      </c>
      <c r="T1347" s="24">
        <f t="shared" si="5"/>
        <v>3.727272727</v>
      </c>
      <c r="U1347" s="26">
        <f t="shared" si="6"/>
        <v>0.04147465438</v>
      </c>
      <c r="V1347" s="26">
        <f t="shared" si="7"/>
        <v>0.07373271889</v>
      </c>
      <c r="W1347" s="19">
        <f t="shared" si="8"/>
        <v>3</v>
      </c>
      <c r="X1347" s="20">
        <f t="shared" si="9"/>
        <v>200</v>
      </c>
      <c r="Y1347" s="27"/>
      <c r="Z1347" s="17"/>
      <c r="AA1347" s="17"/>
      <c r="AB1347" s="17"/>
      <c r="AC1347" s="17"/>
      <c r="AD1347" s="27"/>
    </row>
    <row r="1348" ht="15.75" customHeight="1">
      <c r="A1348" s="16" t="s">
        <v>2832</v>
      </c>
      <c r="B1348" s="16" t="s">
        <v>3147</v>
      </c>
      <c r="C1348" s="16" t="str">
        <f t="shared" si="11"/>
        <v>PackIt Gourmet Broccoli - Chopped (Freeze-Dried)</v>
      </c>
      <c r="D1348" s="17" t="s">
        <v>33</v>
      </c>
      <c r="E1348" s="17" t="s">
        <v>2833</v>
      </c>
      <c r="F1348" s="17">
        <v>1.0</v>
      </c>
      <c r="G1348" s="19">
        <f t="shared" si="10"/>
        <v>0.9876717402</v>
      </c>
      <c r="H1348" s="17">
        <v>28.0</v>
      </c>
      <c r="I1348" s="10">
        <v>80.0</v>
      </c>
      <c r="J1348" s="17">
        <v>1.0</v>
      </c>
      <c r="K1348" s="17">
        <v>80.0</v>
      </c>
      <c r="L1348" s="17">
        <v>0.0</v>
      </c>
      <c r="M1348" s="20">
        <v>13.0</v>
      </c>
      <c r="N1348" s="20">
        <v>9.0</v>
      </c>
      <c r="O1348" s="20">
        <v>6.0</v>
      </c>
      <c r="P1348" s="20">
        <f t="shared" si="2"/>
        <v>-2</v>
      </c>
      <c r="Q1348" s="21">
        <v>9.0</v>
      </c>
      <c r="R1348" s="205">
        <f t="shared" si="3"/>
        <v>80.99857143</v>
      </c>
      <c r="S1348" s="19">
        <f t="shared" si="4"/>
        <v>2.857142857</v>
      </c>
      <c r="T1348" s="24">
        <f t="shared" si="5"/>
        <v>1.444444444</v>
      </c>
      <c r="U1348" s="26">
        <f t="shared" si="6"/>
        <v>0.09278350515</v>
      </c>
      <c r="V1348" s="26">
        <f t="shared" si="7"/>
        <v>0.2474226804</v>
      </c>
      <c r="W1348" s="19">
        <f t="shared" si="8"/>
        <v>1</v>
      </c>
      <c r="X1348" s="20">
        <f t="shared" si="9"/>
        <v>80</v>
      </c>
      <c r="Y1348" s="27"/>
      <c r="Z1348" s="17"/>
      <c r="AA1348" s="17"/>
      <c r="AB1348" s="17"/>
      <c r="AC1348" s="17"/>
      <c r="AD1348" s="27"/>
    </row>
    <row r="1349" ht="15.75" customHeight="1">
      <c r="A1349" s="16" t="s">
        <v>2832</v>
      </c>
      <c r="B1349" s="16" t="s">
        <v>3148</v>
      </c>
      <c r="C1349" s="16" t="str">
        <f t="shared" si="11"/>
        <v>PackIt Gourmet Mushroom, White Dices (Freeze-Dried)</v>
      </c>
      <c r="D1349" s="17" t="s">
        <v>33</v>
      </c>
      <c r="E1349" s="17" t="s">
        <v>2833</v>
      </c>
      <c r="F1349" s="17">
        <v>1.0</v>
      </c>
      <c r="G1349" s="19">
        <f t="shared" si="10"/>
        <v>0.4938358701</v>
      </c>
      <c r="H1349" s="17">
        <v>14.0</v>
      </c>
      <c r="I1349" s="10">
        <v>40.0</v>
      </c>
      <c r="J1349" s="17">
        <v>0.5</v>
      </c>
      <c r="K1349" s="17">
        <v>5.0</v>
      </c>
      <c r="L1349" s="17">
        <v>0.0</v>
      </c>
      <c r="M1349" s="20">
        <v>7.0</v>
      </c>
      <c r="N1349" s="20">
        <v>0.0</v>
      </c>
      <c r="O1349" s="20">
        <v>2.0</v>
      </c>
      <c r="P1349" s="20">
        <f t="shared" si="2"/>
        <v>5</v>
      </c>
      <c r="Q1349" s="21">
        <v>5.0</v>
      </c>
      <c r="R1349" s="205">
        <f t="shared" si="3"/>
        <v>80.99857143</v>
      </c>
      <c r="S1349" s="19">
        <f t="shared" si="4"/>
        <v>2.857142857</v>
      </c>
      <c r="T1349" s="24">
        <f t="shared" si="5"/>
        <v>1.4</v>
      </c>
      <c r="U1349" s="26">
        <f t="shared" si="6"/>
        <v>0.08571428571</v>
      </c>
      <c r="V1349" s="26">
        <f t="shared" si="7"/>
        <v>0.1523809524</v>
      </c>
      <c r="W1349" s="19">
        <f t="shared" si="8"/>
        <v>0.125</v>
      </c>
      <c r="X1349" s="20">
        <f t="shared" si="9"/>
        <v>40</v>
      </c>
      <c r="Y1349" s="27"/>
      <c r="Z1349" s="17"/>
      <c r="AA1349" s="17"/>
      <c r="AB1349" s="17"/>
      <c r="AC1349" s="17"/>
      <c r="AD1349" s="27"/>
    </row>
    <row r="1350" ht="15.75" customHeight="1">
      <c r="A1350" s="16" t="s">
        <v>2832</v>
      </c>
      <c r="B1350" s="16" t="s">
        <v>3149</v>
      </c>
      <c r="C1350" s="16" t="str">
        <f t="shared" si="11"/>
        <v>PackIt Gourmet Tomato, Red Ripe - Large Dices (Freeze-Dried)</v>
      </c>
      <c r="D1350" s="17" t="s">
        <v>33</v>
      </c>
      <c r="E1350" s="17" t="s">
        <v>2833</v>
      </c>
      <c r="F1350" s="17">
        <v>1.0</v>
      </c>
      <c r="G1350" s="19">
        <f t="shared" si="10"/>
        <v>0.4938358701</v>
      </c>
      <c r="H1350" s="17">
        <v>14.0</v>
      </c>
      <c r="I1350" s="10">
        <v>40.0</v>
      </c>
      <c r="J1350" s="17">
        <v>0.0</v>
      </c>
      <c r="K1350" s="17">
        <v>440.0</v>
      </c>
      <c r="L1350" s="17">
        <v>0.0</v>
      </c>
      <c r="M1350" s="20">
        <v>8.0</v>
      </c>
      <c r="N1350" s="20">
        <v>2.0</v>
      </c>
      <c r="O1350" s="20">
        <v>5.0</v>
      </c>
      <c r="P1350" s="20">
        <f t="shared" si="2"/>
        <v>1</v>
      </c>
      <c r="Q1350" s="21">
        <v>2.0</v>
      </c>
      <c r="R1350" s="205">
        <f t="shared" si="3"/>
        <v>80.99857143</v>
      </c>
      <c r="S1350" s="19">
        <f t="shared" si="4"/>
        <v>2.857142857</v>
      </c>
      <c r="T1350" s="24">
        <f t="shared" si="5"/>
        <v>4</v>
      </c>
      <c r="U1350" s="26" t="str">
        <f t="shared" si="6"/>
        <v>0%</v>
      </c>
      <c r="V1350" s="26">
        <f t="shared" si="7"/>
        <v>0.5</v>
      </c>
      <c r="W1350" s="19">
        <f t="shared" si="8"/>
        <v>11</v>
      </c>
      <c r="X1350" s="20">
        <f t="shared" si="9"/>
        <v>40</v>
      </c>
      <c r="Y1350" s="27"/>
      <c r="Z1350" s="17"/>
      <c r="AA1350" s="17"/>
      <c r="AB1350" s="17"/>
      <c r="AC1350" s="17"/>
      <c r="AD1350" s="27"/>
    </row>
    <row r="1351" ht="15.75" customHeight="1">
      <c r="A1351" s="16" t="s">
        <v>2832</v>
      </c>
      <c r="B1351" s="16" t="s">
        <v>3150</v>
      </c>
      <c r="C1351" s="16" t="str">
        <f t="shared" si="11"/>
        <v>PackIt Gourmet Zucchini Slices (Freeze-Dried)</v>
      </c>
      <c r="D1351" s="17" t="s">
        <v>33</v>
      </c>
      <c r="E1351" s="17" t="s">
        <v>2833</v>
      </c>
      <c r="F1351" s="17">
        <v>1.0</v>
      </c>
      <c r="G1351" s="19">
        <f t="shared" si="10"/>
        <v>0.4938358701</v>
      </c>
      <c r="H1351" s="17">
        <v>14.0</v>
      </c>
      <c r="I1351" s="10">
        <v>40.0</v>
      </c>
      <c r="J1351" s="17">
        <v>0.0</v>
      </c>
      <c r="K1351" s="17">
        <v>25.0</v>
      </c>
      <c r="L1351" s="17">
        <v>660.0</v>
      </c>
      <c r="M1351" s="20">
        <v>9.0</v>
      </c>
      <c r="N1351" s="20">
        <v>4.0</v>
      </c>
      <c r="O1351" s="20">
        <v>4.0</v>
      </c>
      <c r="P1351" s="20">
        <f t="shared" si="2"/>
        <v>1</v>
      </c>
      <c r="Q1351" s="21">
        <v>3.0</v>
      </c>
      <c r="R1351" s="205">
        <f t="shared" si="3"/>
        <v>80.99857143</v>
      </c>
      <c r="S1351" s="19">
        <f t="shared" si="4"/>
        <v>2.857142857</v>
      </c>
      <c r="T1351" s="24">
        <f t="shared" si="5"/>
        <v>3</v>
      </c>
      <c r="U1351" s="26" t="str">
        <f t="shared" si="6"/>
        <v>0%</v>
      </c>
      <c r="V1351" s="26">
        <f t="shared" si="7"/>
        <v>0.3333333333</v>
      </c>
      <c r="W1351" s="19">
        <f t="shared" si="8"/>
        <v>0.625</v>
      </c>
      <c r="X1351" s="20">
        <f t="shared" si="9"/>
        <v>40</v>
      </c>
      <c r="Y1351" s="27"/>
      <c r="Z1351" s="17"/>
      <c r="AA1351" s="17"/>
      <c r="AB1351" s="17"/>
      <c r="AC1351" s="17"/>
      <c r="AD1351" s="27"/>
    </row>
    <row r="1352" ht="15.75" customHeight="1">
      <c r="A1352" s="16" t="s">
        <v>2899</v>
      </c>
      <c r="B1352" s="16" t="s">
        <v>3151</v>
      </c>
      <c r="C1352" s="16" t="str">
        <f t="shared" si="11"/>
        <v>ReadyWise Backcountry Wild Rice Risotto</v>
      </c>
      <c r="D1352" s="17" t="s">
        <v>2846</v>
      </c>
      <c r="E1352" s="17" t="s">
        <v>2833</v>
      </c>
      <c r="F1352" s="17">
        <v>2.5</v>
      </c>
      <c r="G1352" s="19">
        <f t="shared" si="10"/>
        <v>2.680823295</v>
      </c>
      <c r="H1352" s="17">
        <v>76.0</v>
      </c>
      <c r="I1352" s="10">
        <v>210.0</v>
      </c>
      <c r="J1352" s="17">
        <v>2.0</v>
      </c>
      <c r="K1352" s="17">
        <v>1130.0</v>
      </c>
      <c r="L1352" s="17">
        <v>560.0</v>
      </c>
      <c r="M1352" s="20">
        <v>42.0</v>
      </c>
      <c r="N1352" s="20">
        <v>5.0</v>
      </c>
      <c r="O1352" s="20">
        <v>6.0</v>
      </c>
      <c r="P1352" s="20">
        <f t="shared" si="2"/>
        <v>31</v>
      </c>
      <c r="Q1352" s="21">
        <v>8.0</v>
      </c>
      <c r="R1352" s="205">
        <f t="shared" si="3"/>
        <v>78.33414474</v>
      </c>
      <c r="S1352" s="19">
        <f t="shared" si="4"/>
        <v>2.763157895</v>
      </c>
      <c r="T1352" s="24">
        <f t="shared" si="5"/>
        <v>5.25</v>
      </c>
      <c r="U1352" s="26">
        <f t="shared" si="6"/>
        <v>0.08256880734</v>
      </c>
      <c r="V1352" s="26">
        <f t="shared" si="7"/>
        <v>0.1100917431</v>
      </c>
      <c r="W1352" s="19">
        <f t="shared" si="8"/>
        <v>5.380952381</v>
      </c>
      <c r="X1352" s="20">
        <f t="shared" si="9"/>
        <v>525</v>
      </c>
      <c r="Y1352" s="27"/>
      <c r="Z1352" s="17"/>
      <c r="AA1352" s="17"/>
      <c r="AB1352" s="17"/>
      <c r="AC1352" s="17"/>
      <c r="AD1352" s="27"/>
    </row>
    <row r="1353" ht="15.75" customHeight="1">
      <c r="A1353" s="16" t="s">
        <v>2832</v>
      </c>
      <c r="B1353" s="16" t="s">
        <v>3152</v>
      </c>
      <c r="C1353" s="16" t="str">
        <f t="shared" si="11"/>
        <v>PackIt Gourmet Spinach - Chopped (Freeze-Dried)</v>
      </c>
      <c r="D1353" s="17" t="s">
        <v>33</v>
      </c>
      <c r="E1353" s="17" t="s">
        <v>2833</v>
      </c>
      <c r="F1353" s="17">
        <v>1.0</v>
      </c>
      <c r="G1353" s="19">
        <f t="shared" si="10"/>
        <v>0.4938358701</v>
      </c>
      <c r="H1353" s="17">
        <v>14.0</v>
      </c>
      <c r="I1353" s="10">
        <v>35.0</v>
      </c>
      <c r="J1353" s="17">
        <v>0.5</v>
      </c>
      <c r="K1353" s="17">
        <v>125.0</v>
      </c>
      <c r="L1353" s="17">
        <v>890.0</v>
      </c>
      <c r="M1353" s="20">
        <v>6.0</v>
      </c>
      <c r="N1353" s="20">
        <v>0.0</v>
      </c>
      <c r="O1353" s="20">
        <v>1.0</v>
      </c>
      <c r="P1353" s="20">
        <f t="shared" si="2"/>
        <v>5</v>
      </c>
      <c r="Q1353" s="21">
        <v>5.0</v>
      </c>
      <c r="R1353" s="205">
        <f t="shared" si="3"/>
        <v>70.87375</v>
      </c>
      <c r="S1353" s="19">
        <f t="shared" si="4"/>
        <v>2.5</v>
      </c>
      <c r="T1353" s="24">
        <f t="shared" si="5"/>
        <v>1.2</v>
      </c>
      <c r="U1353" s="26">
        <f t="shared" si="6"/>
        <v>0.09278350515</v>
      </c>
      <c r="V1353" s="26">
        <f t="shared" si="7"/>
        <v>0.0824742268</v>
      </c>
      <c r="W1353" s="19">
        <f t="shared" si="8"/>
        <v>3.571428571</v>
      </c>
      <c r="X1353" s="20">
        <f t="shared" si="9"/>
        <v>35</v>
      </c>
      <c r="Y1353" s="27"/>
      <c r="Z1353" s="17"/>
      <c r="AA1353" s="17"/>
      <c r="AB1353" s="17"/>
      <c r="AC1353" s="17"/>
      <c r="AD1353" s="27"/>
    </row>
    <row r="1354" ht="15.75" customHeight="1">
      <c r="A1354" s="216" t="s">
        <v>3153</v>
      </c>
      <c r="B1354" s="216" t="s">
        <v>3154</v>
      </c>
      <c r="C1354" s="216" t="s">
        <v>3155</v>
      </c>
      <c r="D1354" s="217" t="s">
        <v>212</v>
      </c>
      <c r="E1354" s="218"/>
      <c r="F1354" s="218"/>
      <c r="G1354" s="219">
        <f t="shared" si="10"/>
        <v>5.291098608</v>
      </c>
      <c r="H1354" s="220">
        <v>150.0</v>
      </c>
      <c r="I1354" s="221">
        <v>1000.0</v>
      </c>
      <c r="J1354" s="220">
        <v>92.0</v>
      </c>
      <c r="K1354" s="220">
        <v>560.0</v>
      </c>
      <c r="L1354" s="218"/>
      <c r="M1354" s="222">
        <v>9.0</v>
      </c>
      <c r="N1354" s="222">
        <v>6.0</v>
      </c>
      <c r="O1354" s="222">
        <v>3.0</v>
      </c>
      <c r="P1354" s="223">
        <f t="shared" si="2"/>
        <v>0</v>
      </c>
      <c r="Q1354" s="224">
        <v>36.0</v>
      </c>
      <c r="R1354" s="225">
        <f t="shared" si="3"/>
        <v>188.9966667</v>
      </c>
      <c r="S1354" s="226">
        <f t="shared" si="4"/>
        <v>6.666666667</v>
      </c>
      <c r="T1354" s="24">
        <f t="shared" si="5"/>
        <v>0.25</v>
      </c>
      <c r="U1354" s="26">
        <f t="shared" si="6"/>
        <v>0.8214285714</v>
      </c>
      <c r="V1354" s="26">
        <f t="shared" si="7"/>
        <v>0.0119047619</v>
      </c>
      <c r="W1354" s="19">
        <f t="shared" si="8"/>
        <v>0.56</v>
      </c>
      <c r="X1354" s="227"/>
      <c r="Y1354" s="27"/>
      <c r="Z1354" s="17"/>
      <c r="AA1354" s="17"/>
      <c r="AB1354" s="17"/>
      <c r="AC1354" s="17"/>
      <c r="AD1354" s="27"/>
    </row>
    <row r="1355" ht="15.75" customHeight="1">
      <c r="A1355" s="216" t="s">
        <v>3153</v>
      </c>
      <c r="B1355" s="216" t="s">
        <v>3156</v>
      </c>
      <c r="C1355" s="216" t="s">
        <v>3157</v>
      </c>
      <c r="D1355" s="217" t="s">
        <v>212</v>
      </c>
      <c r="E1355" s="218"/>
      <c r="F1355" s="218"/>
      <c r="G1355" s="219">
        <f t="shared" si="10"/>
        <v>5.326372599</v>
      </c>
      <c r="H1355" s="220">
        <v>151.0</v>
      </c>
      <c r="I1355" s="221">
        <v>1000.0</v>
      </c>
      <c r="J1355" s="220">
        <v>90.0</v>
      </c>
      <c r="K1355" s="220">
        <v>830.0</v>
      </c>
      <c r="L1355" s="218"/>
      <c r="M1355" s="222">
        <v>12.0</v>
      </c>
      <c r="N1355" s="222">
        <v>7.0</v>
      </c>
      <c r="O1355" s="222">
        <v>2.0</v>
      </c>
      <c r="P1355" s="223">
        <f t="shared" si="2"/>
        <v>3</v>
      </c>
      <c r="Q1355" s="224">
        <v>30.0</v>
      </c>
      <c r="R1355" s="225">
        <f t="shared" si="3"/>
        <v>187.7450331</v>
      </c>
      <c r="S1355" s="226">
        <f t="shared" si="4"/>
        <v>6.622516556</v>
      </c>
      <c r="T1355" s="24">
        <f t="shared" si="5"/>
        <v>0.4</v>
      </c>
      <c r="U1355" s="26">
        <f t="shared" si="6"/>
        <v>0.8282208589</v>
      </c>
      <c r="V1355" s="26">
        <f t="shared" si="7"/>
        <v>0.0081799591</v>
      </c>
      <c r="W1355" s="19">
        <f t="shared" si="8"/>
        <v>0.83</v>
      </c>
      <c r="X1355" s="227"/>
      <c r="Y1355" s="27"/>
      <c r="Z1355" s="17"/>
      <c r="AA1355" s="17"/>
      <c r="AB1355" s="17"/>
      <c r="AC1355" s="17"/>
      <c r="AD1355" s="27"/>
    </row>
    <row r="1356" ht="15.75" customHeight="1">
      <c r="A1356" s="216" t="s">
        <v>3153</v>
      </c>
      <c r="B1356" s="216" t="s">
        <v>3158</v>
      </c>
      <c r="C1356" s="216" t="s">
        <v>3159</v>
      </c>
      <c r="D1356" s="217" t="s">
        <v>212</v>
      </c>
      <c r="E1356" s="218"/>
      <c r="F1356" s="218"/>
      <c r="G1356" s="219">
        <f t="shared" si="10"/>
        <v>5.326372599</v>
      </c>
      <c r="H1356" s="220">
        <v>151.0</v>
      </c>
      <c r="I1356" s="221">
        <v>1000.0</v>
      </c>
      <c r="J1356" s="220">
        <v>90.0</v>
      </c>
      <c r="K1356" s="220">
        <v>820.0</v>
      </c>
      <c r="L1356" s="218"/>
      <c r="M1356" s="222">
        <v>14.0</v>
      </c>
      <c r="N1356" s="222">
        <v>11.0</v>
      </c>
      <c r="O1356" s="222">
        <v>0.0</v>
      </c>
      <c r="P1356" s="223">
        <f t="shared" si="2"/>
        <v>3</v>
      </c>
      <c r="Q1356" s="224">
        <v>33.0</v>
      </c>
      <c r="R1356" s="225">
        <f t="shared" si="3"/>
        <v>187.7450331</v>
      </c>
      <c r="S1356" s="226">
        <f t="shared" si="4"/>
        <v>6.622516556</v>
      </c>
      <c r="T1356" s="24">
        <f t="shared" si="5"/>
        <v>0.4242424242</v>
      </c>
      <c r="U1356" s="26">
        <f t="shared" si="6"/>
        <v>0.8116232465</v>
      </c>
      <c r="V1356" s="26" t="str">
        <f t="shared" si="7"/>
        <v>0%</v>
      </c>
      <c r="W1356" s="19">
        <f t="shared" si="8"/>
        <v>0.82</v>
      </c>
      <c r="X1356" s="227"/>
      <c r="Y1356" s="27"/>
      <c r="Z1356" s="17"/>
      <c r="AA1356" s="17"/>
      <c r="AB1356" s="17"/>
      <c r="AC1356" s="17"/>
      <c r="AD1356" s="27"/>
    </row>
    <row r="1357" ht="15.75" customHeight="1">
      <c r="A1357" s="216" t="s">
        <v>3153</v>
      </c>
      <c r="B1357" s="216" t="s">
        <v>3160</v>
      </c>
      <c r="C1357" s="216" t="s">
        <v>3161</v>
      </c>
      <c r="D1357" s="217" t="s">
        <v>212</v>
      </c>
      <c r="E1357" s="218"/>
      <c r="F1357" s="218"/>
      <c r="G1357" s="219">
        <f t="shared" si="10"/>
        <v>5.326372599</v>
      </c>
      <c r="H1357" s="220">
        <v>151.0</v>
      </c>
      <c r="I1357" s="221">
        <v>1000.0</v>
      </c>
      <c r="J1357" s="220">
        <v>90.0</v>
      </c>
      <c r="K1357" s="220">
        <v>790.0</v>
      </c>
      <c r="L1357" s="218"/>
      <c r="M1357" s="222">
        <v>16.0</v>
      </c>
      <c r="N1357" s="222">
        <v>12.0</v>
      </c>
      <c r="O1357" s="222">
        <v>0.0</v>
      </c>
      <c r="P1357" s="223">
        <f t="shared" si="2"/>
        <v>4</v>
      </c>
      <c r="Q1357" s="224">
        <v>31.0</v>
      </c>
      <c r="R1357" s="228">
        <f t="shared" si="3"/>
        <v>187.7450331</v>
      </c>
      <c r="S1357" s="229">
        <f t="shared" si="4"/>
        <v>6.622516556</v>
      </c>
      <c r="T1357" s="24">
        <f t="shared" si="5"/>
        <v>0.5161290323</v>
      </c>
      <c r="U1357" s="26">
        <f t="shared" si="6"/>
        <v>0.8116232465</v>
      </c>
      <c r="V1357" s="26" t="str">
        <f t="shared" si="7"/>
        <v>0%</v>
      </c>
      <c r="W1357" s="19">
        <f t="shared" si="8"/>
        <v>0.79</v>
      </c>
      <c r="X1357" s="218"/>
      <c r="Y1357" s="27"/>
      <c r="Z1357" s="17"/>
      <c r="AA1357" s="17"/>
      <c r="AB1357" s="17"/>
      <c r="AC1357" s="17"/>
      <c r="AD1357" s="27"/>
    </row>
    <row r="1358" ht="15.75" customHeight="1">
      <c r="A1358" s="216" t="s">
        <v>3153</v>
      </c>
      <c r="B1358" s="216" t="s">
        <v>436</v>
      </c>
      <c r="C1358" s="216" t="s">
        <v>3162</v>
      </c>
      <c r="D1358" s="217" t="s">
        <v>212</v>
      </c>
      <c r="E1358" s="218"/>
      <c r="F1358" s="218"/>
      <c r="G1358" s="219">
        <f t="shared" si="10"/>
        <v>5.326372599</v>
      </c>
      <c r="H1358" s="220">
        <v>151.0</v>
      </c>
      <c r="I1358" s="221">
        <v>1000.0</v>
      </c>
      <c r="J1358" s="220">
        <v>92.0</v>
      </c>
      <c r="K1358" s="220">
        <v>750.0</v>
      </c>
      <c r="L1358" s="218"/>
      <c r="M1358" s="222">
        <v>12.0</v>
      </c>
      <c r="N1358" s="222">
        <v>8.0</v>
      </c>
      <c r="O1358" s="222">
        <v>0.0</v>
      </c>
      <c r="P1358" s="223">
        <f t="shared" si="2"/>
        <v>4</v>
      </c>
      <c r="Q1358" s="224">
        <v>32.0</v>
      </c>
      <c r="R1358" s="228">
        <f t="shared" si="3"/>
        <v>187.7450331</v>
      </c>
      <c r="S1358" s="229">
        <f t="shared" si="4"/>
        <v>6.622516556</v>
      </c>
      <c r="T1358" s="24">
        <f t="shared" si="5"/>
        <v>0.375</v>
      </c>
      <c r="U1358" s="26">
        <f t="shared" si="6"/>
        <v>0.8247011952</v>
      </c>
      <c r="V1358" s="26" t="str">
        <f t="shared" si="7"/>
        <v>0%</v>
      </c>
      <c r="W1358" s="19">
        <f t="shared" si="8"/>
        <v>0.75</v>
      </c>
      <c r="X1358" s="218"/>
      <c r="Y1358" s="27"/>
      <c r="Z1358" s="17"/>
      <c r="AA1358" s="17"/>
      <c r="AB1358" s="17"/>
      <c r="AC1358" s="17"/>
      <c r="AD1358" s="27"/>
    </row>
    <row r="1359" ht="15.75" customHeight="1">
      <c r="A1359" s="216" t="s">
        <v>3153</v>
      </c>
      <c r="B1359" s="216" t="s">
        <v>3163</v>
      </c>
      <c r="C1359" s="216" t="s">
        <v>3164</v>
      </c>
      <c r="D1359" s="217" t="s">
        <v>212</v>
      </c>
      <c r="E1359" s="218"/>
      <c r="F1359" s="218"/>
      <c r="G1359" s="219">
        <f t="shared" si="10"/>
        <v>5.326372599</v>
      </c>
      <c r="H1359" s="220">
        <v>151.0</v>
      </c>
      <c r="I1359" s="221">
        <v>1000.0</v>
      </c>
      <c r="J1359" s="220">
        <v>91.0</v>
      </c>
      <c r="K1359" s="220">
        <v>800.0</v>
      </c>
      <c r="L1359" s="218"/>
      <c r="M1359" s="222">
        <v>14.0</v>
      </c>
      <c r="N1359" s="222">
        <v>7.0</v>
      </c>
      <c r="O1359" s="222">
        <v>2.0</v>
      </c>
      <c r="P1359" s="223">
        <f t="shared" si="2"/>
        <v>5</v>
      </c>
      <c r="Q1359" s="224">
        <v>34.0</v>
      </c>
      <c r="R1359" s="228">
        <f t="shared" si="3"/>
        <v>187.7450331</v>
      </c>
      <c r="S1359" s="229">
        <f t="shared" si="4"/>
        <v>6.622516556</v>
      </c>
      <c r="T1359" s="24">
        <f t="shared" si="5"/>
        <v>0.4117647059</v>
      </c>
      <c r="U1359" s="26">
        <f t="shared" si="6"/>
        <v>0.8100890208</v>
      </c>
      <c r="V1359" s="26">
        <f t="shared" si="7"/>
        <v>0.007912957468</v>
      </c>
      <c r="W1359" s="19">
        <f t="shared" si="8"/>
        <v>0.8</v>
      </c>
      <c r="X1359" s="218"/>
      <c r="Y1359" s="27"/>
      <c r="Z1359" s="17"/>
      <c r="AA1359" s="17"/>
      <c r="AB1359" s="17"/>
      <c r="AC1359" s="17"/>
      <c r="AD1359" s="27"/>
    </row>
    <row r="1360" ht="15.75" customHeight="1">
      <c r="A1360" s="216" t="s">
        <v>3165</v>
      </c>
      <c r="B1360" s="216" t="s">
        <v>3166</v>
      </c>
      <c r="C1360" s="216" t="s">
        <v>3167</v>
      </c>
      <c r="D1360" s="217" t="s">
        <v>212</v>
      </c>
      <c r="E1360" s="218"/>
      <c r="F1360" s="218"/>
      <c r="G1360" s="219">
        <f t="shared" si="10"/>
        <v>0.9876717402</v>
      </c>
      <c r="H1360" s="220">
        <v>28.0</v>
      </c>
      <c r="I1360" s="221">
        <v>180.0</v>
      </c>
      <c r="J1360" s="220">
        <v>14.0</v>
      </c>
      <c r="K1360" s="220">
        <v>50.0</v>
      </c>
      <c r="L1360" s="218"/>
      <c r="M1360" s="222">
        <v>13.0</v>
      </c>
      <c r="N1360" s="222">
        <v>3.0</v>
      </c>
      <c r="O1360" s="222">
        <v>8.0</v>
      </c>
      <c r="P1360" s="223">
        <f t="shared" si="2"/>
        <v>2</v>
      </c>
      <c r="Q1360" s="224">
        <v>3.0</v>
      </c>
      <c r="R1360" s="228">
        <f t="shared" si="3"/>
        <v>182.2467857</v>
      </c>
      <c r="S1360" s="229">
        <f t="shared" si="4"/>
        <v>6.428571429</v>
      </c>
      <c r="T1360" s="24">
        <f t="shared" si="5"/>
        <v>4.333333333</v>
      </c>
      <c r="U1360" s="26">
        <f t="shared" si="6"/>
        <v>0.6631578947</v>
      </c>
      <c r="V1360" s="26">
        <f t="shared" si="7"/>
        <v>0.1684210526</v>
      </c>
      <c r="W1360" s="19">
        <f t="shared" si="8"/>
        <v>0.2777777778</v>
      </c>
      <c r="X1360" s="218"/>
      <c r="Y1360" s="27"/>
      <c r="Z1360" s="17"/>
      <c r="AA1360" s="17"/>
      <c r="AB1360" s="17"/>
      <c r="AC1360" s="17"/>
      <c r="AD1360" s="27"/>
    </row>
    <row r="1361" ht="15.75" customHeight="1">
      <c r="A1361" s="216" t="s">
        <v>3165</v>
      </c>
      <c r="B1361" s="216" t="s">
        <v>3168</v>
      </c>
      <c r="C1361" s="216" t="s">
        <v>3169</v>
      </c>
      <c r="D1361" s="217" t="s">
        <v>212</v>
      </c>
      <c r="E1361" s="218"/>
      <c r="F1361" s="218"/>
      <c r="G1361" s="219">
        <f t="shared" si="10"/>
        <v>0.9876717402</v>
      </c>
      <c r="H1361" s="220">
        <v>28.0</v>
      </c>
      <c r="I1361" s="221">
        <v>180.0</v>
      </c>
      <c r="J1361" s="220">
        <v>14.0</v>
      </c>
      <c r="K1361" s="220">
        <v>55.0</v>
      </c>
      <c r="L1361" s="218"/>
      <c r="M1361" s="222">
        <v>13.0</v>
      </c>
      <c r="N1361" s="222">
        <v>3.0</v>
      </c>
      <c r="O1361" s="222">
        <v>8.0</v>
      </c>
      <c r="P1361" s="223">
        <f t="shared" si="2"/>
        <v>2</v>
      </c>
      <c r="Q1361" s="224">
        <v>3.0</v>
      </c>
      <c r="R1361" s="228">
        <f t="shared" si="3"/>
        <v>182.2467857</v>
      </c>
      <c r="S1361" s="229">
        <f t="shared" si="4"/>
        <v>6.428571429</v>
      </c>
      <c r="T1361" s="24">
        <f t="shared" si="5"/>
        <v>4.333333333</v>
      </c>
      <c r="U1361" s="26">
        <f t="shared" si="6"/>
        <v>0.6631578947</v>
      </c>
      <c r="V1361" s="26">
        <f t="shared" si="7"/>
        <v>0.1684210526</v>
      </c>
      <c r="W1361" s="19">
        <f t="shared" si="8"/>
        <v>0.3055555556</v>
      </c>
      <c r="X1361" s="218"/>
      <c r="Y1361" s="27"/>
      <c r="Z1361" s="17"/>
      <c r="AA1361" s="17"/>
      <c r="AB1361" s="17"/>
      <c r="AC1361" s="17"/>
      <c r="AD1361" s="27"/>
    </row>
    <row r="1362" ht="15.75" customHeight="1">
      <c r="A1362" s="216" t="s">
        <v>3165</v>
      </c>
      <c r="B1362" s="216" t="s">
        <v>3170</v>
      </c>
      <c r="C1362" s="216" t="s">
        <v>3171</v>
      </c>
      <c r="D1362" s="217" t="s">
        <v>212</v>
      </c>
      <c r="E1362" s="218"/>
      <c r="F1362" s="218"/>
      <c r="G1362" s="219">
        <f t="shared" si="10"/>
        <v>0.9876717402</v>
      </c>
      <c r="H1362" s="220">
        <v>28.0</v>
      </c>
      <c r="I1362" s="221">
        <v>170.0</v>
      </c>
      <c r="J1362" s="220">
        <v>13.0</v>
      </c>
      <c r="K1362" s="220">
        <v>65.0</v>
      </c>
      <c r="L1362" s="218"/>
      <c r="M1362" s="222">
        <v>15.0</v>
      </c>
      <c r="N1362" s="222">
        <v>3.0</v>
      </c>
      <c r="O1362" s="222">
        <v>10.0</v>
      </c>
      <c r="P1362" s="223">
        <f t="shared" si="2"/>
        <v>2</v>
      </c>
      <c r="Q1362" s="224">
        <v>2.0</v>
      </c>
      <c r="R1362" s="228">
        <f t="shared" si="3"/>
        <v>172.1219643</v>
      </c>
      <c r="S1362" s="229">
        <f t="shared" si="4"/>
        <v>6.071428571</v>
      </c>
      <c r="T1362" s="24">
        <f t="shared" si="5"/>
        <v>7.5</v>
      </c>
      <c r="U1362" s="26">
        <f t="shared" si="6"/>
        <v>0.6324324324</v>
      </c>
      <c r="V1362" s="26">
        <f t="shared" si="7"/>
        <v>0.2162162162</v>
      </c>
      <c r="W1362" s="19">
        <f t="shared" si="8"/>
        <v>0.3823529412</v>
      </c>
      <c r="X1362" s="218"/>
      <c r="Y1362" s="27"/>
      <c r="Z1362" s="17"/>
      <c r="AA1362" s="17"/>
      <c r="AB1362" s="17"/>
      <c r="AC1362" s="17"/>
      <c r="AD1362" s="27"/>
    </row>
    <row r="1363" ht="15.75" customHeight="1">
      <c r="A1363" s="216" t="s">
        <v>3172</v>
      </c>
      <c r="B1363" s="216" t="s">
        <v>3173</v>
      </c>
      <c r="C1363" s="216" t="s">
        <v>3174</v>
      </c>
      <c r="D1363" s="217" t="s">
        <v>212</v>
      </c>
      <c r="E1363" s="218"/>
      <c r="F1363" s="218"/>
      <c r="G1363" s="219">
        <f t="shared" si="10"/>
        <v>1.340411647</v>
      </c>
      <c r="H1363" s="220">
        <v>38.0</v>
      </c>
      <c r="I1363" s="221">
        <v>230.0</v>
      </c>
      <c r="J1363" s="220">
        <v>19.0</v>
      </c>
      <c r="K1363" s="220">
        <v>45.0</v>
      </c>
      <c r="L1363" s="218"/>
      <c r="M1363" s="222">
        <v>14.0</v>
      </c>
      <c r="N1363" s="222">
        <v>4.0</v>
      </c>
      <c r="O1363" s="222">
        <v>9.0</v>
      </c>
      <c r="P1363" s="223">
        <f t="shared" si="2"/>
        <v>1</v>
      </c>
      <c r="Q1363" s="224">
        <v>6.0</v>
      </c>
      <c r="R1363" s="228">
        <f t="shared" si="3"/>
        <v>171.5890789</v>
      </c>
      <c r="S1363" s="229">
        <f t="shared" si="4"/>
        <v>6.052631579</v>
      </c>
      <c r="T1363" s="24">
        <f t="shared" si="5"/>
        <v>2.333333333</v>
      </c>
      <c r="U1363" s="26">
        <f t="shared" si="6"/>
        <v>0.6812749004</v>
      </c>
      <c r="V1363" s="26">
        <f t="shared" si="7"/>
        <v>0.1434262948</v>
      </c>
      <c r="W1363" s="19">
        <f t="shared" si="8"/>
        <v>0.1956521739</v>
      </c>
      <c r="X1363" s="218"/>
      <c r="Y1363" s="27"/>
      <c r="Z1363" s="17"/>
      <c r="AA1363" s="17"/>
      <c r="AB1363" s="17"/>
      <c r="AC1363" s="17"/>
      <c r="AD1363" s="27"/>
    </row>
    <row r="1364" ht="15.75" customHeight="1">
      <c r="A1364" s="216" t="s">
        <v>3175</v>
      </c>
      <c r="B1364" s="218" t="s">
        <v>3176</v>
      </c>
      <c r="C1364" s="216" t="s">
        <v>3177</v>
      </c>
      <c r="D1364" s="220" t="s">
        <v>212</v>
      </c>
      <c r="E1364" s="218"/>
      <c r="F1364" s="218"/>
      <c r="G1364" s="219">
        <f t="shared" si="10"/>
        <v>0.7054798145</v>
      </c>
      <c r="H1364" s="220">
        <v>20.0</v>
      </c>
      <c r="I1364" s="221">
        <v>120.0</v>
      </c>
      <c r="J1364" s="220">
        <v>10.0</v>
      </c>
      <c r="K1364" s="220">
        <v>55.0</v>
      </c>
      <c r="L1364" s="218"/>
      <c r="M1364" s="230">
        <v>6.0</v>
      </c>
      <c r="N1364" s="230">
        <v>2.0</v>
      </c>
      <c r="O1364" s="230">
        <v>3.0</v>
      </c>
      <c r="P1364" s="223">
        <f t="shared" si="2"/>
        <v>1</v>
      </c>
      <c r="Q1364" s="231">
        <v>3.0</v>
      </c>
      <c r="R1364" s="228">
        <f t="shared" si="3"/>
        <v>170.097</v>
      </c>
      <c r="S1364" s="229">
        <f t="shared" si="4"/>
        <v>6</v>
      </c>
      <c r="T1364" s="24">
        <f t="shared" si="5"/>
        <v>2</v>
      </c>
      <c r="U1364" s="26">
        <f t="shared" si="6"/>
        <v>0.7142857143</v>
      </c>
      <c r="V1364" s="26">
        <f t="shared" si="7"/>
        <v>0.09523809524</v>
      </c>
      <c r="W1364" s="19">
        <f t="shared" si="8"/>
        <v>0.4583333333</v>
      </c>
      <c r="X1364" s="218"/>
      <c r="Y1364" s="27"/>
      <c r="Z1364" s="17"/>
      <c r="AA1364" s="17"/>
      <c r="AB1364" s="17"/>
      <c r="AC1364" s="17"/>
      <c r="AD1364" s="27"/>
    </row>
    <row r="1365" ht="15.75" customHeight="1">
      <c r="A1365" s="216" t="s">
        <v>3165</v>
      </c>
      <c r="B1365" s="216" t="s">
        <v>3178</v>
      </c>
      <c r="C1365" s="216" t="s">
        <v>3179</v>
      </c>
      <c r="D1365" s="217" t="s">
        <v>212</v>
      </c>
      <c r="E1365" s="218"/>
      <c r="F1365" s="218"/>
      <c r="G1365" s="219">
        <f t="shared" si="10"/>
        <v>0.9876717402</v>
      </c>
      <c r="H1365" s="220">
        <v>28.0</v>
      </c>
      <c r="I1365" s="221">
        <v>160.0</v>
      </c>
      <c r="J1365" s="220">
        <v>12.0</v>
      </c>
      <c r="K1365" s="220">
        <v>55.0</v>
      </c>
      <c r="L1365" s="218"/>
      <c r="M1365" s="222">
        <v>16.0</v>
      </c>
      <c r="N1365" s="222">
        <v>5.0</v>
      </c>
      <c r="O1365" s="222">
        <v>8.0</v>
      </c>
      <c r="P1365" s="223">
        <f t="shared" si="2"/>
        <v>3</v>
      </c>
      <c r="Q1365" s="224">
        <v>2.0</v>
      </c>
      <c r="R1365" s="232">
        <f t="shared" si="3"/>
        <v>161.9971429</v>
      </c>
      <c r="S1365" s="233">
        <f t="shared" si="4"/>
        <v>5.714285714</v>
      </c>
      <c r="T1365" s="24">
        <f t="shared" si="5"/>
        <v>8</v>
      </c>
      <c r="U1365" s="26">
        <f t="shared" si="6"/>
        <v>0.6</v>
      </c>
      <c r="V1365" s="26">
        <f t="shared" si="7"/>
        <v>0.1777777778</v>
      </c>
      <c r="W1365" s="19">
        <f t="shared" si="8"/>
        <v>0.34375</v>
      </c>
      <c r="X1365" s="218"/>
      <c r="Y1365" s="27"/>
      <c r="Z1365" s="17"/>
      <c r="AA1365" s="17"/>
      <c r="AB1365" s="17"/>
      <c r="AC1365" s="17"/>
      <c r="AD1365" s="27"/>
    </row>
    <row r="1366" ht="15.75" customHeight="1">
      <c r="A1366" s="216" t="s">
        <v>3165</v>
      </c>
      <c r="B1366" s="216" t="s">
        <v>3180</v>
      </c>
      <c r="C1366" s="216" t="s">
        <v>3181</v>
      </c>
      <c r="D1366" s="217" t="s">
        <v>212</v>
      </c>
      <c r="E1366" s="218"/>
      <c r="F1366" s="218"/>
      <c r="G1366" s="219">
        <f t="shared" si="10"/>
        <v>0.9876717402</v>
      </c>
      <c r="H1366" s="220">
        <v>28.0</v>
      </c>
      <c r="I1366" s="221">
        <v>160.0</v>
      </c>
      <c r="J1366" s="220">
        <v>11.0</v>
      </c>
      <c r="K1366" s="220">
        <v>40.0</v>
      </c>
      <c r="L1366" s="218"/>
      <c r="M1366" s="222">
        <v>14.0</v>
      </c>
      <c r="N1366" s="222">
        <v>3.0</v>
      </c>
      <c r="O1366" s="222">
        <v>11.0</v>
      </c>
      <c r="P1366" s="223">
        <f t="shared" si="2"/>
        <v>0</v>
      </c>
      <c r="Q1366" s="224">
        <v>2.0</v>
      </c>
      <c r="R1366" s="232">
        <f t="shared" si="3"/>
        <v>161.9971429</v>
      </c>
      <c r="S1366" s="233">
        <f t="shared" si="4"/>
        <v>5.714285714</v>
      </c>
      <c r="T1366" s="24">
        <f t="shared" si="5"/>
        <v>7</v>
      </c>
      <c r="U1366" s="26">
        <f t="shared" si="6"/>
        <v>0.6073619632</v>
      </c>
      <c r="V1366" s="26">
        <f t="shared" si="7"/>
        <v>0.2699386503</v>
      </c>
      <c r="W1366" s="19">
        <f t="shared" si="8"/>
        <v>0.25</v>
      </c>
      <c r="X1366" s="218"/>
      <c r="Y1366" s="27"/>
      <c r="Z1366" s="17"/>
      <c r="AA1366" s="17"/>
      <c r="AB1366" s="17"/>
      <c r="AC1366" s="17"/>
      <c r="AD1366" s="27"/>
    </row>
    <row r="1367" ht="15.75" customHeight="1">
      <c r="A1367" s="216" t="s">
        <v>3165</v>
      </c>
      <c r="B1367" s="216" t="s">
        <v>3182</v>
      </c>
      <c r="C1367" s="216" t="s">
        <v>3183</v>
      </c>
      <c r="D1367" s="217" t="s">
        <v>212</v>
      </c>
      <c r="E1367" s="218"/>
      <c r="F1367" s="218"/>
      <c r="G1367" s="219">
        <f t="shared" si="10"/>
        <v>0.9876717402</v>
      </c>
      <c r="H1367" s="220">
        <v>28.0</v>
      </c>
      <c r="I1367" s="221">
        <v>160.0</v>
      </c>
      <c r="J1367" s="220">
        <v>12.0</v>
      </c>
      <c r="K1367" s="220">
        <v>50.0</v>
      </c>
      <c r="L1367" s="218"/>
      <c r="M1367" s="222">
        <v>15.0</v>
      </c>
      <c r="N1367" s="222">
        <v>2.0</v>
      </c>
      <c r="O1367" s="222">
        <v>10.0</v>
      </c>
      <c r="P1367" s="223">
        <f t="shared" si="2"/>
        <v>3</v>
      </c>
      <c r="Q1367" s="224">
        <v>3.0</v>
      </c>
      <c r="R1367" s="232">
        <f t="shared" si="3"/>
        <v>161.9971429</v>
      </c>
      <c r="S1367" s="233">
        <f t="shared" si="4"/>
        <v>5.714285714</v>
      </c>
      <c r="T1367" s="24">
        <f t="shared" si="5"/>
        <v>5</v>
      </c>
      <c r="U1367" s="26">
        <f t="shared" si="6"/>
        <v>0.6</v>
      </c>
      <c r="V1367" s="26">
        <f t="shared" si="7"/>
        <v>0.2222222222</v>
      </c>
      <c r="W1367" s="19">
        <f t="shared" si="8"/>
        <v>0.3125</v>
      </c>
      <c r="X1367" s="218"/>
      <c r="Y1367" s="27"/>
      <c r="Z1367" s="17"/>
      <c r="AA1367" s="17"/>
      <c r="AB1367" s="17"/>
      <c r="AC1367" s="17"/>
      <c r="AD1367" s="27"/>
    </row>
    <row r="1368" ht="15.75" customHeight="1">
      <c r="A1368" s="216" t="s">
        <v>3165</v>
      </c>
      <c r="B1368" s="216" t="s">
        <v>3184</v>
      </c>
      <c r="C1368" s="216" t="s">
        <v>3185</v>
      </c>
      <c r="D1368" s="217" t="s">
        <v>212</v>
      </c>
      <c r="E1368" s="218"/>
      <c r="F1368" s="218"/>
      <c r="G1368" s="219">
        <f t="shared" si="10"/>
        <v>0.9876717402</v>
      </c>
      <c r="H1368" s="220">
        <v>28.0</v>
      </c>
      <c r="I1368" s="221">
        <v>150.0</v>
      </c>
      <c r="J1368" s="220">
        <v>11.0</v>
      </c>
      <c r="K1368" s="220">
        <v>65.0</v>
      </c>
      <c r="L1368" s="218"/>
      <c r="M1368" s="222">
        <v>14.0</v>
      </c>
      <c r="N1368" s="222">
        <v>4.0</v>
      </c>
      <c r="O1368" s="222">
        <v>8.0</v>
      </c>
      <c r="P1368" s="223">
        <f t="shared" si="2"/>
        <v>2</v>
      </c>
      <c r="Q1368" s="224">
        <v>2.0</v>
      </c>
      <c r="R1368" s="234">
        <f t="shared" si="3"/>
        <v>151.8723214</v>
      </c>
      <c r="S1368" s="235">
        <f t="shared" si="4"/>
        <v>5.357142857</v>
      </c>
      <c r="T1368" s="24">
        <f t="shared" si="5"/>
        <v>7</v>
      </c>
      <c r="U1368" s="26">
        <f t="shared" si="6"/>
        <v>0.6073619632</v>
      </c>
      <c r="V1368" s="26">
        <f t="shared" si="7"/>
        <v>0.1963190184</v>
      </c>
      <c r="W1368" s="19">
        <f t="shared" si="8"/>
        <v>0.4333333333</v>
      </c>
      <c r="X1368" s="218"/>
      <c r="Y1368" s="27"/>
      <c r="Z1368" s="17"/>
      <c r="AA1368" s="17"/>
      <c r="AB1368" s="17"/>
      <c r="AC1368" s="17"/>
      <c r="AD1368" s="27"/>
    </row>
    <row r="1369" ht="15.75" customHeight="1">
      <c r="A1369" s="218" t="s">
        <v>3186</v>
      </c>
      <c r="B1369" s="218" t="s">
        <v>3187</v>
      </c>
      <c r="C1369" s="216" t="s">
        <v>3188</v>
      </c>
      <c r="D1369" s="217" t="s">
        <v>212</v>
      </c>
      <c r="E1369" s="218"/>
      <c r="F1369" s="218"/>
      <c r="G1369" s="219">
        <f t="shared" si="10"/>
        <v>1.587329583</v>
      </c>
      <c r="H1369" s="217">
        <v>45.0</v>
      </c>
      <c r="I1369" s="236">
        <v>200.0</v>
      </c>
      <c r="J1369" s="217">
        <v>9.0</v>
      </c>
      <c r="K1369" s="217">
        <v>10.0</v>
      </c>
      <c r="L1369" s="218"/>
      <c r="M1369" s="223">
        <v>28.0</v>
      </c>
      <c r="N1369" s="223">
        <v>2.0</v>
      </c>
      <c r="O1369" s="223">
        <v>9.0</v>
      </c>
      <c r="P1369" s="223">
        <f t="shared" si="2"/>
        <v>17</v>
      </c>
      <c r="Q1369" s="237">
        <v>3.0</v>
      </c>
      <c r="R1369" s="238">
        <f t="shared" si="3"/>
        <v>125.9977778</v>
      </c>
      <c r="S1369" s="239">
        <f t="shared" si="4"/>
        <v>4.444444444</v>
      </c>
      <c r="T1369" s="24">
        <f t="shared" si="5"/>
        <v>9.333333333</v>
      </c>
      <c r="U1369" s="26">
        <f t="shared" si="6"/>
        <v>0.3951219512</v>
      </c>
      <c r="V1369" s="26">
        <f t="shared" si="7"/>
        <v>0.1756097561</v>
      </c>
      <c r="W1369" s="19">
        <f t="shared" si="8"/>
        <v>0.05</v>
      </c>
      <c r="X1369" s="218"/>
      <c r="Y1369" s="27"/>
      <c r="Z1369" s="17"/>
      <c r="AA1369" s="17"/>
      <c r="AB1369" s="17"/>
      <c r="AC1369" s="17"/>
      <c r="AD1369" s="27"/>
    </row>
    <row r="1370" ht="15.75" customHeight="1">
      <c r="A1370" s="216" t="s">
        <v>3189</v>
      </c>
      <c r="B1370" s="216" t="s">
        <v>3190</v>
      </c>
      <c r="C1370" s="216" t="s">
        <v>3191</v>
      </c>
      <c r="D1370" s="217" t="s">
        <v>212</v>
      </c>
      <c r="E1370" s="218"/>
      <c r="F1370" s="218"/>
      <c r="G1370" s="219">
        <f t="shared" si="10"/>
        <v>1.128767703</v>
      </c>
      <c r="H1370" s="220">
        <v>32.0</v>
      </c>
      <c r="I1370" s="221">
        <v>140.0</v>
      </c>
      <c r="J1370" s="220">
        <v>12.0</v>
      </c>
      <c r="K1370" s="220">
        <v>60.0</v>
      </c>
      <c r="L1370" s="220">
        <v>135.0</v>
      </c>
      <c r="M1370" s="222">
        <v>12.0</v>
      </c>
      <c r="N1370" s="222">
        <v>4.0</v>
      </c>
      <c r="O1370" s="222">
        <v>1.0</v>
      </c>
      <c r="P1370" s="223">
        <f t="shared" si="2"/>
        <v>7</v>
      </c>
      <c r="Q1370" s="224">
        <v>5.0</v>
      </c>
      <c r="R1370" s="240">
        <f t="shared" si="3"/>
        <v>124.0290625</v>
      </c>
      <c r="S1370" s="241">
        <f t="shared" si="4"/>
        <v>4.375</v>
      </c>
      <c r="T1370" s="24">
        <f t="shared" si="5"/>
        <v>2.4</v>
      </c>
      <c r="U1370" s="26">
        <f t="shared" si="6"/>
        <v>0.6136363636</v>
      </c>
      <c r="V1370" s="26">
        <f t="shared" si="7"/>
        <v>0.02272727273</v>
      </c>
      <c r="W1370" s="19">
        <f t="shared" si="8"/>
        <v>0.4285714286</v>
      </c>
      <c r="X1370" s="218"/>
      <c r="Y1370" s="27"/>
      <c r="Z1370" s="17"/>
      <c r="AA1370" s="17"/>
      <c r="AB1370" s="17"/>
      <c r="AC1370" s="17"/>
      <c r="AD1370" s="27"/>
    </row>
    <row r="1371" ht="15.75" customHeight="1">
      <c r="A1371" s="216" t="s">
        <v>3189</v>
      </c>
      <c r="B1371" s="216" t="s">
        <v>3192</v>
      </c>
      <c r="C1371" s="216" t="s">
        <v>3193</v>
      </c>
      <c r="D1371" s="217" t="s">
        <v>212</v>
      </c>
      <c r="E1371" s="218"/>
      <c r="F1371" s="218"/>
      <c r="G1371" s="219">
        <f t="shared" si="10"/>
        <v>1.128767703</v>
      </c>
      <c r="H1371" s="220">
        <v>32.0</v>
      </c>
      <c r="I1371" s="221">
        <v>140.0</v>
      </c>
      <c r="J1371" s="220">
        <v>12.0</v>
      </c>
      <c r="K1371" s="220">
        <v>70.0</v>
      </c>
      <c r="L1371" s="220">
        <v>135.0</v>
      </c>
      <c r="M1371" s="222">
        <v>12.5</v>
      </c>
      <c r="N1371" s="222">
        <v>4.0</v>
      </c>
      <c r="O1371" s="222">
        <v>1.0</v>
      </c>
      <c r="P1371" s="223">
        <f t="shared" si="2"/>
        <v>7.5</v>
      </c>
      <c r="Q1371" s="224">
        <v>5.0</v>
      </c>
      <c r="R1371" s="240">
        <f t="shared" si="3"/>
        <v>124.0290625</v>
      </c>
      <c r="S1371" s="241">
        <f t="shared" si="4"/>
        <v>4.375</v>
      </c>
      <c r="T1371" s="24">
        <f t="shared" si="5"/>
        <v>2.5</v>
      </c>
      <c r="U1371" s="26">
        <f t="shared" si="6"/>
        <v>0.606741573</v>
      </c>
      <c r="V1371" s="26">
        <f t="shared" si="7"/>
        <v>0.02247191011</v>
      </c>
      <c r="W1371" s="19">
        <f t="shared" si="8"/>
        <v>0.5</v>
      </c>
      <c r="X1371" s="218"/>
      <c r="Y1371" s="27"/>
      <c r="Z1371" s="17"/>
      <c r="AA1371" s="17"/>
      <c r="AB1371" s="17"/>
      <c r="AC1371" s="17"/>
      <c r="AD1371" s="27"/>
    </row>
    <row r="1372" ht="15.75" customHeight="1">
      <c r="A1372" s="216" t="s">
        <v>3189</v>
      </c>
      <c r="B1372" s="216" t="s">
        <v>3194</v>
      </c>
      <c r="C1372" s="216" t="s">
        <v>3195</v>
      </c>
      <c r="D1372" s="217" t="s">
        <v>212</v>
      </c>
      <c r="E1372" s="218"/>
      <c r="F1372" s="218"/>
      <c r="G1372" s="219">
        <f t="shared" si="10"/>
        <v>1.128767703</v>
      </c>
      <c r="H1372" s="220">
        <v>32.0</v>
      </c>
      <c r="I1372" s="221">
        <v>140.0</v>
      </c>
      <c r="J1372" s="220">
        <v>13.0</v>
      </c>
      <c r="K1372" s="220">
        <v>60.0</v>
      </c>
      <c r="L1372" s="220">
        <v>135.0</v>
      </c>
      <c r="M1372" s="222">
        <v>12.0</v>
      </c>
      <c r="N1372" s="222">
        <v>4.0</v>
      </c>
      <c r="O1372" s="222">
        <v>1.0</v>
      </c>
      <c r="P1372" s="223">
        <f t="shared" si="2"/>
        <v>7</v>
      </c>
      <c r="Q1372" s="224">
        <v>4.0</v>
      </c>
      <c r="R1372" s="240">
        <f t="shared" si="3"/>
        <v>124.0290625</v>
      </c>
      <c r="S1372" s="241">
        <f t="shared" si="4"/>
        <v>4.375</v>
      </c>
      <c r="T1372" s="24">
        <f t="shared" si="5"/>
        <v>3</v>
      </c>
      <c r="U1372" s="26">
        <f t="shared" si="6"/>
        <v>0.6464088398</v>
      </c>
      <c r="V1372" s="26">
        <f t="shared" si="7"/>
        <v>0.02209944751</v>
      </c>
      <c r="W1372" s="19">
        <f t="shared" si="8"/>
        <v>0.4285714286</v>
      </c>
      <c r="X1372" s="218"/>
      <c r="Y1372" s="27"/>
      <c r="Z1372" s="17"/>
      <c r="AA1372" s="17"/>
      <c r="AB1372" s="17"/>
      <c r="AC1372" s="17"/>
      <c r="AD1372" s="27"/>
    </row>
    <row r="1373" ht="15.75" customHeight="1">
      <c r="A1373" s="216" t="s">
        <v>3189</v>
      </c>
      <c r="B1373" s="216" t="s">
        <v>3196</v>
      </c>
      <c r="C1373" s="216" t="s">
        <v>3197</v>
      </c>
      <c r="D1373" s="217" t="s">
        <v>212</v>
      </c>
      <c r="E1373" s="218"/>
      <c r="F1373" s="218"/>
      <c r="G1373" s="219">
        <f t="shared" si="10"/>
        <v>1.234589675</v>
      </c>
      <c r="H1373" s="220">
        <v>35.0</v>
      </c>
      <c r="I1373" s="221">
        <v>150.0</v>
      </c>
      <c r="J1373" s="220">
        <v>13.0</v>
      </c>
      <c r="K1373" s="220">
        <v>130.0</v>
      </c>
      <c r="L1373" s="220">
        <v>160.0</v>
      </c>
      <c r="M1373" s="222">
        <v>14.0</v>
      </c>
      <c r="N1373" s="222">
        <v>4.0</v>
      </c>
      <c r="O1373" s="222">
        <v>1.0</v>
      </c>
      <c r="P1373" s="223">
        <f t="shared" si="2"/>
        <v>9</v>
      </c>
      <c r="Q1373" s="224">
        <v>5.0</v>
      </c>
      <c r="R1373" s="240">
        <f t="shared" si="3"/>
        <v>121.4978571</v>
      </c>
      <c r="S1373" s="241">
        <f t="shared" si="4"/>
        <v>4.285714286</v>
      </c>
      <c r="T1373" s="24">
        <f t="shared" si="5"/>
        <v>2.8</v>
      </c>
      <c r="U1373" s="26">
        <f t="shared" si="6"/>
        <v>0.6062176166</v>
      </c>
      <c r="V1373" s="26">
        <f t="shared" si="7"/>
        <v>0.0207253886</v>
      </c>
      <c r="W1373" s="19">
        <f t="shared" si="8"/>
        <v>0.8666666667</v>
      </c>
      <c r="X1373" s="218"/>
      <c r="Y1373" s="27"/>
      <c r="Z1373" s="17"/>
      <c r="AA1373" s="17"/>
      <c r="AB1373" s="17"/>
      <c r="AC1373" s="17"/>
      <c r="AD1373" s="27"/>
    </row>
    <row r="1374" ht="15.75" customHeight="1">
      <c r="A1374" s="216" t="s">
        <v>3189</v>
      </c>
      <c r="B1374" s="216" t="s">
        <v>3198</v>
      </c>
      <c r="C1374" s="216" t="s">
        <v>3199</v>
      </c>
      <c r="D1374" s="217" t="s">
        <v>212</v>
      </c>
      <c r="E1374" s="218"/>
      <c r="F1374" s="218"/>
      <c r="G1374" s="219">
        <f t="shared" si="10"/>
        <v>1.234589675</v>
      </c>
      <c r="H1374" s="220">
        <v>35.0</v>
      </c>
      <c r="I1374" s="221">
        <v>150.0</v>
      </c>
      <c r="J1374" s="220">
        <v>13.0</v>
      </c>
      <c r="K1374" s="220">
        <v>50.0</v>
      </c>
      <c r="L1374" s="220">
        <v>140.0</v>
      </c>
      <c r="M1374" s="222">
        <v>14.0</v>
      </c>
      <c r="N1374" s="222">
        <v>4.0</v>
      </c>
      <c r="O1374" s="222">
        <v>1.0</v>
      </c>
      <c r="P1374" s="223">
        <f t="shared" si="2"/>
        <v>9</v>
      </c>
      <c r="Q1374" s="224">
        <v>4.0</v>
      </c>
      <c r="R1374" s="240">
        <f t="shared" si="3"/>
        <v>121.4978571</v>
      </c>
      <c r="S1374" s="241">
        <f t="shared" si="4"/>
        <v>4.285714286</v>
      </c>
      <c r="T1374" s="24">
        <f t="shared" si="5"/>
        <v>3.5</v>
      </c>
      <c r="U1374" s="26">
        <f t="shared" si="6"/>
        <v>0.619047619</v>
      </c>
      <c r="V1374" s="26">
        <f t="shared" si="7"/>
        <v>0.02116402116</v>
      </c>
      <c r="W1374" s="19">
        <f t="shared" si="8"/>
        <v>0.3333333333</v>
      </c>
      <c r="X1374" s="218"/>
      <c r="Y1374" s="27"/>
      <c r="Z1374" s="17"/>
      <c r="AA1374" s="17"/>
      <c r="AB1374" s="17"/>
      <c r="AC1374" s="17"/>
      <c r="AD1374" s="27"/>
    </row>
    <row r="1375" ht="15.75" customHeight="1">
      <c r="A1375" s="216" t="s">
        <v>3189</v>
      </c>
      <c r="B1375" s="216" t="s">
        <v>3200</v>
      </c>
      <c r="C1375" s="216" t="s">
        <v>3201</v>
      </c>
      <c r="D1375" s="217" t="s">
        <v>212</v>
      </c>
      <c r="E1375" s="218"/>
      <c r="F1375" s="218"/>
      <c r="G1375" s="219">
        <f t="shared" si="10"/>
        <v>1.234589675</v>
      </c>
      <c r="H1375" s="220">
        <v>35.0</v>
      </c>
      <c r="I1375" s="221">
        <v>140.0</v>
      </c>
      <c r="J1375" s="220">
        <v>12.0</v>
      </c>
      <c r="K1375" s="220">
        <v>60.0</v>
      </c>
      <c r="L1375" s="220">
        <v>130.0</v>
      </c>
      <c r="M1375" s="222">
        <v>17.0</v>
      </c>
      <c r="N1375" s="222">
        <v>5.0</v>
      </c>
      <c r="O1375" s="222">
        <v>1.0</v>
      </c>
      <c r="P1375" s="223">
        <f t="shared" si="2"/>
        <v>11</v>
      </c>
      <c r="Q1375" s="224">
        <v>3.0</v>
      </c>
      <c r="R1375" s="240">
        <f t="shared" si="3"/>
        <v>113.398</v>
      </c>
      <c r="S1375" s="241">
        <f t="shared" si="4"/>
        <v>4</v>
      </c>
      <c r="T1375" s="24">
        <f t="shared" si="5"/>
        <v>5.666666667</v>
      </c>
      <c r="U1375" s="26">
        <f t="shared" si="6"/>
        <v>0.5744680851</v>
      </c>
      <c r="V1375" s="26">
        <f t="shared" si="7"/>
        <v>0.02127659574</v>
      </c>
      <c r="W1375" s="19">
        <f t="shared" si="8"/>
        <v>0.4285714286</v>
      </c>
      <c r="X1375" s="218"/>
      <c r="Y1375" s="27"/>
      <c r="Z1375" s="17"/>
      <c r="AA1375" s="17"/>
      <c r="AB1375" s="17"/>
      <c r="AC1375" s="17"/>
      <c r="AD1375" s="27"/>
    </row>
    <row r="1376" ht="15.75" customHeight="1">
      <c r="A1376" s="216" t="s">
        <v>3202</v>
      </c>
      <c r="B1376" s="216" t="s">
        <v>3203</v>
      </c>
      <c r="C1376" s="216" t="s">
        <v>3204</v>
      </c>
      <c r="D1376" s="220" t="s">
        <v>33</v>
      </c>
      <c r="E1376" s="218"/>
      <c r="F1376" s="218"/>
      <c r="G1376" s="219">
        <f t="shared" si="10"/>
        <v>0.1410959629</v>
      </c>
      <c r="H1376" s="220">
        <v>4.0</v>
      </c>
      <c r="I1376" s="221">
        <v>40.0</v>
      </c>
      <c r="J1376" s="220">
        <v>4.0</v>
      </c>
      <c r="K1376" s="220">
        <v>0.0</v>
      </c>
      <c r="L1376" s="220">
        <v>0.0</v>
      </c>
      <c r="M1376" s="222">
        <v>0.0</v>
      </c>
      <c r="N1376" s="222">
        <v>0.0</v>
      </c>
      <c r="O1376" s="222">
        <v>0.0</v>
      </c>
      <c r="P1376" s="223">
        <f t="shared" si="2"/>
        <v>0</v>
      </c>
      <c r="Q1376" s="231">
        <v>0.0</v>
      </c>
      <c r="R1376" s="228">
        <f t="shared" si="3"/>
        <v>283.495</v>
      </c>
      <c r="S1376" s="229">
        <f t="shared" si="4"/>
        <v>10</v>
      </c>
      <c r="T1376" s="24" t="str">
        <f t="shared" si="5"/>
        <v>N/A</v>
      </c>
      <c r="U1376" s="26">
        <f t="shared" si="6"/>
        <v>1</v>
      </c>
      <c r="V1376" s="26" t="str">
        <f t="shared" si="7"/>
        <v>0%</v>
      </c>
      <c r="W1376" s="19">
        <f t="shared" si="8"/>
        <v>0</v>
      </c>
      <c r="X1376" s="218"/>
      <c r="Y1376" s="27"/>
      <c r="Z1376" s="17"/>
      <c r="AA1376" s="17"/>
      <c r="AB1376" s="17"/>
      <c r="AC1376" s="17"/>
      <c r="AD1376" s="27"/>
    </row>
    <row r="1377" ht="15.75" customHeight="1">
      <c r="A1377" s="216" t="s">
        <v>3205</v>
      </c>
      <c r="B1377" s="216" t="s">
        <v>3206</v>
      </c>
      <c r="C1377" s="216" t="s">
        <v>3207</v>
      </c>
      <c r="D1377" s="220" t="s">
        <v>33</v>
      </c>
      <c r="E1377" s="218"/>
      <c r="F1377" s="218"/>
      <c r="G1377" s="219">
        <f t="shared" si="10"/>
        <v>0.4938358701</v>
      </c>
      <c r="H1377" s="220">
        <v>14.0</v>
      </c>
      <c r="I1377" s="221">
        <v>130.0</v>
      </c>
      <c r="J1377" s="220">
        <v>14.0</v>
      </c>
      <c r="K1377" s="220">
        <v>0.0</v>
      </c>
      <c r="L1377" s="220">
        <v>0.0</v>
      </c>
      <c r="M1377" s="230">
        <v>0.0</v>
      </c>
      <c r="N1377" s="230">
        <v>0.0</v>
      </c>
      <c r="O1377" s="230">
        <v>0.0</v>
      </c>
      <c r="P1377" s="223">
        <f t="shared" si="2"/>
        <v>0</v>
      </c>
      <c r="Q1377" s="231">
        <v>0.0</v>
      </c>
      <c r="R1377" s="228">
        <f t="shared" si="3"/>
        <v>263.2453571</v>
      </c>
      <c r="S1377" s="229">
        <f t="shared" si="4"/>
        <v>9.285714286</v>
      </c>
      <c r="T1377" s="24" t="str">
        <f t="shared" si="5"/>
        <v>N/A</v>
      </c>
      <c r="U1377" s="26">
        <f t="shared" si="6"/>
        <v>1</v>
      </c>
      <c r="V1377" s="26" t="str">
        <f t="shared" si="7"/>
        <v>0%</v>
      </c>
      <c r="W1377" s="19">
        <f t="shared" si="8"/>
        <v>0</v>
      </c>
      <c r="X1377" s="218"/>
      <c r="Y1377" s="27"/>
      <c r="Z1377" s="17"/>
      <c r="AA1377" s="17"/>
      <c r="AB1377" s="17"/>
      <c r="AC1377" s="17"/>
      <c r="AD1377" s="27"/>
    </row>
    <row r="1378" ht="15.75" customHeight="1">
      <c r="A1378" s="216" t="s">
        <v>3208</v>
      </c>
      <c r="B1378" s="216" t="s">
        <v>3209</v>
      </c>
      <c r="C1378" s="216" t="s">
        <v>3210</v>
      </c>
      <c r="D1378" s="220" t="s">
        <v>33</v>
      </c>
      <c r="E1378" s="218"/>
      <c r="F1378" s="218"/>
      <c r="G1378" s="219">
        <f t="shared" si="10"/>
        <v>0.4938358701</v>
      </c>
      <c r="H1378" s="220">
        <v>14.0</v>
      </c>
      <c r="I1378" s="221">
        <v>130.0</v>
      </c>
      <c r="J1378" s="220">
        <v>14.0</v>
      </c>
      <c r="K1378" s="220">
        <v>0.0</v>
      </c>
      <c r="L1378" s="220">
        <v>0.0</v>
      </c>
      <c r="M1378" s="230">
        <v>0.0</v>
      </c>
      <c r="N1378" s="230">
        <v>0.0</v>
      </c>
      <c r="O1378" s="230">
        <v>0.0</v>
      </c>
      <c r="P1378" s="223">
        <f t="shared" si="2"/>
        <v>0</v>
      </c>
      <c r="Q1378" s="231">
        <v>0.0</v>
      </c>
      <c r="R1378" s="228">
        <f t="shared" si="3"/>
        <v>263.2453571</v>
      </c>
      <c r="S1378" s="229">
        <f t="shared" si="4"/>
        <v>9.285714286</v>
      </c>
      <c r="T1378" s="24" t="str">
        <f t="shared" si="5"/>
        <v>N/A</v>
      </c>
      <c r="U1378" s="26">
        <f t="shared" si="6"/>
        <v>1</v>
      </c>
      <c r="V1378" s="26" t="str">
        <f t="shared" si="7"/>
        <v>0%</v>
      </c>
      <c r="W1378" s="19">
        <f t="shared" si="8"/>
        <v>0</v>
      </c>
      <c r="X1378" s="218"/>
      <c r="Y1378" s="27"/>
      <c r="Z1378" s="17"/>
      <c r="AA1378" s="17"/>
      <c r="AB1378" s="17"/>
      <c r="AC1378" s="17"/>
      <c r="AD1378" s="27"/>
    </row>
    <row r="1379" ht="15.75" customHeight="1">
      <c r="A1379" s="218" t="s">
        <v>3211</v>
      </c>
      <c r="B1379" s="218" t="s">
        <v>3212</v>
      </c>
      <c r="C1379" s="216" t="s">
        <v>3213</v>
      </c>
      <c r="D1379" s="217" t="s">
        <v>33</v>
      </c>
      <c r="E1379" s="218"/>
      <c r="F1379" s="218"/>
      <c r="G1379" s="219">
        <f t="shared" si="10"/>
        <v>0.4585618794</v>
      </c>
      <c r="H1379" s="217">
        <v>13.0</v>
      </c>
      <c r="I1379" s="236">
        <v>120.0</v>
      </c>
      <c r="J1379" s="217">
        <v>13.0</v>
      </c>
      <c r="K1379" s="218"/>
      <c r="L1379" s="218"/>
      <c r="M1379" s="223">
        <v>0.0</v>
      </c>
      <c r="N1379" s="223">
        <v>0.0</v>
      </c>
      <c r="O1379" s="223">
        <v>0.0</v>
      </c>
      <c r="P1379" s="223">
        <f t="shared" si="2"/>
        <v>0</v>
      </c>
      <c r="Q1379" s="237">
        <v>0.0</v>
      </c>
      <c r="R1379" s="228">
        <f t="shared" si="3"/>
        <v>261.6876923</v>
      </c>
      <c r="S1379" s="229">
        <f t="shared" si="4"/>
        <v>9.230769231</v>
      </c>
      <c r="T1379" s="24" t="str">
        <f t="shared" si="5"/>
        <v>N/A</v>
      </c>
      <c r="U1379" s="26">
        <f t="shared" si="6"/>
        <v>1</v>
      </c>
      <c r="V1379" s="26" t="str">
        <f t="shared" si="7"/>
        <v>0%</v>
      </c>
      <c r="W1379" s="19">
        <f t="shared" si="8"/>
        <v>0</v>
      </c>
      <c r="X1379" s="218"/>
      <c r="Y1379" s="27"/>
      <c r="Z1379" s="17"/>
      <c r="AA1379" s="17"/>
      <c r="AB1379" s="17"/>
      <c r="AC1379" s="17"/>
      <c r="AD1379" s="27"/>
    </row>
    <row r="1380" ht="15.75" customHeight="1">
      <c r="A1380" s="216" t="s">
        <v>3214</v>
      </c>
      <c r="B1380" s="216" t="s">
        <v>3215</v>
      </c>
      <c r="C1380" s="216" t="s">
        <v>3216</v>
      </c>
      <c r="D1380" s="220" t="s">
        <v>33</v>
      </c>
      <c r="E1380" s="218"/>
      <c r="F1380" s="218"/>
      <c r="G1380" s="219">
        <f t="shared" si="10"/>
        <v>0.3527399072</v>
      </c>
      <c r="H1380" s="220">
        <v>10.0</v>
      </c>
      <c r="I1380" s="221">
        <v>90.0</v>
      </c>
      <c r="J1380" s="220">
        <v>10.0</v>
      </c>
      <c r="K1380" s="220">
        <v>0.0</v>
      </c>
      <c r="L1380" s="220">
        <v>0.0</v>
      </c>
      <c r="M1380" s="230">
        <v>0.0</v>
      </c>
      <c r="N1380" s="230">
        <v>0.0</v>
      </c>
      <c r="O1380" s="230">
        <v>0.0</v>
      </c>
      <c r="P1380" s="223">
        <f t="shared" si="2"/>
        <v>0</v>
      </c>
      <c r="Q1380" s="231">
        <v>0.0</v>
      </c>
      <c r="R1380" s="228">
        <f t="shared" si="3"/>
        <v>255.1455</v>
      </c>
      <c r="S1380" s="229">
        <f t="shared" si="4"/>
        <v>9</v>
      </c>
      <c r="T1380" s="24" t="str">
        <f t="shared" si="5"/>
        <v>N/A</v>
      </c>
      <c r="U1380" s="26">
        <f t="shared" si="6"/>
        <v>1</v>
      </c>
      <c r="V1380" s="26" t="str">
        <f t="shared" si="7"/>
        <v>0%</v>
      </c>
      <c r="W1380" s="19">
        <f t="shared" si="8"/>
        <v>0</v>
      </c>
      <c r="X1380" s="218"/>
      <c r="Y1380" s="27"/>
      <c r="Z1380" s="17"/>
      <c r="AA1380" s="17"/>
      <c r="AB1380" s="17"/>
      <c r="AC1380" s="17"/>
      <c r="AD1380" s="27"/>
    </row>
    <row r="1381" ht="15.75" customHeight="1">
      <c r="A1381" s="216" t="s">
        <v>3217</v>
      </c>
      <c r="B1381" s="216" t="s">
        <v>3218</v>
      </c>
      <c r="C1381" s="216" t="s">
        <v>3219</v>
      </c>
      <c r="D1381" s="220" t="s">
        <v>33</v>
      </c>
      <c r="E1381" s="218"/>
      <c r="F1381" s="218"/>
      <c r="G1381" s="219">
        <f t="shared" si="10"/>
        <v>0.5291098608</v>
      </c>
      <c r="H1381" s="220">
        <v>15.0</v>
      </c>
      <c r="I1381" s="221">
        <v>135.0</v>
      </c>
      <c r="J1381" s="220">
        <v>14.0</v>
      </c>
      <c r="K1381" s="220">
        <v>0.0</v>
      </c>
      <c r="L1381" s="220">
        <v>0.0</v>
      </c>
      <c r="M1381" s="222">
        <v>0.0</v>
      </c>
      <c r="N1381" s="222">
        <v>0.0</v>
      </c>
      <c r="O1381" s="222">
        <v>0.0</v>
      </c>
      <c r="P1381" s="223">
        <f t="shared" si="2"/>
        <v>0</v>
      </c>
      <c r="Q1381" s="231">
        <v>0.0</v>
      </c>
      <c r="R1381" s="228">
        <f t="shared" si="3"/>
        <v>255.1455</v>
      </c>
      <c r="S1381" s="229">
        <f t="shared" si="4"/>
        <v>9</v>
      </c>
      <c r="T1381" s="24" t="str">
        <f t="shared" si="5"/>
        <v>N/A</v>
      </c>
      <c r="U1381" s="26">
        <f t="shared" si="6"/>
        <v>1</v>
      </c>
      <c r="V1381" s="26" t="str">
        <f t="shared" si="7"/>
        <v>0%</v>
      </c>
      <c r="W1381" s="19">
        <f t="shared" si="8"/>
        <v>0</v>
      </c>
      <c r="X1381" s="218"/>
      <c r="Y1381" s="27"/>
      <c r="Z1381" s="17"/>
      <c r="AA1381" s="17"/>
      <c r="AB1381" s="17"/>
      <c r="AC1381" s="17"/>
      <c r="AD1381" s="27"/>
    </row>
    <row r="1382" ht="15.75" customHeight="1">
      <c r="A1382" s="216" t="s">
        <v>3220</v>
      </c>
      <c r="B1382" s="216" t="s">
        <v>3221</v>
      </c>
      <c r="C1382" s="216" t="s">
        <v>3222</v>
      </c>
      <c r="D1382" s="220" t="s">
        <v>33</v>
      </c>
      <c r="E1382" s="218"/>
      <c r="F1382" s="218"/>
      <c r="G1382" s="219">
        <f t="shared" si="10"/>
        <v>3.527399072</v>
      </c>
      <c r="H1382" s="220">
        <v>100.0</v>
      </c>
      <c r="I1382" s="221">
        <v>896.0</v>
      </c>
      <c r="J1382" s="220">
        <v>99.5</v>
      </c>
      <c r="K1382" s="220">
        <v>0.0</v>
      </c>
      <c r="L1382" s="220">
        <v>0.0</v>
      </c>
      <c r="M1382" s="222">
        <v>0.0</v>
      </c>
      <c r="N1382" s="222">
        <v>0.0</v>
      </c>
      <c r="O1382" s="222">
        <v>0.0</v>
      </c>
      <c r="P1382" s="223">
        <f t="shared" si="2"/>
        <v>0</v>
      </c>
      <c r="Q1382" s="231">
        <v>0.0</v>
      </c>
      <c r="R1382" s="228">
        <f t="shared" si="3"/>
        <v>254.01152</v>
      </c>
      <c r="S1382" s="229">
        <f t="shared" si="4"/>
        <v>8.96</v>
      </c>
      <c r="T1382" s="24" t="str">
        <f t="shared" si="5"/>
        <v>N/A</v>
      </c>
      <c r="U1382" s="26">
        <f t="shared" si="6"/>
        <v>1</v>
      </c>
      <c r="V1382" s="26" t="str">
        <f t="shared" si="7"/>
        <v>0%</v>
      </c>
      <c r="W1382" s="19">
        <f t="shared" si="8"/>
        <v>0</v>
      </c>
      <c r="X1382" s="218"/>
      <c r="Y1382" s="27"/>
      <c r="Z1382" s="17"/>
      <c r="AA1382" s="17"/>
      <c r="AB1382" s="17"/>
      <c r="AC1382" s="17"/>
      <c r="AD1382" s="27"/>
    </row>
    <row r="1383" ht="15.75" customHeight="1">
      <c r="A1383" s="216" t="s">
        <v>3223</v>
      </c>
      <c r="B1383" s="218" t="s">
        <v>3224</v>
      </c>
      <c r="C1383" s="216" t="s">
        <v>3225</v>
      </c>
      <c r="D1383" s="220" t="s">
        <v>33</v>
      </c>
      <c r="E1383" s="218"/>
      <c r="F1383" s="218"/>
      <c r="G1383" s="219">
        <f t="shared" si="10"/>
        <v>0.5291098608</v>
      </c>
      <c r="H1383" s="220">
        <v>15.0</v>
      </c>
      <c r="I1383" s="221">
        <v>130.0</v>
      </c>
      <c r="J1383" s="220">
        <v>14.0</v>
      </c>
      <c r="K1383" s="220">
        <v>0.0</v>
      </c>
      <c r="L1383" s="220">
        <v>0.0</v>
      </c>
      <c r="M1383" s="230">
        <v>0.0</v>
      </c>
      <c r="N1383" s="230">
        <v>0.0</v>
      </c>
      <c r="O1383" s="230">
        <v>0.0</v>
      </c>
      <c r="P1383" s="223">
        <f t="shared" si="2"/>
        <v>0</v>
      </c>
      <c r="Q1383" s="231">
        <v>0.0</v>
      </c>
      <c r="R1383" s="228">
        <f t="shared" si="3"/>
        <v>245.6956667</v>
      </c>
      <c r="S1383" s="229">
        <f t="shared" si="4"/>
        <v>8.666666667</v>
      </c>
      <c r="T1383" s="24" t="str">
        <f t="shared" si="5"/>
        <v>N/A</v>
      </c>
      <c r="U1383" s="26">
        <f t="shared" si="6"/>
        <v>1</v>
      </c>
      <c r="V1383" s="26" t="str">
        <f t="shared" si="7"/>
        <v>0%</v>
      </c>
      <c r="W1383" s="19">
        <f t="shared" si="8"/>
        <v>0</v>
      </c>
      <c r="X1383" s="218"/>
      <c r="Y1383" s="27"/>
      <c r="Z1383" s="17"/>
      <c r="AA1383" s="17"/>
      <c r="AB1383" s="17"/>
      <c r="AC1383" s="17"/>
      <c r="AD1383" s="27"/>
    </row>
    <row r="1384" ht="15.75" customHeight="1">
      <c r="A1384" s="216" t="s">
        <v>3226</v>
      </c>
      <c r="B1384" s="216" t="s">
        <v>3227</v>
      </c>
      <c r="C1384" s="216" t="s">
        <v>3228</v>
      </c>
      <c r="D1384" s="220" t="s">
        <v>33</v>
      </c>
      <c r="E1384" s="218"/>
      <c r="F1384" s="218"/>
      <c r="G1384" s="219">
        <f t="shared" si="10"/>
        <v>0.5291098608</v>
      </c>
      <c r="H1384" s="220">
        <v>15.0</v>
      </c>
      <c r="I1384" s="221">
        <v>130.0</v>
      </c>
      <c r="J1384" s="220">
        <v>14.0</v>
      </c>
      <c r="K1384" s="220">
        <v>0.0</v>
      </c>
      <c r="L1384" s="220">
        <v>0.0</v>
      </c>
      <c r="M1384" s="230">
        <v>0.0</v>
      </c>
      <c r="N1384" s="230">
        <v>0.0</v>
      </c>
      <c r="O1384" s="230">
        <v>0.0</v>
      </c>
      <c r="P1384" s="223">
        <f t="shared" si="2"/>
        <v>0</v>
      </c>
      <c r="Q1384" s="231">
        <v>0.0</v>
      </c>
      <c r="R1384" s="228">
        <f t="shared" si="3"/>
        <v>245.6956667</v>
      </c>
      <c r="S1384" s="229">
        <f t="shared" si="4"/>
        <v>8.666666667</v>
      </c>
      <c r="T1384" s="24" t="str">
        <f t="shared" si="5"/>
        <v>N/A</v>
      </c>
      <c r="U1384" s="26">
        <f t="shared" si="6"/>
        <v>1</v>
      </c>
      <c r="V1384" s="26" t="str">
        <f t="shared" si="7"/>
        <v>0%</v>
      </c>
      <c r="W1384" s="19">
        <f t="shared" si="8"/>
        <v>0</v>
      </c>
      <c r="X1384" s="218"/>
      <c r="Y1384" s="27"/>
      <c r="Z1384" s="17"/>
      <c r="AA1384" s="17"/>
      <c r="AB1384" s="17"/>
      <c r="AC1384" s="17"/>
      <c r="AD1384" s="27"/>
    </row>
    <row r="1385" ht="15.75" customHeight="1">
      <c r="A1385" s="216" t="s">
        <v>3229</v>
      </c>
      <c r="B1385" s="216" t="s">
        <v>3230</v>
      </c>
      <c r="C1385" s="216" t="s">
        <v>3231</v>
      </c>
      <c r="D1385" s="220" t="s">
        <v>33</v>
      </c>
      <c r="E1385" s="218"/>
      <c r="F1385" s="218"/>
      <c r="G1385" s="219">
        <f t="shared" si="10"/>
        <v>0.5291098608</v>
      </c>
      <c r="H1385" s="220">
        <v>15.0</v>
      </c>
      <c r="I1385" s="221">
        <v>130.0</v>
      </c>
      <c r="J1385" s="220">
        <v>14.0</v>
      </c>
      <c r="K1385" s="220">
        <v>0.0</v>
      </c>
      <c r="L1385" s="220">
        <v>0.0</v>
      </c>
      <c r="M1385" s="230">
        <v>0.0</v>
      </c>
      <c r="N1385" s="230">
        <v>0.0</v>
      </c>
      <c r="O1385" s="230">
        <v>0.0</v>
      </c>
      <c r="P1385" s="223">
        <f t="shared" si="2"/>
        <v>0</v>
      </c>
      <c r="Q1385" s="231">
        <v>0.0</v>
      </c>
      <c r="R1385" s="228">
        <f t="shared" si="3"/>
        <v>245.6956667</v>
      </c>
      <c r="S1385" s="229">
        <f t="shared" si="4"/>
        <v>8.666666667</v>
      </c>
      <c r="T1385" s="24" t="str">
        <f t="shared" si="5"/>
        <v>N/A</v>
      </c>
      <c r="U1385" s="26">
        <f t="shared" si="6"/>
        <v>1</v>
      </c>
      <c r="V1385" s="26" t="str">
        <f t="shared" si="7"/>
        <v>0%</v>
      </c>
      <c r="W1385" s="19">
        <f t="shared" si="8"/>
        <v>0</v>
      </c>
      <c r="X1385" s="218"/>
      <c r="Y1385" s="27"/>
      <c r="Z1385" s="17"/>
      <c r="AA1385" s="17"/>
      <c r="AB1385" s="17"/>
      <c r="AC1385" s="17"/>
      <c r="AD1385" s="27"/>
    </row>
    <row r="1386" ht="15.75" customHeight="1">
      <c r="A1386" s="216" t="s">
        <v>3232</v>
      </c>
      <c r="B1386" s="216" t="s">
        <v>3233</v>
      </c>
      <c r="C1386" s="216" t="s">
        <v>3234</v>
      </c>
      <c r="D1386" s="220" t="s">
        <v>33</v>
      </c>
      <c r="E1386" s="218"/>
      <c r="F1386" s="218"/>
      <c r="G1386" s="219">
        <f t="shared" si="10"/>
        <v>0.5291098608</v>
      </c>
      <c r="H1386" s="220">
        <v>15.0</v>
      </c>
      <c r="I1386" s="221">
        <v>130.0</v>
      </c>
      <c r="J1386" s="220">
        <v>14.0</v>
      </c>
      <c r="K1386" s="220">
        <v>0.0</v>
      </c>
      <c r="L1386" s="220">
        <v>0.0</v>
      </c>
      <c r="M1386" s="230">
        <v>0.0</v>
      </c>
      <c r="N1386" s="230">
        <v>0.0</v>
      </c>
      <c r="O1386" s="230">
        <v>0.0</v>
      </c>
      <c r="P1386" s="223">
        <f t="shared" si="2"/>
        <v>0</v>
      </c>
      <c r="Q1386" s="231">
        <v>0.0</v>
      </c>
      <c r="R1386" s="228">
        <f t="shared" si="3"/>
        <v>245.6956667</v>
      </c>
      <c r="S1386" s="229">
        <f t="shared" si="4"/>
        <v>8.666666667</v>
      </c>
      <c r="T1386" s="24" t="str">
        <f t="shared" si="5"/>
        <v>N/A</v>
      </c>
      <c r="U1386" s="26">
        <f t="shared" si="6"/>
        <v>1</v>
      </c>
      <c r="V1386" s="26" t="str">
        <f t="shared" si="7"/>
        <v>0%</v>
      </c>
      <c r="W1386" s="19">
        <f t="shared" si="8"/>
        <v>0</v>
      </c>
      <c r="X1386" s="218"/>
      <c r="Y1386" s="27"/>
      <c r="Z1386" s="17"/>
      <c r="AA1386" s="17"/>
      <c r="AB1386" s="17"/>
      <c r="AC1386" s="17"/>
      <c r="AD1386" s="27"/>
    </row>
    <row r="1387" ht="15.75" customHeight="1">
      <c r="A1387" s="216" t="s">
        <v>3175</v>
      </c>
      <c r="B1387" s="218" t="s">
        <v>3235</v>
      </c>
      <c r="C1387" s="216" t="s">
        <v>3236</v>
      </c>
      <c r="D1387" s="220" t="s">
        <v>33</v>
      </c>
      <c r="E1387" s="218"/>
      <c r="F1387" s="218"/>
      <c r="G1387" s="219">
        <f t="shared" si="10"/>
        <v>1.058219722</v>
      </c>
      <c r="H1387" s="220">
        <v>30.0</v>
      </c>
      <c r="I1387" s="221">
        <v>250.0</v>
      </c>
      <c r="J1387" s="220">
        <v>30.0</v>
      </c>
      <c r="K1387" s="220">
        <v>0.0</v>
      </c>
      <c r="L1387" s="220">
        <v>0.0</v>
      </c>
      <c r="M1387" s="230">
        <v>0.0</v>
      </c>
      <c r="N1387" s="230">
        <v>0.0</v>
      </c>
      <c r="O1387" s="230">
        <v>0.0</v>
      </c>
      <c r="P1387" s="223">
        <f t="shared" si="2"/>
        <v>0</v>
      </c>
      <c r="Q1387" s="231">
        <v>0.0</v>
      </c>
      <c r="R1387" s="228">
        <f t="shared" si="3"/>
        <v>236.2458333</v>
      </c>
      <c r="S1387" s="229">
        <f t="shared" si="4"/>
        <v>8.333333333</v>
      </c>
      <c r="T1387" s="24" t="str">
        <f t="shared" si="5"/>
        <v>N/A</v>
      </c>
      <c r="U1387" s="26">
        <f t="shared" si="6"/>
        <v>1</v>
      </c>
      <c r="V1387" s="26" t="str">
        <f t="shared" si="7"/>
        <v>0%</v>
      </c>
      <c r="W1387" s="19">
        <f t="shared" si="8"/>
        <v>0</v>
      </c>
      <c r="X1387" s="218"/>
      <c r="Y1387" s="27"/>
      <c r="Z1387" s="17"/>
      <c r="AA1387" s="17"/>
      <c r="AB1387" s="17"/>
      <c r="AC1387" s="17"/>
      <c r="AD1387" s="27"/>
    </row>
    <row r="1388" ht="15.75" customHeight="1">
      <c r="A1388" s="216" t="s">
        <v>3237</v>
      </c>
      <c r="B1388" s="216" t="s">
        <v>3238</v>
      </c>
      <c r="C1388" s="216" t="s">
        <v>3239</v>
      </c>
      <c r="D1388" s="220" t="s">
        <v>33</v>
      </c>
      <c r="E1388" s="218"/>
      <c r="F1388" s="218"/>
      <c r="G1388" s="219">
        <f t="shared" si="10"/>
        <v>1.587329583</v>
      </c>
      <c r="H1388" s="220">
        <v>45.0</v>
      </c>
      <c r="I1388" s="221">
        <v>325.0</v>
      </c>
      <c r="J1388" s="220">
        <v>36.0</v>
      </c>
      <c r="K1388" s="220">
        <v>192.0</v>
      </c>
      <c r="L1388" s="220">
        <v>228.0</v>
      </c>
      <c r="M1388" s="222">
        <v>7.0</v>
      </c>
      <c r="N1388" s="222">
        <v>6.0</v>
      </c>
      <c r="O1388" s="222">
        <v>0.0</v>
      </c>
      <c r="P1388" s="223">
        <f t="shared" si="2"/>
        <v>1</v>
      </c>
      <c r="Q1388" s="231">
        <v>11.0</v>
      </c>
      <c r="R1388" s="228">
        <f t="shared" si="3"/>
        <v>204.7463889</v>
      </c>
      <c r="S1388" s="229">
        <f t="shared" si="4"/>
        <v>7.222222222</v>
      </c>
      <c r="T1388" s="24">
        <f t="shared" si="5"/>
        <v>0.6363636364</v>
      </c>
      <c r="U1388" s="26">
        <f t="shared" si="6"/>
        <v>0.8181818182</v>
      </c>
      <c r="V1388" s="26" t="str">
        <f t="shared" si="7"/>
        <v>0%</v>
      </c>
      <c r="W1388" s="19">
        <f t="shared" si="8"/>
        <v>0.5907692308</v>
      </c>
      <c r="X1388" s="218"/>
      <c r="Y1388" s="27"/>
      <c r="Z1388" s="17"/>
      <c r="AA1388" s="17"/>
      <c r="AB1388" s="17"/>
      <c r="AC1388" s="17"/>
      <c r="AD1388" s="27"/>
    </row>
    <row r="1389" ht="15.75" customHeight="1">
      <c r="A1389" s="216" t="s">
        <v>3240</v>
      </c>
      <c r="B1389" s="216" t="s">
        <v>3241</v>
      </c>
      <c r="C1389" s="216" t="s">
        <v>3242</v>
      </c>
      <c r="D1389" s="220" t="s">
        <v>33</v>
      </c>
      <c r="E1389" s="218"/>
      <c r="F1389" s="218"/>
      <c r="G1389" s="219">
        <f t="shared" si="10"/>
        <v>0.3527399072</v>
      </c>
      <c r="H1389" s="220">
        <v>10.0</v>
      </c>
      <c r="I1389" s="221">
        <v>69.0</v>
      </c>
      <c r="J1389" s="220">
        <v>63.0</v>
      </c>
      <c r="K1389" s="220">
        <v>25.0</v>
      </c>
      <c r="L1389" s="220">
        <v>1210.0</v>
      </c>
      <c r="M1389" s="230">
        <v>27.0</v>
      </c>
      <c r="N1389" s="230">
        <v>1.0</v>
      </c>
      <c r="O1389" s="230">
        <v>6.0</v>
      </c>
      <c r="P1389" s="223">
        <f t="shared" si="2"/>
        <v>20</v>
      </c>
      <c r="Q1389" s="231">
        <v>6.0</v>
      </c>
      <c r="R1389" s="228">
        <f t="shared" si="3"/>
        <v>195.61155</v>
      </c>
      <c r="S1389" s="229">
        <f t="shared" si="4"/>
        <v>6.9</v>
      </c>
      <c r="T1389" s="24">
        <f t="shared" si="5"/>
        <v>4.5</v>
      </c>
      <c r="U1389" s="26">
        <f t="shared" si="6"/>
        <v>0.8111587983</v>
      </c>
      <c r="V1389" s="26">
        <f t="shared" si="7"/>
        <v>0.03433476395</v>
      </c>
      <c r="W1389" s="19">
        <f t="shared" si="8"/>
        <v>0.3623188406</v>
      </c>
      <c r="X1389" s="218"/>
      <c r="Y1389" s="27"/>
      <c r="Z1389" s="17"/>
      <c r="AA1389" s="17"/>
      <c r="AB1389" s="17"/>
      <c r="AC1389" s="17"/>
      <c r="AD1389" s="27"/>
    </row>
    <row r="1390" ht="15.75" customHeight="1">
      <c r="A1390" s="216" t="s">
        <v>3243</v>
      </c>
      <c r="B1390" s="216" t="s">
        <v>3244</v>
      </c>
      <c r="C1390" s="216" t="s">
        <v>3245</v>
      </c>
      <c r="D1390" s="220" t="s">
        <v>33</v>
      </c>
      <c r="E1390" s="218"/>
      <c r="F1390" s="218"/>
      <c r="G1390" s="219">
        <f t="shared" si="10"/>
        <v>0.2116439443</v>
      </c>
      <c r="H1390" s="220">
        <v>6.0</v>
      </c>
      <c r="I1390" s="221">
        <v>41.0</v>
      </c>
      <c r="J1390" s="220">
        <v>4.0</v>
      </c>
      <c r="K1390" s="220">
        <v>2.0</v>
      </c>
      <c r="L1390" s="220">
        <v>56.0</v>
      </c>
      <c r="M1390" s="222">
        <v>2.0</v>
      </c>
      <c r="N1390" s="222">
        <v>0.0</v>
      </c>
      <c r="O1390" s="222">
        <v>1.0</v>
      </c>
      <c r="P1390" s="223">
        <f t="shared" si="2"/>
        <v>1</v>
      </c>
      <c r="Q1390" s="231">
        <v>0.0</v>
      </c>
      <c r="R1390" s="228">
        <f t="shared" si="3"/>
        <v>193.7215833</v>
      </c>
      <c r="S1390" s="229">
        <f t="shared" si="4"/>
        <v>6.833333333</v>
      </c>
      <c r="T1390" s="24" t="str">
        <f t="shared" si="5"/>
        <v>N/A</v>
      </c>
      <c r="U1390" s="26">
        <f t="shared" si="6"/>
        <v>0.8181818182</v>
      </c>
      <c r="V1390" s="26">
        <f t="shared" si="7"/>
        <v>0.09090909091</v>
      </c>
      <c r="W1390" s="19">
        <f t="shared" si="8"/>
        <v>0.0487804878</v>
      </c>
      <c r="X1390" s="218"/>
      <c r="Y1390" s="27"/>
      <c r="Z1390" s="17"/>
      <c r="AA1390" s="17"/>
      <c r="AB1390" s="17"/>
      <c r="AC1390" s="17"/>
      <c r="AD1390" s="27"/>
    </row>
    <row r="1391" ht="15.75" customHeight="1">
      <c r="A1391" s="216" t="s">
        <v>3246</v>
      </c>
      <c r="B1391" s="216" t="s">
        <v>3247</v>
      </c>
      <c r="C1391" s="216" t="s">
        <v>3248</v>
      </c>
      <c r="D1391" s="220" t="s">
        <v>33</v>
      </c>
      <c r="E1391" s="218"/>
      <c r="F1391" s="218"/>
      <c r="G1391" s="219">
        <f t="shared" si="10"/>
        <v>0.3174659165</v>
      </c>
      <c r="H1391" s="220">
        <v>9.0</v>
      </c>
      <c r="I1391" s="221">
        <v>60.0</v>
      </c>
      <c r="J1391" s="220">
        <v>7.0</v>
      </c>
      <c r="K1391" s="220">
        <v>0.0</v>
      </c>
      <c r="L1391" s="220">
        <v>20.0</v>
      </c>
      <c r="M1391" s="230">
        <v>2.0</v>
      </c>
      <c r="N1391" s="230">
        <v>1.0</v>
      </c>
      <c r="O1391" s="230">
        <v>1.0</v>
      </c>
      <c r="P1391" s="223">
        <f t="shared" si="2"/>
        <v>0</v>
      </c>
      <c r="Q1391" s="231">
        <v>0.0</v>
      </c>
      <c r="R1391" s="228">
        <f t="shared" si="3"/>
        <v>188.9966667</v>
      </c>
      <c r="S1391" s="229">
        <f t="shared" si="4"/>
        <v>6.666666667</v>
      </c>
      <c r="T1391" s="24" t="str">
        <f t="shared" si="5"/>
        <v>N/A</v>
      </c>
      <c r="U1391" s="26">
        <f t="shared" si="6"/>
        <v>0.8873239437</v>
      </c>
      <c r="V1391" s="26">
        <f t="shared" si="7"/>
        <v>0.05633802817</v>
      </c>
      <c r="W1391" s="19">
        <f t="shared" si="8"/>
        <v>0</v>
      </c>
      <c r="X1391" s="218"/>
      <c r="Y1391" s="27"/>
      <c r="Z1391" s="17"/>
      <c r="AA1391" s="17"/>
      <c r="AB1391" s="17"/>
      <c r="AC1391" s="17"/>
      <c r="AD1391" s="27"/>
    </row>
    <row r="1392" ht="15.75" customHeight="1">
      <c r="A1392" s="218" t="s">
        <v>3249</v>
      </c>
      <c r="B1392" s="218" t="s">
        <v>3250</v>
      </c>
      <c r="C1392" s="216" t="s">
        <v>3251</v>
      </c>
      <c r="D1392" s="217" t="s">
        <v>33</v>
      </c>
      <c r="E1392" s="218"/>
      <c r="F1392" s="218"/>
      <c r="G1392" s="219">
        <f t="shared" si="10"/>
        <v>1.410959629</v>
      </c>
      <c r="H1392" s="217">
        <v>40.0</v>
      </c>
      <c r="I1392" s="236">
        <v>260.0</v>
      </c>
      <c r="J1392" s="217">
        <v>21.0</v>
      </c>
      <c r="K1392" s="217">
        <v>500.0</v>
      </c>
      <c r="L1392" s="217">
        <v>308.0</v>
      </c>
      <c r="M1392" s="223">
        <v>1.0</v>
      </c>
      <c r="N1392" s="223">
        <v>0.0</v>
      </c>
      <c r="O1392" s="223">
        <v>1.0</v>
      </c>
      <c r="P1392" s="223">
        <f t="shared" si="2"/>
        <v>0</v>
      </c>
      <c r="Q1392" s="237">
        <v>14.0</v>
      </c>
      <c r="R1392" s="228">
        <f t="shared" si="3"/>
        <v>184.27175</v>
      </c>
      <c r="S1392" s="229">
        <f t="shared" si="4"/>
        <v>6.5</v>
      </c>
      <c r="T1392" s="24">
        <f t="shared" si="5"/>
        <v>0.07142857143</v>
      </c>
      <c r="U1392" s="26">
        <f t="shared" si="6"/>
        <v>0.7590361446</v>
      </c>
      <c r="V1392" s="26">
        <f t="shared" si="7"/>
        <v>0.01606425703</v>
      </c>
      <c r="W1392" s="19">
        <f t="shared" si="8"/>
        <v>1.923076923</v>
      </c>
      <c r="X1392" s="218"/>
      <c r="Y1392" s="27"/>
      <c r="Z1392" s="17"/>
      <c r="AA1392" s="17"/>
      <c r="AB1392" s="17"/>
      <c r="AC1392" s="17"/>
      <c r="AD1392" s="27"/>
    </row>
    <row r="1393" ht="15.75" customHeight="1">
      <c r="A1393" s="216" t="s">
        <v>3252</v>
      </c>
      <c r="B1393" s="216" t="s">
        <v>3253</v>
      </c>
      <c r="C1393" s="216" t="s">
        <v>3254</v>
      </c>
      <c r="D1393" s="220" t="s">
        <v>33</v>
      </c>
      <c r="E1393" s="218"/>
      <c r="F1393" s="218"/>
      <c r="G1393" s="219">
        <f t="shared" si="10"/>
        <v>1.022945731</v>
      </c>
      <c r="H1393" s="220">
        <v>29.0</v>
      </c>
      <c r="I1393" s="221">
        <v>180.0</v>
      </c>
      <c r="J1393" s="220">
        <v>13.0</v>
      </c>
      <c r="K1393" s="220">
        <v>30.0</v>
      </c>
      <c r="L1393" s="220">
        <v>146.0</v>
      </c>
      <c r="M1393" s="222">
        <v>7.0</v>
      </c>
      <c r="N1393" s="222">
        <v>5.0</v>
      </c>
      <c r="O1393" s="222">
        <v>0.0</v>
      </c>
      <c r="P1393" s="223">
        <f t="shared" si="2"/>
        <v>2</v>
      </c>
      <c r="Q1393" s="231">
        <v>7.0</v>
      </c>
      <c r="R1393" s="228">
        <f t="shared" si="3"/>
        <v>175.9624138</v>
      </c>
      <c r="S1393" s="229">
        <f t="shared" si="4"/>
        <v>6.206896552</v>
      </c>
      <c r="T1393" s="24">
        <f t="shared" si="5"/>
        <v>1</v>
      </c>
      <c r="U1393" s="26">
        <f t="shared" si="6"/>
        <v>0.676300578</v>
      </c>
      <c r="V1393" s="26" t="str">
        <f t="shared" si="7"/>
        <v>0%</v>
      </c>
      <c r="W1393" s="19">
        <f t="shared" si="8"/>
        <v>0.1666666667</v>
      </c>
      <c r="X1393" s="218"/>
      <c r="Y1393" s="27"/>
      <c r="Z1393" s="17"/>
      <c r="AA1393" s="17"/>
      <c r="AB1393" s="17"/>
      <c r="AC1393" s="17"/>
      <c r="AD1393" s="27"/>
    </row>
    <row r="1394" ht="15.75" customHeight="1">
      <c r="A1394" s="216" t="s">
        <v>3255</v>
      </c>
      <c r="B1394" s="216" t="s">
        <v>3256</v>
      </c>
      <c r="C1394" s="216" t="s">
        <v>3257</v>
      </c>
      <c r="D1394" s="220" t="s">
        <v>33</v>
      </c>
      <c r="E1394" s="218"/>
      <c r="F1394" s="218"/>
      <c r="G1394" s="219">
        <f t="shared" si="10"/>
        <v>1.058219722</v>
      </c>
      <c r="H1394" s="220">
        <v>30.0</v>
      </c>
      <c r="I1394" s="221">
        <v>180.0</v>
      </c>
      <c r="J1394" s="220">
        <v>15.0</v>
      </c>
      <c r="K1394" s="220">
        <v>0.0</v>
      </c>
      <c r="L1394" s="220">
        <v>350.0</v>
      </c>
      <c r="M1394" s="222">
        <v>1.0</v>
      </c>
      <c r="N1394" s="222">
        <v>1.0</v>
      </c>
      <c r="O1394" s="222">
        <v>1.0</v>
      </c>
      <c r="P1394" s="223">
        <f t="shared" si="2"/>
        <v>-1</v>
      </c>
      <c r="Q1394" s="231">
        <v>10.0</v>
      </c>
      <c r="R1394" s="228">
        <f t="shared" si="3"/>
        <v>170.097</v>
      </c>
      <c r="S1394" s="229">
        <f t="shared" si="4"/>
        <v>6</v>
      </c>
      <c r="T1394" s="24">
        <f t="shared" si="5"/>
        <v>0.1</v>
      </c>
      <c r="U1394" s="26">
        <f t="shared" si="6"/>
        <v>0.7541899441</v>
      </c>
      <c r="V1394" s="26">
        <f t="shared" si="7"/>
        <v>0.02234636872</v>
      </c>
      <c r="W1394" s="19">
        <f t="shared" si="8"/>
        <v>0</v>
      </c>
      <c r="X1394" s="218"/>
      <c r="Y1394" s="27"/>
      <c r="Z1394" s="17"/>
      <c r="AA1394" s="17"/>
      <c r="AB1394" s="17"/>
      <c r="AC1394" s="17"/>
      <c r="AD1394" s="27"/>
    </row>
    <row r="1395" ht="15.75" customHeight="1">
      <c r="A1395" s="216" t="s">
        <v>3252</v>
      </c>
      <c r="B1395" s="216" t="s">
        <v>3258</v>
      </c>
      <c r="C1395" s="216" t="s">
        <v>3259</v>
      </c>
      <c r="D1395" s="220" t="s">
        <v>33</v>
      </c>
      <c r="E1395" s="218"/>
      <c r="F1395" s="218"/>
      <c r="G1395" s="219">
        <f t="shared" si="10"/>
        <v>0.9876717402</v>
      </c>
      <c r="H1395" s="220">
        <v>28.0</v>
      </c>
      <c r="I1395" s="221">
        <v>160.0</v>
      </c>
      <c r="J1395" s="220">
        <v>12.0</v>
      </c>
      <c r="K1395" s="220">
        <v>0.0</v>
      </c>
      <c r="L1395" s="220">
        <v>297.0</v>
      </c>
      <c r="M1395" s="222">
        <v>3.0</v>
      </c>
      <c r="N1395" s="222">
        <v>3.0</v>
      </c>
      <c r="O1395" s="222">
        <v>1.0</v>
      </c>
      <c r="P1395" s="223">
        <f t="shared" si="2"/>
        <v>-1</v>
      </c>
      <c r="Q1395" s="231">
        <v>10.0</v>
      </c>
      <c r="R1395" s="232">
        <f t="shared" si="3"/>
        <v>161.9971429</v>
      </c>
      <c r="S1395" s="233">
        <f t="shared" si="4"/>
        <v>5.714285714</v>
      </c>
      <c r="T1395" s="24">
        <f t="shared" si="5"/>
        <v>0.3</v>
      </c>
      <c r="U1395" s="26">
        <f t="shared" si="6"/>
        <v>0.675</v>
      </c>
      <c r="V1395" s="26">
        <f t="shared" si="7"/>
        <v>0.025</v>
      </c>
      <c r="W1395" s="19">
        <f t="shared" si="8"/>
        <v>0</v>
      </c>
      <c r="X1395" s="218"/>
      <c r="Y1395" s="27"/>
      <c r="Z1395" s="17"/>
      <c r="AA1395" s="17"/>
      <c r="AB1395" s="17"/>
      <c r="AC1395" s="17"/>
      <c r="AD1395" s="27"/>
    </row>
    <row r="1396" ht="15.75" customHeight="1">
      <c r="A1396" s="218" t="s">
        <v>3260</v>
      </c>
      <c r="B1396" s="218" t="s">
        <v>3261</v>
      </c>
      <c r="C1396" s="216" t="s">
        <v>3262</v>
      </c>
      <c r="D1396" s="217" t="s">
        <v>33</v>
      </c>
      <c r="E1396" s="218"/>
      <c r="F1396" s="218"/>
      <c r="G1396" s="219">
        <f t="shared" si="10"/>
        <v>0.2116439443</v>
      </c>
      <c r="H1396" s="217">
        <v>6.0</v>
      </c>
      <c r="I1396" s="236">
        <v>30.0</v>
      </c>
      <c r="J1396" s="217">
        <v>1.0</v>
      </c>
      <c r="K1396" s="217">
        <v>0.0</v>
      </c>
      <c r="L1396" s="217">
        <v>56.0</v>
      </c>
      <c r="M1396" s="223">
        <v>4.0</v>
      </c>
      <c r="N1396" s="223">
        <v>2.0</v>
      </c>
      <c r="O1396" s="223">
        <v>0.0</v>
      </c>
      <c r="P1396" s="223">
        <f t="shared" si="2"/>
        <v>2</v>
      </c>
      <c r="Q1396" s="237">
        <v>0.0</v>
      </c>
      <c r="R1396" s="234">
        <f t="shared" si="3"/>
        <v>141.7475</v>
      </c>
      <c r="S1396" s="235">
        <f t="shared" si="4"/>
        <v>5</v>
      </c>
      <c r="T1396" s="24" t="str">
        <f t="shared" si="5"/>
        <v>N/A</v>
      </c>
      <c r="U1396" s="26">
        <f t="shared" si="6"/>
        <v>0.36</v>
      </c>
      <c r="V1396" s="26" t="str">
        <f t="shared" si="7"/>
        <v>0%</v>
      </c>
      <c r="W1396" s="19">
        <f t="shared" si="8"/>
        <v>0</v>
      </c>
      <c r="X1396" s="218"/>
      <c r="Y1396" s="27"/>
      <c r="Z1396" s="17"/>
      <c r="AA1396" s="17"/>
      <c r="AB1396" s="17"/>
      <c r="AC1396" s="17"/>
      <c r="AD1396" s="27"/>
    </row>
    <row r="1397" ht="15.75" customHeight="1">
      <c r="A1397" s="218" t="s">
        <v>3263</v>
      </c>
      <c r="B1397" s="218" t="s">
        <v>3264</v>
      </c>
      <c r="C1397" s="216" t="s">
        <v>3265</v>
      </c>
      <c r="D1397" s="217" t="s">
        <v>33</v>
      </c>
      <c r="E1397" s="218"/>
      <c r="F1397" s="218"/>
      <c r="G1397" s="219">
        <f t="shared" si="10"/>
        <v>0.3527399072</v>
      </c>
      <c r="H1397" s="217">
        <v>10.0</v>
      </c>
      <c r="I1397" s="236">
        <v>40.0</v>
      </c>
      <c r="J1397" s="217">
        <v>0.0</v>
      </c>
      <c r="K1397" s="217">
        <v>20.0</v>
      </c>
      <c r="L1397" s="217">
        <v>214.0</v>
      </c>
      <c r="M1397" s="223">
        <v>3.0</v>
      </c>
      <c r="N1397" s="223">
        <v>2.0</v>
      </c>
      <c r="O1397" s="223">
        <v>0.0</v>
      </c>
      <c r="P1397" s="223">
        <f t="shared" si="2"/>
        <v>1</v>
      </c>
      <c r="Q1397" s="237">
        <v>5.0</v>
      </c>
      <c r="R1397" s="240">
        <f t="shared" si="3"/>
        <v>113.398</v>
      </c>
      <c r="S1397" s="241">
        <f t="shared" si="4"/>
        <v>4</v>
      </c>
      <c r="T1397" s="24">
        <f t="shared" si="5"/>
        <v>0.6</v>
      </c>
      <c r="U1397" s="26" t="str">
        <f t="shared" si="6"/>
        <v>0%</v>
      </c>
      <c r="V1397" s="26" t="str">
        <f t="shared" si="7"/>
        <v>0%</v>
      </c>
      <c r="W1397" s="19">
        <f t="shared" si="8"/>
        <v>0.5</v>
      </c>
      <c r="X1397" s="218"/>
      <c r="Y1397" s="27"/>
      <c r="Z1397" s="17"/>
      <c r="AA1397" s="17"/>
      <c r="AB1397" s="17"/>
      <c r="AC1397" s="17"/>
      <c r="AD1397" s="27"/>
    </row>
    <row r="1398" ht="15.75" customHeight="1">
      <c r="A1398" s="218" t="s">
        <v>3266</v>
      </c>
      <c r="B1398" s="218" t="s">
        <v>3267</v>
      </c>
      <c r="C1398" s="216" t="s">
        <v>3268</v>
      </c>
      <c r="D1398" s="217" t="s">
        <v>33</v>
      </c>
      <c r="E1398" s="218"/>
      <c r="F1398" s="218"/>
      <c r="G1398" s="219">
        <f t="shared" si="10"/>
        <v>0.5291098608</v>
      </c>
      <c r="H1398" s="217">
        <v>15.0</v>
      </c>
      <c r="I1398" s="236">
        <v>60.0</v>
      </c>
      <c r="J1398" s="217">
        <v>3.0</v>
      </c>
      <c r="K1398" s="217">
        <v>0.0</v>
      </c>
      <c r="L1398" s="217">
        <v>0.0</v>
      </c>
      <c r="M1398" s="223">
        <v>3.0</v>
      </c>
      <c r="N1398" s="223">
        <v>2.0</v>
      </c>
      <c r="O1398" s="223">
        <v>0.0</v>
      </c>
      <c r="P1398" s="223">
        <f t="shared" si="2"/>
        <v>1</v>
      </c>
      <c r="Q1398" s="237">
        <v>7.0</v>
      </c>
      <c r="R1398" s="240">
        <f t="shared" si="3"/>
        <v>113.398</v>
      </c>
      <c r="S1398" s="241">
        <f t="shared" si="4"/>
        <v>4</v>
      </c>
      <c r="T1398" s="24">
        <f t="shared" si="5"/>
        <v>0.4285714286</v>
      </c>
      <c r="U1398" s="26">
        <f t="shared" si="6"/>
        <v>0.4029850746</v>
      </c>
      <c r="V1398" s="26" t="str">
        <f t="shared" si="7"/>
        <v>0%</v>
      </c>
      <c r="W1398" s="19">
        <f t="shared" si="8"/>
        <v>0</v>
      </c>
      <c r="X1398" s="218"/>
      <c r="Y1398" s="27"/>
      <c r="Z1398" s="17"/>
      <c r="AA1398" s="17"/>
      <c r="AB1398" s="17"/>
      <c r="AC1398" s="17"/>
      <c r="AD1398" s="27"/>
    </row>
    <row r="1399" ht="15.75" customHeight="1">
      <c r="A1399" s="218" t="s">
        <v>3269</v>
      </c>
      <c r="B1399" s="218" t="s">
        <v>3270</v>
      </c>
      <c r="C1399" s="216" t="s">
        <v>3271</v>
      </c>
      <c r="D1399" s="217" t="s">
        <v>33</v>
      </c>
      <c r="E1399" s="218"/>
      <c r="F1399" s="218"/>
      <c r="G1399" s="219">
        <f t="shared" si="10"/>
        <v>0.8465757774</v>
      </c>
      <c r="H1399" s="217">
        <v>24.0</v>
      </c>
      <c r="I1399" s="236">
        <v>70.0</v>
      </c>
      <c r="J1399" s="217">
        <v>0.5</v>
      </c>
      <c r="K1399" s="217">
        <v>0.0</v>
      </c>
      <c r="L1399" s="217">
        <v>550.0</v>
      </c>
      <c r="M1399" s="223">
        <v>8.0</v>
      </c>
      <c r="N1399" s="223">
        <v>4.0</v>
      </c>
      <c r="O1399" s="223">
        <v>4.0</v>
      </c>
      <c r="P1399" s="223">
        <f t="shared" si="2"/>
        <v>0</v>
      </c>
      <c r="Q1399" s="237">
        <v>12.0</v>
      </c>
      <c r="R1399" s="242">
        <f t="shared" si="3"/>
        <v>82.68604167</v>
      </c>
      <c r="S1399" s="243">
        <f t="shared" si="4"/>
        <v>2.916666667</v>
      </c>
      <c r="T1399" s="24">
        <f t="shared" si="5"/>
        <v>0.6666666667</v>
      </c>
      <c r="U1399" s="26">
        <f t="shared" si="6"/>
        <v>0.05325443787</v>
      </c>
      <c r="V1399" s="26">
        <f t="shared" si="7"/>
        <v>0.1893491124</v>
      </c>
      <c r="W1399" s="19">
        <f t="shared" si="8"/>
        <v>0</v>
      </c>
      <c r="X1399" s="218"/>
      <c r="Y1399" s="27"/>
      <c r="Z1399" s="17"/>
      <c r="AA1399" s="17"/>
      <c r="AB1399" s="17"/>
      <c r="AC1399" s="17"/>
      <c r="AD1399" s="27"/>
    </row>
    <row r="1400" ht="15.75" customHeight="1">
      <c r="A1400" s="218" t="s">
        <v>3272</v>
      </c>
      <c r="B1400" s="218" t="s">
        <v>3273</v>
      </c>
      <c r="C1400" s="216" t="s">
        <v>3274</v>
      </c>
      <c r="D1400" s="217" t="s">
        <v>2752</v>
      </c>
      <c r="E1400" s="218"/>
      <c r="F1400" s="218"/>
      <c r="G1400" s="219">
        <f t="shared" si="10"/>
        <v>2.610275313</v>
      </c>
      <c r="H1400" s="217">
        <v>74.0</v>
      </c>
      <c r="I1400" s="236">
        <v>200.0</v>
      </c>
      <c r="J1400" s="217">
        <v>18.0</v>
      </c>
      <c r="K1400" s="217">
        <v>240.0</v>
      </c>
      <c r="L1400" s="217">
        <v>157.0</v>
      </c>
      <c r="M1400" s="223">
        <v>0.0</v>
      </c>
      <c r="N1400" s="223">
        <v>0.0</v>
      </c>
      <c r="O1400" s="223">
        <v>0.0</v>
      </c>
      <c r="P1400" s="223">
        <f t="shared" si="2"/>
        <v>0</v>
      </c>
      <c r="Q1400" s="237">
        <v>11.0</v>
      </c>
      <c r="R1400" s="242">
        <f t="shared" si="3"/>
        <v>76.62027027</v>
      </c>
      <c r="S1400" s="243">
        <f t="shared" si="4"/>
        <v>2.702702703</v>
      </c>
      <c r="T1400" s="24">
        <f t="shared" si="5"/>
        <v>0</v>
      </c>
      <c r="U1400" s="26">
        <f t="shared" si="6"/>
        <v>0.786407767</v>
      </c>
      <c r="V1400" s="26" t="str">
        <f t="shared" si="7"/>
        <v>0%</v>
      </c>
      <c r="W1400" s="19">
        <f t="shared" si="8"/>
        <v>1.2</v>
      </c>
      <c r="X1400" s="218"/>
      <c r="Y1400" s="27"/>
      <c r="Z1400" s="17"/>
      <c r="AA1400" s="17"/>
      <c r="AB1400" s="17"/>
      <c r="AC1400" s="17"/>
      <c r="AD1400" s="27"/>
    </row>
    <row r="1401" ht="15.75" customHeight="1">
      <c r="A1401" s="216" t="s">
        <v>3275</v>
      </c>
      <c r="B1401" s="218" t="s">
        <v>3276</v>
      </c>
      <c r="C1401" s="216" t="s">
        <v>3277</v>
      </c>
      <c r="D1401" s="220" t="s">
        <v>130</v>
      </c>
      <c r="E1401" s="218"/>
      <c r="F1401" s="218"/>
      <c r="G1401" s="219">
        <f t="shared" si="10"/>
        <v>1.375685638</v>
      </c>
      <c r="H1401" s="220">
        <v>39.0</v>
      </c>
      <c r="I1401" s="221">
        <v>310.0</v>
      </c>
      <c r="J1401" s="220">
        <v>16.0</v>
      </c>
      <c r="K1401" s="220">
        <v>25.0</v>
      </c>
      <c r="L1401" s="218"/>
      <c r="M1401" s="222">
        <v>15.0</v>
      </c>
      <c r="N1401" s="222">
        <v>0.0</v>
      </c>
      <c r="O1401" s="222">
        <v>14.0</v>
      </c>
      <c r="P1401" s="223">
        <f t="shared" si="2"/>
        <v>1</v>
      </c>
      <c r="Q1401" s="224">
        <v>0.0</v>
      </c>
      <c r="R1401" s="228">
        <f t="shared" si="3"/>
        <v>225.3421795</v>
      </c>
      <c r="S1401" s="229">
        <f t="shared" si="4"/>
        <v>7.948717949</v>
      </c>
      <c r="T1401" s="24" t="str">
        <f t="shared" si="5"/>
        <v>N/A</v>
      </c>
      <c r="U1401" s="26">
        <f t="shared" si="6"/>
        <v>0.7058823529</v>
      </c>
      <c r="V1401" s="26">
        <f t="shared" si="7"/>
        <v>0.2745098039</v>
      </c>
      <c r="W1401" s="19">
        <f t="shared" si="8"/>
        <v>0.08064516129</v>
      </c>
      <c r="X1401" s="218"/>
      <c r="Y1401" s="27"/>
      <c r="Z1401" s="17"/>
      <c r="AA1401" s="17"/>
      <c r="AB1401" s="17"/>
      <c r="AC1401" s="17"/>
      <c r="AD1401" s="27"/>
    </row>
    <row r="1402" ht="15.75" customHeight="1">
      <c r="A1402" s="216" t="s">
        <v>3275</v>
      </c>
      <c r="B1402" s="218" t="s">
        <v>3278</v>
      </c>
      <c r="C1402" s="216" t="s">
        <v>3279</v>
      </c>
      <c r="D1402" s="220" t="s">
        <v>130</v>
      </c>
      <c r="E1402" s="218"/>
      <c r="F1402" s="218"/>
      <c r="G1402" s="219">
        <f t="shared" si="10"/>
        <v>1.375685638</v>
      </c>
      <c r="H1402" s="220">
        <v>39.0</v>
      </c>
      <c r="I1402" s="221">
        <v>290.0</v>
      </c>
      <c r="J1402" s="220">
        <v>17.0</v>
      </c>
      <c r="K1402" s="220">
        <v>50.0</v>
      </c>
      <c r="L1402" s="218"/>
      <c r="M1402" s="222">
        <v>14.0</v>
      </c>
      <c r="N1402" s="222">
        <v>1.0</v>
      </c>
      <c r="O1402" s="222">
        <v>12.0</v>
      </c>
      <c r="P1402" s="223">
        <f t="shared" si="2"/>
        <v>1</v>
      </c>
      <c r="Q1402" s="224">
        <v>2.0</v>
      </c>
      <c r="R1402" s="228">
        <f t="shared" si="3"/>
        <v>210.8039744</v>
      </c>
      <c r="S1402" s="229">
        <f t="shared" si="4"/>
        <v>7.435897436</v>
      </c>
      <c r="T1402" s="24">
        <f t="shared" si="5"/>
        <v>7</v>
      </c>
      <c r="U1402" s="26">
        <f t="shared" si="6"/>
        <v>0.7050691244</v>
      </c>
      <c r="V1402" s="26">
        <f t="shared" si="7"/>
        <v>0.2211981567</v>
      </c>
      <c r="W1402" s="19">
        <f t="shared" si="8"/>
        <v>0.1724137931</v>
      </c>
      <c r="X1402" s="218"/>
      <c r="Y1402" s="27"/>
      <c r="Z1402" s="17"/>
      <c r="AA1402" s="17"/>
      <c r="AB1402" s="17"/>
      <c r="AC1402" s="17"/>
      <c r="AD1402" s="27"/>
    </row>
    <row r="1403" ht="15.75" customHeight="1">
      <c r="A1403" s="216" t="s">
        <v>3280</v>
      </c>
      <c r="B1403" s="218" t="s">
        <v>3281</v>
      </c>
      <c r="C1403" s="216" t="s">
        <v>3282</v>
      </c>
      <c r="D1403" s="220" t="s">
        <v>130</v>
      </c>
      <c r="E1403" s="218"/>
      <c r="F1403" s="218"/>
      <c r="G1403" s="219">
        <f t="shared" si="10"/>
        <v>0.2398631369</v>
      </c>
      <c r="H1403" s="220">
        <v>6.8</v>
      </c>
      <c r="I1403" s="221">
        <v>50.0</v>
      </c>
      <c r="J1403" s="220">
        <v>3.0</v>
      </c>
      <c r="K1403" s="220">
        <v>0.0</v>
      </c>
      <c r="L1403" s="220">
        <v>0.0</v>
      </c>
      <c r="M1403" s="222">
        <v>3.0</v>
      </c>
      <c r="N1403" s="222">
        <v>0.0</v>
      </c>
      <c r="O1403" s="222">
        <v>2.0</v>
      </c>
      <c r="P1403" s="223">
        <f t="shared" si="2"/>
        <v>1</v>
      </c>
      <c r="Q1403" s="231">
        <v>0.0</v>
      </c>
      <c r="R1403" s="228">
        <f t="shared" si="3"/>
        <v>208.4522059</v>
      </c>
      <c r="S1403" s="229">
        <f t="shared" si="4"/>
        <v>7.352941176</v>
      </c>
      <c r="T1403" s="24" t="str">
        <f t="shared" si="5"/>
        <v>N/A</v>
      </c>
      <c r="U1403" s="26">
        <f t="shared" si="6"/>
        <v>0.6923076923</v>
      </c>
      <c r="V1403" s="26">
        <f t="shared" si="7"/>
        <v>0.2051282051</v>
      </c>
      <c r="W1403" s="19">
        <f t="shared" si="8"/>
        <v>0</v>
      </c>
      <c r="X1403" s="218"/>
      <c r="Y1403" s="27"/>
      <c r="Z1403" s="17"/>
      <c r="AA1403" s="17"/>
      <c r="AB1403" s="17"/>
      <c r="AC1403" s="17"/>
      <c r="AD1403" s="27"/>
    </row>
    <row r="1404" ht="15.75" customHeight="1">
      <c r="A1404" s="216" t="s">
        <v>3280</v>
      </c>
      <c r="B1404" s="218" t="s">
        <v>3283</v>
      </c>
      <c r="C1404" s="216" t="s">
        <v>3284</v>
      </c>
      <c r="D1404" s="220" t="s">
        <v>130</v>
      </c>
      <c r="E1404" s="218"/>
      <c r="F1404" s="218"/>
      <c r="G1404" s="219">
        <f t="shared" si="10"/>
        <v>0.2398631369</v>
      </c>
      <c r="H1404" s="220">
        <v>6.8</v>
      </c>
      <c r="I1404" s="221">
        <v>50.0</v>
      </c>
      <c r="J1404" s="220">
        <v>3.0</v>
      </c>
      <c r="K1404" s="220">
        <v>10.0</v>
      </c>
      <c r="L1404" s="220">
        <v>10.0</v>
      </c>
      <c r="M1404" s="222">
        <v>2.0</v>
      </c>
      <c r="N1404" s="222">
        <v>0.0</v>
      </c>
      <c r="O1404" s="222">
        <v>2.0</v>
      </c>
      <c r="P1404" s="223">
        <f t="shared" si="2"/>
        <v>0</v>
      </c>
      <c r="Q1404" s="231">
        <v>0.0</v>
      </c>
      <c r="R1404" s="228">
        <f t="shared" si="3"/>
        <v>208.4522059</v>
      </c>
      <c r="S1404" s="229">
        <f t="shared" si="4"/>
        <v>7.352941176</v>
      </c>
      <c r="T1404" s="24" t="str">
        <f t="shared" si="5"/>
        <v>N/A</v>
      </c>
      <c r="U1404" s="26">
        <f t="shared" si="6"/>
        <v>0.7714285714</v>
      </c>
      <c r="V1404" s="26">
        <f t="shared" si="7"/>
        <v>0.2285714286</v>
      </c>
      <c r="W1404" s="19">
        <f t="shared" si="8"/>
        <v>0.2</v>
      </c>
      <c r="X1404" s="218"/>
      <c r="Y1404" s="27"/>
      <c r="Z1404" s="17"/>
      <c r="AA1404" s="17"/>
      <c r="AB1404" s="17"/>
      <c r="AC1404" s="17"/>
      <c r="AD1404" s="27"/>
    </row>
    <row r="1405" ht="15.75" customHeight="1">
      <c r="A1405" s="216" t="s">
        <v>3280</v>
      </c>
      <c r="B1405" s="218" t="s">
        <v>3285</v>
      </c>
      <c r="C1405" s="216" t="s">
        <v>3286</v>
      </c>
      <c r="D1405" s="220" t="s">
        <v>130</v>
      </c>
      <c r="E1405" s="218"/>
      <c r="F1405" s="218"/>
      <c r="G1405" s="219">
        <f t="shared" si="10"/>
        <v>0.2398631369</v>
      </c>
      <c r="H1405" s="220">
        <v>6.8</v>
      </c>
      <c r="I1405" s="221">
        <v>50.0</v>
      </c>
      <c r="J1405" s="220">
        <v>3.0</v>
      </c>
      <c r="K1405" s="220">
        <v>0.0</v>
      </c>
      <c r="L1405" s="220">
        <v>0.0</v>
      </c>
      <c r="M1405" s="222">
        <v>3.0</v>
      </c>
      <c r="N1405" s="222">
        <v>0.0</v>
      </c>
      <c r="O1405" s="222">
        <v>2.0</v>
      </c>
      <c r="P1405" s="223">
        <f t="shared" si="2"/>
        <v>1</v>
      </c>
      <c r="Q1405" s="231">
        <v>0.0</v>
      </c>
      <c r="R1405" s="228">
        <f t="shared" si="3"/>
        <v>208.4522059</v>
      </c>
      <c r="S1405" s="229">
        <f t="shared" si="4"/>
        <v>7.352941176</v>
      </c>
      <c r="T1405" s="24" t="str">
        <f t="shared" si="5"/>
        <v>N/A</v>
      </c>
      <c r="U1405" s="26">
        <f t="shared" si="6"/>
        <v>0.6923076923</v>
      </c>
      <c r="V1405" s="26">
        <f t="shared" si="7"/>
        <v>0.2051282051</v>
      </c>
      <c r="W1405" s="19">
        <f t="shared" si="8"/>
        <v>0</v>
      </c>
      <c r="X1405" s="218"/>
      <c r="Y1405" s="27"/>
      <c r="Z1405" s="17"/>
      <c r="AA1405" s="17"/>
      <c r="AB1405" s="17"/>
      <c r="AC1405" s="17"/>
      <c r="AD1405" s="27"/>
    </row>
    <row r="1406" ht="15.75" customHeight="1">
      <c r="A1406" s="216" t="s">
        <v>3280</v>
      </c>
      <c r="B1406" s="218" t="s">
        <v>3287</v>
      </c>
      <c r="C1406" s="216" t="s">
        <v>3288</v>
      </c>
      <c r="D1406" s="220" t="s">
        <v>130</v>
      </c>
      <c r="E1406" s="218"/>
      <c r="F1406" s="218"/>
      <c r="G1406" s="219">
        <f t="shared" si="10"/>
        <v>0.9171237588</v>
      </c>
      <c r="H1406" s="220">
        <v>26.0</v>
      </c>
      <c r="I1406" s="221">
        <v>190.0</v>
      </c>
      <c r="J1406" s="220">
        <v>11.0</v>
      </c>
      <c r="K1406" s="220">
        <v>30.0</v>
      </c>
      <c r="L1406" s="218"/>
      <c r="M1406" s="222">
        <v>11.0</v>
      </c>
      <c r="N1406" s="222">
        <v>0.0</v>
      </c>
      <c r="O1406" s="222">
        <v>9.0</v>
      </c>
      <c r="P1406" s="223">
        <f t="shared" si="2"/>
        <v>2</v>
      </c>
      <c r="Q1406" s="231">
        <v>6.0</v>
      </c>
      <c r="R1406" s="228">
        <f t="shared" si="3"/>
        <v>207.1694231</v>
      </c>
      <c r="S1406" s="229">
        <f t="shared" si="4"/>
        <v>7.307692308</v>
      </c>
      <c r="T1406" s="24">
        <f t="shared" si="5"/>
        <v>1.833333333</v>
      </c>
      <c r="U1406" s="26">
        <f t="shared" si="6"/>
        <v>0.5928143713</v>
      </c>
      <c r="V1406" s="26">
        <f t="shared" si="7"/>
        <v>0.2155688623</v>
      </c>
      <c r="W1406" s="19">
        <f t="shared" si="8"/>
        <v>0.1578947368</v>
      </c>
      <c r="X1406" s="218"/>
      <c r="Y1406" s="27"/>
      <c r="Z1406" s="17"/>
      <c r="AA1406" s="17"/>
      <c r="AB1406" s="17"/>
      <c r="AC1406" s="17"/>
      <c r="AD1406" s="27"/>
    </row>
    <row r="1407" ht="15.75" customHeight="1">
      <c r="A1407" s="216" t="s">
        <v>3280</v>
      </c>
      <c r="B1407" s="218" t="s">
        <v>3289</v>
      </c>
      <c r="C1407" s="216" t="s">
        <v>3290</v>
      </c>
      <c r="D1407" s="220" t="s">
        <v>130</v>
      </c>
      <c r="E1407" s="218"/>
      <c r="F1407" s="218"/>
      <c r="G1407" s="219">
        <f t="shared" si="10"/>
        <v>0.9171237588</v>
      </c>
      <c r="H1407" s="220">
        <v>26.0</v>
      </c>
      <c r="I1407" s="221">
        <v>190.0</v>
      </c>
      <c r="J1407" s="220">
        <v>12.0</v>
      </c>
      <c r="K1407" s="220">
        <v>40.0</v>
      </c>
      <c r="L1407" s="220">
        <v>0.0</v>
      </c>
      <c r="M1407" s="222">
        <v>9.0</v>
      </c>
      <c r="N1407" s="222">
        <v>0.0</v>
      </c>
      <c r="O1407" s="222">
        <v>7.0</v>
      </c>
      <c r="P1407" s="223">
        <f t="shared" si="2"/>
        <v>2</v>
      </c>
      <c r="Q1407" s="231">
        <v>2.0</v>
      </c>
      <c r="R1407" s="228">
        <f t="shared" si="3"/>
        <v>207.1694231</v>
      </c>
      <c r="S1407" s="229">
        <f t="shared" si="4"/>
        <v>7.307692308</v>
      </c>
      <c r="T1407" s="24">
        <f t="shared" si="5"/>
        <v>4.5</v>
      </c>
      <c r="U1407" s="26">
        <f t="shared" si="6"/>
        <v>0.7105263158</v>
      </c>
      <c r="V1407" s="26">
        <f t="shared" si="7"/>
        <v>0.1842105263</v>
      </c>
      <c r="W1407" s="19">
        <f t="shared" si="8"/>
        <v>0.2105263158</v>
      </c>
      <c r="X1407" s="218"/>
      <c r="Y1407" s="27"/>
      <c r="Z1407" s="17"/>
      <c r="AA1407" s="17"/>
      <c r="AB1407" s="17"/>
      <c r="AC1407" s="17"/>
      <c r="AD1407" s="27"/>
    </row>
    <row r="1408" ht="15.75" customHeight="1">
      <c r="A1408" s="216" t="s">
        <v>3280</v>
      </c>
      <c r="B1408" s="218" t="s">
        <v>3291</v>
      </c>
      <c r="C1408" s="216" t="s">
        <v>3292</v>
      </c>
      <c r="D1408" s="220" t="s">
        <v>130</v>
      </c>
      <c r="E1408" s="218"/>
      <c r="F1408" s="218"/>
      <c r="G1408" s="219">
        <f t="shared" si="10"/>
        <v>1.410959629</v>
      </c>
      <c r="H1408" s="220">
        <v>40.0</v>
      </c>
      <c r="I1408" s="221">
        <v>290.0</v>
      </c>
      <c r="J1408" s="220">
        <v>12.0</v>
      </c>
      <c r="K1408" s="220">
        <v>35.0</v>
      </c>
      <c r="L1408" s="220">
        <v>0.0</v>
      </c>
      <c r="M1408" s="230">
        <v>12.0</v>
      </c>
      <c r="N1408" s="230">
        <v>0.0</v>
      </c>
      <c r="O1408" s="230">
        <v>8.0</v>
      </c>
      <c r="P1408" s="223">
        <f t="shared" si="2"/>
        <v>4</v>
      </c>
      <c r="Q1408" s="231">
        <v>2.0</v>
      </c>
      <c r="R1408" s="228">
        <f t="shared" si="3"/>
        <v>205.533875</v>
      </c>
      <c r="S1408" s="229">
        <f t="shared" si="4"/>
        <v>7.25</v>
      </c>
      <c r="T1408" s="24">
        <f t="shared" si="5"/>
        <v>6</v>
      </c>
      <c r="U1408" s="26">
        <f t="shared" si="6"/>
        <v>0.6585365854</v>
      </c>
      <c r="V1408" s="26">
        <f t="shared" si="7"/>
        <v>0.1951219512</v>
      </c>
      <c r="W1408" s="19">
        <f t="shared" si="8"/>
        <v>0.1206896552</v>
      </c>
      <c r="X1408" s="218"/>
      <c r="Y1408" s="27"/>
      <c r="Z1408" s="17"/>
      <c r="AA1408" s="17"/>
      <c r="AB1408" s="17"/>
      <c r="AC1408" s="17"/>
      <c r="AD1408" s="27"/>
    </row>
    <row r="1409" ht="15.75" customHeight="1">
      <c r="A1409" s="216" t="s">
        <v>3280</v>
      </c>
      <c r="B1409" s="218" t="s">
        <v>3293</v>
      </c>
      <c r="C1409" s="216" t="s">
        <v>3294</v>
      </c>
      <c r="D1409" s="220" t="s">
        <v>130</v>
      </c>
      <c r="E1409" s="218"/>
      <c r="F1409" s="218"/>
      <c r="G1409" s="219">
        <f t="shared" si="10"/>
        <v>1.058219722</v>
      </c>
      <c r="H1409" s="220">
        <v>30.0</v>
      </c>
      <c r="I1409" s="221">
        <v>210.0</v>
      </c>
      <c r="J1409" s="220">
        <v>13.0</v>
      </c>
      <c r="K1409" s="220">
        <v>20.0</v>
      </c>
      <c r="L1409" s="220">
        <v>0.0</v>
      </c>
      <c r="M1409" s="230">
        <v>11.0</v>
      </c>
      <c r="N1409" s="230">
        <v>1.0</v>
      </c>
      <c r="O1409" s="230">
        <v>7.0</v>
      </c>
      <c r="P1409" s="223">
        <f t="shared" si="2"/>
        <v>3</v>
      </c>
      <c r="Q1409" s="231">
        <v>1.0</v>
      </c>
      <c r="R1409" s="228">
        <f t="shared" si="3"/>
        <v>198.4465</v>
      </c>
      <c r="S1409" s="229">
        <f t="shared" si="4"/>
        <v>7</v>
      </c>
      <c r="T1409" s="24">
        <f t="shared" si="5"/>
        <v>11</v>
      </c>
      <c r="U1409" s="26">
        <f t="shared" si="6"/>
        <v>0.7090909091</v>
      </c>
      <c r="V1409" s="26">
        <f t="shared" si="7"/>
        <v>0.1696969697</v>
      </c>
      <c r="W1409" s="19">
        <f t="shared" si="8"/>
        <v>0.09523809524</v>
      </c>
      <c r="X1409" s="218"/>
      <c r="Y1409" s="27"/>
      <c r="Z1409" s="17"/>
      <c r="AA1409" s="17"/>
      <c r="AB1409" s="17"/>
      <c r="AC1409" s="17"/>
      <c r="AD1409" s="27"/>
    </row>
    <row r="1410" ht="15.75" customHeight="1">
      <c r="A1410" s="216" t="s">
        <v>3280</v>
      </c>
      <c r="B1410" s="218" t="s">
        <v>3295</v>
      </c>
      <c r="C1410" s="216" t="s">
        <v>3296</v>
      </c>
      <c r="D1410" s="220" t="s">
        <v>130</v>
      </c>
      <c r="E1410" s="218"/>
      <c r="F1410" s="218"/>
      <c r="G1410" s="219">
        <f t="shared" si="10"/>
        <v>1.058219722</v>
      </c>
      <c r="H1410" s="220">
        <v>30.0</v>
      </c>
      <c r="I1410" s="221">
        <v>210.0</v>
      </c>
      <c r="J1410" s="220">
        <v>8.0</v>
      </c>
      <c r="K1410" s="220">
        <v>30.0</v>
      </c>
      <c r="L1410" s="220">
        <v>0.0</v>
      </c>
      <c r="M1410" s="230">
        <v>14.0</v>
      </c>
      <c r="N1410" s="230">
        <v>0.0</v>
      </c>
      <c r="O1410" s="230">
        <v>9.0</v>
      </c>
      <c r="P1410" s="223">
        <f t="shared" si="2"/>
        <v>5</v>
      </c>
      <c r="Q1410" s="231">
        <v>0.0</v>
      </c>
      <c r="R1410" s="228">
        <f t="shared" si="3"/>
        <v>198.4465</v>
      </c>
      <c r="S1410" s="229">
        <f t="shared" si="4"/>
        <v>7</v>
      </c>
      <c r="T1410" s="24" t="str">
        <f t="shared" si="5"/>
        <v>N/A</v>
      </c>
      <c r="U1410" s="26">
        <f t="shared" si="6"/>
        <v>0.5625</v>
      </c>
      <c r="V1410" s="26">
        <f t="shared" si="7"/>
        <v>0.28125</v>
      </c>
      <c r="W1410" s="19">
        <f t="shared" si="8"/>
        <v>0.1428571429</v>
      </c>
      <c r="X1410" s="218"/>
      <c r="Y1410" s="27"/>
      <c r="Z1410" s="17"/>
      <c r="AA1410" s="17"/>
      <c r="AB1410" s="17"/>
      <c r="AC1410" s="17"/>
      <c r="AD1410" s="27"/>
    </row>
    <row r="1411" ht="15.75" customHeight="1">
      <c r="A1411" s="216" t="s">
        <v>3280</v>
      </c>
      <c r="B1411" s="218" t="s">
        <v>3297</v>
      </c>
      <c r="C1411" s="216" t="s">
        <v>3298</v>
      </c>
      <c r="D1411" s="220" t="s">
        <v>130</v>
      </c>
      <c r="E1411" s="218"/>
      <c r="F1411" s="218"/>
      <c r="G1411" s="219">
        <f t="shared" si="10"/>
        <v>0.9171237588</v>
      </c>
      <c r="H1411" s="220">
        <v>26.0</v>
      </c>
      <c r="I1411" s="221">
        <v>180.0</v>
      </c>
      <c r="J1411" s="220">
        <v>19.0</v>
      </c>
      <c r="K1411" s="220">
        <v>9.0</v>
      </c>
      <c r="L1411" s="220">
        <v>15.0</v>
      </c>
      <c r="M1411" s="222">
        <v>11.0</v>
      </c>
      <c r="N1411" s="222">
        <v>0.0</v>
      </c>
      <c r="O1411" s="222">
        <v>9.0</v>
      </c>
      <c r="P1411" s="223">
        <f t="shared" si="2"/>
        <v>2</v>
      </c>
      <c r="Q1411" s="231">
        <v>9.0</v>
      </c>
      <c r="R1411" s="228">
        <f t="shared" si="3"/>
        <v>196.2657692</v>
      </c>
      <c r="S1411" s="229">
        <f t="shared" si="4"/>
        <v>6.923076923</v>
      </c>
      <c r="T1411" s="24">
        <f t="shared" si="5"/>
        <v>1.222222222</v>
      </c>
      <c r="U1411" s="26">
        <f t="shared" si="6"/>
        <v>0.6812749004</v>
      </c>
      <c r="V1411" s="26">
        <f t="shared" si="7"/>
        <v>0.1434262948</v>
      </c>
      <c r="W1411" s="19">
        <f t="shared" si="8"/>
        <v>0.05</v>
      </c>
      <c r="X1411" s="218"/>
      <c r="Y1411" s="27"/>
      <c r="Z1411" s="17"/>
      <c r="AA1411" s="17"/>
      <c r="AB1411" s="17"/>
      <c r="AC1411" s="17"/>
      <c r="AD1411" s="27"/>
    </row>
    <row r="1412" ht="15.75" customHeight="1">
      <c r="A1412" s="216" t="s">
        <v>3275</v>
      </c>
      <c r="B1412" s="218" t="s">
        <v>3299</v>
      </c>
      <c r="C1412" s="216" t="s">
        <v>3300</v>
      </c>
      <c r="D1412" s="220" t="s">
        <v>130</v>
      </c>
      <c r="E1412" s="218"/>
      <c r="F1412" s="218"/>
      <c r="G1412" s="219">
        <f t="shared" si="10"/>
        <v>1.375685638</v>
      </c>
      <c r="H1412" s="220">
        <v>39.0</v>
      </c>
      <c r="I1412" s="221">
        <v>230.0</v>
      </c>
      <c r="J1412" s="220">
        <v>14.0</v>
      </c>
      <c r="K1412" s="220">
        <v>75.0</v>
      </c>
      <c r="L1412" s="218"/>
      <c r="M1412" s="222">
        <v>19.0</v>
      </c>
      <c r="N1412" s="222">
        <v>1.0</v>
      </c>
      <c r="O1412" s="222">
        <v>8.0</v>
      </c>
      <c r="P1412" s="223">
        <f t="shared" si="2"/>
        <v>10</v>
      </c>
      <c r="Q1412" s="224">
        <v>1.0</v>
      </c>
      <c r="R1412" s="232">
        <f t="shared" si="3"/>
        <v>167.189359</v>
      </c>
      <c r="S1412" s="233">
        <f t="shared" si="4"/>
        <v>5.897435897</v>
      </c>
      <c r="T1412" s="24">
        <f t="shared" si="5"/>
        <v>19</v>
      </c>
      <c r="U1412" s="26">
        <f t="shared" si="6"/>
        <v>0.6116504854</v>
      </c>
      <c r="V1412" s="26">
        <f t="shared" si="7"/>
        <v>0.1553398058</v>
      </c>
      <c r="W1412" s="19">
        <f t="shared" si="8"/>
        <v>0.3260869565</v>
      </c>
      <c r="X1412" s="218"/>
      <c r="Y1412" s="27"/>
      <c r="Z1412" s="17"/>
      <c r="AA1412" s="17"/>
      <c r="AB1412" s="17"/>
      <c r="AC1412" s="17"/>
      <c r="AD1412" s="27"/>
    </row>
    <row r="1413" ht="15.75" customHeight="1">
      <c r="A1413" s="216" t="s">
        <v>1111</v>
      </c>
      <c r="B1413" s="216" t="s">
        <v>349</v>
      </c>
      <c r="C1413" s="216" t="s">
        <v>3301</v>
      </c>
      <c r="D1413" s="220" t="s">
        <v>130</v>
      </c>
      <c r="E1413" s="218"/>
      <c r="F1413" s="218"/>
      <c r="G1413" s="219">
        <f t="shared" si="10"/>
        <v>1.340411647</v>
      </c>
      <c r="H1413" s="220">
        <v>38.0</v>
      </c>
      <c r="I1413" s="221">
        <v>220.0</v>
      </c>
      <c r="J1413" s="220">
        <v>15.0</v>
      </c>
      <c r="K1413" s="220">
        <v>55.0</v>
      </c>
      <c r="L1413" s="218"/>
      <c r="M1413" s="222">
        <v>17.0</v>
      </c>
      <c r="N1413" s="222">
        <v>2.0</v>
      </c>
      <c r="O1413" s="222">
        <v>12.0</v>
      </c>
      <c r="P1413" s="223">
        <f t="shared" si="2"/>
        <v>3</v>
      </c>
      <c r="Q1413" s="231">
        <v>5.0</v>
      </c>
      <c r="R1413" s="232">
        <f t="shared" si="3"/>
        <v>164.1286842</v>
      </c>
      <c r="S1413" s="233">
        <f t="shared" si="4"/>
        <v>5.789473684</v>
      </c>
      <c r="T1413" s="24">
        <f t="shared" si="5"/>
        <v>3.4</v>
      </c>
      <c r="U1413" s="26">
        <f t="shared" si="6"/>
        <v>0.6053811659</v>
      </c>
      <c r="V1413" s="26">
        <f t="shared" si="7"/>
        <v>0.2152466368</v>
      </c>
      <c r="W1413" s="19">
        <f t="shared" si="8"/>
        <v>0.25</v>
      </c>
      <c r="X1413" s="218"/>
      <c r="Y1413" s="27"/>
      <c r="Z1413" s="17"/>
      <c r="AA1413" s="17"/>
      <c r="AB1413" s="17"/>
      <c r="AC1413" s="17"/>
      <c r="AD1413" s="27"/>
    </row>
    <row r="1414" ht="15.75" customHeight="1">
      <c r="A1414" s="216" t="s">
        <v>3302</v>
      </c>
      <c r="B1414" s="216" t="s">
        <v>3303</v>
      </c>
      <c r="C1414" s="216" t="s">
        <v>3304</v>
      </c>
      <c r="D1414" s="220" t="s">
        <v>130</v>
      </c>
      <c r="E1414" s="218"/>
      <c r="F1414" s="218"/>
      <c r="G1414" s="219">
        <f t="shared" si="10"/>
        <v>3.527399072</v>
      </c>
      <c r="H1414" s="220">
        <v>100.0</v>
      </c>
      <c r="I1414" s="221">
        <v>573.0</v>
      </c>
      <c r="J1414" s="220">
        <v>44.0</v>
      </c>
      <c r="K1414" s="220">
        <v>10.0</v>
      </c>
      <c r="L1414" s="218"/>
      <c r="M1414" s="222">
        <v>34.0</v>
      </c>
      <c r="N1414" s="222">
        <v>12.0</v>
      </c>
      <c r="O1414" s="222">
        <v>6.0</v>
      </c>
      <c r="P1414" s="223">
        <f t="shared" si="2"/>
        <v>16</v>
      </c>
      <c r="Q1414" s="224">
        <v>6.0</v>
      </c>
      <c r="R1414" s="232">
        <f t="shared" si="3"/>
        <v>162.442635</v>
      </c>
      <c r="S1414" s="233">
        <f t="shared" si="4"/>
        <v>5.73</v>
      </c>
      <c r="T1414" s="24">
        <f t="shared" si="5"/>
        <v>5.666666667</v>
      </c>
      <c r="U1414" s="26">
        <f t="shared" si="6"/>
        <v>0.7122302158</v>
      </c>
      <c r="V1414" s="26">
        <f t="shared" si="7"/>
        <v>0.04316546763</v>
      </c>
      <c r="W1414" s="19">
        <f t="shared" si="8"/>
        <v>0.01745200698</v>
      </c>
      <c r="X1414" s="218"/>
      <c r="Y1414" s="27"/>
      <c r="Z1414" s="17"/>
      <c r="AA1414" s="17"/>
      <c r="AB1414" s="17"/>
      <c r="AC1414" s="17"/>
      <c r="AD1414" s="27"/>
    </row>
    <row r="1415" ht="15.75" customHeight="1">
      <c r="A1415" s="216" t="s">
        <v>3305</v>
      </c>
      <c r="B1415" s="216" t="s">
        <v>3306</v>
      </c>
      <c r="C1415" s="216" t="s">
        <v>3307</v>
      </c>
      <c r="D1415" s="220" t="s">
        <v>130</v>
      </c>
      <c r="E1415" s="218"/>
      <c r="F1415" s="218"/>
      <c r="G1415" s="219">
        <f t="shared" si="10"/>
        <v>1.763699536</v>
      </c>
      <c r="H1415" s="220">
        <v>50.0</v>
      </c>
      <c r="I1415" s="221">
        <v>281.0</v>
      </c>
      <c r="J1415" s="220">
        <v>26.0</v>
      </c>
      <c r="K1415" s="220">
        <v>0.0</v>
      </c>
      <c r="L1415" s="218"/>
      <c r="M1415" s="230">
        <v>12.0</v>
      </c>
      <c r="N1415" s="230">
        <v>0.0</v>
      </c>
      <c r="O1415" s="230">
        <v>6.0</v>
      </c>
      <c r="P1415" s="223">
        <f t="shared" si="2"/>
        <v>6</v>
      </c>
      <c r="Q1415" s="231">
        <v>5.0</v>
      </c>
      <c r="R1415" s="232">
        <f t="shared" si="3"/>
        <v>159.32419</v>
      </c>
      <c r="S1415" s="233">
        <f t="shared" si="4"/>
        <v>5.62</v>
      </c>
      <c r="T1415" s="24">
        <f t="shared" si="5"/>
        <v>2.4</v>
      </c>
      <c r="U1415" s="26">
        <f t="shared" si="6"/>
        <v>0.7748344371</v>
      </c>
      <c r="V1415" s="26">
        <f t="shared" si="7"/>
        <v>0.07947019868</v>
      </c>
      <c r="W1415" s="19">
        <f t="shared" si="8"/>
        <v>0</v>
      </c>
      <c r="X1415" s="218"/>
      <c r="Y1415" s="27"/>
      <c r="Z1415" s="17"/>
      <c r="AA1415" s="17"/>
      <c r="AB1415" s="17"/>
      <c r="AC1415" s="17"/>
      <c r="AD1415" s="27"/>
    </row>
    <row r="1416" ht="15.75" customHeight="1">
      <c r="A1416" s="218" t="s">
        <v>346</v>
      </c>
      <c r="B1416" s="218" t="s">
        <v>3308</v>
      </c>
      <c r="C1416" s="216" t="s">
        <v>3309</v>
      </c>
      <c r="D1416" s="217" t="s">
        <v>130</v>
      </c>
      <c r="E1416" s="218"/>
      <c r="F1416" s="218"/>
      <c r="G1416" s="219">
        <f t="shared" si="10"/>
        <v>1.410959629</v>
      </c>
      <c r="H1416" s="217">
        <v>40.0</v>
      </c>
      <c r="I1416" s="236">
        <v>220.0</v>
      </c>
      <c r="J1416" s="217">
        <v>15.0</v>
      </c>
      <c r="K1416" s="217">
        <v>0.0</v>
      </c>
      <c r="L1416" s="218"/>
      <c r="M1416" s="223">
        <v>20.0</v>
      </c>
      <c r="N1416" s="223">
        <v>3.0</v>
      </c>
      <c r="O1416" s="223">
        <v>14.0</v>
      </c>
      <c r="P1416" s="223">
        <f t="shared" si="2"/>
        <v>3</v>
      </c>
      <c r="Q1416" s="237">
        <v>4.0</v>
      </c>
      <c r="R1416" s="232">
        <f t="shared" si="3"/>
        <v>155.92225</v>
      </c>
      <c r="S1416" s="233">
        <f t="shared" si="4"/>
        <v>5.5</v>
      </c>
      <c r="T1416" s="24">
        <f t="shared" si="5"/>
        <v>5</v>
      </c>
      <c r="U1416" s="26">
        <f t="shared" si="6"/>
        <v>0.5844155844</v>
      </c>
      <c r="V1416" s="26">
        <f t="shared" si="7"/>
        <v>0.2424242424</v>
      </c>
      <c r="W1416" s="19">
        <f t="shared" si="8"/>
        <v>0</v>
      </c>
      <c r="X1416" s="218"/>
      <c r="Y1416" s="27"/>
      <c r="Z1416" s="17"/>
      <c r="AA1416" s="17"/>
      <c r="AB1416" s="17"/>
      <c r="AC1416" s="17"/>
      <c r="AD1416" s="27"/>
    </row>
    <row r="1417" ht="15.75" customHeight="1">
      <c r="A1417" s="218" t="s">
        <v>435</v>
      </c>
      <c r="B1417" s="218" t="s">
        <v>3310</v>
      </c>
      <c r="C1417" s="216" t="s">
        <v>3311</v>
      </c>
      <c r="D1417" s="217" t="s">
        <v>130</v>
      </c>
      <c r="E1417" s="218"/>
      <c r="F1417" s="218"/>
      <c r="G1417" s="219">
        <f t="shared" si="10"/>
        <v>1.410959629</v>
      </c>
      <c r="H1417" s="217">
        <v>40.0</v>
      </c>
      <c r="I1417" s="236">
        <v>190.0</v>
      </c>
      <c r="J1417" s="217">
        <v>8.0</v>
      </c>
      <c r="K1417" s="217">
        <v>40.0</v>
      </c>
      <c r="L1417" s="218"/>
      <c r="M1417" s="223">
        <v>29.0</v>
      </c>
      <c r="N1417" s="223">
        <v>1.0</v>
      </c>
      <c r="O1417" s="223">
        <v>25.0</v>
      </c>
      <c r="P1417" s="223">
        <f t="shared" si="2"/>
        <v>3</v>
      </c>
      <c r="Q1417" s="237">
        <v>1.0</v>
      </c>
      <c r="R1417" s="238">
        <f t="shared" si="3"/>
        <v>134.660125</v>
      </c>
      <c r="S1417" s="239">
        <f t="shared" si="4"/>
        <v>4.75</v>
      </c>
      <c r="T1417" s="24">
        <f t="shared" si="5"/>
        <v>29</v>
      </c>
      <c r="U1417" s="26">
        <f t="shared" si="6"/>
        <v>0.375</v>
      </c>
      <c r="V1417" s="26">
        <f t="shared" si="7"/>
        <v>0.5208333333</v>
      </c>
      <c r="W1417" s="19">
        <f t="shared" si="8"/>
        <v>0.2105263158</v>
      </c>
      <c r="X1417" s="218"/>
      <c r="Y1417" s="27"/>
      <c r="Z1417" s="17"/>
      <c r="AA1417" s="17"/>
      <c r="AB1417" s="17"/>
      <c r="AC1417" s="17"/>
      <c r="AD1417" s="27"/>
    </row>
    <row r="1418" ht="15.75" customHeight="1">
      <c r="A1418" s="218" t="s">
        <v>3312</v>
      </c>
      <c r="B1418" s="218" t="s">
        <v>3313</v>
      </c>
      <c r="C1418" s="216" t="s">
        <v>3314</v>
      </c>
      <c r="D1418" s="217" t="s">
        <v>130</v>
      </c>
      <c r="E1418" s="218"/>
      <c r="F1418" s="218"/>
      <c r="G1418" s="219">
        <f t="shared" si="10"/>
        <v>1.728425545</v>
      </c>
      <c r="H1418" s="217">
        <v>49.0</v>
      </c>
      <c r="I1418" s="236">
        <v>230.0</v>
      </c>
      <c r="J1418" s="217">
        <v>13.0</v>
      </c>
      <c r="K1418" s="217">
        <v>55.0</v>
      </c>
      <c r="L1418" s="217">
        <v>120.0</v>
      </c>
      <c r="M1418" s="223">
        <v>29.0</v>
      </c>
      <c r="N1418" s="223">
        <v>3.0</v>
      </c>
      <c r="O1418" s="223">
        <v>21.0</v>
      </c>
      <c r="P1418" s="223">
        <f t="shared" si="2"/>
        <v>5</v>
      </c>
      <c r="Q1418" s="237">
        <v>2.0</v>
      </c>
      <c r="R1418" s="238">
        <f t="shared" si="3"/>
        <v>133.0690816</v>
      </c>
      <c r="S1418" s="239">
        <f t="shared" si="4"/>
        <v>4.693877551</v>
      </c>
      <c r="T1418" s="24">
        <f t="shared" si="5"/>
        <v>14.5</v>
      </c>
      <c r="U1418" s="26">
        <f t="shared" si="6"/>
        <v>0.4854771784</v>
      </c>
      <c r="V1418" s="26">
        <f t="shared" si="7"/>
        <v>0.3485477178</v>
      </c>
      <c r="W1418" s="19">
        <f t="shared" si="8"/>
        <v>0.2391304348</v>
      </c>
      <c r="X1418" s="218"/>
      <c r="Y1418" s="27"/>
      <c r="Z1418" s="17"/>
      <c r="AA1418" s="17"/>
      <c r="AB1418" s="17"/>
      <c r="AC1418" s="17"/>
      <c r="AD1418" s="27"/>
    </row>
    <row r="1419" ht="15.75" customHeight="1">
      <c r="A1419" s="218" t="s">
        <v>3315</v>
      </c>
      <c r="B1419" s="218" t="s">
        <v>3316</v>
      </c>
      <c r="C1419" s="216" t="s">
        <v>3317</v>
      </c>
      <c r="D1419" s="217" t="s">
        <v>130</v>
      </c>
      <c r="E1419" s="218"/>
      <c r="F1419" s="218"/>
      <c r="G1419" s="219">
        <f t="shared" si="10"/>
        <v>1.058219722</v>
      </c>
      <c r="H1419" s="217">
        <v>30.0</v>
      </c>
      <c r="I1419" s="236">
        <v>100.0</v>
      </c>
      <c r="J1419" s="217">
        <v>0.0</v>
      </c>
      <c r="K1419" s="217">
        <v>5.0</v>
      </c>
      <c r="L1419" s="218"/>
      <c r="M1419" s="223">
        <v>23.0</v>
      </c>
      <c r="N1419" s="223">
        <v>0.0</v>
      </c>
      <c r="O1419" s="223">
        <v>14.0</v>
      </c>
      <c r="P1419" s="223">
        <f t="shared" si="2"/>
        <v>9</v>
      </c>
      <c r="Q1419" s="237">
        <v>2.0</v>
      </c>
      <c r="R1419" s="242">
        <f t="shared" si="3"/>
        <v>94.49833333</v>
      </c>
      <c r="S1419" s="243">
        <f t="shared" si="4"/>
        <v>3.333333333</v>
      </c>
      <c r="T1419" s="24">
        <f t="shared" si="5"/>
        <v>11.5</v>
      </c>
      <c r="U1419" s="26" t="str">
        <f t="shared" si="6"/>
        <v>0%</v>
      </c>
      <c r="V1419" s="26">
        <f t="shared" si="7"/>
        <v>0.56</v>
      </c>
      <c r="W1419" s="19">
        <f t="shared" si="8"/>
        <v>0.05</v>
      </c>
      <c r="X1419" s="218"/>
      <c r="Y1419" s="27"/>
      <c r="Z1419" s="17"/>
      <c r="AA1419" s="17"/>
      <c r="AB1419" s="17"/>
      <c r="AC1419" s="17"/>
      <c r="AD1419" s="27"/>
    </row>
    <row r="1420" ht="15.75" customHeight="1">
      <c r="A1420" s="218" t="s">
        <v>3318</v>
      </c>
      <c r="B1420" s="218" t="s">
        <v>3319</v>
      </c>
      <c r="C1420" s="216" t="s">
        <v>3320</v>
      </c>
      <c r="D1420" s="217" t="s">
        <v>563</v>
      </c>
      <c r="E1420" s="218"/>
      <c r="F1420" s="218"/>
      <c r="G1420" s="219">
        <f t="shared" si="10"/>
        <v>0.9876717402</v>
      </c>
      <c r="H1420" s="217">
        <v>28.0</v>
      </c>
      <c r="I1420" s="236">
        <v>190.0</v>
      </c>
      <c r="J1420" s="217">
        <v>17.0</v>
      </c>
      <c r="K1420" s="217">
        <v>55.0</v>
      </c>
      <c r="L1420" s="217">
        <v>130.0</v>
      </c>
      <c r="M1420" s="223">
        <v>10.0</v>
      </c>
      <c r="N1420" s="223">
        <v>3.0</v>
      </c>
      <c r="O1420" s="223">
        <v>5.0</v>
      </c>
      <c r="P1420" s="223">
        <f t="shared" si="2"/>
        <v>2</v>
      </c>
      <c r="Q1420" s="237">
        <v>4.0</v>
      </c>
      <c r="R1420" s="228">
        <f t="shared" si="3"/>
        <v>192.3716071</v>
      </c>
      <c r="S1420" s="229">
        <f t="shared" si="4"/>
        <v>6.785714286</v>
      </c>
      <c r="T1420" s="24">
        <f t="shared" si="5"/>
        <v>2.5</v>
      </c>
      <c r="U1420" s="26">
        <f t="shared" si="6"/>
        <v>0.7320574163</v>
      </c>
      <c r="V1420" s="26">
        <f t="shared" si="7"/>
        <v>0.0956937799</v>
      </c>
      <c r="W1420" s="19">
        <f t="shared" si="8"/>
        <v>0.2894736842</v>
      </c>
      <c r="X1420" s="218"/>
      <c r="Y1420" s="27"/>
      <c r="Z1420" s="17"/>
      <c r="AA1420" s="17"/>
      <c r="AB1420" s="17"/>
      <c r="AC1420" s="17"/>
      <c r="AD1420" s="27"/>
    </row>
    <row r="1421" ht="15.75" customHeight="1">
      <c r="A1421" s="218" t="s">
        <v>3318</v>
      </c>
      <c r="B1421" s="218" t="s">
        <v>3321</v>
      </c>
      <c r="C1421" s="216" t="s">
        <v>3322</v>
      </c>
      <c r="D1421" s="217" t="s">
        <v>563</v>
      </c>
      <c r="E1421" s="218"/>
      <c r="F1421" s="218"/>
      <c r="G1421" s="219">
        <f t="shared" si="10"/>
        <v>0.9876717402</v>
      </c>
      <c r="H1421" s="217">
        <v>28.0</v>
      </c>
      <c r="I1421" s="236">
        <v>190.0</v>
      </c>
      <c r="J1421" s="217">
        <v>16.0</v>
      </c>
      <c r="K1421" s="217">
        <v>50.0</v>
      </c>
      <c r="L1421" s="217">
        <v>110.0</v>
      </c>
      <c r="M1421" s="223">
        <v>9.0</v>
      </c>
      <c r="N1421" s="223">
        <v>3.0</v>
      </c>
      <c r="O1421" s="223">
        <v>5.0</v>
      </c>
      <c r="P1421" s="223">
        <f t="shared" si="2"/>
        <v>1</v>
      </c>
      <c r="Q1421" s="237">
        <v>4.0</v>
      </c>
      <c r="R1421" s="228">
        <f t="shared" si="3"/>
        <v>192.3716071</v>
      </c>
      <c r="S1421" s="229">
        <f t="shared" si="4"/>
        <v>6.785714286</v>
      </c>
      <c r="T1421" s="24">
        <f t="shared" si="5"/>
        <v>2.25</v>
      </c>
      <c r="U1421" s="26">
        <f t="shared" si="6"/>
        <v>0.7346938776</v>
      </c>
      <c r="V1421" s="26">
        <f t="shared" si="7"/>
        <v>0.1020408163</v>
      </c>
      <c r="W1421" s="19">
        <f t="shared" si="8"/>
        <v>0.2631578947</v>
      </c>
      <c r="X1421" s="218"/>
      <c r="Y1421" s="27"/>
      <c r="Z1421" s="17"/>
      <c r="AA1421" s="17"/>
      <c r="AB1421" s="17"/>
      <c r="AC1421" s="17"/>
      <c r="AD1421" s="27"/>
    </row>
    <row r="1422" ht="15.75" customHeight="1">
      <c r="A1422" s="216" t="s">
        <v>3323</v>
      </c>
      <c r="B1422" s="216" t="s">
        <v>1478</v>
      </c>
      <c r="C1422" s="216" t="s">
        <v>3324</v>
      </c>
      <c r="D1422" s="220" t="s">
        <v>563</v>
      </c>
      <c r="E1422" s="218"/>
      <c r="F1422" s="218"/>
      <c r="G1422" s="219">
        <f t="shared" si="10"/>
        <v>0.9876717402</v>
      </c>
      <c r="H1422" s="220">
        <v>28.0</v>
      </c>
      <c r="I1422" s="221">
        <v>170.0</v>
      </c>
      <c r="J1422" s="220">
        <v>14.0</v>
      </c>
      <c r="K1422" s="220">
        <v>10.0</v>
      </c>
      <c r="L1422" s="220">
        <v>104.0</v>
      </c>
      <c r="M1422" s="222">
        <v>7.0</v>
      </c>
      <c r="N1422" s="222">
        <v>2.0</v>
      </c>
      <c r="O1422" s="222">
        <v>4.0</v>
      </c>
      <c r="P1422" s="223">
        <f t="shared" si="2"/>
        <v>1</v>
      </c>
      <c r="Q1422" s="231">
        <v>4.0</v>
      </c>
      <c r="R1422" s="228">
        <f t="shared" si="3"/>
        <v>172.1219643</v>
      </c>
      <c r="S1422" s="229">
        <f t="shared" si="4"/>
        <v>6.071428571</v>
      </c>
      <c r="T1422" s="24">
        <f t="shared" si="5"/>
        <v>1.75</v>
      </c>
      <c r="U1422" s="26">
        <f t="shared" si="6"/>
        <v>0.7411764706</v>
      </c>
      <c r="V1422" s="26">
        <f t="shared" si="7"/>
        <v>0.09411764706</v>
      </c>
      <c r="W1422" s="19">
        <f t="shared" si="8"/>
        <v>0.05882352941</v>
      </c>
      <c r="X1422" s="218"/>
      <c r="Y1422" s="27"/>
      <c r="Z1422" s="17"/>
      <c r="AA1422" s="17"/>
      <c r="AB1422" s="17"/>
      <c r="AC1422" s="17"/>
      <c r="AD1422" s="27"/>
    </row>
    <row r="1423" ht="15.75" customHeight="1">
      <c r="A1423" s="216" t="s">
        <v>3323</v>
      </c>
      <c r="B1423" s="216" t="s">
        <v>3325</v>
      </c>
      <c r="C1423" s="216" t="s">
        <v>3326</v>
      </c>
      <c r="D1423" s="220" t="s">
        <v>563</v>
      </c>
      <c r="E1423" s="218"/>
      <c r="F1423" s="218"/>
      <c r="G1423" s="219">
        <f t="shared" si="10"/>
        <v>0.9876717402</v>
      </c>
      <c r="H1423" s="220">
        <v>28.0</v>
      </c>
      <c r="I1423" s="221">
        <v>170.0</v>
      </c>
      <c r="J1423" s="220">
        <v>15.0</v>
      </c>
      <c r="K1423" s="220">
        <v>10.0</v>
      </c>
      <c r="L1423" s="220">
        <v>115.0</v>
      </c>
      <c r="M1423" s="222">
        <v>7.0</v>
      </c>
      <c r="N1423" s="222">
        <v>2.0</v>
      </c>
      <c r="O1423" s="222">
        <v>4.0</v>
      </c>
      <c r="P1423" s="223">
        <f t="shared" si="2"/>
        <v>1</v>
      </c>
      <c r="Q1423" s="231">
        <v>4.0</v>
      </c>
      <c r="R1423" s="228">
        <f t="shared" si="3"/>
        <v>172.1219643</v>
      </c>
      <c r="S1423" s="229">
        <f t="shared" si="4"/>
        <v>6.071428571</v>
      </c>
      <c r="T1423" s="24">
        <f t="shared" si="5"/>
        <v>1.75</v>
      </c>
      <c r="U1423" s="26">
        <f t="shared" si="6"/>
        <v>0.7541899441</v>
      </c>
      <c r="V1423" s="26">
        <f t="shared" si="7"/>
        <v>0.08938547486</v>
      </c>
      <c r="W1423" s="19">
        <f t="shared" si="8"/>
        <v>0.05882352941</v>
      </c>
      <c r="X1423" s="218"/>
      <c r="Y1423" s="27"/>
      <c r="Z1423" s="17"/>
      <c r="AA1423" s="17"/>
      <c r="AB1423" s="17"/>
      <c r="AC1423" s="17"/>
      <c r="AD1423" s="27"/>
    </row>
    <row r="1424" ht="15.75" customHeight="1">
      <c r="A1424" s="216" t="s">
        <v>3323</v>
      </c>
      <c r="B1424" s="216" t="s">
        <v>3327</v>
      </c>
      <c r="C1424" s="216" t="s">
        <v>3328</v>
      </c>
      <c r="D1424" s="220" t="s">
        <v>563</v>
      </c>
      <c r="E1424" s="218"/>
      <c r="F1424" s="218"/>
      <c r="G1424" s="219">
        <f t="shared" si="10"/>
        <v>0.9876717402</v>
      </c>
      <c r="H1424" s="220">
        <v>28.0</v>
      </c>
      <c r="I1424" s="221">
        <v>170.0</v>
      </c>
      <c r="J1424" s="220">
        <v>14.0</v>
      </c>
      <c r="K1424" s="220">
        <v>10.0</v>
      </c>
      <c r="L1424" s="220">
        <v>103.0</v>
      </c>
      <c r="M1424" s="222">
        <v>8.0</v>
      </c>
      <c r="N1424" s="222">
        <v>2.0</v>
      </c>
      <c r="O1424" s="222">
        <v>4.0</v>
      </c>
      <c r="P1424" s="223">
        <f t="shared" si="2"/>
        <v>2</v>
      </c>
      <c r="Q1424" s="231">
        <v>4.0</v>
      </c>
      <c r="R1424" s="228">
        <f t="shared" si="3"/>
        <v>172.1219643</v>
      </c>
      <c r="S1424" s="229">
        <f t="shared" si="4"/>
        <v>6.071428571</v>
      </c>
      <c r="T1424" s="24">
        <f t="shared" si="5"/>
        <v>2</v>
      </c>
      <c r="U1424" s="26">
        <f t="shared" si="6"/>
        <v>0.724137931</v>
      </c>
      <c r="V1424" s="26">
        <f t="shared" si="7"/>
        <v>0.09195402299</v>
      </c>
      <c r="W1424" s="19">
        <f t="shared" si="8"/>
        <v>0.05882352941</v>
      </c>
      <c r="X1424" s="218"/>
      <c r="Y1424" s="27"/>
      <c r="Z1424" s="17"/>
      <c r="AA1424" s="17"/>
      <c r="AB1424" s="17"/>
      <c r="AC1424" s="17"/>
      <c r="AD1424" s="27"/>
    </row>
    <row r="1425" ht="15.75" customHeight="1">
      <c r="A1425" s="216" t="s">
        <v>3323</v>
      </c>
      <c r="B1425" s="216" t="s">
        <v>3329</v>
      </c>
      <c r="C1425" s="216" t="s">
        <v>3330</v>
      </c>
      <c r="D1425" s="220" t="s">
        <v>563</v>
      </c>
      <c r="E1425" s="218"/>
      <c r="F1425" s="218"/>
      <c r="G1425" s="219">
        <f t="shared" si="10"/>
        <v>0.9876717402</v>
      </c>
      <c r="H1425" s="220">
        <v>28.0</v>
      </c>
      <c r="I1425" s="221">
        <v>170.0</v>
      </c>
      <c r="J1425" s="220">
        <v>15.0</v>
      </c>
      <c r="K1425" s="220">
        <v>10.0</v>
      </c>
      <c r="L1425" s="220">
        <v>0.0</v>
      </c>
      <c r="M1425" s="222">
        <v>7.0</v>
      </c>
      <c r="N1425" s="222">
        <v>2.0</v>
      </c>
      <c r="O1425" s="222">
        <v>4.0</v>
      </c>
      <c r="P1425" s="223">
        <f t="shared" si="2"/>
        <v>1</v>
      </c>
      <c r="Q1425" s="231">
        <v>4.0</v>
      </c>
      <c r="R1425" s="228">
        <f t="shared" si="3"/>
        <v>172.1219643</v>
      </c>
      <c r="S1425" s="229">
        <f t="shared" si="4"/>
        <v>6.071428571</v>
      </c>
      <c r="T1425" s="24">
        <f t="shared" si="5"/>
        <v>1.75</v>
      </c>
      <c r="U1425" s="26">
        <f t="shared" si="6"/>
        <v>0.7541899441</v>
      </c>
      <c r="V1425" s="26">
        <f t="shared" si="7"/>
        <v>0.08938547486</v>
      </c>
      <c r="W1425" s="19">
        <f t="shared" si="8"/>
        <v>0.05882352941</v>
      </c>
      <c r="X1425" s="218"/>
      <c r="Y1425" s="27"/>
      <c r="Z1425" s="17"/>
      <c r="AA1425" s="17"/>
      <c r="AB1425" s="17"/>
      <c r="AC1425" s="17"/>
      <c r="AD1425" s="27"/>
    </row>
    <row r="1426" ht="15.75" customHeight="1">
      <c r="A1426" s="216" t="s">
        <v>3331</v>
      </c>
      <c r="B1426" s="216" t="s">
        <v>3332</v>
      </c>
      <c r="C1426" s="216" t="s">
        <v>3333</v>
      </c>
      <c r="D1426" s="220" t="s">
        <v>563</v>
      </c>
      <c r="E1426" s="218"/>
      <c r="F1426" s="218"/>
      <c r="G1426" s="219">
        <f t="shared" si="10"/>
        <v>1.058219722</v>
      </c>
      <c r="H1426" s="220">
        <v>30.0</v>
      </c>
      <c r="I1426" s="221">
        <v>180.0</v>
      </c>
      <c r="J1426" s="220">
        <v>16.0</v>
      </c>
      <c r="K1426" s="220">
        <v>60.0</v>
      </c>
      <c r="L1426" s="220">
        <v>188.0</v>
      </c>
      <c r="M1426" s="230">
        <v>8.0</v>
      </c>
      <c r="N1426" s="230">
        <v>5.0</v>
      </c>
      <c r="O1426" s="230">
        <v>1.0</v>
      </c>
      <c r="P1426" s="223">
        <f t="shared" si="2"/>
        <v>2</v>
      </c>
      <c r="Q1426" s="231">
        <v>4.0</v>
      </c>
      <c r="R1426" s="228">
        <f t="shared" si="3"/>
        <v>170.097</v>
      </c>
      <c r="S1426" s="229">
        <f t="shared" si="4"/>
        <v>6</v>
      </c>
      <c r="T1426" s="24">
        <f t="shared" si="5"/>
        <v>2</v>
      </c>
      <c r="U1426" s="26">
        <f t="shared" si="6"/>
        <v>0.75</v>
      </c>
      <c r="V1426" s="26">
        <f t="shared" si="7"/>
        <v>0.02083333333</v>
      </c>
      <c r="W1426" s="19">
        <f t="shared" si="8"/>
        <v>0.3333333333</v>
      </c>
      <c r="X1426" s="218"/>
      <c r="Y1426" s="27"/>
      <c r="Z1426" s="17"/>
      <c r="AA1426" s="17"/>
      <c r="AB1426" s="17"/>
      <c r="AC1426" s="17"/>
      <c r="AD1426" s="27"/>
    </row>
    <row r="1427" ht="15.75" customHeight="1">
      <c r="A1427" s="216" t="s">
        <v>3331</v>
      </c>
      <c r="B1427" s="216" t="s">
        <v>3334</v>
      </c>
      <c r="C1427" s="216" t="s">
        <v>3335</v>
      </c>
      <c r="D1427" s="220" t="s">
        <v>563</v>
      </c>
      <c r="E1427" s="218"/>
      <c r="F1427" s="218"/>
      <c r="G1427" s="219">
        <f t="shared" si="10"/>
        <v>1.058219722</v>
      </c>
      <c r="H1427" s="220">
        <v>30.0</v>
      </c>
      <c r="I1427" s="221">
        <v>180.0</v>
      </c>
      <c r="J1427" s="220">
        <v>16.0</v>
      </c>
      <c r="K1427" s="220">
        <v>60.0</v>
      </c>
      <c r="L1427" s="220">
        <v>255.0</v>
      </c>
      <c r="M1427" s="230">
        <v>7.0</v>
      </c>
      <c r="N1427" s="230">
        <v>5.0</v>
      </c>
      <c r="O1427" s="230">
        <v>1.0</v>
      </c>
      <c r="P1427" s="223">
        <f t="shared" si="2"/>
        <v>1</v>
      </c>
      <c r="Q1427" s="231">
        <v>1.0</v>
      </c>
      <c r="R1427" s="228">
        <f t="shared" si="3"/>
        <v>170.097</v>
      </c>
      <c r="S1427" s="229">
        <f t="shared" si="4"/>
        <v>6</v>
      </c>
      <c r="T1427" s="24">
        <f t="shared" si="5"/>
        <v>7</v>
      </c>
      <c r="U1427" s="26">
        <f t="shared" si="6"/>
        <v>0.8181818182</v>
      </c>
      <c r="V1427" s="26">
        <f t="shared" si="7"/>
        <v>0.02272727273</v>
      </c>
      <c r="W1427" s="19">
        <f t="shared" si="8"/>
        <v>0.3333333333</v>
      </c>
      <c r="X1427" s="218"/>
      <c r="Y1427" s="27"/>
      <c r="Z1427" s="17"/>
      <c r="AA1427" s="17"/>
      <c r="AB1427" s="17"/>
      <c r="AC1427" s="17"/>
      <c r="AD1427" s="27"/>
    </row>
    <row r="1428" ht="15.75" customHeight="1">
      <c r="A1428" s="216" t="s">
        <v>3336</v>
      </c>
      <c r="B1428" s="216" t="s">
        <v>3337</v>
      </c>
      <c r="C1428" s="216" t="s">
        <v>3338</v>
      </c>
      <c r="D1428" s="220" t="s">
        <v>563</v>
      </c>
      <c r="E1428" s="218"/>
      <c r="F1428" s="218"/>
      <c r="G1428" s="219">
        <f t="shared" si="10"/>
        <v>0.8465757774</v>
      </c>
      <c r="H1428" s="220">
        <v>24.0</v>
      </c>
      <c r="I1428" s="221">
        <v>140.0</v>
      </c>
      <c r="J1428" s="220">
        <v>10.0</v>
      </c>
      <c r="K1428" s="220">
        <v>0.0</v>
      </c>
      <c r="L1428" s="218"/>
      <c r="M1428" s="222">
        <v>9.0</v>
      </c>
      <c r="N1428" s="222">
        <v>4.0</v>
      </c>
      <c r="O1428" s="222">
        <v>3.0</v>
      </c>
      <c r="P1428" s="223">
        <f t="shared" si="2"/>
        <v>2</v>
      </c>
      <c r="Q1428" s="231">
        <v>3.0</v>
      </c>
      <c r="R1428" s="232">
        <f t="shared" si="3"/>
        <v>165.3720833</v>
      </c>
      <c r="S1428" s="233">
        <f t="shared" si="4"/>
        <v>5.833333333</v>
      </c>
      <c r="T1428" s="24">
        <f t="shared" si="5"/>
        <v>3</v>
      </c>
      <c r="U1428" s="26">
        <f t="shared" si="6"/>
        <v>0.652173913</v>
      </c>
      <c r="V1428" s="26">
        <f t="shared" si="7"/>
        <v>0.08695652174</v>
      </c>
      <c r="W1428" s="19">
        <f t="shared" si="8"/>
        <v>0</v>
      </c>
      <c r="X1428" s="218"/>
      <c r="Y1428" s="27"/>
      <c r="Z1428" s="17"/>
      <c r="AA1428" s="17"/>
      <c r="AB1428" s="17"/>
      <c r="AC1428" s="17"/>
      <c r="AD1428" s="27"/>
    </row>
    <row r="1429" ht="15.75" customHeight="1">
      <c r="A1429" s="216" t="s">
        <v>1259</v>
      </c>
      <c r="B1429" s="216" t="s">
        <v>3339</v>
      </c>
      <c r="C1429" s="216" t="s">
        <v>3340</v>
      </c>
      <c r="D1429" s="220" t="s">
        <v>563</v>
      </c>
      <c r="E1429" s="218"/>
      <c r="F1429" s="218"/>
      <c r="G1429" s="219">
        <f t="shared" si="10"/>
        <v>1.94006949</v>
      </c>
      <c r="H1429" s="220">
        <v>55.0</v>
      </c>
      <c r="I1429" s="221">
        <v>320.0</v>
      </c>
      <c r="J1429" s="220">
        <v>26.0</v>
      </c>
      <c r="K1429" s="220">
        <v>125.0</v>
      </c>
      <c r="L1429" s="218"/>
      <c r="M1429" s="222">
        <v>15.0</v>
      </c>
      <c r="N1429" s="222">
        <v>4.0</v>
      </c>
      <c r="O1429" s="222">
        <v>7.0</v>
      </c>
      <c r="P1429" s="223">
        <f t="shared" si="2"/>
        <v>4</v>
      </c>
      <c r="Q1429" s="231">
        <v>11.0</v>
      </c>
      <c r="R1429" s="232">
        <f t="shared" si="3"/>
        <v>164.9425455</v>
      </c>
      <c r="S1429" s="233">
        <f t="shared" si="4"/>
        <v>5.818181818</v>
      </c>
      <c r="T1429" s="24">
        <f t="shared" si="5"/>
        <v>1.363636364</v>
      </c>
      <c r="U1429" s="26">
        <f t="shared" si="6"/>
        <v>0.6923076923</v>
      </c>
      <c r="V1429" s="26">
        <f t="shared" si="7"/>
        <v>0.08284023669</v>
      </c>
      <c r="W1429" s="19">
        <f t="shared" si="8"/>
        <v>0.390625</v>
      </c>
      <c r="X1429" s="218"/>
      <c r="Y1429" s="27"/>
      <c r="Z1429" s="17"/>
      <c r="AA1429" s="17"/>
      <c r="AB1429" s="17"/>
      <c r="AC1429" s="17"/>
      <c r="AD1429" s="27"/>
    </row>
    <row r="1430" ht="15.75" customHeight="1">
      <c r="A1430" s="216" t="s">
        <v>1259</v>
      </c>
      <c r="B1430" s="216" t="s">
        <v>3341</v>
      </c>
      <c r="C1430" s="216" t="s">
        <v>3342</v>
      </c>
      <c r="D1430" s="220" t="s">
        <v>563</v>
      </c>
      <c r="E1430" s="218"/>
      <c r="F1430" s="218"/>
      <c r="G1430" s="219">
        <f t="shared" si="10"/>
        <v>1.94006949</v>
      </c>
      <c r="H1430" s="220">
        <v>55.0</v>
      </c>
      <c r="I1430" s="221">
        <v>320.0</v>
      </c>
      <c r="J1430" s="220">
        <v>25.0</v>
      </c>
      <c r="K1430" s="220">
        <v>110.0</v>
      </c>
      <c r="L1430" s="218"/>
      <c r="M1430" s="222">
        <v>15.0</v>
      </c>
      <c r="N1430" s="222">
        <v>4.0</v>
      </c>
      <c r="O1430" s="222">
        <v>6.0</v>
      </c>
      <c r="P1430" s="223">
        <f t="shared" si="2"/>
        <v>5</v>
      </c>
      <c r="Q1430" s="231">
        <v>11.0</v>
      </c>
      <c r="R1430" s="232">
        <f t="shared" si="3"/>
        <v>164.9425455</v>
      </c>
      <c r="S1430" s="233">
        <f t="shared" si="4"/>
        <v>5.818181818</v>
      </c>
      <c r="T1430" s="24">
        <f t="shared" si="5"/>
        <v>1.363636364</v>
      </c>
      <c r="U1430" s="26">
        <f t="shared" si="6"/>
        <v>0.6838905775</v>
      </c>
      <c r="V1430" s="26">
        <f t="shared" si="7"/>
        <v>0.07294832827</v>
      </c>
      <c r="W1430" s="19">
        <f t="shared" si="8"/>
        <v>0.34375</v>
      </c>
      <c r="X1430" s="218"/>
      <c r="Y1430" s="27"/>
      <c r="Z1430" s="17"/>
      <c r="AA1430" s="17"/>
      <c r="AB1430" s="17"/>
      <c r="AC1430" s="17"/>
      <c r="AD1430" s="27"/>
    </row>
    <row r="1431" ht="15.75" customHeight="1">
      <c r="A1431" s="216" t="s">
        <v>1259</v>
      </c>
      <c r="B1431" s="216" t="s">
        <v>3343</v>
      </c>
      <c r="C1431" s="216" t="s">
        <v>3344</v>
      </c>
      <c r="D1431" s="220" t="s">
        <v>563</v>
      </c>
      <c r="E1431" s="218"/>
      <c r="F1431" s="218"/>
      <c r="G1431" s="219">
        <f t="shared" si="10"/>
        <v>1.94006949</v>
      </c>
      <c r="H1431" s="220">
        <v>55.0</v>
      </c>
      <c r="I1431" s="221">
        <v>320.0</v>
      </c>
      <c r="J1431" s="220">
        <v>28.0</v>
      </c>
      <c r="K1431" s="220">
        <v>115.0</v>
      </c>
      <c r="L1431" s="218"/>
      <c r="M1431" s="222">
        <v>11.0</v>
      </c>
      <c r="N1431" s="222">
        <v>4.0</v>
      </c>
      <c r="O1431" s="222">
        <v>7.0</v>
      </c>
      <c r="P1431" s="223">
        <f t="shared" si="2"/>
        <v>0</v>
      </c>
      <c r="Q1431" s="231">
        <v>12.0</v>
      </c>
      <c r="R1431" s="232">
        <f t="shared" si="3"/>
        <v>164.9425455</v>
      </c>
      <c r="S1431" s="233">
        <f t="shared" si="4"/>
        <v>5.818181818</v>
      </c>
      <c r="T1431" s="24">
        <f t="shared" si="5"/>
        <v>0.9166666667</v>
      </c>
      <c r="U1431" s="26">
        <f t="shared" si="6"/>
        <v>0.7325581395</v>
      </c>
      <c r="V1431" s="26">
        <f t="shared" si="7"/>
        <v>0.08139534884</v>
      </c>
      <c r="W1431" s="19">
        <f t="shared" si="8"/>
        <v>0.359375</v>
      </c>
      <c r="X1431" s="218"/>
      <c r="Y1431" s="27"/>
      <c r="Z1431" s="17"/>
      <c r="AA1431" s="17"/>
      <c r="AB1431" s="17"/>
      <c r="AC1431" s="17"/>
      <c r="AD1431" s="27"/>
    </row>
    <row r="1432" ht="15.75" customHeight="1">
      <c r="A1432" s="216" t="s">
        <v>3345</v>
      </c>
      <c r="B1432" s="218" t="s">
        <v>169</v>
      </c>
      <c r="C1432" s="216" t="s">
        <v>3346</v>
      </c>
      <c r="D1432" s="220" t="s">
        <v>563</v>
      </c>
      <c r="E1432" s="218"/>
      <c r="F1432" s="218"/>
      <c r="G1432" s="219">
        <f t="shared" si="10"/>
        <v>1.763699536</v>
      </c>
      <c r="H1432" s="220">
        <v>50.0</v>
      </c>
      <c r="I1432" s="221">
        <v>290.0</v>
      </c>
      <c r="J1432" s="220">
        <v>22.0</v>
      </c>
      <c r="K1432" s="220">
        <v>190.0</v>
      </c>
      <c r="L1432" s="220">
        <v>350.0</v>
      </c>
      <c r="M1432" s="230">
        <v>17.0</v>
      </c>
      <c r="N1432" s="230">
        <v>4.0</v>
      </c>
      <c r="O1432" s="230">
        <v>9.0</v>
      </c>
      <c r="P1432" s="223">
        <f t="shared" si="2"/>
        <v>4</v>
      </c>
      <c r="Q1432" s="231">
        <v>8.0</v>
      </c>
      <c r="R1432" s="232">
        <f t="shared" si="3"/>
        <v>164.4271</v>
      </c>
      <c r="S1432" s="233">
        <f t="shared" si="4"/>
        <v>5.8</v>
      </c>
      <c r="T1432" s="24">
        <f t="shared" si="5"/>
        <v>2.125</v>
      </c>
      <c r="U1432" s="26">
        <f t="shared" si="6"/>
        <v>0.6644295302</v>
      </c>
      <c r="V1432" s="26">
        <f t="shared" si="7"/>
        <v>0.1208053691</v>
      </c>
      <c r="W1432" s="19">
        <f t="shared" si="8"/>
        <v>0.6551724138</v>
      </c>
      <c r="X1432" s="218"/>
      <c r="Y1432" s="27"/>
      <c r="Z1432" s="17"/>
      <c r="AA1432" s="17"/>
      <c r="AB1432" s="17"/>
      <c r="AC1432" s="17"/>
      <c r="AD1432" s="27"/>
    </row>
    <row r="1433" ht="15.75" customHeight="1">
      <c r="A1433" s="216" t="s">
        <v>3347</v>
      </c>
      <c r="B1433" s="216" t="s">
        <v>3348</v>
      </c>
      <c r="C1433" s="216" t="s">
        <v>3349</v>
      </c>
      <c r="D1433" s="220" t="s">
        <v>563</v>
      </c>
      <c r="E1433" s="218"/>
      <c r="F1433" s="218"/>
      <c r="G1433" s="219">
        <f t="shared" si="10"/>
        <v>3.527399072</v>
      </c>
      <c r="H1433" s="220">
        <v>100.0</v>
      </c>
      <c r="I1433" s="221">
        <v>580.0</v>
      </c>
      <c r="J1433" s="220">
        <v>45.0</v>
      </c>
      <c r="K1433" s="220">
        <v>370.0</v>
      </c>
      <c r="L1433" s="220">
        <v>700.0</v>
      </c>
      <c r="M1433" s="230">
        <v>34.0</v>
      </c>
      <c r="N1433" s="230">
        <v>9.0</v>
      </c>
      <c r="O1433" s="230">
        <v>19.0</v>
      </c>
      <c r="P1433" s="223">
        <f t="shared" si="2"/>
        <v>6</v>
      </c>
      <c r="Q1433" s="231">
        <v>15.0</v>
      </c>
      <c r="R1433" s="232">
        <f t="shared" si="3"/>
        <v>164.4271</v>
      </c>
      <c r="S1433" s="233">
        <f t="shared" si="4"/>
        <v>5.8</v>
      </c>
      <c r="T1433" s="24">
        <f t="shared" si="5"/>
        <v>2.266666667</v>
      </c>
      <c r="U1433" s="26">
        <f t="shared" si="6"/>
        <v>0.6738768719</v>
      </c>
      <c r="V1433" s="26">
        <f t="shared" si="7"/>
        <v>0.1264559068</v>
      </c>
      <c r="W1433" s="19">
        <f t="shared" si="8"/>
        <v>0.6379310345</v>
      </c>
      <c r="X1433" s="218"/>
      <c r="Y1433" s="27"/>
      <c r="Z1433" s="17"/>
      <c r="AA1433" s="17"/>
      <c r="AB1433" s="17"/>
      <c r="AC1433" s="17"/>
      <c r="AD1433" s="27"/>
    </row>
    <row r="1434" ht="15.75" customHeight="1">
      <c r="A1434" s="216" t="s">
        <v>3323</v>
      </c>
      <c r="B1434" s="216" t="s">
        <v>3350</v>
      </c>
      <c r="C1434" s="216" t="s">
        <v>3351</v>
      </c>
      <c r="D1434" s="220" t="s">
        <v>563</v>
      </c>
      <c r="E1434" s="218"/>
      <c r="F1434" s="218"/>
      <c r="G1434" s="219">
        <f t="shared" si="10"/>
        <v>0.9876717402</v>
      </c>
      <c r="H1434" s="220">
        <v>28.0</v>
      </c>
      <c r="I1434" s="221">
        <v>160.0</v>
      </c>
      <c r="J1434" s="220">
        <v>14.0</v>
      </c>
      <c r="K1434" s="220">
        <v>0.0</v>
      </c>
      <c r="L1434" s="220">
        <v>143.0</v>
      </c>
      <c r="M1434" s="222">
        <v>9.0</v>
      </c>
      <c r="N1434" s="222">
        <v>3.0</v>
      </c>
      <c r="O1434" s="222">
        <v>4.0</v>
      </c>
      <c r="P1434" s="223">
        <f t="shared" si="2"/>
        <v>2</v>
      </c>
      <c r="Q1434" s="231">
        <v>3.0</v>
      </c>
      <c r="R1434" s="232">
        <f t="shared" si="3"/>
        <v>161.9971429</v>
      </c>
      <c r="S1434" s="233">
        <f t="shared" si="4"/>
        <v>5.714285714</v>
      </c>
      <c r="T1434" s="24">
        <f t="shared" si="5"/>
        <v>3</v>
      </c>
      <c r="U1434" s="26">
        <f t="shared" si="6"/>
        <v>0.724137931</v>
      </c>
      <c r="V1434" s="26">
        <f t="shared" si="7"/>
        <v>0.09195402299</v>
      </c>
      <c r="W1434" s="19">
        <f t="shared" si="8"/>
        <v>0</v>
      </c>
      <c r="X1434" s="218"/>
      <c r="Y1434" s="27"/>
      <c r="Z1434" s="17"/>
      <c r="AA1434" s="17"/>
      <c r="AB1434" s="17"/>
      <c r="AC1434" s="17"/>
      <c r="AD1434" s="27"/>
    </row>
    <row r="1435" ht="15.75" customHeight="1">
      <c r="A1435" s="216" t="s">
        <v>3323</v>
      </c>
      <c r="B1435" s="216" t="s">
        <v>3352</v>
      </c>
      <c r="C1435" s="216" t="s">
        <v>3353</v>
      </c>
      <c r="D1435" s="220" t="s">
        <v>563</v>
      </c>
      <c r="E1435" s="218"/>
      <c r="F1435" s="218"/>
      <c r="G1435" s="219">
        <f t="shared" si="10"/>
        <v>0.9876717402</v>
      </c>
      <c r="H1435" s="220">
        <v>28.0</v>
      </c>
      <c r="I1435" s="221">
        <v>160.0</v>
      </c>
      <c r="J1435" s="220">
        <v>14.0</v>
      </c>
      <c r="K1435" s="220">
        <v>10.0</v>
      </c>
      <c r="L1435" s="220">
        <v>111.0</v>
      </c>
      <c r="M1435" s="222">
        <v>8.0</v>
      </c>
      <c r="N1435" s="222">
        <v>2.0</v>
      </c>
      <c r="O1435" s="222">
        <v>4.0</v>
      </c>
      <c r="P1435" s="223">
        <f t="shared" si="2"/>
        <v>2</v>
      </c>
      <c r="Q1435" s="231">
        <v>4.0</v>
      </c>
      <c r="R1435" s="232">
        <f t="shared" si="3"/>
        <v>161.9971429</v>
      </c>
      <c r="S1435" s="233">
        <f t="shared" si="4"/>
        <v>5.714285714</v>
      </c>
      <c r="T1435" s="24">
        <f t="shared" si="5"/>
        <v>2</v>
      </c>
      <c r="U1435" s="26">
        <f t="shared" si="6"/>
        <v>0.724137931</v>
      </c>
      <c r="V1435" s="26">
        <f t="shared" si="7"/>
        <v>0.09195402299</v>
      </c>
      <c r="W1435" s="19">
        <f t="shared" si="8"/>
        <v>0.0625</v>
      </c>
      <c r="X1435" s="218"/>
      <c r="Y1435" s="27"/>
      <c r="Z1435" s="17"/>
      <c r="AA1435" s="17"/>
      <c r="AB1435" s="17"/>
      <c r="AC1435" s="17"/>
      <c r="AD1435" s="27"/>
    </row>
    <row r="1436" ht="15.75" customHeight="1">
      <c r="A1436" s="216" t="s">
        <v>3323</v>
      </c>
      <c r="B1436" s="216" t="s">
        <v>3354</v>
      </c>
      <c r="C1436" s="216" t="s">
        <v>3355</v>
      </c>
      <c r="D1436" s="220" t="s">
        <v>563</v>
      </c>
      <c r="E1436" s="218"/>
      <c r="F1436" s="218"/>
      <c r="G1436" s="219">
        <f t="shared" si="10"/>
        <v>0.9876717402</v>
      </c>
      <c r="H1436" s="220">
        <v>28.0</v>
      </c>
      <c r="I1436" s="221">
        <v>160.0</v>
      </c>
      <c r="J1436" s="220">
        <v>14.0</v>
      </c>
      <c r="K1436" s="220">
        <v>10.0</v>
      </c>
      <c r="L1436" s="220">
        <v>130.0</v>
      </c>
      <c r="M1436" s="222">
        <v>8.0</v>
      </c>
      <c r="N1436" s="222">
        <v>3.0</v>
      </c>
      <c r="O1436" s="222">
        <v>5.0</v>
      </c>
      <c r="P1436" s="223">
        <f t="shared" si="2"/>
        <v>0</v>
      </c>
      <c r="Q1436" s="231">
        <v>3.0</v>
      </c>
      <c r="R1436" s="232">
        <f t="shared" si="3"/>
        <v>161.9971429</v>
      </c>
      <c r="S1436" s="233">
        <f t="shared" si="4"/>
        <v>5.714285714</v>
      </c>
      <c r="T1436" s="24">
        <f t="shared" si="5"/>
        <v>2.666666667</v>
      </c>
      <c r="U1436" s="26">
        <f t="shared" si="6"/>
        <v>0.7411764706</v>
      </c>
      <c r="V1436" s="26">
        <f t="shared" si="7"/>
        <v>0.1176470588</v>
      </c>
      <c r="W1436" s="19">
        <f t="shared" si="8"/>
        <v>0.0625</v>
      </c>
      <c r="X1436" s="218"/>
      <c r="Y1436" s="27"/>
      <c r="Z1436" s="17"/>
      <c r="AA1436" s="17"/>
      <c r="AB1436" s="17"/>
      <c r="AC1436" s="17"/>
      <c r="AD1436" s="27"/>
    </row>
    <row r="1437" ht="15.75" customHeight="1">
      <c r="A1437" s="216" t="s">
        <v>1132</v>
      </c>
      <c r="B1437" s="216" t="s">
        <v>3356</v>
      </c>
      <c r="C1437" s="216" t="s">
        <v>3357</v>
      </c>
      <c r="D1437" s="220" t="s">
        <v>563</v>
      </c>
      <c r="E1437" s="218"/>
      <c r="F1437" s="218"/>
      <c r="G1437" s="219">
        <f t="shared" si="10"/>
        <v>2.045891462</v>
      </c>
      <c r="H1437" s="220">
        <v>58.0</v>
      </c>
      <c r="I1437" s="221">
        <v>330.0</v>
      </c>
      <c r="J1437" s="220">
        <v>27.0</v>
      </c>
      <c r="K1437" s="220">
        <v>150.0</v>
      </c>
      <c r="L1437" s="220">
        <v>320.0</v>
      </c>
      <c r="M1437" s="230">
        <v>21.0</v>
      </c>
      <c r="N1437" s="230">
        <v>6.0</v>
      </c>
      <c r="O1437" s="230">
        <v>11.0</v>
      </c>
      <c r="P1437" s="223">
        <f t="shared" si="2"/>
        <v>4</v>
      </c>
      <c r="Q1437" s="231">
        <v>10.0</v>
      </c>
      <c r="R1437" s="232">
        <f t="shared" si="3"/>
        <v>161.2988793</v>
      </c>
      <c r="S1437" s="233">
        <f t="shared" si="4"/>
        <v>5.689655172</v>
      </c>
      <c r="T1437" s="24">
        <f t="shared" si="5"/>
        <v>2.1</v>
      </c>
      <c r="U1437" s="26">
        <f t="shared" si="6"/>
        <v>0.6621253406</v>
      </c>
      <c r="V1437" s="26">
        <f t="shared" si="7"/>
        <v>0.1198910082</v>
      </c>
      <c r="W1437" s="19">
        <f t="shared" si="8"/>
        <v>0.4545454545</v>
      </c>
      <c r="X1437" s="218"/>
      <c r="Y1437" s="27"/>
      <c r="Z1437" s="17"/>
      <c r="AA1437" s="17"/>
      <c r="AB1437" s="17"/>
      <c r="AC1437" s="17"/>
      <c r="AD1437" s="27"/>
    </row>
    <row r="1438" ht="15.75" customHeight="1">
      <c r="A1438" s="216" t="s">
        <v>1132</v>
      </c>
      <c r="B1438" s="216" t="s">
        <v>3358</v>
      </c>
      <c r="C1438" s="216" t="s">
        <v>3359</v>
      </c>
      <c r="D1438" s="220" t="s">
        <v>563</v>
      </c>
      <c r="E1438" s="218"/>
      <c r="F1438" s="218"/>
      <c r="G1438" s="219">
        <f t="shared" si="10"/>
        <v>2.045891462</v>
      </c>
      <c r="H1438" s="220">
        <v>58.0</v>
      </c>
      <c r="I1438" s="221">
        <v>330.0</v>
      </c>
      <c r="J1438" s="220">
        <v>26.0</v>
      </c>
      <c r="K1438" s="220">
        <v>150.0</v>
      </c>
      <c r="L1438" s="220">
        <v>330.0</v>
      </c>
      <c r="M1438" s="230">
        <v>21.0</v>
      </c>
      <c r="N1438" s="230">
        <v>6.0</v>
      </c>
      <c r="O1438" s="230">
        <v>12.0</v>
      </c>
      <c r="P1438" s="223">
        <f t="shared" si="2"/>
        <v>3</v>
      </c>
      <c r="Q1438" s="231">
        <v>8.0</v>
      </c>
      <c r="R1438" s="232">
        <f t="shared" si="3"/>
        <v>161.2988793</v>
      </c>
      <c r="S1438" s="233">
        <f t="shared" si="4"/>
        <v>5.689655172</v>
      </c>
      <c r="T1438" s="24">
        <f t="shared" si="5"/>
        <v>2.625</v>
      </c>
      <c r="U1438" s="26">
        <f t="shared" si="6"/>
        <v>0.6685714286</v>
      </c>
      <c r="V1438" s="26">
        <f t="shared" si="7"/>
        <v>0.1371428571</v>
      </c>
      <c r="W1438" s="19">
        <f t="shared" si="8"/>
        <v>0.4545454545</v>
      </c>
      <c r="X1438" s="218"/>
      <c r="Y1438" s="27"/>
      <c r="Z1438" s="17"/>
      <c r="AA1438" s="17"/>
      <c r="AB1438" s="17"/>
      <c r="AC1438" s="17"/>
      <c r="AD1438" s="27"/>
    </row>
    <row r="1439" ht="15.75" customHeight="1">
      <c r="A1439" s="216" t="s">
        <v>3331</v>
      </c>
      <c r="B1439" s="216" t="s">
        <v>3360</v>
      </c>
      <c r="C1439" s="216" t="s">
        <v>3361</v>
      </c>
      <c r="D1439" s="220" t="s">
        <v>563</v>
      </c>
      <c r="E1439" s="218"/>
      <c r="F1439" s="218"/>
      <c r="G1439" s="219">
        <f t="shared" si="10"/>
        <v>1.058219722</v>
      </c>
      <c r="H1439" s="220">
        <v>30.0</v>
      </c>
      <c r="I1439" s="221">
        <v>170.0</v>
      </c>
      <c r="J1439" s="220">
        <v>16.0</v>
      </c>
      <c r="K1439" s="220">
        <v>60.0</v>
      </c>
      <c r="L1439" s="220">
        <v>188.0</v>
      </c>
      <c r="M1439" s="230">
        <v>7.0</v>
      </c>
      <c r="N1439" s="230">
        <v>5.0</v>
      </c>
      <c r="O1439" s="230">
        <v>2.0</v>
      </c>
      <c r="P1439" s="223">
        <f t="shared" si="2"/>
        <v>0</v>
      </c>
      <c r="Q1439" s="231">
        <v>4.0</v>
      </c>
      <c r="R1439" s="232">
        <f t="shared" si="3"/>
        <v>160.6471667</v>
      </c>
      <c r="S1439" s="233">
        <f t="shared" si="4"/>
        <v>5.666666667</v>
      </c>
      <c r="T1439" s="24">
        <f t="shared" si="5"/>
        <v>1.75</v>
      </c>
      <c r="U1439" s="26">
        <f t="shared" si="6"/>
        <v>0.7659574468</v>
      </c>
      <c r="V1439" s="26">
        <f t="shared" si="7"/>
        <v>0.04255319149</v>
      </c>
      <c r="W1439" s="19">
        <f t="shared" si="8"/>
        <v>0.3529411765</v>
      </c>
      <c r="X1439" s="218"/>
      <c r="Y1439" s="27"/>
      <c r="Z1439" s="17"/>
      <c r="AA1439" s="17"/>
      <c r="AB1439" s="17"/>
      <c r="AC1439" s="17"/>
      <c r="AD1439" s="27"/>
    </row>
    <row r="1440" ht="15.75" customHeight="1">
      <c r="A1440" s="216" t="s">
        <v>3331</v>
      </c>
      <c r="B1440" s="216" t="s">
        <v>2169</v>
      </c>
      <c r="C1440" s="216" t="s">
        <v>3362</v>
      </c>
      <c r="D1440" s="220" t="s">
        <v>563</v>
      </c>
      <c r="E1440" s="218"/>
      <c r="F1440" s="218"/>
      <c r="G1440" s="219">
        <f t="shared" si="10"/>
        <v>1.058219722</v>
      </c>
      <c r="H1440" s="220">
        <v>30.0</v>
      </c>
      <c r="I1440" s="221">
        <v>170.0</v>
      </c>
      <c r="J1440" s="220">
        <v>16.0</v>
      </c>
      <c r="K1440" s="220">
        <v>60.0</v>
      </c>
      <c r="L1440" s="220">
        <v>0.0</v>
      </c>
      <c r="M1440" s="230">
        <v>7.0</v>
      </c>
      <c r="N1440" s="230">
        <v>5.0</v>
      </c>
      <c r="O1440" s="230">
        <v>1.0</v>
      </c>
      <c r="P1440" s="223">
        <f t="shared" si="2"/>
        <v>1</v>
      </c>
      <c r="Q1440" s="231">
        <v>4.0</v>
      </c>
      <c r="R1440" s="232">
        <f t="shared" si="3"/>
        <v>160.6471667</v>
      </c>
      <c r="S1440" s="233">
        <f t="shared" si="4"/>
        <v>5.666666667</v>
      </c>
      <c r="T1440" s="24">
        <f t="shared" si="5"/>
        <v>1.75</v>
      </c>
      <c r="U1440" s="26">
        <f t="shared" si="6"/>
        <v>0.7659574468</v>
      </c>
      <c r="V1440" s="26">
        <f t="shared" si="7"/>
        <v>0.02127659574</v>
      </c>
      <c r="W1440" s="19">
        <f t="shared" si="8"/>
        <v>0.3529411765</v>
      </c>
      <c r="X1440" s="218"/>
      <c r="Y1440" s="27"/>
      <c r="Z1440" s="17"/>
      <c r="AA1440" s="17"/>
      <c r="AB1440" s="17"/>
      <c r="AC1440" s="17"/>
      <c r="AD1440" s="27"/>
    </row>
    <row r="1441" ht="15.75" customHeight="1">
      <c r="A1441" s="216" t="s">
        <v>3331</v>
      </c>
      <c r="B1441" s="216" t="s">
        <v>3363</v>
      </c>
      <c r="C1441" s="216" t="s">
        <v>3364</v>
      </c>
      <c r="D1441" s="220" t="s">
        <v>563</v>
      </c>
      <c r="E1441" s="218"/>
      <c r="F1441" s="218"/>
      <c r="G1441" s="219">
        <f t="shared" si="10"/>
        <v>1.058219722</v>
      </c>
      <c r="H1441" s="220">
        <v>30.0</v>
      </c>
      <c r="I1441" s="221">
        <v>170.0</v>
      </c>
      <c r="J1441" s="220">
        <v>16.0</v>
      </c>
      <c r="K1441" s="220">
        <v>60.0</v>
      </c>
      <c r="L1441" s="220">
        <v>0.0</v>
      </c>
      <c r="M1441" s="230">
        <v>7.0</v>
      </c>
      <c r="N1441" s="230">
        <v>5.0</v>
      </c>
      <c r="O1441" s="230">
        <v>1.0</v>
      </c>
      <c r="P1441" s="223">
        <f t="shared" si="2"/>
        <v>1</v>
      </c>
      <c r="Q1441" s="231">
        <v>4.0</v>
      </c>
      <c r="R1441" s="232">
        <f t="shared" si="3"/>
        <v>160.6471667</v>
      </c>
      <c r="S1441" s="233">
        <f t="shared" si="4"/>
        <v>5.666666667</v>
      </c>
      <c r="T1441" s="24">
        <f t="shared" si="5"/>
        <v>1.75</v>
      </c>
      <c r="U1441" s="26">
        <f t="shared" si="6"/>
        <v>0.7659574468</v>
      </c>
      <c r="V1441" s="26">
        <f t="shared" si="7"/>
        <v>0.02127659574</v>
      </c>
      <c r="W1441" s="19">
        <f t="shared" si="8"/>
        <v>0.3529411765</v>
      </c>
      <c r="X1441" s="218"/>
      <c r="Y1441" s="27"/>
      <c r="Z1441" s="17"/>
      <c r="AA1441" s="17"/>
      <c r="AB1441" s="17"/>
      <c r="AC1441" s="17"/>
      <c r="AD1441" s="27"/>
    </row>
    <row r="1442" ht="15.75" customHeight="1">
      <c r="A1442" s="216" t="s">
        <v>3331</v>
      </c>
      <c r="B1442" s="216" t="s">
        <v>3365</v>
      </c>
      <c r="C1442" s="216" t="s">
        <v>3366</v>
      </c>
      <c r="D1442" s="220" t="s">
        <v>563</v>
      </c>
      <c r="E1442" s="218"/>
      <c r="F1442" s="218"/>
      <c r="G1442" s="219">
        <f t="shared" si="10"/>
        <v>1.058219722</v>
      </c>
      <c r="H1442" s="220">
        <v>30.0</v>
      </c>
      <c r="I1442" s="221">
        <v>170.0</v>
      </c>
      <c r="J1442" s="220">
        <v>14.0</v>
      </c>
      <c r="K1442" s="220">
        <v>30.0</v>
      </c>
      <c r="L1442" s="220">
        <v>188.0</v>
      </c>
      <c r="M1442" s="230">
        <v>7.0</v>
      </c>
      <c r="N1442" s="230">
        <v>4.0</v>
      </c>
      <c r="O1442" s="230">
        <v>3.0</v>
      </c>
      <c r="P1442" s="223">
        <f t="shared" si="2"/>
        <v>0</v>
      </c>
      <c r="Q1442" s="231">
        <v>6.0</v>
      </c>
      <c r="R1442" s="232">
        <f t="shared" si="3"/>
        <v>160.6471667</v>
      </c>
      <c r="S1442" s="233">
        <f t="shared" si="4"/>
        <v>5.666666667</v>
      </c>
      <c r="T1442" s="24">
        <f t="shared" si="5"/>
        <v>1.166666667</v>
      </c>
      <c r="U1442" s="26">
        <f t="shared" si="6"/>
        <v>0.7078651685</v>
      </c>
      <c r="V1442" s="26">
        <f t="shared" si="7"/>
        <v>0.06741573034</v>
      </c>
      <c r="W1442" s="19">
        <f t="shared" si="8"/>
        <v>0.1764705882</v>
      </c>
      <c r="X1442" s="218"/>
      <c r="Y1442" s="27"/>
      <c r="Z1442" s="17"/>
      <c r="AA1442" s="17"/>
      <c r="AB1442" s="17"/>
      <c r="AC1442" s="17"/>
      <c r="AD1442" s="27"/>
    </row>
    <row r="1443" ht="15.75" customHeight="1">
      <c r="A1443" s="216" t="s">
        <v>3331</v>
      </c>
      <c r="B1443" s="216" t="s">
        <v>3367</v>
      </c>
      <c r="C1443" s="216" t="s">
        <v>3368</v>
      </c>
      <c r="D1443" s="220" t="s">
        <v>563</v>
      </c>
      <c r="E1443" s="218"/>
      <c r="F1443" s="218"/>
      <c r="G1443" s="219">
        <f t="shared" si="10"/>
        <v>1.058219722</v>
      </c>
      <c r="H1443" s="220">
        <v>30.0</v>
      </c>
      <c r="I1443" s="221">
        <v>170.0</v>
      </c>
      <c r="J1443" s="220">
        <v>15.0</v>
      </c>
      <c r="K1443" s="220">
        <v>50.0</v>
      </c>
      <c r="L1443" s="220">
        <v>235.0</v>
      </c>
      <c r="M1443" s="230">
        <v>8.0</v>
      </c>
      <c r="N1443" s="230">
        <v>4.0</v>
      </c>
      <c r="O1443" s="230">
        <v>2.0</v>
      </c>
      <c r="P1443" s="223">
        <f t="shared" si="2"/>
        <v>2</v>
      </c>
      <c r="Q1443" s="231">
        <v>5.0</v>
      </c>
      <c r="R1443" s="232">
        <f t="shared" si="3"/>
        <v>160.6471667</v>
      </c>
      <c r="S1443" s="233">
        <f t="shared" si="4"/>
        <v>5.666666667</v>
      </c>
      <c r="T1443" s="24">
        <f t="shared" si="5"/>
        <v>1.6</v>
      </c>
      <c r="U1443" s="26">
        <f t="shared" si="6"/>
        <v>0.7219251337</v>
      </c>
      <c r="V1443" s="26">
        <f t="shared" si="7"/>
        <v>0.04278074866</v>
      </c>
      <c r="W1443" s="19">
        <f t="shared" si="8"/>
        <v>0.2941176471</v>
      </c>
      <c r="X1443" s="218"/>
      <c r="Y1443" s="27"/>
      <c r="Z1443" s="17"/>
      <c r="AA1443" s="17"/>
      <c r="AB1443" s="17"/>
      <c r="AC1443" s="17"/>
      <c r="AD1443" s="27"/>
    </row>
    <row r="1444" ht="15.75" customHeight="1">
      <c r="A1444" s="216" t="s">
        <v>3331</v>
      </c>
      <c r="B1444" s="216" t="s">
        <v>3369</v>
      </c>
      <c r="C1444" s="216" t="s">
        <v>3370</v>
      </c>
      <c r="D1444" s="220" t="s">
        <v>563</v>
      </c>
      <c r="E1444" s="218"/>
      <c r="F1444" s="218"/>
      <c r="G1444" s="219">
        <f t="shared" si="10"/>
        <v>1.058219722</v>
      </c>
      <c r="H1444" s="220">
        <v>30.0</v>
      </c>
      <c r="I1444" s="221">
        <v>170.0</v>
      </c>
      <c r="J1444" s="220">
        <v>16.0</v>
      </c>
      <c r="K1444" s="220">
        <v>60.0</v>
      </c>
      <c r="L1444" s="220">
        <v>0.0</v>
      </c>
      <c r="M1444" s="230">
        <v>7.0</v>
      </c>
      <c r="N1444" s="230">
        <v>5.0</v>
      </c>
      <c r="O1444" s="230">
        <v>1.0</v>
      </c>
      <c r="P1444" s="223">
        <f t="shared" si="2"/>
        <v>1</v>
      </c>
      <c r="Q1444" s="231">
        <v>4.0</v>
      </c>
      <c r="R1444" s="232">
        <f t="shared" si="3"/>
        <v>160.6471667</v>
      </c>
      <c r="S1444" s="233">
        <f t="shared" si="4"/>
        <v>5.666666667</v>
      </c>
      <c r="T1444" s="24">
        <f t="shared" si="5"/>
        <v>1.75</v>
      </c>
      <c r="U1444" s="26">
        <f t="shared" si="6"/>
        <v>0.7659574468</v>
      </c>
      <c r="V1444" s="26">
        <f t="shared" si="7"/>
        <v>0.02127659574</v>
      </c>
      <c r="W1444" s="19">
        <f t="shared" si="8"/>
        <v>0.3529411765</v>
      </c>
      <c r="X1444" s="218"/>
      <c r="Y1444" s="27"/>
      <c r="Z1444" s="17"/>
      <c r="AA1444" s="17"/>
      <c r="AB1444" s="17"/>
      <c r="AC1444" s="17"/>
      <c r="AD1444" s="27"/>
    </row>
    <row r="1445" ht="15.75" customHeight="1">
      <c r="A1445" s="216" t="s">
        <v>3345</v>
      </c>
      <c r="B1445" s="218" t="s">
        <v>3371</v>
      </c>
      <c r="C1445" s="216" t="s">
        <v>3372</v>
      </c>
      <c r="D1445" s="220" t="s">
        <v>563</v>
      </c>
      <c r="E1445" s="218"/>
      <c r="F1445" s="218"/>
      <c r="G1445" s="219">
        <f t="shared" si="10"/>
        <v>1.763699536</v>
      </c>
      <c r="H1445" s="220">
        <v>50.0</v>
      </c>
      <c r="I1445" s="221">
        <v>280.0</v>
      </c>
      <c r="J1445" s="220">
        <v>22.0</v>
      </c>
      <c r="K1445" s="220">
        <v>200.0</v>
      </c>
      <c r="L1445" s="220">
        <v>350.0</v>
      </c>
      <c r="M1445" s="230">
        <v>16.0</v>
      </c>
      <c r="N1445" s="230">
        <v>5.0</v>
      </c>
      <c r="O1445" s="230">
        <v>8.0</v>
      </c>
      <c r="P1445" s="223">
        <f t="shared" si="2"/>
        <v>3</v>
      </c>
      <c r="Q1445" s="231">
        <v>8.0</v>
      </c>
      <c r="R1445" s="232">
        <f t="shared" si="3"/>
        <v>158.7572</v>
      </c>
      <c r="S1445" s="233">
        <f t="shared" si="4"/>
        <v>5.6</v>
      </c>
      <c r="T1445" s="24">
        <f t="shared" si="5"/>
        <v>2</v>
      </c>
      <c r="U1445" s="26">
        <f t="shared" si="6"/>
        <v>0.6734693878</v>
      </c>
      <c r="V1445" s="26">
        <f t="shared" si="7"/>
        <v>0.1088435374</v>
      </c>
      <c r="W1445" s="19">
        <f t="shared" si="8"/>
        <v>0.7142857143</v>
      </c>
      <c r="X1445" s="218"/>
      <c r="Y1445" s="27"/>
      <c r="Z1445" s="17"/>
      <c r="AA1445" s="17"/>
      <c r="AB1445" s="17"/>
      <c r="AC1445" s="17"/>
      <c r="AD1445" s="27"/>
    </row>
    <row r="1446" ht="15.75" customHeight="1">
      <c r="A1446" s="216" t="s">
        <v>3345</v>
      </c>
      <c r="B1446" s="218" t="s">
        <v>3373</v>
      </c>
      <c r="C1446" s="216" t="s">
        <v>3374</v>
      </c>
      <c r="D1446" s="220" t="s">
        <v>563</v>
      </c>
      <c r="E1446" s="218"/>
      <c r="F1446" s="218"/>
      <c r="G1446" s="219">
        <f t="shared" si="10"/>
        <v>1.763699536</v>
      </c>
      <c r="H1446" s="220">
        <v>50.0</v>
      </c>
      <c r="I1446" s="221">
        <v>280.0</v>
      </c>
      <c r="J1446" s="220">
        <v>22.0</v>
      </c>
      <c r="K1446" s="220">
        <v>200.0</v>
      </c>
      <c r="L1446" s="218"/>
      <c r="M1446" s="230">
        <v>16.0</v>
      </c>
      <c r="N1446" s="230">
        <v>5.0</v>
      </c>
      <c r="O1446" s="230">
        <v>8.0</v>
      </c>
      <c r="P1446" s="223">
        <f t="shared" si="2"/>
        <v>3</v>
      </c>
      <c r="Q1446" s="231">
        <v>8.0</v>
      </c>
      <c r="R1446" s="232">
        <f t="shared" si="3"/>
        <v>158.7572</v>
      </c>
      <c r="S1446" s="233">
        <f t="shared" si="4"/>
        <v>5.6</v>
      </c>
      <c r="T1446" s="24">
        <f t="shared" si="5"/>
        <v>2</v>
      </c>
      <c r="U1446" s="26">
        <f t="shared" si="6"/>
        <v>0.6734693878</v>
      </c>
      <c r="V1446" s="26">
        <f t="shared" si="7"/>
        <v>0.1088435374</v>
      </c>
      <c r="W1446" s="19">
        <f t="shared" si="8"/>
        <v>0.7142857143</v>
      </c>
      <c r="X1446" s="218"/>
      <c r="Y1446" s="27"/>
      <c r="Z1446" s="17"/>
      <c r="AA1446" s="17"/>
      <c r="AB1446" s="17"/>
      <c r="AC1446" s="17"/>
      <c r="AD1446" s="27"/>
    </row>
    <row r="1447" ht="15.75" customHeight="1">
      <c r="A1447" s="216" t="s">
        <v>3345</v>
      </c>
      <c r="B1447" s="218" t="s">
        <v>3375</v>
      </c>
      <c r="C1447" s="216" t="s">
        <v>3376</v>
      </c>
      <c r="D1447" s="220" t="s">
        <v>563</v>
      </c>
      <c r="E1447" s="218"/>
      <c r="F1447" s="218"/>
      <c r="G1447" s="219">
        <f t="shared" si="10"/>
        <v>1.763699536</v>
      </c>
      <c r="H1447" s="220">
        <v>50.0</v>
      </c>
      <c r="I1447" s="221">
        <v>280.0</v>
      </c>
      <c r="J1447" s="220">
        <v>22.0</v>
      </c>
      <c r="K1447" s="220">
        <v>260.0</v>
      </c>
      <c r="L1447" s="220">
        <v>350.0</v>
      </c>
      <c r="M1447" s="230">
        <v>16.0</v>
      </c>
      <c r="N1447" s="230">
        <v>5.0</v>
      </c>
      <c r="O1447" s="230">
        <v>9.0</v>
      </c>
      <c r="P1447" s="223">
        <f t="shared" si="2"/>
        <v>2</v>
      </c>
      <c r="Q1447" s="231">
        <v>8.0</v>
      </c>
      <c r="R1447" s="232">
        <f t="shared" si="3"/>
        <v>158.7572</v>
      </c>
      <c r="S1447" s="233">
        <f t="shared" si="4"/>
        <v>5.6</v>
      </c>
      <c r="T1447" s="24">
        <f t="shared" si="5"/>
        <v>2</v>
      </c>
      <c r="U1447" s="26">
        <f t="shared" si="6"/>
        <v>0.6734693878</v>
      </c>
      <c r="V1447" s="26">
        <f t="shared" si="7"/>
        <v>0.1224489796</v>
      </c>
      <c r="W1447" s="19">
        <f t="shared" si="8"/>
        <v>0.9285714286</v>
      </c>
      <c r="X1447" s="218"/>
      <c r="Y1447" s="27"/>
      <c r="Z1447" s="17"/>
      <c r="AA1447" s="17"/>
      <c r="AB1447" s="17"/>
      <c r="AC1447" s="17"/>
      <c r="AD1447" s="27"/>
    </row>
    <row r="1448" ht="15.75" customHeight="1">
      <c r="A1448" s="216" t="s">
        <v>3377</v>
      </c>
      <c r="B1448" s="216" t="s">
        <v>3378</v>
      </c>
      <c r="C1448" s="216" t="s">
        <v>3379</v>
      </c>
      <c r="D1448" s="220" t="s">
        <v>563</v>
      </c>
      <c r="E1448" s="218"/>
      <c r="F1448" s="218"/>
      <c r="G1448" s="219">
        <f t="shared" si="10"/>
        <v>1.093493712</v>
      </c>
      <c r="H1448" s="220">
        <v>31.0</v>
      </c>
      <c r="I1448" s="221">
        <v>170.0</v>
      </c>
      <c r="J1448" s="220">
        <v>15.0</v>
      </c>
      <c r="K1448" s="220">
        <v>3.0</v>
      </c>
      <c r="L1448" s="220">
        <v>175.0</v>
      </c>
      <c r="M1448" s="222">
        <v>8.0</v>
      </c>
      <c r="N1448" s="222">
        <v>5.0</v>
      </c>
      <c r="O1448" s="222">
        <v>1.0</v>
      </c>
      <c r="P1448" s="223">
        <f t="shared" si="2"/>
        <v>2</v>
      </c>
      <c r="Q1448" s="231">
        <v>6.0</v>
      </c>
      <c r="R1448" s="232">
        <f t="shared" si="3"/>
        <v>155.465</v>
      </c>
      <c r="S1448" s="233">
        <f t="shared" si="4"/>
        <v>5.483870968</v>
      </c>
      <c r="T1448" s="24">
        <f t="shared" si="5"/>
        <v>1.333333333</v>
      </c>
      <c r="U1448" s="26">
        <f t="shared" si="6"/>
        <v>0.7068062827</v>
      </c>
      <c r="V1448" s="26">
        <f t="shared" si="7"/>
        <v>0.02094240838</v>
      </c>
      <c r="W1448" s="19">
        <f t="shared" si="8"/>
        <v>0.01764705882</v>
      </c>
      <c r="X1448" s="218"/>
      <c r="Y1448" s="27"/>
      <c r="Z1448" s="17"/>
      <c r="AA1448" s="17"/>
      <c r="AB1448" s="17"/>
      <c r="AC1448" s="17"/>
      <c r="AD1448" s="27"/>
    </row>
    <row r="1449" ht="15.75" customHeight="1">
      <c r="A1449" s="216" t="s">
        <v>3345</v>
      </c>
      <c r="B1449" s="218" t="s">
        <v>3380</v>
      </c>
      <c r="C1449" s="216" t="s">
        <v>3381</v>
      </c>
      <c r="D1449" s="220" t="s">
        <v>563</v>
      </c>
      <c r="E1449" s="218"/>
      <c r="F1449" s="218"/>
      <c r="G1449" s="219">
        <f t="shared" si="10"/>
        <v>1.763699536</v>
      </c>
      <c r="H1449" s="220">
        <v>50.0</v>
      </c>
      <c r="I1449" s="221">
        <v>270.0</v>
      </c>
      <c r="J1449" s="220">
        <v>20.0</v>
      </c>
      <c r="K1449" s="220">
        <v>170.0</v>
      </c>
      <c r="L1449" s="220">
        <v>350.0</v>
      </c>
      <c r="M1449" s="230">
        <v>19.0</v>
      </c>
      <c r="N1449" s="230">
        <v>5.0</v>
      </c>
      <c r="O1449" s="230">
        <v>11.0</v>
      </c>
      <c r="P1449" s="223">
        <f t="shared" si="2"/>
        <v>3</v>
      </c>
      <c r="Q1449" s="231">
        <v>7.0</v>
      </c>
      <c r="R1449" s="234">
        <f t="shared" si="3"/>
        <v>153.0873</v>
      </c>
      <c r="S1449" s="235">
        <f t="shared" si="4"/>
        <v>5.4</v>
      </c>
      <c r="T1449" s="24">
        <f t="shared" si="5"/>
        <v>2.714285714</v>
      </c>
      <c r="U1449" s="26">
        <f t="shared" si="6"/>
        <v>0.6338028169</v>
      </c>
      <c r="V1449" s="26">
        <f t="shared" si="7"/>
        <v>0.1549295775</v>
      </c>
      <c r="W1449" s="19">
        <f t="shared" si="8"/>
        <v>0.6296296296</v>
      </c>
      <c r="X1449" s="218"/>
      <c r="Y1449" s="27"/>
      <c r="Z1449" s="17"/>
      <c r="AA1449" s="17"/>
      <c r="AB1449" s="17"/>
      <c r="AC1449" s="17"/>
      <c r="AD1449" s="27"/>
    </row>
    <row r="1450" ht="15.75" customHeight="1">
      <c r="A1450" s="216" t="s">
        <v>3345</v>
      </c>
      <c r="B1450" s="218" t="s">
        <v>3382</v>
      </c>
      <c r="C1450" s="216" t="s">
        <v>3383</v>
      </c>
      <c r="D1450" s="220" t="s">
        <v>563</v>
      </c>
      <c r="E1450" s="218"/>
      <c r="F1450" s="218"/>
      <c r="G1450" s="219">
        <f t="shared" si="10"/>
        <v>1.763699536</v>
      </c>
      <c r="H1450" s="220">
        <v>50.0</v>
      </c>
      <c r="I1450" s="221">
        <v>270.0</v>
      </c>
      <c r="J1450" s="220">
        <v>20.0</v>
      </c>
      <c r="K1450" s="220">
        <v>180.0</v>
      </c>
      <c r="L1450" s="220">
        <v>350.0</v>
      </c>
      <c r="M1450" s="230">
        <v>19.0</v>
      </c>
      <c r="N1450" s="230">
        <v>5.0</v>
      </c>
      <c r="O1450" s="230">
        <v>11.0</v>
      </c>
      <c r="P1450" s="223">
        <f t="shared" si="2"/>
        <v>3</v>
      </c>
      <c r="Q1450" s="231">
        <v>7.0</v>
      </c>
      <c r="R1450" s="234">
        <f t="shared" si="3"/>
        <v>153.0873</v>
      </c>
      <c r="S1450" s="235">
        <f t="shared" si="4"/>
        <v>5.4</v>
      </c>
      <c r="T1450" s="24">
        <f t="shared" si="5"/>
        <v>2.714285714</v>
      </c>
      <c r="U1450" s="26">
        <f t="shared" si="6"/>
        <v>0.6338028169</v>
      </c>
      <c r="V1450" s="26">
        <f t="shared" si="7"/>
        <v>0.1549295775</v>
      </c>
      <c r="W1450" s="19">
        <f t="shared" si="8"/>
        <v>0.6666666667</v>
      </c>
      <c r="X1450" s="218"/>
      <c r="Y1450" s="27"/>
      <c r="Z1450" s="17"/>
      <c r="AA1450" s="17"/>
      <c r="AB1450" s="17"/>
      <c r="AC1450" s="17"/>
      <c r="AD1450" s="27"/>
    </row>
    <row r="1451" ht="15.75" customHeight="1">
      <c r="A1451" s="218" t="s">
        <v>3186</v>
      </c>
      <c r="B1451" s="218" t="s">
        <v>3384</v>
      </c>
      <c r="C1451" s="216" t="s">
        <v>3385</v>
      </c>
      <c r="D1451" s="217" t="s">
        <v>563</v>
      </c>
      <c r="E1451" s="218"/>
      <c r="F1451" s="218"/>
      <c r="G1451" s="219">
        <f t="shared" si="10"/>
        <v>1.022945731</v>
      </c>
      <c r="H1451" s="217">
        <v>29.0</v>
      </c>
      <c r="I1451" s="236">
        <v>150.0</v>
      </c>
      <c r="J1451" s="217">
        <v>9.0</v>
      </c>
      <c r="K1451" s="217">
        <v>10.0</v>
      </c>
      <c r="L1451" s="218"/>
      <c r="M1451" s="223">
        <v>15.0</v>
      </c>
      <c r="N1451" s="223">
        <v>2.0</v>
      </c>
      <c r="O1451" s="223">
        <v>3.0</v>
      </c>
      <c r="P1451" s="223">
        <f t="shared" si="2"/>
        <v>10</v>
      </c>
      <c r="Q1451" s="237">
        <v>3.0</v>
      </c>
      <c r="R1451" s="234">
        <f t="shared" si="3"/>
        <v>146.6353448</v>
      </c>
      <c r="S1451" s="235">
        <f t="shared" si="4"/>
        <v>5.172413793</v>
      </c>
      <c r="T1451" s="24">
        <f t="shared" si="5"/>
        <v>5</v>
      </c>
      <c r="U1451" s="26">
        <f t="shared" si="6"/>
        <v>0.5294117647</v>
      </c>
      <c r="V1451" s="26">
        <f t="shared" si="7"/>
        <v>0.07843137255</v>
      </c>
      <c r="W1451" s="19">
        <f t="shared" si="8"/>
        <v>0.06666666667</v>
      </c>
      <c r="X1451" s="218"/>
      <c r="Y1451" s="27"/>
      <c r="Z1451" s="17"/>
      <c r="AA1451" s="17"/>
      <c r="AB1451" s="17"/>
      <c r="AC1451" s="17"/>
      <c r="AD1451" s="27"/>
    </row>
    <row r="1452" ht="15.75" customHeight="1">
      <c r="A1452" s="216" t="s">
        <v>1132</v>
      </c>
      <c r="B1452" s="216" t="s">
        <v>3386</v>
      </c>
      <c r="C1452" s="216" t="s">
        <v>3387</v>
      </c>
      <c r="D1452" s="220" t="s">
        <v>563</v>
      </c>
      <c r="E1452" s="218"/>
      <c r="F1452" s="218"/>
      <c r="G1452" s="219">
        <f t="shared" si="10"/>
        <v>2.186987425</v>
      </c>
      <c r="H1452" s="220">
        <v>62.0</v>
      </c>
      <c r="I1452" s="221">
        <v>320.0</v>
      </c>
      <c r="J1452" s="220">
        <v>26.0</v>
      </c>
      <c r="K1452" s="220">
        <v>140.0</v>
      </c>
      <c r="L1452" s="220">
        <v>350.0</v>
      </c>
      <c r="M1452" s="230">
        <v>23.0</v>
      </c>
      <c r="N1452" s="230">
        <v>10.0</v>
      </c>
      <c r="O1452" s="230">
        <v>11.0</v>
      </c>
      <c r="P1452" s="223">
        <f t="shared" si="2"/>
        <v>2</v>
      </c>
      <c r="Q1452" s="231">
        <v>9.0</v>
      </c>
      <c r="R1452" s="234">
        <f t="shared" si="3"/>
        <v>146.32</v>
      </c>
      <c r="S1452" s="235">
        <f t="shared" si="4"/>
        <v>5.161290323</v>
      </c>
      <c r="T1452" s="24">
        <f t="shared" si="5"/>
        <v>2.555555556</v>
      </c>
      <c r="U1452" s="26">
        <f t="shared" si="6"/>
        <v>0.6464088398</v>
      </c>
      <c r="V1452" s="26">
        <f t="shared" si="7"/>
        <v>0.1215469613</v>
      </c>
      <c r="W1452" s="19">
        <f t="shared" si="8"/>
        <v>0.4375</v>
      </c>
      <c r="X1452" s="218"/>
      <c r="Y1452" s="27"/>
      <c r="Z1452" s="17"/>
      <c r="AA1452" s="17"/>
      <c r="AB1452" s="17"/>
      <c r="AC1452" s="17"/>
      <c r="AD1452" s="27"/>
    </row>
    <row r="1453" ht="15.75" customHeight="1">
      <c r="A1453" s="216" t="s">
        <v>3331</v>
      </c>
      <c r="B1453" s="216" t="s">
        <v>3388</v>
      </c>
      <c r="C1453" s="216" t="s">
        <v>3389</v>
      </c>
      <c r="D1453" s="220" t="s">
        <v>563</v>
      </c>
      <c r="E1453" s="218"/>
      <c r="F1453" s="218"/>
      <c r="G1453" s="219">
        <f t="shared" si="10"/>
        <v>1.164041694</v>
      </c>
      <c r="H1453" s="220">
        <v>33.0</v>
      </c>
      <c r="I1453" s="221">
        <v>170.0</v>
      </c>
      <c r="J1453" s="220">
        <v>13.0</v>
      </c>
      <c r="K1453" s="220">
        <v>115.0</v>
      </c>
      <c r="L1453" s="220">
        <v>186.0</v>
      </c>
      <c r="M1453" s="230">
        <v>11.0</v>
      </c>
      <c r="N1453" s="230">
        <v>8.0</v>
      </c>
      <c r="O1453" s="230">
        <v>2.0</v>
      </c>
      <c r="P1453" s="223">
        <f t="shared" si="2"/>
        <v>1</v>
      </c>
      <c r="Q1453" s="231">
        <v>8.0</v>
      </c>
      <c r="R1453" s="234">
        <f t="shared" si="3"/>
        <v>146.0428788</v>
      </c>
      <c r="S1453" s="235">
        <f t="shared" si="4"/>
        <v>5.151515152</v>
      </c>
      <c r="T1453" s="24">
        <f t="shared" si="5"/>
        <v>1.375</v>
      </c>
      <c r="U1453" s="26">
        <f t="shared" si="6"/>
        <v>0.6062176166</v>
      </c>
      <c r="V1453" s="26">
        <f t="shared" si="7"/>
        <v>0.0414507772</v>
      </c>
      <c r="W1453" s="19">
        <f t="shared" si="8"/>
        <v>0.6764705882</v>
      </c>
      <c r="X1453" s="218"/>
      <c r="Y1453" s="27"/>
      <c r="Z1453" s="17"/>
      <c r="AA1453" s="17"/>
      <c r="AB1453" s="17"/>
      <c r="AC1453" s="17"/>
      <c r="AD1453" s="27"/>
    </row>
    <row r="1454" ht="15.75" customHeight="1">
      <c r="A1454" s="216" t="s">
        <v>3331</v>
      </c>
      <c r="B1454" s="216" t="s">
        <v>3390</v>
      </c>
      <c r="C1454" s="216" t="s">
        <v>3391</v>
      </c>
      <c r="D1454" s="220" t="s">
        <v>563</v>
      </c>
      <c r="E1454" s="218"/>
      <c r="F1454" s="218"/>
      <c r="G1454" s="219">
        <f t="shared" si="10"/>
        <v>1.164041694</v>
      </c>
      <c r="H1454" s="220">
        <v>33.0</v>
      </c>
      <c r="I1454" s="221">
        <v>170.0</v>
      </c>
      <c r="J1454" s="220">
        <v>13.0</v>
      </c>
      <c r="K1454" s="220">
        <v>115.0</v>
      </c>
      <c r="L1454" s="220">
        <v>186.0</v>
      </c>
      <c r="M1454" s="230">
        <v>11.0</v>
      </c>
      <c r="N1454" s="230">
        <v>8.0</v>
      </c>
      <c r="O1454" s="230">
        <v>2.0</v>
      </c>
      <c r="P1454" s="223">
        <f t="shared" si="2"/>
        <v>1</v>
      </c>
      <c r="Q1454" s="231">
        <v>8.0</v>
      </c>
      <c r="R1454" s="234">
        <f t="shared" si="3"/>
        <v>146.0428788</v>
      </c>
      <c r="S1454" s="235">
        <f t="shared" si="4"/>
        <v>5.151515152</v>
      </c>
      <c r="T1454" s="24">
        <f t="shared" si="5"/>
        <v>1.375</v>
      </c>
      <c r="U1454" s="26">
        <f t="shared" si="6"/>
        <v>0.6062176166</v>
      </c>
      <c r="V1454" s="26">
        <f t="shared" si="7"/>
        <v>0.0414507772</v>
      </c>
      <c r="W1454" s="19">
        <f t="shared" si="8"/>
        <v>0.6764705882</v>
      </c>
      <c r="X1454" s="218"/>
      <c r="Y1454" s="27"/>
      <c r="Z1454" s="17"/>
      <c r="AA1454" s="17"/>
      <c r="AB1454" s="17"/>
      <c r="AC1454" s="17"/>
      <c r="AD1454" s="27"/>
    </row>
    <row r="1455" ht="15.75" customHeight="1">
      <c r="A1455" s="216" t="s">
        <v>3392</v>
      </c>
      <c r="B1455" s="216" t="s">
        <v>3393</v>
      </c>
      <c r="C1455" s="216" t="s">
        <v>3394</v>
      </c>
      <c r="D1455" s="220" t="s">
        <v>563</v>
      </c>
      <c r="E1455" s="218"/>
      <c r="F1455" s="218"/>
      <c r="G1455" s="219">
        <f t="shared" si="10"/>
        <v>1.587329583</v>
      </c>
      <c r="H1455" s="220">
        <v>45.0</v>
      </c>
      <c r="I1455" s="221">
        <v>230.0</v>
      </c>
      <c r="J1455" s="220">
        <v>15.0</v>
      </c>
      <c r="K1455" s="220">
        <v>80.0</v>
      </c>
      <c r="L1455" s="218"/>
      <c r="M1455" s="230">
        <v>21.0</v>
      </c>
      <c r="N1455" s="230">
        <v>5.0</v>
      </c>
      <c r="O1455" s="230">
        <v>10.0</v>
      </c>
      <c r="P1455" s="223">
        <f t="shared" si="2"/>
        <v>6</v>
      </c>
      <c r="Q1455" s="231">
        <v>6.0</v>
      </c>
      <c r="R1455" s="234">
        <f t="shared" si="3"/>
        <v>144.8974444</v>
      </c>
      <c r="S1455" s="235">
        <f t="shared" si="4"/>
        <v>5.111111111</v>
      </c>
      <c r="T1455" s="24">
        <f t="shared" si="5"/>
        <v>3.5</v>
      </c>
      <c r="U1455" s="26">
        <f t="shared" si="6"/>
        <v>0.5555555556</v>
      </c>
      <c r="V1455" s="26">
        <f t="shared" si="7"/>
        <v>0.1646090535</v>
      </c>
      <c r="W1455" s="19">
        <f t="shared" si="8"/>
        <v>0.347826087</v>
      </c>
      <c r="X1455" s="218"/>
      <c r="Y1455" s="27"/>
      <c r="Z1455" s="17"/>
      <c r="AA1455" s="17"/>
      <c r="AB1455" s="17"/>
      <c r="AC1455" s="17"/>
      <c r="AD1455" s="27"/>
    </row>
    <row r="1456" ht="15.75" customHeight="1">
      <c r="A1456" s="216" t="s">
        <v>3392</v>
      </c>
      <c r="B1456" s="216" t="s">
        <v>3395</v>
      </c>
      <c r="C1456" s="216" t="s">
        <v>3396</v>
      </c>
      <c r="D1456" s="220" t="s">
        <v>563</v>
      </c>
      <c r="E1456" s="218"/>
      <c r="F1456" s="218"/>
      <c r="G1456" s="219">
        <f t="shared" si="10"/>
        <v>1.587329583</v>
      </c>
      <c r="H1456" s="220">
        <v>45.0</v>
      </c>
      <c r="I1456" s="221">
        <v>230.0</v>
      </c>
      <c r="J1456" s="220">
        <v>15.0</v>
      </c>
      <c r="K1456" s="220">
        <v>110.0</v>
      </c>
      <c r="L1456" s="218"/>
      <c r="M1456" s="230">
        <v>21.0</v>
      </c>
      <c r="N1456" s="230">
        <v>5.0</v>
      </c>
      <c r="O1456" s="230">
        <v>10.0</v>
      </c>
      <c r="P1456" s="223">
        <f t="shared" si="2"/>
        <v>6</v>
      </c>
      <c r="Q1456" s="231">
        <v>6.0</v>
      </c>
      <c r="R1456" s="234">
        <f t="shared" si="3"/>
        <v>144.8974444</v>
      </c>
      <c r="S1456" s="235">
        <f t="shared" si="4"/>
        <v>5.111111111</v>
      </c>
      <c r="T1456" s="24">
        <f t="shared" si="5"/>
        <v>3.5</v>
      </c>
      <c r="U1456" s="26">
        <f t="shared" si="6"/>
        <v>0.5555555556</v>
      </c>
      <c r="V1456" s="26">
        <f t="shared" si="7"/>
        <v>0.1646090535</v>
      </c>
      <c r="W1456" s="19">
        <f t="shared" si="8"/>
        <v>0.4782608696</v>
      </c>
      <c r="X1456" s="218"/>
      <c r="Y1456" s="27"/>
      <c r="Z1456" s="17"/>
      <c r="AA1456" s="17"/>
      <c r="AB1456" s="17"/>
      <c r="AC1456" s="17"/>
      <c r="AD1456" s="27"/>
    </row>
    <row r="1457" ht="15.75" customHeight="1">
      <c r="A1457" s="216" t="s">
        <v>1259</v>
      </c>
      <c r="B1457" s="216" t="s">
        <v>3397</v>
      </c>
      <c r="C1457" s="216" t="s">
        <v>3398</v>
      </c>
      <c r="D1457" s="220" t="s">
        <v>563</v>
      </c>
      <c r="E1457" s="218"/>
      <c r="F1457" s="218"/>
      <c r="G1457" s="219">
        <f t="shared" si="10"/>
        <v>1.94006949</v>
      </c>
      <c r="H1457" s="220">
        <v>55.0</v>
      </c>
      <c r="I1457" s="221">
        <v>280.0</v>
      </c>
      <c r="J1457" s="220">
        <v>14.0</v>
      </c>
      <c r="K1457" s="220">
        <v>190.0</v>
      </c>
      <c r="L1457" s="218"/>
      <c r="M1457" s="222">
        <v>33.0</v>
      </c>
      <c r="N1457" s="222">
        <v>7.0</v>
      </c>
      <c r="O1457" s="222">
        <v>7.0</v>
      </c>
      <c r="P1457" s="223">
        <f t="shared" si="2"/>
        <v>19</v>
      </c>
      <c r="Q1457" s="231">
        <v>5.0</v>
      </c>
      <c r="R1457" s="234">
        <f t="shared" si="3"/>
        <v>144.3247273</v>
      </c>
      <c r="S1457" s="235">
        <f t="shared" si="4"/>
        <v>5.090909091</v>
      </c>
      <c r="T1457" s="24">
        <f t="shared" si="5"/>
        <v>6.6</v>
      </c>
      <c r="U1457" s="26">
        <f t="shared" si="6"/>
        <v>0.4532374101</v>
      </c>
      <c r="V1457" s="26">
        <f t="shared" si="7"/>
        <v>0.1007194245</v>
      </c>
      <c r="W1457" s="19">
        <f t="shared" si="8"/>
        <v>0.6785714286</v>
      </c>
      <c r="X1457" s="218"/>
      <c r="Y1457" s="27"/>
      <c r="Z1457" s="17"/>
      <c r="AA1457" s="17"/>
      <c r="AB1457" s="17"/>
      <c r="AC1457" s="17"/>
      <c r="AD1457" s="27"/>
    </row>
    <row r="1458" ht="15.75" customHeight="1">
      <c r="A1458" s="216" t="s">
        <v>1259</v>
      </c>
      <c r="B1458" s="216" t="s">
        <v>3399</v>
      </c>
      <c r="C1458" s="216" t="s">
        <v>3400</v>
      </c>
      <c r="D1458" s="220" t="s">
        <v>563</v>
      </c>
      <c r="E1458" s="218"/>
      <c r="F1458" s="218"/>
      <c r="G1458" s="219">
        <f t="shared" si="10"/>
        <v>1.94006949</v>
      </c>
      <c r="H1458" s="220">
        <v>55.0</v>
      </c>
      <c r="I1458" s="221">
        <v>280.0</v>
      </c>
      <c r="J1458" s="220">
        <v>13.0</v>
      </c>
      <c r="K1458" s="220">
        <v>140.0</v>
      </c>
      <c r="L1458" s="218"/>
      <c r="M1458" s="222">
        <v>35.0</v>
      </c>
      <c r="N1458" s="222">
        <v>3.0</v>
      </c>
      <c r="O1458" s="222">
        <v>10.0</v>
      </c>
      <c r="P1458" s="223">
        <f t="shared" si="2"/>
        <v>22</v>
      </c>
      <c r="Q1458" s="231">
        <v>5.0</v>
      </c>
      <c r="R1458" s="234">
        <f t="shared" si="3"/>
        <v>144.3247273</v>
      </c>
      <c r="S1458" s="235">
        <f t="shared" si="4"/>
        <v>5.090909091</v>
      </c>
      <c r="T1458" s="24">
        <f t="shared" si="5"/>
        <v>7</v>
      </c>
      <c r="U1458" s="26">
        <f t="shared" si="6"/>
        <v>0.4223826715</v>
      </c>
      <c r="V1458" s="26">
        <f t="shared" si="7"/>
        <v>0.1444043321</v>
      </c>
      <c r="W1458" s="19">
        <f t="shared" si="8"/>
        <v>0.5</v>
      </c>
      <c r="X1458" s="218"/>
      <c r="Y1458" s="27"/>
      <c r="Z1458" s="17"/>
      <c r="AA1458" s="17"/>
      <c r="AB1458" s="17"/>
      <c r="AC1458" s="17"/>
      <c r="AD1458" s="27"/>
    </row>
    <row r="1459" ht="15.75" customHeight="1">
      <c r="A1459" s="218" t="s">
        <v>3186</v>
      </c>
      <c r="B1459" s="218" t="s">
        <v>3401</v>
      </c>
      <c r="C1459" s="216" t="s">
        <v>3402</v>
      </c>
      <c r="D1459" s="217" t="s">
        <v>563</v>
      </c>
      <c r="E1459" s="218"/>
      <c r="F1459" s="218"/>
      <c r="G1459" s="219">
        <f t="shared" si="10"/>
        <v>1.552055592</v>
      </c>
      <c r="H1459" s="217">
        <v>44.0</v>
      </c>
      <c r="I1459" s="236">
        <v>220.0</v>
      </c>
      <c r="J1459" s="217">
        <v>13.0</v>
      </c>
      <c r="K1459" s="217">
        <v>0.0</v>
      </c>
      <c r="L1459" s="217">
        <v>160.0</v>
      </c>
      <c r="M1459" s="223">
        <v>21.0</v>
      </c>
      <c r="N1459" s="223">
        <v>4.0</v>
      </c>
      <c r="O1459" s="223">
        <v>5.0</v>
      </c>
      <c r="P1459" s="223">
        <f t="shared" si="2"/>
        <v>12</v>
      </c>
      <c r="Q1459" s="237">
        <v>5.0</v>
      </c>
      <c r="R1459" s="234">
        <f t="shared" si="3"/>
        <v>141.7475</v>
      </c>
      <c r="S1459" s="235">
        <f t="shared" si="4"/>
        <v>5</v>
      </c>
      <c r="T1459" s="24">
        <f t="shared" si="5"/>
        <v>4.2</v>
      </c>
      <c r="U1459" s="26">
        <f t="shared" si="6"/>
        <v>0.5294117647</v>
      </c>
      <c r="V1459" s="26">
        <f t="shared" si="7"/>
        <v>0.09049773756</v>
      </c>
      <c r="W1459" s="19">
        <f t="shared" si="8"/>
        <v>0</v>
      </c>
      <c r="X1459" s="218"/>
      <c r="Y1459" s="27"/>
      <c r="Z1459" s="17"/>
      <c r="AA1459" s="17"/>
      <c r="AB1459" s="17"/>
      <c r="AC1459" s="17"/>
      <c r="AD1459" s="27"/>
    </row>
    <row r="1460" ht="15.75" customHeight="1">
      <c r="A1460" s="216" t="s">
        <v>3403</v>
      </c>
      <c r="B1460" s="216" t="s">
        <v>3404</v>
      </c>
      <c r="C1460" s="216" t="s">
        <v>3405</v>
      </c>
      <c r="D1460" s="220" t="s">
        <v>563</v>
      </c>
      <c r="E1460" s="218"/>
      <c r="F1460" s="218"/>
      <c r="G1460" s="219">
        <f t="shared" si="10"/>
        <v>1.058219722</v>
      </c>
      <c r="H1460" s="220">
        <v>30.0</v>
      </c>
      <c r="I1460" s="221">
        <v>150.0</v>
      </c>
      <c r="J1460" s="220">
        <v>13.0</v>
      </c>
      <c r="K1460" s="220">
        <v>85.0</v>
      </c>
      <c r="L1460" s="220">
        <v>125.0</v>
      </c>
      <c r="M1460" s="222">
        <v>9.0</v>
      </c>
      <c r="N1460" s="222">
        <v>3.0</v>
      </c>
      <c r="O1460" s="222">
        <v>1.0</v>
      </c>
      <c r="P1460" s="223">
        <f t="shared" si="2"/>
        <v>5</v>
      </c>
      <c r="Q1460" s="231">
        <v>3.0</v>
      </c>
      <c r="R1460" s="234">
        <f t="shared" si="3"/>
        <v>141.7475</v>
      </c>
      <c r="S1460" s="235">
        <f t="shared" si="4"/>
        <v>5</v>
      </c>
      <c r="T1460" s="24">
        <f t="shared" si="5"/>
        <v>3</v>
      </c>
      <c r="U1460" s="26">
        <f t="shared" si="6"/>
        <v>0.7090909091</v>
      </c>
      <c r="V1460" s="26">
        <f t="shared" si="7"/>
        <v>0.02424242424</v>
      </c>
      <c r="W1460" s="19">
        <f t="shared" si="8"/>
        <v>0.5666666667</v>
      </c>
      <c r="X1460" s="218"/>
      <c r="Y1460" s="27"/>
      <c r="Z1460" s="17"/>
      <c r="AA1460" s="17"/>
      <c r="AB1460" s="17"/>
      <c r="AC1460" s="17"/>
      <c r="AD1460" s="27"/>
    </row>
    <row r="1461" ht="15.75" customHeight="1">
      <c r="A1461" s="216" t="s">
        <v>3403</v>
      </c>
      <c r="B1461" s="216" t="s">
        <v>3406</v>
      </c>
      <c r="C1461" s="216" t="s">
        <v>3407</v>
      </c>
      <c r="D1461" s="220" t="s">
        <v>563</v>
      </c>
      <c r="E1461" s="218"/>
      <c r="F1461" s="218"/>
      <c r="G1461" s="219">
        <f t="shared" si="10"/>
        <v>1.058219722</v>
      </c>
      <c r="H1461" s="220">
        <v>30.0</v>
      </c>
      <c r="I1461" s="221">
        <v>150.0</v>
      </c>
      <c r="J1461" s="220">
        <v>13.0</v>
      </c>
      <c r="K1461" s="220">
        <v>125.0</v>
      </c>
      <c r="L1461" s="220">
        <v>150.0</v>
      </c>
      <c r="M1461" s="222">
        <v>7.0</v>
      </c>
      <c r="N1461" s="222">
        <v>3.0</v>
      </c>
      <c r="O1461" s="222">
        <v>3.0</v>
      </c>
      <c r="P1461" s="223">
        <f t="shared" si="2"/>
        <v>1</v>
      </c>
      <c r="Q1461" s="231">
        <v>3.0</v>
      </c>
      <c r="R1461" s="234">
        <f t="shared" si="3"/>
        <v>141.7475</v>
      </c>
      <c r="S1461" s="235">
        <f t="shared" si="4"/>
        <v>5</v>
      </c>
      <c r="T1461" s="24">
        <f t="shared" si="5"/>
        <v>2.333333333</v>
      </c>
      <c r="U1461" s="26">
        <f t="shared" si="6"/>
        <v>0.7452229299</v>
      </c>
      <c r="V1461" s="26">
        <f t="shared" si="7"/>
        <v>0.07643312102</v>
      </c>
      <c r="W1461" s="19">
        <f t="shared" si="8"/>
        <v>0.8333333333</v>
      </c>
      <c r="X1461" s="218"/>
      <c r="Y1461" s="27"/>
      <c r="Z1461" s="17"/>
      <c r="AA1461" s="17"/>
      <c r="AB1461" s="17"/>
      <c r="AC1461" s="17"/>
      <c r="AD1461" s="27"/>
    </row>
    <row r="1462" ht="15.75" customHeight="1">
      <c r="A1462" s="216" t="s">
        <v>3252</v>
      </c>
      <c r="B1462" s="216" t="s">
        <v>3408</v>
      </c>
      <c r="C1462" s="216" t="s">
        <v>3409</v>
      </c>
      <c r="D1462" s="220" t="s">
        <v>563</v>
      </c>
      <c r="E1462" s="218"/>
      <c r="F1462" s="218"/>
      <c r="G1462" s="219">
        <f t="shared" si="10"/>
        <v>1.058219722</v>
      </c>
      <c r="H1462" s="220">
        <v>30.0</v>
      </c>
      <c r="I1462" s="221">
        <v>150.0</v>
      </c>
      <c r="J1462" s="220">
        <v>7.0</v>
      </c>
      <c r="K1462" s="220">
        <v>90.0</v>
      </c>
      <c r="L1462" s="220">
        <v>115.0</v>
      </c>
      <c r="M1462" s="222">
        <v>17.0</v>
      </c>
      <c r="N1462" s="222">
        <v>2.0</v>
      </c>
      <c r="O1462" s="222">
        <v>4.0</v>
      </c>
      <c r="P1462" s="223">
        <f t="shared" si="2"/>
        <v>11</v>
      </c>
      <c r="Q1462" s="231">
        <v>4.0</v>
      </c>
      <c r="R1462" s="234">
        <f t="shared" si="3"/>
        <v>141.7475</v>
      </c>
      <c r="S1462" s="235">
        <f t="shared" si="4"/>
        <v>5</v>
      </c>
      <c r="T1462" s="24">
        <f t="shared" si="5"/>
        <v>4.25</v>
      </c>
      <c r="U1462" s="26">
        <f t="shared" si="6"/>
        <v>0.4285714286</v>
      </c>
      <c r="V1462" s="26">
        <f t="shared" si="7"/>
        <v>0.1088435374</v>
      </c>
      <c r="W1462" s="19">
        <f t="shared" si="8"/>
        <v>0.6</v>
      </c>
      <c r="X1462" s="218"/>
      <c r="Y1462" s="27"/>
      <c r="Z1462" s="17"/>
      <c r="AA1462" s="17"/>
      <c r="AB1462" s="17"/>
      <c r="AC1462" s="17"/>
      <c r="AD1462" s="27"/>
    </row>
    <row r="1463" ht="15.75" customHeight="1">
      <c r="A1463" s="218" t="s">
        <v>1402</v>
      </c>
      <c r="B1463" s="218" t="s">
        <v>1403</v>
      </c>
      <c r="C1463" s="216" t="s">
        <v>3410</v>
      </c>
      <c r="D1463" s="217" t="s">
        <v>563</v>
      </c>
      <c r="E1463" s="218"/>
      <c r="F1463" s="218"/>
      <c r="G1463" s="219">
        <f t="shared" si="10"/>
        <v>4.761988748</v>
      </c>
      <c r="H1463" s="217">
        <v>135.0</v>
      </c>
      <c r="I1463" s="236">
        <v>620.0</v>
      </c>
      <c r="J1463" s="217">
        <v>31.0</v>
      </c>
      <c r="K1463" s="217">
        <v>280.0</v>
      </c>
      <c r="L1463" s="218"/>
      <c r="M1463" s="223">
        <v>74.0</v>
      </c>
      <c r="N1463" s="223">
        <v>7.0</v>
      </c>
      <c r="O1463" s="223">
        <v>32.0</v>
      </c>
      <c r="P1463" s="223">
        <f t="shared" si="2"/>
        <v>35</v>
      </c>
      <c r="Q1463" s="237">
        <v>17.0</v>
      </c>
      <c r="R1463" s="238">
        <f t="shared" si="3"/>
        <v>130.1977037</v>
      </c>
      <c r="S1463" s="239">
        <f t="shared" si="4"/>
        <v>4.592592593</v>
      </c>
      <c r="T1463" s="24">
        <f t="shared" si="5"/>
        <v>4.352941176</v>
      </c>
      <c r="U1463" s="26">
        <f t="shared" si="6"/>
        <v>0.433903577</v>
      </c>
      <c r="V1463" s="26">
        <f t="shared" si="7"/>
        <v>0.199066874</v>
      </c>
      <c r="W1463" s="19">
        <f t="shared" si="8"/>
        <v>0.4516129032</v>
      </c>
      <c r="X1463" s="218"/>
      <c r="Y1463" s="27"/>
      <c r="Z1463" s="17"/>
      <c r="AA1463" s="17"/>
      <c r="AB1463" s="17"/>
      <c r="AC1463" s="17"/>
      <c r="AD1463" s="27"/>
    </row>
    <row r="1464" ht="15.75" customHeight="1">
      <c r="A1464" s="216" t="s">
        <v>3411</v>
      </c>
      <c r="B1464" s="216" t="s">
        <v>3412</v>
      </c>
      <c r="C1464" s="216" t="s">
        <v>3413</v>
      </c>
      <c r="D1464" s="217" t="s">
        <v>563</v>
      </c>
      <c r="E1464" s="218"/>
      <c r="F1464" s="218"/>
      <c r="G1464" s="219">
        <f t="shared" si="10"/>
        <v>1.869521508</v>
      </c>
      <c r="H1464" s="220">
        <v>53.0</v>
      </c>
      <c r="I1464" s="221">
        <v>220.0</v>
      </c>
      <c r="J1464" s="220">
        <v>9.0</v>
      </c>
      <c r="K1464" s="220">
        <v>130.0</v>
      </c>
      <c r="L1464" s="220">
        <v>370.0</v>
      </c>
      <c r="M1464" s="222">
        <v>31.0</v>
      </c>
      <c r="N1464" s="222">
        <v>6.0</v>
      </c>
      <c r="O1464" s="222">
        <v>10.0</v>
      </c>
      <c r="P1464" s="223">
        <f t="shared" si="2"/>
        <v>15</v>
      </c>
      <c r="Q1464" s="224">
        <v>10.0</v>
      </c>
      <c r="R1464" s="240">
        <f t="shared" si="3"/>
        <v>117.6771698</v>
      </c>
      <c r="S1464" s="241">
        <f t="shared" si="4"/>
        <v>4.150943396</v>
      </c>
      <c r="T1464" s="24">
        <f t="shared" si="5"/>
        <v>3.1</v>
      </c>
      <c r="U1464" s="26">
        <f t="shared" si="6"/>
        <v>0.3306122449</v>
      </c>
      <c r="V1464" s="26">
        <f t="shared" si="7"/>
        <v>0.1632653061</v>
      </c>
      <c r="W1464" s="19">
        <f t="shared" si="8"/>
        <v>0.5909090909</v>
      </c>
      <c r="X1464" s="218"/>
      <c r="Y1464" s="27"/>
      <c r="Z1464" s="17"/>
      <c r="AA1464" s="17"/>
      <c r="AB1464" s="17"/>
      <c r="AC1464" s="17"/>
      <c r="AD1464" s="27"/>
    </row>
    <row r="1465" ht="15.75" customHeight="1">
      <c r="A1465" s="216" t="s">
        <v>3411</v>
      </c>
      <c r="B1465" s="216" t="s">
        <v>3414</v>
      </c>
      <c r="C1465" s="216" t="s">
        <v>3415</v>
      </c>
      <c r="D1465" s="217" t="s">
        <v>563</v>
      </c>
      <c r="E1465" s="218"/>
      <c r="F1465" s="218"/>
      <c r="G1465" s="219">
        <f t="shared" si="10"/>
        <v>1.834247518</v>
      </c>
      <c r="H1465" s="220">
        <v>52.0</v>
      </c>
      <c r="I1465" s="221">
        <v>210.0</v>
      </c>
      <c r="J1465" s="220">
        <v>8.0</v>
      </c>
      <c r="K1465" s="220">
        <v>125.0</v>
      </c>
      <c r="L1465" s="220">
        <v>410.0</v>
      </c>
      <c r="M1465" s="222">
        <v>32.0</v>
      </c>
      <c r="N1465" s="222">
        <v>6.0</v>
      </c>
      <c r="O1465" s="222">
        <v>9.0</v>
      </c>
      <c r="P1465" s="223">
        <f t="shared" si="2"/>
        <v>17</v>
      </c>
      <c r="Q1465" s="224">
        <v>10.0</v>
      </c>
      <c r="R1465" s="240">
        <f t="shared" si="3"/>
        <v>114.4883654</v>
      </c>
      <c r="S1465" s="241">
        <f t="shared" si="4"/>
        <v>4.038461538</v>
      </c>
      <c r="T1465" s="24">
        <f t="shared" si="5"/>
        <v>3.2</v>
      </c>
      <c r="U1465" s="26">
        <f t="shared" si="6"/>
        <v>0.3</v>
      </c>
      <c r="V1465" s="26">
        <f t="shared" si="7"/>
        <v>0.15</v>
      </c>
      <c r="W1465" s="19">
        <f t="shared" si="8"/>
        <v>0.5952380952</v>
      </c>
      <c r="X1465" s="218"/>
      <c r="Y1465" s="27"/>
      <c r="Z1465" s="17"/>
      <c r="AA1465" s="17"/>
      <c r="AB1465" s="17"/>
      <c r="AC1465" s="17"/>
      <c r="AD1465" s="27"/>
    </row>
    <row r="1466" ht="15.75" customHeight="1">
      <c r="A1466" s="216" t="s">
        <v>3411</v>
      </c>
      <c r="B1466" s="216" t="s">
        <v>3416</v>
      </c>
      <c r="C1466" s="216" t="s">
        <v>3417</v>
      </c>
      <c r="D1466" s="217" t="s">
        <v>563</v>
      </c>
      <c r="E1466" s="218"/>
      <c r="F1466" s="218"/>
      <c r="G1466" s="219">
        <f t="shared" si="10"/>
        <v>1.834247518</v>
      </c>
      <c r="H1466" s="220">
        <v>52.0</v>
      </c>
      <c r="I1466" s="221">
        <v>200.0</v>
      </c>
      <c r="J1466" s="220">
        <v>5.0</v>
      </c>
      <c r="K1466" s="220">
        <v>140.0</v>
      </c>
      <c r="L1466" s="220">
        <v>340.0</v>
      </c>
      <c r="M1466" s="222">
        <v>35.0</v>
      </c>
      <c r="N1466" s="222">
        <v>8.0</v>
      </c>
      <c r="O1466" s="222">
        <v>12.0</v>
      </c>
      <c r="P1466" s="223">
        <f t="shared" si="2"/>
        <v>15</v>
      </c>
      <c r="Q1466" s="224">
        <v>9.0</v>
      </c>
      <c r="R1466" s="242">
        <f t="shared" si="3"/>
        <v>109.0365385</v>
      </c>
      <c r="S1466" s="243">
        <f t="shared" si="4"/>
        <v>3.846153846</v>
      </c>
      <c r="T1466" s="24">
        <f t="shared" si="5"/>
        <v>3.888888889</v>
      </c>
      <c r="U1466" s="26">
        <f t="shared" si="6"/>
        <v>0.2036199095</v>
      </c>
      <c r="V1466" s="26">
        <f t="shared" si="7"/>
        <v>0.2171945701</v>
      </c>
      <c r="W1466" s="19">
        <f t="shared" si="8"/>
        <v>0.7</v>
      </c>
      <c r="X1466" s="218"/>
      <c r="Y1466" s="27"/>
      <c r="Z1466" s="17"/>
      <c r="AA1466" s="17"/>
      <c r="AB1466" s="17"/>
      <c r="AC1466" s="17"/>
      <c r="AD1466" s="27"/>
    </row>
    <row r="1467" ht="15.75" customHeight="1">
      <c r="A1467" s="218" t="s">
        <v>1259</v>
      </c>
      <c r="B1467" s="218" t="s">
        <v>3418</v>
      </c>
      <c r="C1467" s="216" t="s">
        <v>3419</v>
      </c>
      <c r="D1467" s="217" t="s">
        <v>563</v>
      </c>
      <c r="E1467" s="218"/>
      <c r="F1467" s="218"/>
      <c r="G1467" s="219">
        <f t="shared" si="10"/>
        <v>1.763699536</v>
      </c>
      <c r="H1467" s="217">
        <v>50.0</v>
      </c>
      <c r="I1467" s="236">
        <v>190.0</v>
      </c>
      <c r="J1467" s="217">
        <v>3.0</v>
      </c>
      <c r="K1467" s="217">
        <v>0.0</v>
      </c>
      <c r="L1467" s="217">
        <v>214.0</v>
      </c>
      <c r="M1467" s="223">
        <v>34.0</v>
      </c>
      <c r="N1467" s="223">
        <v>6.0</v>
      </c>
      <c r="O1467" s="223">
        <v>1.0</v>
      </c>
      <c r="P1467" s="223">
        <f t="shared" si="2"/>
        <v>27</v>
      </c>
      <c r="Q1467" s="237">
        <v>8.0</v>
      </c>
      <c r="R1467" s="242">
        <f t="shared" si="3"/>
        <v>107.7281</v>
      </c>
      <c r="S1467" s="243">
        <f t="shared" si="4"/>
        <v>3.8</v>
      </c>
      <c r="T1467" s="24">
        <f t="shared" si="5"/>
        <v>4.25</v>
      </c>
      <c r="U1467" s="26">
        <f t="shared" si="6"/>
        <v>0.1384615385</v>
      </c>
      <c r="V1467" s="26">
        <f t="shared" si="7"/>
        <v>0.02051282051</v>
      </c>
      <c r="W1467" s="19">
        <f t="shared" si="8"/>
        <v>0</v>
      </c>
      <c r="X1467" s="218"/>
      <c r="Y1467" s="27"/>
      <c r="Z1467" s="17"/>
      <c r="AA1467" s="17"/>
      <c r="AB1467" s="17"/>
      <c r="AC1467" s="17"/>
      <c r="AD1467" s="27"/>
    </row>
    <row r="1468" ht="15.75" customHeight="1">
      <c r="A1468" s="218" t="s">
        <v>315</v>
      </c>
      <c r="B1468" s="218" t="s">
        <v>3420</v>
      </c>
      <c r="C1468" s="216" t="s">
        <v>3421</v>
      </c>
      <c r="D1468" s="217" t="s">
        <v>318</v>
      </c>
      <c r="E1468" s="218"/>
      <c r="F1468" s="218"/>
      <c r="G1468" s="219">
        <f t="shared" si="10"/>
        <v>0.8818497681</v>
      </c>
      <c r="H1468" s="217">
        <v>25.0</v>
      </c>
      <c r="I1468" s="236">
        <v>140.0</v>
      </c>
      <c r="J1468" s="217">
        <v>8.0</v>
      </c>
      <c r="K1468" s="217">
        <v>85.0</v>
      </c>
      <c r="L1468" s="218"/>
      <c r="M1468" s="223">
        <v>15.0</v>
      </c>
      <c r="N1468" s="223">
        <v>0.0</v>
      </c>
      <c r="O1468" s="223">
        <v>5.0</v>
      </c>
      <c r="P1468" s="223">
        <f t="shared" si="2"/>
        <v>10</v>
      </c>
      <c r="Q1468" s="237">
        <v>1.0</v>
      </c>
      <c r="R1468" s="232">
        <f t="shared" si="3"/>
        <v>158.7572</v>
      </c>
      <c r="S1468" s="233">
        <f t="shared" si="4"/>
        <v>5.6</v>
      </c>
      <c r="T1468" s="24">
        <f t="shared" si="5"/>
        <v>15</v>
      </c>
      <c r="U1468" s="26">
        <f t="shared" si="6"/>
        <v>0.5294117647</v>
      </c>
      <c r="V1468" s="26">
        <f t="shared" si="7"/>
        <v>0.1470588235</v>
      </c>
      <c r="W1468" s="19">
        <f t="shared" si="8"/>
        <v>0.6071428571</v>
      </c>
      <c r="X1468" s="218"/>
      <c r="Y1468" s="27"/>
      <c r="Z1468" s="17"/>
      <c r="AA1468" s="17"/>
      <c r="AB1468" s="17"/>
      <c r="AC1468" s="17"/>
      <c r="AD1468" s="27"/>
    </row>
    <row r="1469" ht="15.75" customHeight="1">
      <c r="A1469" s="218" t="s">
        <v>3422</v>
      </c>
      <c r="B1469" s="218" t="s">
        <v>3423</v>
      </c>
      <c r="C1469" s="216" t="s">
        <v>3424</v>
      </c>
      <c r="D1469" s="217" t="s">
        <v>318</v>
      </c>
      <c r="E1469" s="218"/>
      <c r="F1469" s="218"/>
      <c r="G1469" s="219">
        <f t="shared" si="10"/>
        <v>2.010617471</v>
      </c>
      <c r="H1469" s="217">
        <v>57.0</v>
      </c>
      <c r="I1469" s="236">
        <v>310.0</v>
      </c>
      <c r="J1469" s="217">
        <v>18.0</v>
      </c>
      <c r="K1469" s="217">
        <v>110.0</v>
      </c>
      <c r="L1469" s="217">
        <v>110.0</v>
      </c>
      <c r="M1469" s="223">
        <v>32.0</v>
      </c>
      <c r="N1469" s="223">
        <v>1.0</v>
      </c>
      <c r="O1469" s="223">
        <v>20.0</v>
      </c>
      <c r="P1469" s="223">
        <f t="shared" si="2"/>
        <v>11</v>
      </c>
      <c r="Q1469" s="237">
        <v>4.0</v>
      </c>
      <c r="R1469" s="234">
        <f t="shared" si="3"/>
        <v>154.1814912</v>
      </c>
      <c r="S1469" s="235">
        <f t="shared" si="4"/>
        <v>5.438596491</v>
      </c>
      <c r="T1469" s="24">
        <f t="shared" si="5"/>
        <v>8</v>
      </c>
      <c r="U1469" s="26">
        <f t="shared" si="6"/>
        <v>0.5294117647</v>
      </c>
      <c r="V1469" s="26">
        <f t="shared" si="7"/>
        <v>0.2614379085</v>
      </c>
      <c r="W1469" s="19">
        <f t="shared" si="8"/>
        <v>0.3548387097</v>
      </c>
      <c r="X1469" s="218"/>
      <c r="Y1469" s="27"/>
      <c r="Z1469" s="17"/>
      <c r="AA1469" s="17"/>
      <c r="AB1469" s="17"/>
      <c r="AC1469" s="17"/>
      <c r="AD1469" s="27"/>
    </row>
    <row r="1470" ht="15.75" customHeight="1">
      <c r="A1470" s="216" t="s">
        <v>3189</v>
      </c>
      <c r="B1470" s="216" t="s">
        <v>3425</v>
      </c>
      <c r="C1470" s="216" t="s">
        <v>3426</v>
      </c>
      <c r="D1470" s="217" t="s">
        <v>318</v>
      </c>
      <c r="E1470" s="218"/>
      <c r="F1470" s="218"/>
      <c r="G1470" s="219">
        <f t="shared" si="10"/>
        <v>2.963015221</v>
      </c>
      <c r="H1470" s="220">
        <v>84.0</v>
      </c>
      <c r="I1470" s="221">
        <v>340.0</v>
      </c>
      <c r="J1470" s="220">
        <v>17.0</v>
      </c>
      <c r="K1470" s="220">
        <v>440.0</v>
      </c>
      <c r="L1470" s="220">
        <v>160.0</v>
      </c>
      <c r="M1470" s="222">
        <v>32.0</v>
      </c>
      <c r="N1470" s="222">
        <v>6.0</v>
      </c>
      <c r="O1470" s="222">
        <v>18.0</v>
      </c>
      <c r="P1470" s="223">
        <f t="shared" si="2"/>
        <v>8</v>
      </c>
      <c r="Q1470" s="224">
        <v>16.0</v>
      </c>
      <c r="R1470" s="240">
        <f t="shared" si="3"/>
        <v>114.7479762</v>
      </c>
      <c r="S1470" s="241">
        <f t="shared" si="4"/>
        <v>4.047619048</v>
      </c>
      <c r="T1470" s="24">
        <f t="shared" si="5"/>
        <v>2</v>
      </c>
      <c r="U1470" s="26">
        <f t="shared" si="6"/>
        <v>0.4434782609</v>
      </c>
      <c r="V1470" s="26">
        <f t="shared" si="7"/>
        <v>0.2086956522</v>
      </c>
      <c r="W1470" s="19">
        <f t="shared" si="8"/>
        <v>1.294117647</v>
      </c>
      <c r="X1470" s="218"/>
      <c r="Y1470" s="27"/>
      <c r="Z1470" s="17"/>
      <c r="AA1470" s="17"/>
      <c r="AB1470" s="17"/>
      <c r="AC1470" s="17"/>
      <c r="AD1470" s="27"/>
    </row>
    <row r="1471" ht="15.75" customHeight="1">
      <c r="A1471" s="216" t="s">
        <v>3189</v>
      </c>
      <c r="B1471" s="216" t="s">
        <v>3427</v>
      </c>
      <c r="C1471" s="216" t="s">
        <v>3428</v>
      </c>
      <c r="D1471" s="217" t="s">
        <v>318</v>
      </c>
      <c r="E1471" s="218"/>
      <c r="F1471" s="218"/>
      <c r="G1471" s="219">
        <f t="shared" si="10"/>
        <v>2.963015221</v>
      </c>
      <c r="H1471" s="220">
        <v>84.0</v>
      </c>
      <c r="I1471" s="221">
        <v>320.0</v>
      </c>
      <c r="J1471" s="220">
        <v>15.0</v>
      </c>
      <c r="K1471" s="220">
        <v>440.0</v>
      </c>
      <c r="L1471" s="220">
        <v>250.0</v>
      </c>
      <c r="M1471" s="222">
        <v>36.0</v>
      </c>
      <c r="N1471" s="222">
        <v>6.0</v>
      </c>
      <c r="O1471" s="222">
        <v>16.0</v>
      </c>
      <c r="P1471" s="223">
        <f t="shared" si="2"/>
        <v>14</v>
      </c>
      <c r="Q1471" s="224">
        <v>16.0</v>
      </c>
      <c r="R1471" s="242">
        <f t="shared" si="3"/>
        <v>107.9980952</v>
      </c>
      <c r="S1471" s="243">
        <f t="shared" si="4"/>
        <v>3.80952381</v>
      </c>
      <c r="T1471" s="24">
        <f t="shared" si="5"/>
        <v>2.25</v>
      </c>
      <c r="U1471" s="26">
        <f t="shared" si="6"/>
        <v>0.3935860058</v>
      </c>
      <c r="V1471" s="26">
        <f t="shared" si="7"/>
        <v>0.1865889213</v>
      </c>
      <c r="W1471" s="19">
        <f t="shared" si="8"/>
        <v>1.375</v>
      </c>
      <c r="X1471" s="218"/>
      <c r="Y1471" s="27"/>
      <c r="Z1471" s="17"/>
      <c r="AA1471" s="17"/>
      <c r="AB1471" s="17"/>
      <c r="AC1471" s="17"/>
      <c r="AD1471" s="27"/>
    </row>
    <row r="1472" ht="15.75" customHeight="1">
      <c r="A1472" s="216" t="s">
        <v>3189</v>
      </c>
      <c r="B1472" s="216" t="s">
        <v>3429</v>
      </c>
      <c r="C1472" s="216" t="s">
        <v>3430</v>
      </c>
      <c r="D1472" s="217" t="s">
        <v>318</v>
      </c>
      <c r="E1472" s="218"/>
      <c r="F1472" s="218"/>
      <c r="G1472" s="219">
        <f t="shared" si="10"/>
        <v>2.963015221</v>
      </c>
      <c r="H1472" s="220">
        <v>84.0</v>
      </c>
      <c r="I1472" s="221">
        <v>320.0</v>
      </c>
      <c r="J1472" s="220">
        <v>12.0</v>
      </c>
      <c r="K1472" s="220">
        <v>440.0</v>
      </c>
      <c r="L1472" s="220">
        <v>260.0</v>
      </c>
      <c r="M1472" s="222">
        <v>36.0</v>
      </c>
      <c r="N1472" s="222">
        <v>5.0</v>
      </c>
      <c r="O1472" s="222">
        <v>16.0</v>
      </c>
      <c r="P1472" s="223">
        <f t="shared" si="2"/>
        <v>15</v>
      </c>
      <c r="Q1472" s="224">
        <v>16.0</v>
      </c>
      <c r="R1472" s="242">
        <f t="shared" si="3"/>
        <v>107.9980952</v>
      </c>
      <c r="S1472" s="243">
        <f t="shared" si="4"/>
        <v>3.80952381</v>
      </c>
      <c r="T1472" s="24">
        <f t="shared" si="5"/>
        <v>2.25</v>
      </c>
      <c r="U1472" s="26">
        <f t="shared" si="6"/>
        <v>0.3417721519</v>
      </c>
      <c r="V1472" s="26">
        <f t="shared" si="7"/>
        <v>0.2025316456</v>
      </c>
      <c r="W1472" s="19">
        <f t="shared" si="8"/>
        <v>1.375</v>
      </c>
      <c r="X1472" s="218"/>
      <c r="Y1472" s="27"/>
      <c r="Z1472" s="17"/>
      <c r="AA1472" s="17"/>
      <c r="AB1472" s="17"/>
      <c r="AC1472" s="17"/>
      <c r="AD1472" s="27"/>
    </row>
    <row r="1473" ht="15.75" customHeight="1">
      <c r="A1473" s="218" t="s">
        <v>3431</v>
      </c>
      <c r="B1473" s="218" t="s">
        <v>3432</v>
      </c>
      <c r="C1473" s="216" t="s">
        <v>3433</v>
      </c>
      <c r="D1473" s="217" t="s">
        <v>282</v>
      </c>
      <c r="E1473" s="218"/>
      <c r="F1473" s="218"/>
      <c r="G1473" s="219">
        <f t="shared" si="10"/>
        <v>0.9876717402</v>
      </c>
      <c r="H1473" s="217">
        <v>28.0</v>
      </c>
      <c r="I1473" s="236">
        <v>170.0</v>
      </c>
      <c r="J1473" s="217">
        <v>15.0</v>
      </c>
      <c r="K1473" s="217">
        <v>120.0</v>
      </c>
      <c r="L1473" s="217">
        <v>130.0</v>
      </c>
      <c r="M1473" s="223">
        <v>5.0</v>
      </c>
      <c r="N1473" s="223">
        <v>1.0</v>
      </c>
      <c r="O1473" s="223">
        <v>1.0</v>
      </c>
      <c r="P1473" s="223">
        <f t="shared" si="2"/>
        <v>3</v>
      </c>
      <c r="Q1473" s="237">
        <v>6.0</v>
      </c>
      <c r="R1473" s="228">
        <f t="shared" si="3"/>
        <v>172.1219643</v>
      </c>
      <c r="S1473" s="229">
        <f t="shared" si="4"/>
        <v>6.071428571</v>
      </c>
      <c r="T1473" s="24">
        <f t="shared" si="5"/>
        <v>0.8333333333</v>
      </c>
      <c r="U1473" s="26">
        <f t="shared" si="6"/>
        <v>0.7541899441</v>
      </c>
      <c r="V1473" s="26">
        <f t="shared" si="7"/>
        <v>0.02234636872</v>
      </c>
      <c r="W1473" s="19">
        <f t="shared" si="8"/>
        <v>0.7058823529</v>
      </c>
      <c r="X1473" s="218"/>
      <c r="Y1473" s="27"/>
      <c r="Z1473" s="17"/>
      <c r="AA1473" s="17"/>
      <c r="AB1473" s="17"/>
      <c r="AC1473" s="17"/>
      <c r="AD1473" s="27"/>
    </row>
    <row r="1474" ht="15.75" customHeight="1">
      <c r="A1474" s="216" t="s">
        <v>3392</v>
      </c>
      <c r="B1474" s="216" t="s">
        <v>3434</v>
      </c>
      <c r="C1474" s="216" t="s">
        <v>3435</v>
      </c>
      <c r="D1474" s="220" t="s">
        <v>282</v>
      </c>
      <c r="E1474" s="218"/>
      <c r="F1474" s="218"/>
      <c r="G1474" s="219">
        <f t="shared" si="10"/>
        <v>1.058219722</v>
      </c>
      <c r="H1474" s="220">
        <v>30.0</v>
      </c>
      <c r="I1474" s="221">
        <v>180.0</v>
      </c>
      <c r="J1474" s="220">
        <v>12.0</v>
      </c>
      <c r="K1474" s="220">
        <v>340.0</v>
      </c>
      <c r="L1474" s="218"/>
      <c r="M1474" s="230">
        <v>13.0</v>
      </c>
      <c r="N1474" s="230">
        <v>3.0</v>
      </c>
      <c r="O1474" s="230">
        <v>1.0</v>
      </c>
      <c r="P1474" s="223">
        <f t="shared" si="2"/>
        <v>9</v>
      </c>
      <c r="Q1474" s="231">
        <v>6.0</v>
      </c>
      <c r="R1474" s="228">
        <f t="shared" si="3"/>
        <v>170.097</v>
      </c>
      <c r="S1474" s="229">
        <f t="shared" si="4"/>
        <v>6</v>
      </c>
      <c r="T1474" s="24">
        <f t="shared" si="5"/>
        <v>2.166666667</v>
      </c>
      <c r="U1474" s="26">
        <f t="shared" si="6"/>
        <v>0.5869565217</v>
      </c>
      <c r="V1474" s="26">
        <f t="shared" si="7"/>
        <v>0.02173913043</v>
      </c>
      <c r="W1474" s="19">
        <f t="shared" si="8"/>
        <v>1.888888889</v>
      </c>
      <c r="X1474" s="218"/>
      <c r="Y1474" s="27"/>
      <c r="Z1474" s="17"/>
      <c r="AA1474" s="17"/>
      <c r="AB1474" s="17"/>
      <c r="AC1474" s="17"/>
      <c r="AD1474" s="27"/>
    </row>
    <row r="1475" ht="15.75" customHeight="1">
      <c r="A1475" s="218" t="s">
        <v>3436</v>
      </c>
      <c r="B1475" s="218" t="s">
        <v>3437</v>
      </c>
      <c r="C1475" s="216" t="s">
        <v>3438</v>
      </c>
      <c r="D1475" s="217" t="s">
        <v>282</v>
      </c>
      <c r="E1475" s="218"/>
      <c r="F1475" s="218"/>
      <c r="G1475" s="219">
        <f t="shared" si="10"/>
        <v>0.4938358701</v>
      </c>
      <c r="H1475" s="217">
        <v>14.0</v>
      </c>
      <c r="I1475" s="236">
        <v>80.0</v>
      </c>
      <c r="J1475" s="217">
        <v>5.0</v>
      </c>
      <c r="K1475" s="217">
        <v>230.0</v>
      </c>
      <c r="L1475" s="218"/>
      <c r="M1475" s="223">
        <v>0.0</v>
      </c>
      <c r="N1475" s="223">
        <v>0.0</v>
      </c>
      <c r="O1475" s="223">
        <v>0.0</v>
      </c>
      <c r="P1475" s="223">
        <f t="shared" si="2"/>
        <v>0</v>
      </c>
      <c r="Q1475" s="237">
        <v>8.0</v>
      </c>
      <c r="R1475" s="232">
        <f t="shared" si="3"/>
        <v>161.9971429</v>
      </c>
      <c r="S1475" s="233">
        <f t="shared" si="4"/>
        <v>5.714285714</v>
      </c>
      <c r="T1475" s="24">
        <f t="shared" si="5"/>
        <v>0</v>
      </c>
      <c r="U1475" s="26">
        <f t="shared" si="6"/>
        <v>0.5844155844</v>
      </c>
      <c r="V1475" s="26" t="str">
        <f t="shared" si="7"/>
        <v>0%</v>
      </c>
      <c r="W1475" s="19">
        <f t="shared" si="8"/>
        <v>2.875</v>
      </c>
      <c r="X1475" s="218"/>
      <c r="Y1475" s="27"/>
      <c r="Z1475" s="17"/>
      <c r="AA1475" s="17"/>
      <c r="AB1475" s="17"/>
      <c r="AC1475" s="17"/>
      <c r="AD1475" s="27"/>
    </row>
    <row r="1476" ht="15.75" customHeight="1">
      <c r="A1476" s="216" t="s">
        <v>3392</v>
      </c>
      <c r="B1476" s="216" t="s">
        <v>3439</v>
      </c>
      <c r="C1476" s="216" t="s">
        <v>3440</v>
      </c>
      <c r="D1476" s="220" t="s">
        <v>282</v>
      </c>
      <c r="E1476" s="218"/>
      <c r="F1476" s="218"/>
      <c r="G1476" s="219">
        <f t="shared" si="10"/>
        <v>1.058219722</v>
      </c>
      <c r="H1476" s="220">
        <v>30.0</v>
      </c>
      <c r="I1476" s="221">
        <v>170.0</v>
      </c>
      <c r="J1476" s="220">
        <v>12.0</v>
      </c>
      <c r="K1476" s="220">
        <v>340.0</v>
      </c>
      <c r="L1476" s="218"/>
      <c r="M1476" s="230">
        <v>12.0</v>
      </c>
      <c r="N1476" s="230">
        <v>2.0</v>
      </c>
      <c r="O1476" s="230">
        <v>1.0</v>
      </c>
      <c r="P1476" s="223">
        <f t="shared" si="2"/>
        <v>9</v>
      </c>
      <c r="Q1476" s="231">
        <v>6.0</v>
      </c>
      <c r="R1476" s="232">
        <f t="shared" si="3"/>
        <v>160.6471667</v>
      </c>
      <c r="S1476" s="233">
        <f t="shared" si="4"/>
        <v>5.666666667</v>
      </c>
      <c r="T1476" s="24">
        <f t="shared" si="5"/>
        <v>2</v>
      </c>
      <c r="U1476" s="26">
        <f t="shared" si="6"/>
        <v>0.6</v>
      </c>
      <c r="V1476" s="26">
        <f t="shared" si="7"/>
        <v>0.02222222222</v>
      </c>
      <c r="W1476" s="19">
        <f t="shared" si="8"/>
        <v>2</v>
      </c>
      <c r="X1476" s="218"/>
      <c r="Y1476" s="27"/>
      <c r="Z1476" s="17"/>
      <c r="AA1476" s="17"/>
      <c r="AB1476" s="17"/>
      <c r="AC1476" s="17"/>
      <c r="AD1476" s="27"/>
    </row>
    <row r="1477" ht="15.75" customHeight="1">
      <c r="A1477" s="216" t="s">
        <v>3392</v>
      </c>
      <c r="B1477" s="216" t="s">
        <v>3441</v>
      </c>
      <c r="C1477" s="216" t="s">
        <v>3442</v>
      </c>
      <c r="D1477" s="220" t="s">
        <v>282</v>
      </c>
      <c r="E1477" s="218"/>
      <c r="F1477" s="218"/>
      <c r="G1477" s="219">
        <f t="shared" si="10"/>
        <v>1.058219722</v>
      </c>
      <c r="H1477" s="220">
        <v>30.0</v>
      </c>
      <c r="I1477" s="221">
        <v>170.0</v>
      </c>
      <c r="J1477" s="220">
        <v>13.0</v>
      </c>
      <c r="K1477" s="220">
        <v>320.0</v>
      </c>
      <c r="L1477" s="218"/>
      <c r="M1477" s="230">
        <v>10.0</v>
      </c>
      <c r="N1477" s="230">
        <v>3.0</v>
      </c>
      <c r="O1477" s="230">
        <v>5.0</v>
      </c>
      <c r="P1477" s="223">
        <f t="shared" si="2"/>
        <v>2</v>
      </c>
      <c r="Q1477" s="231">
        <v>5.0</v>
      </c>
      <c r="R1477" s="232">
        <f t="shared" si="3"/>
        <v>160.6471667</v>
      </c>
      <c r="S1477" s="233">
        <f t="shared" si="4"/>
        <v>5.666666667</v>
      </c>
      <c r="T1477" s="24">
        <f t="shared" si="5"/>
        <v>2</v>
      </c>
      <c r="U1477" s="26">
        <f t="shared" si="6"/>
        <v>0.6610169492</v>
      </c>
      <c r="V1477" s="26">
        <f t="shared" si="7"/>
        <v>0.1129943503</v>
      </c>
      <c r="W1477" s="19">
        <f t="shared" si="8"/>
        <v>1.882352941</v>
      </c>
      <c r="X1477" s="218"/>
      <c r="Y1477" s="27"/>
      <c r="Z1477" s="17"/>
      <c r="AA1477" s="17"/>
      <c r="AB1477" s="17"/>
      <c r="AC1477" s="17"/>
      <c r="AD1477" s="27"/>
    </row>
    <row r="1478" ht="15.75" customHeight="1">
      <c r="A1478" s="218" t="s">
        <v>3436</v>
      </c>
      <c r="B1478" s="218" t="s">
        <v>3443</v>
      </c>
      <c r="C1478" s="216" t="s">
        <v>3444</v>
      </c>
      <c r="D1478" s="217" t="s">
        <v>282</v>
      </c>
      <c r="E1478" s="218"/>
      <c r="F1478" s="218"/>
      <c r="G1478" s="219">
        <f t="shared" si="10"/>
        <v>0.9982539375</v>
      </c>
      <c r="H1478" s="217">
        <v>28.3</v>
      </c>
      <c r="I1478" s="236">
        <v>160.0</v>
      </c>
      <c r="J1478" s="217">
        <v>10.0</v>
      </c>
      <c r="K1478" s="217">
        <v>95.0</v>
      </c>
      <c r="L1478" s="217">
        <v>388.0</v>
      </c>
      <c r="M1478" s="223">
        <v>15.0</v>
      </c>
      <c r="N1478" s="223">
        <v>1.0</v>
      </c>
      <c r="O1478" s="223">
        <v>0.0</v>
      </c>
      <c r="P1478" s="223">
        <f t="shared" si="2"/>
        <v>14</v>
      </c>
      <c r="Q1478" s="237">
        <v>2.0</v>
      </c>
      <c r="R1478" s="232">
        <f t="shared" si="3"/>
        <v>160.2798587</v>
      </c>
      <c r="S1478" s="233">
        <f t="shared" si="4"/>
        <v>5.653710247</v>
      </c>
      <c r="T1478" s="24">
        <f t="shared" si="5"/>
        <v>7.5</v>
      </c>
      <c r="U1478" s="26">
        <f t="shared" si="6"/>
        <v>0.5696202532</v>
      </c>
      <c r="V1478" s="26" t="str">
        <f t="shared" si="7"/>
        <v>0%</v>
      </c>
      <c r="W1478" s="19">
        <f t="shared" si="8"/>
        <v>0.59375</v>
      </c>
      <c r="X1478" s="218"/>
      <c r="Y1478" s="27"/>
      <c r="Z1478" s="17"/>
      <c r="AA1478" s="17"/>
      <c r="AB1478" s="17"/>
      <c r="AC1478" s="17"/>
      <c r="AD1478" s="27"/>
    </row>
    <row r="1479" ht="15.75" customHeight="1">
      <c r="A1479" s="218" t="s">
        <v>3436</v>
      </c>
      <c r="B1479" s="218" t="s">
        <v>3445</v>
      </c>
      <c r="C1479" s="216" t="s">
        <v>3446</v>
      </c>
      <c r="D1479" s="217" t="s">
        <v>282</v>
      </c>
      <c r="E1479" s="218"/>
      <c r="F1479" s="218"/>
      <c r="G1479" s="219">
        <f t="shared" si="10"/>
        <v>0.9876717402</v>
      </c>
      <c r="H1479" s="217">
        <v>28.0</v>
      </c>
      <c r="I1479" s="236">
        <v>150.0</v>
      </c>
      <c r="J1479" s="217">
        <v>9.0</v>
      </c>
      <c r="K1479" s="217">
        <v>300.0</v>
      </c>
      <c r="L1479" s="218"/>
      <c r="M1479" s="223">
        <v>14.0</v>
      </c>
      <c r="N1479" s="223">
        <v>0.0</v>
      </c>
      <c r="O1479" s="223">
        <v>2.0</v>
      </c>
      <c r="P1479" s="223">
        <f t="shared" si="2"/>
        <v>12</v>
      </c>
      <c r="Q1479" s="237">
        <v>2.0</v>
      </c>
      <c r="R1479" s="234">
        <f t="shared" si="3"/>
        <v>151.8723214</v>
      </c>
      <c r="S1479" s="235">
        <f t="shared" si="4"/>
        <v>5.357142857</v>
      </c>
      <c r="T1479" s="24">
        <f t="shared" si="5"/>
        <v>7</v>
      </c>
      <c r="U1479" s="26">
        <f t="shared" si="6"/>
        <v>0.5586206897</v>
      </c>
      <c r="V1479" s="26">
        <f t="shared" si="7"/>
        <v>0.05517241379</v>
      </c>
      <c r="W1479" s="19">
        <f t="shared" si="8"/>
        <v>2</v>
      </c>
      <c r="X1479" s="218"/>
      <c r="Y1479" s="27"/>
      <c r="Z1479" s="17"/>
      <c r="AA1479" s="17"/>
      <c r="AB1479" s="17"/>
      <c r="AC1479" s="17"/>
      <c r="AD1479" s="27"/>
    </row>
    <row r="1480" ht="15.75" customHeight="1">
      <c r="A1480" s="216" t="s">
        <v>3392</v>
      </c>
      <c r="B1480" s="216" t="s">
        <v>3447</v>
      </c>
      <c r="C1480" s="216" t="s">
        <v>3448</v>
      </c>
      <c r="D1480" s="220" t="s">
        <v>282</v>
      </c>
      <c r="E1480" s="218"/>
      <c r="F1480" s="218"/>
      <c r="G1480" s="219">
        <f t="shared" si="10"/>
        <v>1.058219722</v>
      </c>
      <c r="H1480" s="220">
        <v>30.0</v>
      </c>
      <c r="I1480" s="221">
        <v>160.0</v>
      </c>
      <c r="J1480" s="220">
        <v>12.0</v>
      </c>
      <c r="K1480" s="220">
        <v>360.0</v>
      </c>
      <c r="L1480" s="218"/>
      <c r="M1480" s="230">
        <v>11.0</v>
      </c>
      <c r="N1480" s="230">
        <v>3.0</v>
      </c>
      <c r="O1480" s="230">
        <v>1.0</v>
      </c>
      <c r="P1480" s="223">
        <f t="shared" si="2"/>
        <v>7</v>
      </c>
      <c r="Q1480" s="231">
        <v>5.0</v>
      </c>
      <c r="R1480" s="234">
        <f t="shared" si="3"/>
        <v>151.1973333</v>
      </c>
      <c r="S1480" s="235">
        <f t="shared" si="4"/>
        <v>5.333333333</v>
      </c>
      <c r="T1480" s="24">
        <f t="shared" si="5"/>
        <v>2.2</v>
      </c>
      <c r="U1480" s="26">
        <f t="shared" si="6"/>
        <v>0.6279069767</v>
      </c>
      <c r="V1480" s="26">
        <f t="shared" si="7"/>
        <v>0.02325581395</v>
      </c>
      <c r="W1480" s="19">
        <f t="shared" si="8"/>
        <v>2.25</v>
      </c>
      <c r="X1480" s="218"/>
      <c r="Y1480" s="27"/>
      <c r="Z1480" s="17"/>
      <c r="AA1480" s="17"/>
      <c r="AB1480" s="17"/>
      <c r="AC1480" s="17"/>
      <c r="AD1480" s="27"/>
    </row>
    <row r="1481" ht="15.75" customHeight="1">
      <c r="A1481" s="216" t="s">
        <v>3449</v>
      </c>
      <c r="B1481" s="216" t="s">
        <v>3450</v>
      </c>
      <c r="C1481" s="216" t="s">
        <v>3451</v>
      </c>
      <c r="D1481" s="220" t="s">
        <v>99</v>
      </c>
      <c r="E1481" s="218"/>
      <c r="F1481" s="218"/>
      <c r="G1481" s="219">
        <f t="shared" si="10"/>
        <v>0.8818497681</v>
      </c>
      <c r="H1481" s="220">
        <v>25.0</v>
      </c>
      <c r="I1481" s="221">
        <v>160.0</v>
      </c>
      <c r="J1481" s="220">
        <v>13.0</v>
      </c>
      <c r="K1481" s="220">
        <v>10.0</v>
      </c>
      <c r="L1481" s="220">
        <v>176.0</v>
      </c>
      <c r="M1481" s="230">
        <v>8.0</v>
      </c>
      <c r="N1481" s="230">
        <v>0.0</v>
      </c>
      <c r="O1481" s="230">
        <v>2.0</v>
      </c>
      <c r="P1481" s="223">
        <f t="shared" si="2"/>
        <v>6</v>
      </c>
      <c r="Q1481" s="231">
        <v>2.0</v>
      </c>
      <c r="R1481" s="228">
        <f t="shared" si="3"/>
        <v>181.4368</v>
      </c>
      <c r="S1481" s="229">
        <f t="shared" si="4"/>
        <v>6.4</v>
      </c>
      <c r="T1481" s="24">
        <f t="shared" si="5"/>
        <v>4</v>
      </c>
      <c r="U1481" s="26">
        <f t="shared" si="6"/>
        <v>0.7452229299</v>
      </c>
      <c r="V1481" s="26">
        <f t="shared" si="7"/>
        <v>0.05095541401</v>
      </c>
      <c r="W1481" s="19">
        <f t="shared" si="8"/>
        <v>0.0625</v>
      </c>
      <c r="X1481" s="218"/>
      <c r="Y1481" s="27"/>
      <c r="Z1481" s="17"/>
      <c r="AA1481" s="17"/>
      <c r="AB1481" s="17"/>
      <c r="AC1481" s="17"/>
      <c r="AD1481" s="27"/>
    </row>
    <row r="1482" ht="15.75" customHeight="1">
      <c r="A1482" s="216" t="s">
        <v>3449</v>
      </c>
      <c r="B1482" s="216" t="s">
        <v>3452</v>
      </c>
      <c r="C1482" s="216" t="s">
        <v>3453</v>
      </c>
      <c r="D1482" s="220" t="s">
        <v>99</v>
      </c>
      <c r="E1482" s="218"/>
      <c r="F1482" s="218"/>
      <c r="G1482" s="219">
        <f t="shared" si="10"/>
        <v>0.9876717402</v>
      </c>
      <c r="H1482" s="220">
        <v>28.0</v>
      </c>
      <c r="I1482" s="221">
        <v>150.0</v>
      </c>
      <c r="J1482" s="220">
        <v>10.0</v>
      </c>
      <c r="K1482" s="220">
        <v>35.0</v>
      </c>
      <c r="L1482" s="220">
        <v>2.0</v>
      </c>
      <c r="M1482" s="230">
        <v>10.0</v>
      </c>
      <c r="N1482" s="230">
        <v>0.0</v>
      </c>
      <c r="O1482" s="230">
        <v>7.0</v>
      </c>
      <c r="P1482" s="223">
        <f t="shared" si="2"/>
        <v>3</v>
      </c>
      <c r="Q1482" s="231">
        <v>2.0</v>
      </c>
      <c r="R1482" s="234">
        <f t="shared" si="3"/>
        <v>151.8723214</v>
      </c>
      <c r="S1482" s="235">
        <f t="shared" si="4"/>
        <v>5.357142857</v>
      </c>
      <c r="T1482" s="24">
        <f t="shared" si="5"/>
        <v>5</v>
      </c>
      <c r="U1482" s="26">
        <f t="shared" si="6"/>
        <v>0.652173913</v>
      </c>
      <c r="V1482" s="26">
        <f t="shared" si="7"/>
        <v>0.2028985507</v>
      </c>
      <c r="W1482" s="19">
        <f t="shared" si="8"/>
        <v>0.2333333333</v>
      </c>
      <c r="X1482" s="218"/>
      <c r="Y1482" s="27"/>
      <c r="Z1482" s="17"/>
      <c r="AA1482" s="17"/>
      <c r="AB1482" s="17"/>
      <c r="AC1482" s="17"/>
      <c r="AD1482" s="27"/>
    </row>
    <row r="1483" ht="15.75" customHeight="1">
      <c r="A1483" s="218" t="s">
        <v>1463</v>
      </c>
      <c r="B1483" s="218" t="s">
        <v>3454</v>
      </c>
      <c r="C1483" s="216" t="s">
        <v>3455</v>
      </c>
      <c r="D1483" s="217" t="s">
        <v>99</v>
      </c>
      <c r="E1483" s="218"/>
      <c r="F1483" s="218"/>
      <c r="G1483" s="219">
        <f t="shared" si="10"/>
        <v>2.821919258</v>
      </c>
      <c r="H1483" s="217">
        <v>80.0</v>
      </c>
      <c r="I1483" s="236">
        <v>400.0</v>
      </c>
      <c r="J1483" s="217">
        <v>22.0</v>
      </c>
      <c r="K1483" s="217">
        <v>470.0</v>
      </c>
      <c r="L1483" s="218"/>
      <c r="M1483" s="223">
        <v>26.0</v>
      </c>
      <c r="N1483" s="223">
        <v>10.0</v>
      </c>
      <c r="O1483" s="223">
        <v>5.0</v>
      </c>
      <c r="P1483" s="223">
        <f t="shared" si="2"/>
        <v>11</v>
      </c>
      <c r="Q1483" s="237">
        <v>27.0</v>
      </c>
      <c r="R1483" s="234">
        <f t="shared" si="3"/>
        <v>141.7475</v>
      </c>
      <c r="S1483" s="235">
        <f t="shared" si="4"/>
        <v>5</v>
      </c>
      <c r="T1483" s="24">
        <f t="shared" si="5"/>
        <v>0.962962963</v>
      </c>
      <c r="U1483" s="26">
        <f t="shared" si="6"/>
        <v>0.4829268293</v>
      </c>
      <c r="V1483" s="26">
        <f t="shared" si="7"/>
        <v>0.0487804878</v>
      </c>
      <c r="W1483" s="19">
        <f t="shared" si="8"/>
        <v>1.175</v>
      </c>
      <c r="X1483" s="218"/>
      <c r="Y1483" s="27"/>
      <c r="Z1483" s="17"/>
      <c r="AA1483" s="17"/>
      <c r="AB1483" s="17"/>
      <c r="AC1483" s="17"/>
      <c r="AD1483" s="27"/>
    </row>
    <row r="1484" ht="15.75" customHeight="1">
      <c r="A1484" s="216" t="s">
        <v>2238</v>
      </c>
      <c r="B1484" s="216" t="s">
        <v>3456</v>
      </c>
      <c r="C1484" s="216" t="s">
        <v>3457</v>
      </c>
      <c r="D1484" s="220" t="s">
        <v>99</v>
      </c>
      <c r="E1484" s="218"/>
      <c r="F1484" s="218"/>
      <c r="G1484" s="219">
        <f t="shared" si="10"/>
        <v>2.151713434</v>
      </c>
      <c r="H1484" s="220">
        <v>61.0</v>
      </c>
      <c r="I1484" s="221">
        <v>245.0</v>
      </c>
      <c r="J1484" s="220">
        <v>4.0</v>
      </c>
      <c r="K1484" s="220">
        <v>443.0</v>
      </c>
      <c r="L1484" s="218"/>
      <c r="M1484" s="222">
        <v>43.0</v>
      </c>
      <c r="N1484" s="222">
        <v>1.0</v>
      </c>
      <c r="O1484" s="222">
        <v>39.0</v>
      </c>
      <c r="P1484" s="223">
        <f t="shared" si="2"/>
        <v>3</v>
      </c>
      <c r="Q1484" s="224">
        <v>11.0</v>
      </c>
      <c r="R1484" s="240">
        <f t="shared" si="3"/>
        <v>113.8627459</v>
      </c>
      <c r="S1484" s="241">
        <f t="shared" si="4"/>
        <v>4.016393443</v>
      </c>
      <c r="T1484" s="24">
        <f t="shared" si="5"/>
        <v>3.909090909</v>
      </c>
      <c r="U1484" s="26">
        <f t="shared" si="6"/>
        <v>0.1428571429</v>
      </c>
      <c r="V1484" s="26">
        <f t="shared" si="7"/>
        <v>0.619047619</v>
      </c>
      <c r="W1484" s="19">
        <f t="shared" si="8"/>
        <v>1.808163265</v>
      </c>
      <c r="X1484" s="218"/>
      <c r="Y1484" s="27"/>
      <c r="Z1484" s="17"/>
      <c r="AA1484" s="17"/>
      <c r="AB1484" s="17"/>
      <c r="AC1484" s="17"/>
      <c r="AD1484" s="27"/>
    </row>
    <row r="1485" ht="15.75" customHeight="1">
      <c r="A1485" s="216" t="s">
        <v>3458</v>
      </c>
      <c r="B1485" s="216" t="s">
        <v>3459</v>
      </c>
      <c r="C1485" s="216" t="s">
        <v>3460</v>
      </c>
      <c r="D1485" s="217" t="s">
        <v>99</v>
      </c>
      <c r="E1485" s="218"/>
      <c r="F1485" s="218"/>
      <c r="G1485" s="219">
        <f t="shared" si="10"/>
        <v>3.527399072</v>
      </c>
      <c r="H1485" s="220">
        <v>100.0</v>
      </c>
      <c r="I1485" s="221">
        <v>400.0</v>
      </c>
      <c r="J1485" s="220">
        <v>13.0</v>
      </c>
      <c r="K1485" s="220">
        <v>330.0</v>
      </c>
      <c r="L1485" s="218"/>
      <c r="M1485" s="222">
        <v>46.0</v>
      </c>
      <c r="N1485" s="222">
        <v>7.0</v>
      </c>
      <c r="O1485" s="222">
        <v>1.0</v>
      </c>
      <c r="P1485" s="223">
        <f t="shared" si="2"/>
        <v>38</v>
      </c>
      <c r="Q1485" s="224">
        <v>30.0</v>
      </c>
      <c r="R1485" s="240">
        <f t="shared" si="3"/>
        <v>113.398</v>
      </c>
      <c r="S1485" s="241">
        <f t="shared" si="4"/>
        <v>4</v>
      </c>
      <c r="T1485" s="24">
        <f t="shared" si="5"/>
        <v>1.533333333</v>
      </c>
      <c r="U1485" s="26">
        <f t="shared" si="6"/>
        <v>0.2779097387</v>
      </c>
      <c r="V1485" s="26">
        <f t="shared" si="7"/>
        <v>0.009501187648</v>
      </c>
      <c r="W1485" s="19">
        <f t="shared" si="8"/>
        <v>0.825</v>
      </c>
      <c r="X1485" s="218"/>
      <c r="Y1485" s="27"/>
      <c r="Z1485" s="17"/>
      <c r="AA1485" s="17"/>
      <c r="AB1485" s="17"/>
      <c r="AC1485" s="17"/>
      <c r="AD1485" s="27"/>
    </row>
    <row r="1486" ht="15.75" customHeight="1">
      <c r="A1486" s="218" t="s">
        <v>617</v>
      </c>
      <c r="B1486" s="218" t="s">
        <v>3461</v>
      </c>
      <c r="C1486" s="216" t="s">
        <v>3462</v>
      </c>
      <c r="D1486" s="217" t="s">
        <v>99</v>
      </c>
      <c r="E1486" s="218"/>
      <c r="F1486" s="218"/>
      <c r="G1486" s="219">
        <f t="shared" si="10"/>
        <v>1.763699536</v>
      </c>
      <c r="H1486" s="217">
        <v>50.0</v>
      </c>
      <c r="I1486" s="236">
        <v>200.0</v>
      </c>
      <c r="J1486" s="217">
        <v>3.5</v>
      </c>
      <c r="K1486" s="217">
        <v>270.0</v>
      </c>
      <c r="L1486" s="217">
        <v>392.0</v>
      </c>
      <c r="M1486" s="223">
        <v>35.0</v>
      </c>
      <c r="N1486" s="223">
        <v>1.0</v>
      </c>
      <c r="O1486" s="223">
        <v>33.0</v>
      </c>
      <c r="P1486" s="223">
        <f t="shared" si="2"/>
        <v>1</v>
      </c>
      <c r="Q1486" s="237">
        <v>8.0</v>
      </c>
      <c r="R1486" s="240">
        <f t="shared" si="3"/>
        <v>113.398</v>
      </c>
      <c r="S1486" s="241">
        <f t="shared" si="4"/>
        <v>4</v>
      </c>
      <c r="T1486" s="24">
        <f t="shared" si="5"/>
        <v>4.375</v>
      </c>
      <c r="U1486" s="26">
        <f t="shared" si="6"/>
        <v>0.1547911548</v>
      </c>
      <c r="V1486" s="26">
        <f t="shared" si="7"/>
        <v>0.6486486486</v>
      </c>
      <c r="W1486" s="19">
        <f t="shared" si="8"/>
        <v>1.35</v>
      </c>
      <c r="X1486" s="218"/>
      <c r="Y1486" s="27"/>
      <c r="Z1486" s="17"/>
      <c r="AA1486" s="17"/>
      <c r="AB1486" s="17"/>
      <c r="AC1486" s="17"/>
      <c r="AD1486" s="27"/>
    </row>
    <row r="1487" ht="15.75" customHeight="1">
      <c r="A1487" s="216" t="s">
        <v>3463</v>
      </c>
      <c r="B1487" s="216" t="s">
        <v>3464</v>
      </c>
      <c r="C1487" s="216" t="s">
        <v>3465</v>
      </c>
      <c r="D1487" s="220" t="s">
        <v>99</v>
      </c>
      <c r="E1487" s="218"/>
      <c r="F1487" s="218"/>
      <c r="G1487" s="219">
        <f t="shared" si="10"/>
        <v>1.97534348</v>
      </c>
      <c r="H1487" s="220">
        <v>56.0</v>
      </c>
      <c r="I1487" s="221">
        <v>220.0</v>
      </c>
      <c r="J1487" s="220">
        <v>0.0</v>
      </c>
      <c r="K1487" s="220">
        <v>0.0</v>
      </c>
      <c r="L1487" s="220">
        <v>63.0</v>
      </c>
      <c r="M1487" s="222">
        <v>45.0</v>
      </c>
      <c r="N1487" s="222">
        <v>7.0</v>
      </c>
      <c r="O1487" s="222">
        <v>0.0</v>
      </c>
      <c r="P1487" s="223">
        <f t="shared" si="2"/>
        <v>38</v>
      </c>
      <c r="Q1487" s="231">
        <v>10.0</v>
      </c>
      <c r="R1487" s="240">
        <f t="shared" si="3"/>
        <v>111.3730357</v>
      </c>
      <c r="S1487" s="241">
        <f t="shared" si="4"/>
        <v>3.928571429</v>
      </c>
      <c r="T1487" s="24">
        <f t="shared" si="5"/>
        <v>4.5</v>
      </c>
      <c r="U1487" s="26" t="str">
        <f t="shared" si="6"/>
        <v>0%</v>
      </c>
      <c r="V1487" s="26" t="str">
        <f t="shared" si="7"/>
        <v>0%</v>
      </c>
      <c r="W1487" s="19">
        <f t="shared" si="8"/>
        <v>0</v>
      </c>
      <c r="X1487" s="218"/>
      <c r="Y1487" s="27"/>
      <c r="Z1487" s="17"/>
      <c r="AA1487" s="17"/>
      <c r="AB1487" s="17"/>
      <c r="AC1487" s="17"/>
      <c r="AD1487" s="27"/>
    </row>
    <row r="1488" ht="15.75" customHeight="1">
      <c r="A1488" s="218" t="s">
        <v>617</v>
      </c>
      <c r="B1488" s="218" t="s">
        <v>3466</v>
      </c>
      <c r="C1488" s="216" t="s">
        <v>3467</v>
      </c>
      <c r="D1488" s="217" t="s">
        <v>99</v>
      </c>
      <c r="E1488" s="218"/>
      <c r="F1488" s="218"/>
      <c r="G1488" s="219">
        <f t="shared" si="10"/>
        <v>2.081165453</v>
      </c>
      <c r="H1488" s="217">
        <v>59.0</v>
      </c>
      <c r="I1488" s="236">
        <v>230.0</v>
      </c>
      <c r="J1488" s="217">
        <v>6.0</v>
      </c>
      <c r="K1488" s="217">
        <v>500.0</v>
      </c>
      <c r="L1488" s="217">
        <v>81.0</v>
      </c>
      <c r="M1488" s="223">
        <v>40.0</v>
      </c>
      <c r="N1488" s="223">
        <v>3.0</v>
      </c>
      <c r="O1488" s="223">
        <v>34.0</v>
      </c>
      <c r="P1488" s="223">
        <f t="shared" si="2"/>
        <v>3</v>
      </c>
      <c r="Q1488" s="237">
        <v>10.0</v>
      </c>
      <c r="R1488" s="240">
        <f t="shared" si="3"/>
        <v>110.515</v>
      </c>
      <c r="S1488" s="241">
        <f t="shared" si="4"/>
        <v>3.898305085</v>
      </c>
      <c r="T1488" s="24">
        <f t="shared" si="5"/>
        <v>4</v>
      </c>
      <c r="U1488" s="26">
        <f t="shared" si="6"/>
        <v>0.2125984252</v>
      </c>
      <c r="V1488" s="26">
        <f t="shared" si="7"/>
        <v>0.5354330709</v>
      </c>
      <c r="W1488" s="19">
        <f t="shared" si="8"/>
        <v>2.173913043</v>
      </c>
      <c r="X1488" s="218"/>
      <c r="Y1488" s="27"/>
      <c r="Z1488" s="17"/>
      <c r="AA1488" s="17"/>
      <c r="AB1488" s="17"/>
      <c r="AC1488" s="17"/>
      <c r="AD1488" s="27"/>
    </row>
    <row r="1489" ht="15.75" customHeight="1">
      <c r="A1489" s="218" t="s">
        <v>2238</v>
      </c>
      <c r="B1489" s="218" t="s">
        <v>2241</v>
      </c>
      <c r="C1489" s="216" t="s">
        <v>3468</v>
      </c>
      <c r="D1489" s="217" t="s">
        <v>99</v>
      </c>
      <c r="E1489" s="218"/>
      <c r="F1489" s="218"/>
      <c r="G1489" s="219">
        <f t="shared" si="10"/>
        <v>1.904795499</v>
      </c>
      <c r="H1489" s="217">
        <v>54.0</v>
      </c>
      <c r="I1489" s="236">
        <v>200.0</v>
      </c>
      <c r="J1489" s="217">
        <v>0.0</v>
      </c>
      <c r="K1489" s="217">
        <v>606.0</v>
      </c>
      <c r="L1489" s="217">
        <v>176.0</v>
      </c>
      <c r="M1489" s="223">
        <v>50.0</v>
      </c>
      <c r="N1489" s="223">
        <v>0.0</v>
      </c>
      <c r="O1489" s="223">
        <v>50.0</v>
      </c>
      <c r="P1489" s="223">
        <f t="shared" si="2"/>
        <v>0</v>
      </c>
      <c r="Q1489" s="237">
        <v>0.0</v>
      </c>
      <c r="R1489" s="242">
        <f t="shared" si="3"/>
        <v>104.9981481</v>
      </c>
      <c r="S1489" s="243">
        <f t="shared" si="4"/>
        <v>3.703703704</v>
      </c>
      <c r="T1489" s="24" t="str">
        <f t="shared" si="5"/>
        <v>N/A</v>
      </c>
      <c r="U1489" s="26" t="str">
        <f t="shared" si="6"/>
        <v>0%</v>
      </c>
      <c r="V1489" s="26">
        <f t="shared" si="7"/>
        <v>1</v>
      </c>
      <c r="W1489" s="19">
        <f t="shared" si="8"/>
        <v>3.03</v>
      </c>
      <c r="X1489" s="218"/>
      <c r="Y1489" s="27"/>
      <c r="Z1489" s="17"/>
      <c r="AA1489" s="17"/>
      <c r="AB1489" s="17"/>
      <c r="AC1489" s="17"/>
      <c r="AD1489" s="27"/>
    </row>
    <row r="1490" ht="15.75" customHeight="1">
      <c r="A1490" s="218" t="s">
        <v>1966</v>
      </c>
      <c r="B1490" s="218" t="s">
        <v>2342</v>
      </c>
      <c r="C1490" s="216" t="s">
        <v>3469</v>
      </c>
      <c r="D1490" s="217" t="s">
        <v>99</v>
      </c>
      <c r="E1490" s="218"/>
      <c r="F1490" s="218"/>
      <c r="G1490" s="219">
        <f t="shared" si="10"/>
        <v>1.375685638</v>
      </c>
      <c r="H1490" s="217">
        <v>39.0</v>
      </c>
      <c r="I1490" s="236">
        <v>140.0</v>
      </c>
      <c r="J1490" s="217">
        <v>2.5</v>
      </c>
      <c r="K1490" s="217">
        <v>410.0</v>
      </c>
      <c r="L1490" s="218"/>
      <c r="M1490" s="223">
        <v>12.0</v>
      </c>
      <c r="N1490" s="223">
        <v>5.0</v>
      </c>
      <c r="O1490" s="223">
        <v>1.0</v>
      </c>
      <c r="P1490" s="223">
        <f t="shared" si="2"/>
        <v>6</v>
      </c>
      <c r="Q1490" s="237">
        <v>20.0</v>
      </c>
      <c r="R1490" s="242">
        <f t="shared" si="3"/>
        <v>101.7674359</v>
      </c>
      <c r="S1490" s="243">
        <f t="shared" si="4"/>
        <v>3.58974359</v>
      </c>
      <c r="T1490" s="24">
        <f t="shared" si="5"/>
        <v>0.6</v>
      </c>
      <c r="U1490" s="26">
        <f t="shared" si="6"/>
        <v>0.1495016611</v>
      </c>
      <c r="V1490" s="26">
        <f t="shared" si="7"/>
        <v>0.02657807309</v>
      </c>
      <c r="W1490" s="19">
        <f t="shared" si="8"/>
        <v>2.928571429</v>
      </c>
      <c r="X1490" s="218"/>
      <c r="Y1490" s="27"/>
      <c r="Z1490" s="17"/>
      <c r="AA1490" s="17"/>
      <c r="AB1490" s="17"/>
      <c r="AC1490" s="17"/>
      <c r="AD1490" s="27"/>
    </row>
    <row r="1491" ht="15.75" customHeight="1">
      <c r="A1491" s="216" t="s">
        <v>2319</v>
      </c>
      <c r="B1491" s="216" t="s">
        <v>3470</v>
      </c>
      <c r="C1491" s="216" t="s">
        <v>3471</v>
      </c>
      <c r="D1491" s="217" t="s">
        <v>99</v>
      </c>
      <c r="E1491" s="218"/>
      <c r="F1491" s="218"/>
      <c r="G1491" s="219">
        <f t="shared" si="10"/>
        <v>1.305137657</v>
      </c>
      <c r="H1491" s="220">
        <v>37.0</v>
      </c>
      <c r="I1491" s="221">
        <v>130.0</v>
      </c>
      <c r="J1491" s="220">
        <v>1.0</v>
      </c>
      <c r="K1491" s="220">
        <v>130.0</v>
      </c>
      <c r="L1491" s="220">
        <v>370.0</v>
      </c>
      <c r="M1491" s="222">
        <v>21.0</v>
      </c>
      <c r="N1491" s="222">
        <v>0.0</v>
      </c>
      <c r="O1491" s="222">
        <v>20.0</v>
      </c>
      <c r="P1491" s="223">
        <f t="shared" si="2"/>
        <v>1</v>
      </c>
      <c r="Q1491" s="224">
        <v>10.0</v>
      </c>
      <c r="R1491" s="242">
        <f t="shared" si="3"/>
        <v>99.60635135</v>
      </c>
      <c r="S1491" s="243">
        <f t="shared" si="4"/>
        <v>3.513513514</v>
      </c>
      <c r="T1491" s="24">
        <f t="shared" si="5"/>
        <v>2.1</v>
      </c>
      <c r="U1491" s="26">
        <f t="shared" si="6"/>
        <v>0.06766917293</v>
      </c>
      <c r="V1491" s="26">
        <f t="shared" si="7"/>
        <v>0.6015037594</v>
      </c>
      <c r="W1491" s="19">
        <f t="shared" si="8"/>
        <v>1</v>
      </c>
      <c r="X1491" s="218"/>
      <c r="Y1491" s="27"/>
      <c r="Z1491" s="17"/>
      <c r="AA1491" s="17"/>
      <c r="AB1491" s="17"/>
      <c r="AC1491" s="17"/>
      <c r="AD1491" s="27"/>
    </row>
    <row r="1492" ht="15.75" customHeight="1">
      <c r="A1492" s="216" t="s">
        <v>3472</v>
      </c>
      <c r="B1492" s="216" t="s">
        <v>3473</v>
      </c>
      <c r="C1492" s="216" t="s">
        <v>3474</v>
      </c>
      <c r="D1492" s="220" t="s">
        <v>81</v>
      </c>
      <c r="E1492" s="218"/>
      <c r="F1492" s="218"/>
      <c r="G1492" s="219">
        <f t="shared" si="10"/>
        <v>1.058219722</v>
      </c>
      <c r="H1492" s="220">
        <v>30.0</v>
      </c>
      <c r="I1492" s="221">
        <v>230.0</v>
      </c>
      <c r="J1492" s="220">
        <v>21.0</v>
      </c>
      <c r="K1492" s="220">
        <v>10.0</v>
      </c>
      <c r="L1492" s="218"/>
      <c r="M1492" s="230">
        <v>7.0</v>
      </c>
      <c r="N1492" s="230">
        <v>4.0</v>
      </c>
      <c r="O1492" s="230">
        <v>3.0</v>
      </c>
      <c r="P1492" s="223">
        <f t="shared" si="2"/>
        <v>0</v>
      </c>
      <c r="Q1492" s="231">
        <v>2.0</v>
      </c>
      <c r="R1492" s="228">
        <f t="shared" si="3"/>
        <v>217.3461667</v>
      </c>
      <c r="S1492" s="229">
        <f t="shared" si="4"/>
        <v>7.666666667</v>
      </c>
      <c r="T1492" s="24">
        <f t="shared" si="5"/>
        <v>3.5</v>
      </c>
      <c r="U1492" s="26">
        <f t="shared" si="6"/>
        <v>0.84</v>
      </c>
      <c r="V1492" s="26">
        <f t="shared" si="7"/>
        <v>0.05333333333</v>
      </c>
      <c r="W1492" s="19">
        <f t="shared" si="8"/>
        <v>0.04347826087</v>
      </c>
      <c r="X1492" s="218"/>
      <c r="Y1492" s="27"/>
      <c r="Z1492" s="17"/>
      <c r="AA1492" s="17"/>
      <c r="AB1492" s="17"/>
      <c r="AC1492" s="17"/>
      <c r="AD1492" s="27"/>
    </row>
    <row r="1493" ht="15.75" customHeight="1">
      <c r="A1493" s="216" t="s">
        <v>3475</v>
      </c>
      <c r="B1493" s="216" t="s">
        <v>3476</v>
      </c>
      <c r="C1493" s="216" t="s">
        <v>3477</v>
      </c>
      <c r="D1493" s="220" t="s">
        <v>81</v>
      </c>
      <c r="E1493" s="218"/>
      <c r="F1493" s="218"/>
      <c r="G1493" s="219">
        <f t="shared" si="10"/>
        <v>0.3527399072</v>
      </c>
      <c r="H1493" s="220">
        <v>10.0</v>
      </c>
      <c r="I1493" s="221">
        <v>70.0</v>
      </c>
      <c r="J1493" s="220">
        <v>6.0</v>
      </c>
      <c r="K1493" s="220">
        <v>5.0</v>
      </c>
      <c r="L1493" s="220">
        <v>60.0</v>
      </c>
      <c r="M1493" s="230">
        <v>3.0</v>
      </c>
      <c r="N1493" s="230">
        <v>2.0</v>
      </c>
      <c r="O1493" s="230">
        <v>1.0</v>
      </c>
      <c r="P1493" s="223">
        <f t="shared" si="2"/>
        <v>0</v>
      </c>
      <c r="Q1493" s="231">
        <v>1.0</v>
      </c>
      <c r="R1493" s="228">
        <f t="shared" si="3"/>
        <v>198.4465</v>
      </c>
      <c r="S1493" s="229">
        <f t="shared" si="4"/>
        <v>7</v>
      </c>
      <c r="T1493" s="24">
        <f t="shared" si="5"/>
        <v>3</v>
      </c>
      <c r="U1493" s="26">
        <f t="shared" si="6"/>
        <v>0.7714285714</v>
      </c>
      <c r="V1493" s="26">
        <f t="shared" si="7"/>
        <v>0.05714285714</v>
      </c>
      <c r="W1493" s="19">
        <f t="shared" si="8"/>
        <v>0.07142857143</v>
      </c>
      <c r="X1493" s="218"/>
      <c r="Y1493" s="27"/>
      <c r="Z1493" s="17"/>
      <c r="AA1493" s="17"/>
      <c r="AB1493" s="17"/>
      <c r="AC1493" s="17"/>
      <c r="AD1493" s="27"/>
    </row>
    <row r="1494" ht="15.75" customHeight="1">
      <c r="A1494" s="216" t="s">
        <v>3252</v>
      </c>
      <c r="B1494" s="216" t="s">
        <v>3478</v>
      </c>
      <c r="C1494" s="216" t="s">
        <v>3479</v>
      </c>
      <c r="D1494" s="220" t="s">
        <v>81</v>
      </c>
      <c r="E1494" s="218"/>
      <c r="F1494" s="218"/>
      <c r="G1494" s="219">
        <f t="shared" si="10"/>
        <v>0.5291098608</v>
      </c>
      <c r="H1494" s="220">
        <v>15.0</v>
      </c>
      <c r="I1494" s="221">
        <v>100.0</v>
      </c>
      <c r="J1494" s="220">
        <v>8.0</v>
      </c>
      <c r="K1494" s="220">
        <v>0.0</v>
      </c>
      <c r="L1494" s="220">
        <v>108.0</v>
      </c>
      <c r="M1494" s="222">
        <v>5.0</v>
      </c>
      <c r="N1494" s="222">
        <v>3.0</v>
      </c>
      <c r="O1494" s="222">
        <v>1.0</v>
      </c>
      <c r="P1494" s="223">
        <f t="shared" si="2"/>
        <v>1</v>
      </c>
      <c r="Q1494" s="231">
        <v>1.0</v>
      </c>
      <c r="R1494" s="228">
        <f t="shared" si="3"/>
        <v>188.9966667</v>
      </c>
      <c r="S1494" s="229">
        <f t="shared" si="4"/>
        <v>6.666666667</v>
      </c>
      <c r="T1494" s="24">
        <f t="shared" si="5"/>
        <v>5</v>
      </c>
      <c r="U1494" s="26">
        <f t="shared" si="6"/>
        <v>0.75</v>
      </c>
      <c r="V1494" s="26">
        <f t="shared" si="7"/>
        <v>0.04166666667</v>
      </c>
      <c r="W1494" s="19">
        <f t="shared" si="8"/>
        <v>0</v>
      </c>
      <c r="X1494" s="218"/>
      <c r="Y1494" s="27"/>
      <c r="Z1494" s="17"/>
      <c r="AA1494" s="17"/>
      <c r="AB1494" s="17"/>
      <c r="AC1494" s="17"/>
      <c r="AD1494" s="27"/>
    </row>
    <row r="1495" ht="15.75" customHeight="1">
      <c r="A1495" s="216" t="s">
        <v>3252</v>
      </c>
      <c r="B1495" s="216" t="s">
        <v>3480</v>
      </c>
      <c r="C1495" s="216" t="s">
        <v>3481</v>
      </c>
      <c r="D1495" s="220" t="s">
        <v>81</v>
      </c>
      <c r="E1495" s="218"/>
      <c r="F1495" s="218"/>
      <c r="G1495" s="219">
        <f t="shared" si="10"/>
        <v>0.5291098608</v>
      </c>
      <c r="H1495" s="220">
        <v>15.0</v>
      </c>
      <c r="I1495" s="221">
        <v>100.0</v>
      </c>
      <c r="J1495" s="220">
        <v>9.0</v>
      </c>
      <c r="K1495" s="220">
        <v>0.0</v>
      </c>
      <c r="L1495" s="220">
        <v>112.0</v>
      </c>
      <c r="M1495" s="222">
        <v>4.0</v>
      </c>
      <c r="N1495" s="222">
        <v>3.0</v>
      </c>
      <c r="O1495" s="222">
        <v>1.0</v>
      </c>
      <c r="P1495" s="223">
        <f t="shared" si="2"/>
        <v>0</v>
      </c>
      <c r="Q1495" s="231">
        <v>1.0</v>
      </c>
      <c r="R1495" s="228">
        <f t="shared" si="3"/>
        <v>188.9966667</v>
      </c>
      <c r="S1495" s="229">
        <f t="shared" si="4"/>
        <v>6.666666667</v>
      </c>
      <c r="T1495" s="24">
        <f t="shared" si="5"/>
        <v>4</v>
      </c>
      <c r="U1495" s="26">
        <f t="shared" si="6"/>
        <v>0.801980198</v>
      </c>
      <c r="V1495" s="26">
        <f t="shared" si="7"/>
        <v>0.0396039604</v>
      </c>
      <c r="W1495" s="19">
        <f t="shared" si="8"/>
        <v>0</v>
      </c>
      <c r="X1495" s="218"/>
      <c r="Y1495" s="27"/>
      <c r="Z1495" s="17"/>
      <c r="AA1495" s="17"/>
      <c r="AB1495" s="17"/>
      <c r="AC1495" s="17"/>
      <c r="AD1495" s="27"/>
    </row>
    <row r="1496" ht="15.75" customHeight="1">
      <c r="A1496" s="216" t="s">
        <v>450</v>
      </c>
      <c r="B1496" s="216" t="s">
        <v>3482</v>
      </c>
      <c r="C1496" s="216" t="s">
        <v>3483</v>
      </c>
      <c r="D1496" s="220" t="s">
        <v>81</v>
      </c>
      <c r="E1496" s="218"/>
      <c r="F1496" s="218"/>
      <c r="G1496" s="219">
        <f t="shared" si="10"/>
        <v>1.058219722</v>
      </c>
      <c r="H1496" s="220">
        <v>30.0</v>
      </c>
      <c r="I1496" s="221">
        <v>200.0</v>
      </c>
      <c r="J1496" s="220">
        <v>18.0</v>
      </c>
      <c r="K1496" s="220">
        <v>5.0</v>
      </c>
      <c r="L1496" s="218"/>
      <c r="M1496" s="222">
        <v>8.0</v>
      </c>
      <c r="N1496" s="222">
        <v>2.0</v>
      </c>
      <c r="O1496" s="222">
        <v>2.0</v>
      </c>
      <c r="P1496" s="223">
        <f t="shared" si="2"/>
        <v>4</v>
      </c>
      <c r="Q1496" s="231">
        <v>2.0</v>
      </c>
      <c r="R1496" s="228">
        <f t="shared" si="3"/>
        <v>188.9966667</v>
      </c>
      <c r="S1496" s="229">
        <f t="shared" si="4"/>
        <v>6.666666667</v>
      </c>
      <c r="T1496" s="24">
        <f t="shared" si="5"/>
        <v>4</v>
      </c>
      <c r="U1496" s="26">
        <f t="shared" si="6"/>
        <v>0.801980198</v>
      </c>
      <c r="V1496" s="26">
        <f t="shared" si="7"/>
        <v>0.0396039604</v>
      </c>
      <c r="W1496" s="19">
        <f t="shared" si="8"/>
        <v>0.025</v>
      </c>
      <c r="X1496" s="218"/>
      <c r="Y1496" s="27"/>
      <c r="Z1496" s="17"/>
      <c r="AA1496" s="17"/>
      <c r="AB1496" s="17"/>
      <c r="AC1496" s="17"/>
      <c r="AD1496" s="27"/>
    </row>
    <row r="1497" ht="15.75" customHeight="1">
      <c r="A1497" s="216" t="s">
        <v>3484</v>
      </c>
      <c r="B1497" s="216" t="s">
        <v>3485</v>
      </c>
      <c r="C1497" s="216" t="s">
        <v>3486</v>
      </c>
      <c r="D1497" s="220" t="s">
        <v>81</v>
      </c>
      <c r="E1497" s="218"/>
      <c r="F1497" s="218"/>
      <c r="G1497" s="219">
        <f t="shared" si="10"/>
        <v>1.058219722</v>
      </c>
      <c r="H1497" s="220">
        <v>30.0</v>
      </c>
      <c r="I1497" s="221">
        <v>198.0</v>
      </c>
      <c r="J1497" s="220">
        <v>12.9</v>
      </c>
      <c r="K1497" s="220">
        <v>7.0</v>
      </c>
      <c r="L1497" s="218"/>
      <c r="M1497" s="222">
        <v>5.0</v>
      </c>
      <c r="N1497" s="222">
        <v>3.0</v>
      </c>
      <c r="O1497" s="222">
        <v>1.0</v>
      </c>
      <c r="P1497" s="223">
        <f t="shared" si="2"/>
        <v>1</v>
      </c>
      <c r="Q1497" s="231">
        <v>1.0</v>
      </c>
      <c r="R1497" s="228">
        <f t="shared" si="3"/>
        <v>187.1067</v>
      </c>
      <c r="S1497" s="229">
        <f t="shared" si="4"/>
        <v>6.6</v>
      </c>
      <c r="T1497" s="24">
        <f t="shared" si="5"/>
        <v>5</v>
      </c>
      <c r="U1497" s="26">
        <f t="shared" si="6"/>
        <v>0.8286937901</v>
      </c>
      <c r="V1497" s="26">
        <f t="shared" si="7"/>
        <v>0.02855103498</v>
      </c>
      <c r="W1497" s="19">
        <f t="shared" si="8"/>
        <v>0.03535353535</v>
      </c>
      <c r="X1497" s="218"/>
      <c r="Y1497" s="27"/>
      <c r="Z1497" s="17"/>
      <c r="AA1497" s="17"/>
      <c r="AB1497" s="17"/>
      <c r="AC1497" s="17"/>
      <c r="AD1497" s="27"/>
    </row>
    <row r="1498" ht="15.75" customHeight="1">
      <c r="A1498" s="216" t="s">
        <v>3392</v>
      </c>
      <c r="B1498" s="216" t="s">
        <v>3487</v>
      </c>
      <c r="C1498" s="216" t="s">
        <v>3488</v>
      </c>
      <c r="D1498" s="220" t="s">
        <v>81</v>
      </c>
      <c r="E1498" s="218"/>
      <c r="F1498" s="218"/>
      <c r="G1498" s="219">
        <f t="shared" si="10"/>
        <v>0.6702058237</v>
      </c>
      <c r="H1498" s="220">
        <v>19.0</v>
      </c>
      <c r="I1498" s="221">
        <v>120.0</v>
      </c>
      <c r="J1498" s="220">
        <v>9.0</v>
      </c>
      <c r="K1498" s="220">
        <v>45.0</v>
      </c>
      <c r="L1498" s="218"/>
      <c r="M1498" s="230">
        <v>8.0</v>
      </c>
      <c r="N1498" s="230">
        <v>3.0</v>
      </c>
      <c r="O1498" s="230">
        <v>4.0</v>
      </c>
      <c r="P1498" s="223">
        <f t="shared" si="2"/>
        <v>1</v>
      </c>
      <c r="Q1498" s="231">
        <v>2.0</v>
      </c>
      <c r="R1498" s="228">
        <f t="shared" si="3"/>
        <v>179.0494737</v>
      </c>
      <c r="S1498" s="229">
        <f t="shared" si="4"/>
        <v>6.315789474</v>
      </c>
      <c r="T1498" s="24">
        <f t="shared" si="5"/>
        <v>4</v>
      </c>
      <c r="U1498" s="26">
        <f t="shared" si="6"/>
        <v>0.6694214876</v>
      </c>
      <c r="V1498" s="26">
        <f t="shared" si="7"/>
        <v>0.132231405</v>
      </c>
      <c r="W1498" s="19">
        <f t="shared" si="8"/>
        <v>0.375</v>
      </c>
      <c r="X1498" s="218"/>
      <c r="Y1498" s="27"/>
      <c r="Z1498" s="17"/>
      <c r="AA1498" s="17"/>
      <c r="AB1498" s="17"/>
      <c r="AC1498" s="17"/>
      <c r="AD1498" s="27"/>
    </row>
    <row r="1499" ht="15.75" customHeight="1">
      <c r="A1499" s="216" t="s">
        <v>3489</v>
      </c>
      <c r="B1499" s="216" t="s">
        <v>3490</v>
      </c>
      <c r="C1499" s="216" t="s">
        <v>3491</v>
      </c>
      <c r="D1499" s="220" t="s">
        <v>81</v>
      </c>
      <c r="E1499" s="218"/>
      <c r="F1499" s="218"/>
      <c r="G1499" s="219">
        <f t="shared" si="10"/>
        <v>1.763699536</v>
      </c>
      <c r="H1499" s="220">
        <v>50.0</v>
      </c>
      <c r="I1499" s="221">
        <v>280.0</v>
      </c>
      <c r="J1499" s="220">
        <v>18.0</v>
      </c>
      <c r="K1499" s="220">
        <v>100.0</v>
      </c>
      <c r="L1499" s="220">
        <v>360.0</v>
      </c>
      <c r="M1499" s="230">
        <v>27.0</v>
      </c>
      <c r="N1499" s="230">
        <v>2.0</v>
      </c>
      <c r="O1499" s="230">
        <v>2.0</v>
      </c>
      <c r="P1499" s="223">
        <f t="shared" si="2"/>
        <v>23</v>
      </c>
      <c r="Q1499" s="231">
        <v>2.0</v>
      </c>
      <c r="R1499" s="232">
        <f t="shared" si="3"/>
        <v>158.7572</v>
      </c>
      <c r="S1499" s="233">
        <f t="shared" si="4"/>
        <v>5.6</v>
      </c>
      <c r="T1499" s="24">
        <f t="shared" si="5"/>
        <v>13.5</v>
      </c>
      <c r="U1499" s="26">
        <f t="shared" si="6"/>
        <v>0.5827338129</v>
      </c>
      <c r="V1499" s="26">
        <f t="shared" si="7"/>
        <v>0.02877697842</v>
      </c>
      <c r="W1499" s="19">
        <f t="shared" si="8"/>
        <v>0.3571428571</v>
      </c>
      <c r="X1499" s="218"/>
      <c r="Y1499" s="27"/>
      <c r="Z1499" s="17"/>
      <c r="AA1499" s="17"/>
      <c r="AB1499" s="17"/>
      <c r="AC1499" s="17"/>
      <c r="AD1499" s="27"/>
    </row>
    <row r="1500" ht="15.75" customHeight="1">
      <c r="A1500" s="216" t="s">
        <v>3492</v>
      </c>
      <c r="B1500" s="216" t="s">
        <v>3493</v>
      </c>
      <c r="C1500" s="216" t="s">
        <v>3494</v>
      </c>
      <c r="D1500" s="220" t="s">
        <v>81</v>
      </c>
      <c r="E1500" s="218"/>
      <c r="F1500" s="218"/>
      <c r="G1500" s="219">
        <f t="shared" si="10"/>
        <v>1.058219722</v>
      </c>
      <c r="H1500" s="220">
        <v>30.0</v>
      </c>
      <c r="I1500" s="221">
        <v>160.0</v>
      </c>
      <c r="J1500" s="220">
        <v>5.0</v>
      </c>
      <c r="K1500" s="220">
        <v>15.0</v>
      </c>
      <c r="L1500" s="220">
        <v>50.0</v>
      </c>
      <c r="M1500" s="230">
        <v>7.0</v>
      </c>
      <c r="N1500" s="230">
        <v>2.0</v>
      </c>
      <c r="O1500" s="230">
        <v>6.0</v>
      </c>
      <c r="P1500" s="223">
        <f t="shared" si="2"/>
        <v>-1</v>
      </c>
      <c r="Q1500" s="231">
        <v>0.0</v>
      </c>
      <c r="R1500" s="234">
        <f t="shared" si="3"/>
        <v>151.1973333</v>
      </c>
      <c r="S1500" s="235">
        <f t="shared" si="4"/>
        <v>5.333333333</v>
      </c>
      <c r="T1500" s="24" t="str">
        <f t="shared" si="5"/>
        <v>N/A</v>
      </c>
      <c r="U1500" s="26">
        <f t="shared" si="6"/>
        <v>0.6164383562</v>
      </c>
      <c r="V1500" s="26">
        <f t="shared" si="7"/>
        <v>0.3287671233</v>
      </c>
      <c r="W1500" s="19">
        <f t="shared" si="8"/>
        <v>0.09375</v>
      </c>
      <c r="X1500" s="218"/>
      <c r="Y1500" s="27"/>
      <c r="Z1500" s="17"/>
      <c r="AA1500" s="17"/>
      <c r="AB1500" s="17"/>
      <c r="AC1500" s="17"/>
      <c r="AD1500" s="27"/>
    </row>
    <row r="1501" ht="15.75" customHeight="1">
      <c r="A1501" s="218" t="s">
        <v>244</v>
      </c>
      <c r="B1501" s="218" t="s">
        <v>3495</v>
      </c>
      <c r="C1501" s="216" t="s">
        <v>3496</v>
      </c>
      <c r="D1501" s="217" t="s">
        <v>247</v>
      </c>
      <c r="E1501" s="218"/>
      <c r="F1501" s="218"/>
      <c r="G1501" s="219">
        <f t="shared" si="10"/>
        <v>0.9171237588</v>
      </c>
      <c r="H1501" s="217">
        <v>26.0</v>
      </c>
      <c r="I1501" s="236">
        <v>150.0</v>
      </c>
      <c r="J1501" s="217">
        <v>13.0</v>
      </c>
      <c r="K1501" s="217">
        <v>380.0</v>
      </c>
      <c r="L1501" s="218"/>
      <c r="M1501" s="223">
        <v>0.0</v>
      </c>
      <c r="N1501" s="223">
        <v>0.0</v>
      </c>
      <c r="O1501" s="223">
        <v>0.0</v>
      </c>
      <c r="P1501" s="223">
        <f t="shared" si="2"/>
        <v>0</v>
      </c>
      <c r="Q1501" s="237">
        <v>8.0</v>
      </c>
      <c r="R1501" s="232">
        <f t="shared" si="3"/>
        <v>163.5548077</v>
      </c>
      <c r="S1501" s="233">
        <f t="shared" si="4"/>
        <v>5.769230769</v>
      </c>
      <c r="T1501" s="24">
        <f t="shared" si="5"/>
        <v>0</v>
      </c>
      <c r="U1501" s="26">
        <f t="shared" si="6"/>
        <v>0.7852348993</v>
      </c>
      <c r="V1501" s="26" t="str">
        <f t="shared" si="7"/>
        <v>0%</v>
      </c>
      <c r="W1501" s="19">
        <f t="shared" si="8"/>
        <v>2.533333333</v>
      </c>
      <c r="X1501" s="218"/>
      <c r="Y1501" s="27"/>
      <c r="Z1501" s="17"/>
      <c r="AA1501" s="17"/>
      <c r="AB1501" s="17"/>
      <c r="AC1501" s="17"/>
      <c r="AD1501" s="27"/>
    </row>
    <row r="1502" ht="15.75" customHeight="1">
      <c r="A1502" s="218" t="s">
        <v>3497</v>
      </c>
      <c r="B1502" s="218" t="s">
        <v>3498</v>
      </c>
      <c r="C1502" s="216" t="s">
        <v>3499</v>
      </c>
      <c r="D1502" s="217" t="s">
        <v>247</v>
      </c>
      <c r="E1502" s="218"/>
      <c r="F1502" s="218"/>
      <c r="G1502" s="219">
        <f t="shared" si="10"/>
        <v>2.201097021</v>
      </c>
      <c r="H1502" s="217">
        <v>62.4</v>
      </c>
      <c r="I1502" s="236">
        <v>293.0</v>
      </c>
      <c r="J1502" s="217">
        <v>26.0</v>
      </c>
      <c r="K1502" s="218"/>
      <c r="L1502" s="218"/>
      <c r="M1502" s="223">
        <v>0.0</v>
      </c>
      <c r="N1502" s="244"/>
      <c r="O1502" s="244"/>
      <c r="P1502" s="223">
        <f t="shared" si="2"/>
        <v>0</v>
      </c>
      <c r="Q1502" s="237">
        <v>15.0</v>
      </c>
      <c r="R1502" s="238">
        <f t="shared" si="3"/>
        <v>133.1154407</v>
      </c>
      <c r="S1502" s="239">
        <f t="shared" si="4"/>
        <v>4.695512821</v>
      </c>
      <c r="T1502" s="24">
        <f t="shared" si="5"/>
        <v>0</v>
      </c>
      <c r="U1502" s="26">
        <f t="shared" si="6"/>
        <v>0.7959183673</v>
      </c>
      <c r="V1502" s="26" t="str">
        <f t="shared" si="7"/>
        <v>0%</v>
      </c>
      <c r="W1502" s="19">
        <f t="shared" si="8"/>
        <v>0</v>
      </c>
      <c r="X1502" s="218"/>
      <c r="Y1502" s="27"/>
      <c r="Z1502" s="17"/>
      <c r="AA1502" s="17"/>
      <c r="AB1502" s="17"/>
      <c r="AC1502" s="17"/>
      <c r="AD1502" s="27"/>
    </row>
    <row r="1503" ht="15.75" customHeight="1">
      <c r="A1503" s="218" t="s">
        <v>3500</v>
      </c>
      <c r="B1503" s="218" t="s">
        <v>3498</v>
      </c>
      <c r="C1503" s="216" t="s">
        <v>3501</v>
      </c>
      <c r="D1503" s="217" t="s">
        <v>247</v>
      </c>
      <c r="E1503" s="218"/>
      <c r="F1503" s="218"/>
      <c r="G1503" s="219">
        <f t="shared" si="10"/>
        <v>3.245207147</v>
      </c>
      <c r="H1503" s="217">
        <v>92.0</v>
      </c>
      <c r="I1503" s="236">
        <v>360.0</v>
      </c>
      <c r="J1503" s="217">
        <v>34.0</v>
      </c>
      <c r="K1503" s="218"/>
      <c r="L1503" s="218"/>
      <c r="M1503" s="223">
        <v>4.0</v>
      </c>
      <c r="N1503" s="244"/>
      <c r="O1503" s="244"/>
      <c r="P1503" s="223">
        <f t="shared" si="2"/>
        <v>4</v>
      </c>
      <c r="Q1503" s="237">
        <v>17.0</v>
      </c>
      <c r="R1503" s="240">
        <f t="shared" si="3"/>
        <v>110.9328261</v>
      </c>
      <c r="S1503" s="241">
        <f t="shared" si="4"/>
        <v>3.913043478</v>
      </c>
      <c r="T1503" s="24">
        <f t="shared" si="5"/>
        <v>0.2352941176</v>
      </c>
      <c r="U1503" s="26">
        <f t="shared" si="6"/>
        <v>0.7846153846</v>
      </c>
      <c r="V1503" s="26" t="str">
        <f t="shared" si="7"/>
        <v>0%</v>
      </c>
      <c r="W1503" s="19">
        <f t="shared" si="8"/>
        <v>0</v>
      </c>
      <c r="X1503" s="218"/>
      <c r="Y1503" s="27"/>
      <c r="Z1503" s="17"/>
      <c r="AA1503" s="17"/>
      <c r="AB1503" s="17"/>
      <c r="AC1503" s="17"/>
      <c r="AD1503" s="27"/>
    </row>
    <row r="1504" ht="15.75" customHeight="1">
      <c r="A1504" s="216" t="s">
        <v>3175</v>
      </c>
      <c r="B1504" s="216" t="s">
        <v>3502</v>
      </c>
      <c r="C1504" s="216" t="s">
        <v>3503</v>
      </c>
      <c r="D1504" s="220" t="s">
        <v>103</v>
      </c>
      <c r="E1504" s="218"/>
      <c r="F1504" s="218"/>
      <c r="G1504" s="219">
        <f t="shared" si="10"/>
        <v>0.9876717402</v>
      </c>
      <c r="H1504" s="220">
        <v>28.0</v>
      </c>
      <c r="I1504" s="221">
        <v>215.0</v>
      </c>
      <c r="J1504" s="220">
        <v>21.0</v>
      </c>
      <c r="K1504" s="220">
        <v>25.0</v>
      </c>
      <c r="L1504" s="218"/>
      <c r="M1504" s="230">
        <v>5.0</v>
      </c>
      <c r="N1504" s="230">
        <v>3.0</v>
      </c>
      <c r="O1504" s="230">
        <v>2.0</v>
      </c>
      <c r="P1504" s="223">
        <f t="shared" si="2"/>
        <v>0</v>
      </c>
      <c r="Q1504" s="231">
        <v>2.0</v>
      </c>
      <c r="R1504" s="228">
        <f t="shared" si="3"/>
        <v>217.6836607</v>
      </c>
      <c r="S1504" s="229">
        <f t="shared" si="4"/>
        <v>7.678571429</v>
      </c>
      <c r="T1504" s="24">
        <f t="shared" si="5"/>
        <v>2.5</v>
      </c>
      <c r="U1504" s="26">
        <f t="shared" si="6"/>
        <v>0.8709677419</v>
      </c>
      <c r="V1504" s="26">
        <f t="shared" si="7"/>
        <v>0.03686635945</v>
      </c>
      <c r="W1504" s="19">
        <f t="shared" si="8"/>
        <v>0.1162790698</v>
      </c>
      <c r="X1504" s="218"/>
      <c r="Y1504" s="27"/>
      <c r="Z1504" s="17"/>
      <c r="AA1504" s="17"/>
      <c r="AB1504" s="17"/>
      <c r="AC1504" s="17"/>
      <c r="AD1504" s="27"/>
    </row>
    <row r="1505" ht="15.75" customHeight="1">
      <c r="A1505" s="216" t="s">
        <v>3175</v>
      </c>
      <c r="B1505" s="216" t="s">
        <v>3504</v>
      </c>
      <c r="C1505" s="216" t="s">
        <v>3505</v>
      </c>
      <c r="D1505" s="220" t="s">
        <v>103</v>
      </c>
      <c r="E1505" s="218"/>
      <c r="F1505" s="218"/>
      <c r="G1505" s="219">
        <f t="shared" si="10"/>
        <v>0.9876717402</v>
      </c>
      <c r="H1505" s="220">
        <v>28.0</v>
      </c>
      <c r="I1505" s="221">
        <v>215.0</v>
      </c>
      <c r="J1505" s="220">
        <v>22.0</v>
      </c>
      <c r="K1505" s="220">
        <v>25.0</v>
      </c>
      <c r="L1505" s="218"/>
      <c r="M1505" s="230">
        <v>4.0</v>
      </c>
      <c r="N1505" s="230">
        <v>3.0</v>
      </c>
      <c r="O1505" s="230">
        <v>1.0</v>
      </c>
      <c r="P1505" s="223">
        <f t="shared" si="2"/>
        <v>0</v>
      </c>
      <c r="Q1505" s="231">
        <v>2.0</v>
      </c>
      <c r="R1505" s="228">
        <f t="shared" si="3"/>
        <v>217.6836607</v>
      </c>
      <c r="S1505" s="229">
        <f t="shared" si="4"/>
        <v>7.678571429</v>
      </c>
      <c r="T1505" s="24">
        <f t="shared" si="5"/>
        <v>2</v>
      </c>
      <c r="U1505" s="26">
        <f t="shared" si="6"/>
        <v>0.8918918919</v>
      </c>
      <c r="V1505" s="26">
        <f t="shared" si="7"/>
        <v>0.01801801802</v>
      </c>
      <c r="W1505" s="19">
        <f t="shared" si="8"/>
        <v>0.1162790698</v>
      </c>
      <c r="X1505" s="218"/>
      <c r="Y1505" s="27"/>
      <c r="Z1505" s="17"/>
      <c r="AA1505" s="17"/>
      <c r="AB1505" s="17"/>
      <c r="AC1505" s="17"/>
      <c r="AD1505" s="27"/>
    </row>
    <row r="1506" ht="15.75" customHeight="1">
      <c r="A1506" s="216" t="s">
        <v>3175</v>
      </c>
      <c r="B1506" s="216" t="s">
        <v>3506</v>
      </c>
      <c r="C1506" s="216" t="s">
        <v>3507</v>
      </c>
      <c r="D1506" s="220" t="s">
        <v>103</v>
      </c>
      <c r="E1506" s="218"/>
      <c r="F1506" s="218"/>
      <c r="G1506" s="219">
        <f t="shared" si="10"/>
        <v>0.9876717402</v>
      </c>
      <c r="H1506" s="220">
        <v>28.0</v>
      </c>
      <c r="I1506" s="221">
        <v>210.0</v>
      </c>
      <c r="J1506" s="220">
        <v>22.0</v>
      </c>
      <c r="K1506" s="220">
        <v>30.0</v>
      </c>
      <c r="L1506" s="218"/>
      <c r="M1506" s="230">
        <v>4.0</v>
      </c>
      <c r="N1506" s="230">
        <v>3.0</v>
      </c>
      <c r="O1506" s="230">
        <v>2.0</v>
      </c>
      <c r="P1506" s="223">
        <f t="shared" si="2"/>
        <v>-1</v>
      </c>
      <c r="Q1506" s="231">
        <v>2.0</v>
      </c>
      <c r="R1506" s="228">
        <f t="shared" si="3"/>
        <v>212.62125</v>
      </c>
      <c r="S1506" s="229">
        <f t="shared" si="4"/>
        <v>7.5</v>
      </c>
      <c r="T1506" s="24">
        <f t="shared" si="5"/>
        <v>2</v>
      </c>
      <c r="U1506" s="26">
        <f t="shared" si="6"/>
        <v>0.8918918919</v>
      </c>
      <c r="V1506" s="26">
        <f t="shared" si="7"/>
        <v>0.03603603604</v>
      </c>
      <c r="W1506" s="19">
        <f t="shared" si="8"/>
        <v>0.1428571429</v>
      </c>
      <c r="X1506" s="218"/>
      <c r="Y1506" s="27"/>
      <c r="Z1506" s="17"/>
      <c r="AA1506" s="17"/>
      <c r="AB1506" s="17"/>
      <c r="AC1506" s="17"/>
      <c r="AD1506" s="27"/>
    </row>
    <row r="1507" ht="15.75" customHeight="1">
      <c r="A1507" s="216" t="s">
        <v>3175</v>
      </c>
      <c r="B1507" s="216" t="s">
        <v>3508</v>
      </c>
      <c r="C1507" s="216" t="s">
        <v>3509</v>
      </c>
      <c r="D1507" s="220" t="s">
        <v>103</v>
      </c>
      <c r="E1507" s="218"/>
      <c r="F1507" s="218"/>
      <c r="G1507" s="219">
        <f t="shared" si="10"/>
        <v>0.9876717402</v>
      </c>
      <c r="H1507" s="220">
        <v>28.0</v>
      </c>
      <c r="I1507" s="221">
        <v>205.0</v>
      </c>
      <c r="J1507" s="220">
        <v>21.0</v>
      </c>
      <c r="K1507" s="220">
        <v>30.0</v>
      </c>
      <c r="L1507" s="218"/>
      <c r="M1507" s="230">
        <v>5.0</v>
      </c>
      <c r="N1507" s="230">
        <v>3.0</v>
      </c>
      <c r="O1507" s="230">
        <v>2.0</v>
      </c>
      <c r="P1507" s="223">
        <f t="shared" si="2"/>
        <v>0</v>
      </c>
      <c r="Q1507" s="231">
        <v>2.0</v>
      </c>
      <c r="R1507" s="228">
        <f t="shared" si="3"/>
        <v>207.5588393</v>
      </c>
      <c r="S1507" s="229">
        <f t="shared" si="4"/>
        <v>7.321428571</v>
      </c>
      <c r="T1507" s="24">
        <f t="shared" si="5"/>
        <v>2.5</v>
      </c>
      <c r="U1507" s="26">
        <f t="shared" si="6"/>
        <v>0.8709677419</v>
      </c>
      <c r="V1507" s="26">
        <f t="shared" si="7"/>
        <v>0.03686635945</v>
      </c>
      <c r="W1507" s="19">
        <f t="shared" si="8"/>
        <v>0.1463414634</v>
      </c>
      <c r="X1507" s="218"/>
      <c r="Y1507" s="27"/>
      <c r="Z1507" s="17"/>
      <c r="AA1507" s="17"/>
      <c r="AB1507" s="17"/>
      <c r="AC1507" s="17"/>
      <c r="AD1507" s="27"/>
    </row>
    <row r="1508" ht="15.75" customHeight="1">
      <c r="A1508" s="216" t="s">
        <v>3175</v>
      </c>
      <c r="B1508" s="216" t="s">
        <v>3510</v>
      </c>
      <c r="C1508" s="216" t="s">
        <v>3511</v>
      </c>
      <c r="D1508" s="220" t="s">
        <v>103</v>
      </c>
      <c r="E1508" s="218"/>
      <c r="F1508" s="218"/>
      <c r="G1508" s="219">
        <f t="shared" si="10"/>
        <v>0.9876717402</v>
      </c>
      <c r="H1508" s="220">
        <v>28.0</v>
      </c>
      <c r="I1508" s="221">
        <v>202.0</v>
      </c>
      <c r="J1508" s="220">
        <v>21.0</v>
      </c>
      <c r="K1508" s="220">
        <v>25.0</v>
      </c>
      <c r="L1508" s="218"/>
      <c r="M1508" s="230">
        <v>4.0</v>
      </c>
      <c r="N1508" s="230">
        <v>3.0</v>
      </c>
      <c r="O1508" s="230">
        <v>1.0</v>
      </c>
      <c r="P1508" s="223">
        <f t="shared" si="2"/>
        <v>0</v>
      </c>
      <c r="Q1508" s="231">
        <v>2.0</v>
      </c>
      <c r="R1508" s="228">
        <f t="shared" si="3"/>
        <v>204.5213929</v>
      </c>
      <c r="S1508" s="229">
        <f t="shared" si="4"/>
        <v>7.214285714</v>
      </c>
      <c r="T1508" s="24">
        <f t="shared" si="5"/>
        <v>2</v>
      </c>
      <c r="U1508" s="26">
        <f t="shared" si="6"/>
        <v>0.8873239437</v>
      </c>
      <c r="V1508" s="26">
        <f t="shared" si="7"/>
        <v>0.01877934272</v>
      </c>
      <c r="W1508" s="19">
        <f t="shared" si="8"/>
        <v>0.1237623762</v>
      </c>
      <c r="X1508" s="218"/>
      <c r="Y1508" s="27"/>
      <c r="Z1508" s="17"/>
      <c r="AA1508" s="17"/>
      <c r="AB1508" s="17"/>
      <c r="AC1508" s="17"/>
      <c r="AD1508" s="27"/>
    </row>
    <row r="1509" ht="15.75" customHeight="1">
      <c r="A1509" s="218" t="s">
        <v>3512</v>
      </c>
      <c r="B1509" s="218" t="s">
        <v>3513</v>
      </c>
      <c r="C1509" s="216" t="s">
        <v>3514</v>
      </c>
      <c r="D1509" s="217" t="s">
        <v>103</v>
      </c>
      <c r="E1509" s="218"/>
      <c r="F1509" s="218"/>
      <c r="G1509" s="219">
        <f t="shared" si="10"/>
        <v>0.9876717402</v>
      </c>
      <c r="H1509" s="217">
        <v>28.0</v>
      </c>
      <c r="I1509" s="236">
        <v>190.0</v>
      </c>
      <c r="J1509" s="217">
        <v>17.0</v>
      </c>
      <c r="K1509" s="217">
        <v>5.0</v>
      </c>
      <c r="L1509" s="218"/>
      <c r="M1509" s="223">
        <v>3.0</v>
      </c>
      <c r="N1509" s="223">
        <v>1.0</v>
      </c>
      <c r="O1509" s="223">
        <v>0.0</v>
      </c>
      <c r="P1509" s="223">
        <f t="shared" si="2"/>
        <v>2</v>
      </c>
      <c r="Q1509" s="237">
        <v>6.0</v>
      </c>
      <c r="R1509" s="228">
        <f t="shared" si="3"/>
        <v>192.3716071</v>
      </c>
      <c r="S1509" s="229">
        <f t="shared" si="4"/>
        <v>6.785714286</v>
      </c>
      <c r="T1509" s="24">
        <f t="shared" si="5"/>
        <v>0.5</v>
      </c>
      <c r="U1509" s="26">
        <f t="shared" si="6"/>
        <v>0.8095238095</v>
      </c>
      <c r="V1509" s="26" t="str">
        <f t="shared" si="7"/>
        <v>0%</v>
      </c>
      <c r="W1509" s="19">
        <f t="shared" si="8"/>
        <v>0.02631578947</v>
      </c>
      <c r="X1509" s="218"/>
      <c r="Y1509" s="27"/>
      <c r="Z1509" s="17"/>
      <c r="AA1509" s="17"/>
      <c r="AB1509" s="17"/>
      <c r="AC1509" s="17"/>
      <c r="AD1509" s="27"/>
    </row>
    <row r="1510" ht="15.75" customHeight="1">
      <c r="A1510" s="216" t="s">
        <v>3472</v>
      </c>
      <c r="B1510" s="216" t="s">
        <v>218</v>
      </c>
      <c r="C1510" s="216" t="s">
        <v>3515</v>
      </c>
      <c r="D1510" s="220" t="s">
        <v>96</v>
      </c>
      <c r="E1510" s="218"/>
      <c r="F1510" s="218"/>
      <c r="G1510" s="219">
        <f t="shared" si="10"/>
        <v>1.058219722</v>
      </c>
      <c r="H1510" s="220">
        <v>30.0</v>
      </c>
      <c r="I1510" s="221">
        <v>220.0</v>
      </c>
      <c r="J1510" s="220">
        <v>20.0</v>
      </c>
      <c r="K1510" s="220">
        <v>3.0</v>
      </c>
      <c r="L1510" s="220">
        <v>324.0</v>
      </c>
      <c r="M1510" s="230">
        <v>4.0</v>
      </c>
      <c r="N1510" s="230">
        <v>2.0</v>
      </c>
      <c r="O1510" s="230">
        <v>1.0</v>
      </c>
      <c r="P1510" s="223">
        <f t="shared" si="2"/>
        <v>1</v>
      </c>
      <c r="Q1510" s="231">
        <v>12.0</v>
      </c>
      <c r="R1510" s="228">
        <f t="shared" si="3"/>
        <v>207.8963333</v>
      </c>
      <c r="S1510" s="229">
        <f t="shared" si="4"/>
        <v>7.333333333</v>
      </c>
      <c r="T1510" s="24">
        <f t="shared" si="5"/>
        <v>0.3333333333</v>
      </c>
      <c r="U1510" s="26">
        <f t="shared" si="6"/>
        <v>0.737704918</v>
      </c>
      <c r="V1510" s="26">
        <f t="shared" si="7"/>
        <v>0.01639344262</v>
      </c>
      <c r="W1510" s="19">
        <f t="shared" si="8"/>
        <v>0.01363636364</v>
      </c>
      <c r="X1510" s="218"/>
      <c r="Y1510" s="27"/>
      <c r="Z1510" s="17"/>
      <c r="AA1510" s="17"/>
      <c r="AB1510" s="17"/>
      <c r="AC1510" s="17"/>
      <c r="AD1510" s="27"/>
    </row>
    <row r="1511" ht="15.75" customHeight="1">
      <c r="A1511" s="216" t="s">
        <v>3516</v>
      </c>
      <c r="B1511" s="216" t="s">
        <v>3517</v>
      </c>
      <c r="C1511" s="216" t="s">
        <v>3518</v>
      </c>
      <c r="D1511" s="220" t="s">
        <v>96</v>
      </c>
      <c r="E1511" s="218"/>
      <c r="F1511" s="218"/>
      <c r="G1511" s="219">
        <f t="shared" si="10"/>
        <v>0.9876717402</v>
      </c>
      <c r="H1511" s="220">
        <v>28.0</v>
      </c>
      <c r="I1511" s="221">
        <v>200.0</v>
      </c>
      <c r="J1511" s="220">
        <v>20.0</v>
      </c>
      <c r="K1511" s="220">
        <v>0.0</v>
      </c>
      <c r="L1511" s="220">
        <v>115.0</v>
      </c>
      <c r="M1511" s="222">
        <v>4.0</v>
      </c>
      <c r="N1511" s="222">
        <v>3.0</v>
      </c>
      <c r="O1511" s="222">
        <v>1.0</v>
      </c>
      <c r="P1511" s="223">
        <f t="shared" si="2"/>
        <v>0</v>
      </c>
      <c r="Q1511" s="231">
        <v>3.0</v>
      </c>
      <c r="R1511" s="228">
        <f t="shared" si="3"/>
        <v>202.4964286</v>
      </c>
      <c r="S1511" s="229">
        <f t="shared" si="4"/>
        <v>7.142857143</v>
      </c>
      <c r="T1511" s="24">
        <f t="shared" si="5"/>
        <v>1.333333333</v>
      </c>
      <c r="U1511" s="26">
        <f t="shared" si="6"/>
        <v>0.8653846154</v>
      </c>
      <c r="V1511" s="26">
        <f t="shared" si="7"/>
        <v>0.01923076923</v>
      </c>
      <c r="W1511" s="19">
        <f t="shared" si="8"/>
        <v>0</v>
      </c>
      <c r="X1511" s="218"/>
      <c r="Y1511" s="27"/>
      <c r="Z1511" s="17"/>
      <c r="AA1511" s="17"/>
      <c r="AB1511" s="17"/>
      <c r="AC1511" s="17"/>
      <c r="AD1511" s="27"/>
    </row>
    <row r="1512" ht="15.75" customHeight="1">
      <c r="A1512" s="216" t="s">
        <v>3472</v>
      </c>
      <c r="B1512" s="216" t="s">
        <v>3519</v>
      </c>
      <c r="C1512" s="216" t="s">
        <v>3520</v>
      </c>
      <c r="D1512" s="220" t="s">
        <v>96</v>
      </c>
      <c r="E1512" s="218"/>
      <c r="F1512" s="218"/>
      <c r="G1512" s="219">
        <f t="shared" si="10"/>
        <v>1.410959629</v>
      </c>
      <c r="H1512" s="220">
        <v>40.0</v>
      </c>
      <c r="I1512" s="221">
        <v>280.0</v>
      </c>
      <c r="J1512" s="220">
        <v>29.0</v>
      </c>
      <c r="K1512" s="220">
        <v>10.0</v>
      </c>
      <c r="L1512" s="220">
        <v>164.0</v>
      </c>
      <c r="M1512" s="230">
        <v>6.0</v>
      </c>
      <c r="N1512" s="230">
        <v>2.0</v>
      </c>
      <c r="O1512" s="230">
        <v>2.0</v>
      </c>
      <c r="P1512" s="223">
        <f t="shared" si="2"/>
        <v>2</v>
      </c>
      <c r="Q1512" s="231">
        <v>2.0</v>
      </c>
      <c r="R1512" s="228">
        <f t="shared" si="3"/>
        <v>198.4465</v>
      </c>
      <c r="S1512" s="229">
        <f t="shared" si="4"/>
        <v>7</v>
      </c>
      <c r="T1512" s="24">
        <f t="shared" si="5"/>
        <v>3</v>
      </c>
      <c r="U1512" s="26">
        <f t="shared" si="6"/>
        <v>0.8907849829</v>
      </c>
      <c r="V1512" s="26">
        <f t="shared" si="7"/>
        <v>0.02730375427</v>
      </c>
      <c r="W1512" s="19">
        <f t="shared" si="8"/>
        <v>0.03571428571</v>
      </c>
      <c r="X1512" s="218"/>
      <c r="Y1512" s="27"/>
      <c r="Z1512" s="17"/>
      <c r="AA1512" s="17"/>
      <c r="AB1512" s="17"/>
      <c r="AC1512" s="17"/>
      <c r="AD1512" s="27"/>
    </row>
    <row r="1513" ht="15.75" customHeight="1">
      <c r="A1513" s="216" t="s">
        <v>64</v>
      </c>
      <c r="B1513" s="216" t="s">
        <v>3521</v>
      </c>
      <c r="C1513" s="216" t="s">
        <v>3522</v>
      </c>
      <c r="D1513" s="220" t="s">
        <v>96</v>
      </c>
      <c r="E1513" s="218"/>
      <c r="F1513" s="218"/>
      <c r="G1513" s="219">
        <f t="shared" si="10"/>
        <v>1.058219722</v>
      </c>
      <c r="H1513" s="220">
        <v>30.0</v>
      </c>
      <c r="I1513" s="221">
        <v>200.0</v>
      </c>
      <c r="J1513" s="220">
        <v>17.0</v>
      </c>
      <c r="K1513" s="220">
        <v>0.0</v>
      </c>
      <c r="L1513" s="220">
        <v>171.0</v>
      </c>
      <c r="M1513" s="230">
        <v>6.0</v>
      </c>
      <c r="N1513" s="230">
        <v>3.0</v>
      </c>
      <c r="O1513" s="230">
        <v>1.0</v>
      </c>
      <c r="P1513" s="223">
        <f t="shared" si="2"/>
        <v>2</v>
      </c>
      <c r="Q1513" s="231">
        <v>5.0</v>
      </c>
      <c r="R1513" s="228">
        <f t="shared" si="3"/>
        <v>188.9966667</v>
      </c>
      <c r="S1513" s="229">
        <f t="shared" si="4"/>
        <v>6.666666667</v>
      </c>
      <c r="T1513" s="24">
        <f t="shared" si="5"/>
        <v>1.2</v>
      </c>
      <c r="U1513" s="26">
        <f t="shared" si="6"/>
        <v>0.7766497462</v>
      </c>
      <c r="V1513" s="26">
        <f t="shared" si="7"/>
        <v>0.02030456853</v>
      </c>
      <c r="W1513" s="19">
        <f t="shared" si="8"/>
        <v>0</v>
      </c>
      <c r="X1513" s="218"/>
      <c r="Y1513" s="27"/>
      <c r="Z1513" s="17"/>
      <c r="AA1513" s="17"/>
      <c r="AB1513" s="17"/>
      <c r="AC1513" s="17"/>
      <c r="AD1513" s="27"/>
    </row>
    <row r="1514" ht="15.75" customHeight="1">
      <c r="A1514" s="216" t="s">
        <v>3472</v>
      </c>
      <c r="B1514" s="216" t="s">
        <v>3523</v>
      </c>
      <c r="C1514" s="216" t="s">
        <v>3524</v>
      </c>
      <c r="D1514" s="220" t="s">
        <v>96</v>
      </c>
      <c r="E1514" s="218"/>
      <c r="F1514" s="218"/>
      <c r="G1514" s="219">
        <f t="shared" si="10"/>
        <v>1.410959629</v>
      </c>
      <c r="H1514" s="220">
        <v>40.0</v>
      </c>
      <c r="I1514" s="221">
        <v>260.0</v>
      </c>
      <c r="J1514" s="220">
        <v>27.0</v>
      </c>
      <c r="K1514" s="220">
        <v>1.0</v>
      </c>
      <c r="L1514" s="218"/>
      <c r="M1514" s="230">
        <v>4.0</v>
      </c>
      <c r="N1514" s="230">
        <v>2.0</v>
      </c>
      <c r="O1514" s="230">
        <v>1.0</v>
      </c>
      <c r="P1514" s="223">
        <f t="shared" si="2"/>
        <v>1</v>
      </c>
      <c r="Q1514" s="231">
        <v>6.0</v>
      </c>
      <c r="R1514" s="228">
        <f t="shared" si="3"/>
        <v>184.27175</v>
      </c>
      <c r="S1514" s="229">
        <f t="shared" si="4"/>
        <v>6.5</v>
      </c>
      <c r="T1514" s="24">
        <f t="shared" si="5"/>
        <v>0.6666666667</v>
      </c>
      <c r="U1514" s="26">
        <f t="shared" si="6"/>
        <v>0.8586572438</v>
      </c>
      <c r="V1514" s="26">
        <f t="shared" si="7"/>
        <v>0.01413427562</v>
      </c>
      <c r="W1514" s="19">
        <f t="shared" si="8"/>
        <v>0.003846153846</v>
      </c>
      <c r="X1514" s="218"/>
      <c r="Y1514" s="27"/>
      <c r="Z1514" s="17"/>
      <c r="AA1514" s="17"/>
      <c r="AB1514" s="17"/>
      <c r="AC1514" s="17"/>
      <c r="AD1514" s="27"/>
    </row>
    <row r="1515" ht="15.75" customHeight="1">
      <c r="A1515" s="216" t="s">
        <v>3525</v>
      </c>
      <c r="B1515" s="218" t="s">
        <v>3526</v>
      </c>
      <c r="C1515" s="216" t="s">
        <v>3527</v>
      </c>
      <c r="D1515" s="220" t="s">
        <v>96</v>
      </c>
      <c r="E1515" s="218"/>
      <c r="F1515" s="218"/>
      <c r="G1515" s="219">
        <f t="shared" si="10"/>
        <v>1.763699536</v>
      </c>
      <c r="H1515" s="220">
        <v>50.0</v>
      </c>
      <c r="I1515" s="221">
        <v>320.0</v>
      </c>
      <c r="J1515" s="220">
        <v>31.0</v>
      </c>
      <c r="K1515" s="220">
        <v>190.0</v>
      </c>
      <c r="L1515" s="220">
        <v>350.0</v>
      </c>
      <c r="M1515" s="230">
        <v>9.0</v>
      </c>
      <c r="N1515" s="230">
        <v>5.0</v>
      </c>
      <c r="O1515" s="230">
        <v>2.0</v>
      </c>
      <c r="P1515" s="223">
        <f t="shared" si="2"/>
        <v>2</v>
      </c>
      <c r="Q1515" s="231">
        <v>7.0</v>
      </c>
      <c r="R1515" s="228">
        <f t="shared" si="3"/>
        <v>181.4368</v>
      </c>
      <c r="S1515" s="229">
        <f t="shared" si="4"/>
        <v>6.4</v>
      </c>
      <c r="T1515" s="24">
        <f t="shared" si="5"/>
        <v>1.285714286</v>
      </c>
      <c r="U1515" s="26">
        <f t="shared" si="6"/>
        <v>0.8134110787</v>
      </c>
      <c r="V1515" s="26">
        <f t="shared" si="7"/>
        <v>0.02332361516</v>
      </c>
      <c r="W1515" s="19">
        <f t="shared" si="8"/>
        <v>0.59375</v>
      </c>
      <c r="X1515" s="218"/>
      <c r="Y1515" s="27"/>
      <c r="Z1515" s="17"/>
      <c r="AA1515" s="17"/>
      <c r="AB1515" s="17"/>
      <c r="AC1515" s="17"/>
      <c r="AD1515" s="27"/>
    </row>
    <row r="1516" ht="15.75" customHeight="1">
      <c r="A1516" s="216" t="s">
        <v>3525</v>
      </c>
      <c r="B1516" s="218" t="s">
        <v>3528</v>
      </c>
      <c r="C1516" s="216" t="s">
        <v>3529</v>
      </c>
      <c r="D1516" s="220" t="s">
        <v>96</v>
      </c>
      <c r="E1516" s="218"/>
      <c r="F1516" s="218"/>
      <c r="G1516" s="219">
        <f t="shared" si="10"/>
        <v>1.763699536</v>
      </c>
      <c r="H1516" s="220">
        <v>50.0</v>
      </c>
      <c r="I1516" s="221">
        <v>320.0</v>
      </c>
      <c r="J1516" s="220">
        <v>27.0</v>
      </c>
      <c r="K1516" s="220">
        <v>270.0</v>
      </c>
      <c r="L1516" s="220">
        <v>0.0</v>
      </c>
      <c r="M1516" s="230">
        <v>10.0</v>
      </c>
      <c r="N1516" s="230">
        <v>5.0</v>
      </c>
      <c r="O1516" s="230">
        <v>2.0</v>
      </c>
      <c r="P1516" s="223">
        <f t="shared" si="2"/>
        <v>3</v>
      </c>
      <c r="Q1516" s="231">
        <v>9.0</v>
      </c>
      <c r="R1516" s="228">
        <f t="shared" si="3"/>
        <v>181.4368</v>
      </c>
      <c r="S1516" s="229">
        <f t="shared" si="4"/>
        <v>6.4</v>
      </c>
      <c r="T1516" s="24">
        <f t="shared" si="5"/>
        <v>1.111111111</v>
      </c>
      <c r="U1516" s="26">
        <f t="shared" si="6"/>
        <v>0.7617554859</v>
      </c>
      <c r="V1516" s="26">
        <f t="shared" si="7"/>
        <v>0.02507836991</v>
      </c>
      <c r="W1516" s="19">
        <f t="shared" si="8"/>
        <v>0.84375</v>
      </c>
      <c r="X1516" s="218"/>
      <c r="Y1516" s="27"/>
      <c r="Z1516" s="17"/>
      <c r="AA1516" s="17"/>
      <c r="AB1516" s="17"/>
      <c r="AC1516" s="17"/>
      <c r="AD1516" s="27"/>
    </row>
    <row r="1517" ht="15.75" customHeight="1">
      <c r="A1517" s="216" t="s">
        <v>3525</v>
      </c>
      <c r="B1517" s="218" t="s">
        <v>3530</v>
      </c>
      <c r="C1517" s="216" t="s">
        <v>3531</v>
      </c>
      <c r="D1517" s="220" t="s">
        <v>96</v>
      </c>
      <c r="E1517" s="218"/>
      <c r="F1517" s="218"/>
      <c r="G1517" s="219">
        <f t="shared" si="10"/>
        <v>1.763699536</v>
      </c>
      <c r="H1517" s="220">
        <v>50.0</v>
      </c>
      <c r="I1517" s="221">
        <v>300.0</v>
      </c>
      <c r="J1517" s="220">
        <v>26.0</v>
      </c>
      <c r="K1517" s="220">
        <v>250.0</v>
      </c>
      <c r="L1517" s="220">
        <v>350.0</v>
      </c>
      <c r="M1517" s="230">
        <v>11.0</v>
      </c>
      <c r="N1517" s="230">
        <v>5.0</v>
      </c>
      <c r="O1517" s="230">
        <v>2.0</v>
      </c>
      <c r="P1517" s="223">
        <f t="shared" si="2"/>
        <v>4</v>
      </c>
      <c r="Q1517" s="231">
        <v>10.0</v>
      </c>
      <c r="R1517" s="228">
        <f t="shared" si="3"/>
        <v>170.097</v>
      </c>
      <c r="S1517" s="229">
        <f t="shared" si="4"/>
        <v>6</v>
      </c>
      <c r="T1517" s="24">
        <f t="shared" si="5"/>
        <v>1.1</v>
      </c>
      <c r="U1517" s="26">
        <f t="shared" si="6"/>
        <v>0.7358490566</v>
      </c>
      <c r="V1517" s="26">
        <f t="shared" si="7"/>
        <v>0.0251572327</v>
      </c>
      <c r="W1517" s="19">
        <f t="shared" si="8"/>
        <v>0.8333333333</v>
      </c>
      <c r="X1517" s="218"/>
      <c r="Y1517" s="27"/>
      <c r="Z1517" s="17"/>
      <c r="AA1517" s="17"/>
      <c r="AB1517" s="17"/>
      <c r="AC1517" s="17"/>
      <c r="AD1517" s="27"/>
    </row>
    <row r="1518" ht="15.75" customHeight="1">
      <c r="A1518" s="216" t="s">
        <v>3532</v>
      </c>
      <c r="B1518" s="216" t="s">
        <v>3533</v>
      </c>
      <c r="C1518" s="216" t="s">
        <v>3534</v>
      </c>
      <c r="D1518" s="217" t="s">
        <v>96</v>
      </c>
      <c r="E1518" s="218"/>
      <c r="F1518" s="218"/>
      <c r="G1518" s="219">
        <f t="shared" si="10"/>
        <v>1.058219722</v>
      </c>
      <c r="H1518" s="220">
        <v>30.0</v>
      </c>
      <c r="I1518" s="221">
        <v>180.0</v>
      </c>
      <c r="J1518" s="220">
        <v>14.0</v>
      </c>
      <c r="K1518" s="220">
        <v>0.0</v>
      </c>
      <c r="L1518" s="220">
        <v>382.0</v>
      </c>
      <c r="M1518" s="222">
        <v>1.0</v>
      </c>
      <c r="N1518" s="222">
        <v>1.0</v>
      </c>
      <c r="O1518" s="222">
        <v>0.0</v>
      </c>
      <c r="P1518" s="223">
        <f t="shared" si="2"/>
        <v>0</v>
      </c>
      <c r="Q1518" s="224">
        <v>10.0</v>
      </c>
      <c r="R1518" s="228">
        <f t="shared" si="3"/>
        <v>170.097</v>
      </c>
      <c r="S1518" s="229">
        <f t="shared" si="4"/>
        <v>6</v>
      </c>
      <c r="T1518" s="24">
        <f t="shared" si="5"/>
        <v>0.1</v>
      </c>
      <c r="U1518" s="26">
        <f t="shared" si="6"/>
        <v>0.7411764706</v>
      </c>
      <c r="V1518" s="26" t="str">
        <f t="shared" si="7"/>
        <v>0%</v>
      </c>
      <c r="W1518" s="19">
        <f t="shared" si="8"/>
        <v>0</v>
      </c>
      <c r="X1518" s="218"/>
      <c r="Y1518" s="27"/>
      <c r="Z1518" s="17"/>
      <c r="AA1518" s="17"/>
      <c r="AB1518" s="17"/>
      <c r="AC1518" s="17"/>
      <c r="AD1518" s="27"/>
    </row>
    <row r="1519" ht="15.75" customHeight="1">
      <c r="A1519" s="216" t="s">
        <v>3472</v>
      </c>
      <c r="B1519" s="216" t="s">
        <v>3535</v>
      </c>
      <c r="C1519" s="216" t="s">
        <v>3536</v>
      </c>
      <c r="D1519" s="220" t="s">
        <v>96</v>
      </c>
      <c r="E1519" s="218"/>
      <c r="F1519" s="218"/>
      <c r="G1519" s="219">
        <f t="shared" si="10"/>
        <v>1.410959629</v>
      </c>
      <c r="H1519" s="220">
        <v>40.0</v>
      </c>
      <c r="I1519" s="221">
        <v>240.0</v>
      </c>
      <c r="J1519" s="220">
        <v>21.0</v>
      </c>
      <c r="K1519" s="220">
        <v>25.0</v>
      </c>
      <c r="L1519" s="220">
        <v>328.0</v>
      </c>
      <c r="M1519" s="230">
        <v>8.0</v>
      </c>
      <c r="N1519" s="230">
        <v>4.0</v>
      </c>
      <c r="O1519" s="230">
        <v>1.0</v>
      </c>
      <c r="P1519" s="223">
        <f t="shared" si="2"/>
        <v>3</v>
      </c>
      <c r="Q1519" s="231">
        <v>9.0</v>
      </c>
      <c r="R1519" s="228">
        <f t="shared" si="3"/>
        <v>170.097</v>
      </c>
      <c r="S1519" s="229">
        <f t="shared" si="4"/>
        <v>6</v>
      </c>
      <c r="T1519" s="24">
        <f t="shared" si="5"/>
        <v>0.8888888889</v>
      </c>
      <c r="U1519" s="26">
        <f t="shared" si="6"/>
        <v>0.7354085603</v>
      </c>
      <c r="V1519" s="26">
        <f t="shared" si="7"/>
        <v>0.01556420233</v>
      </c>
      <c r="W1519" s="19">
        <f t="shared" si="8"/>
        <v>0.1041666667</v>
      </c>
      <c r="X1519" s="218"/>
      <c r="Y1519" s="27"/>
      <c r="Z1519" s="17"/>
      <c r="AA1519" s="17"/>
      <c r="AB1519" s="17"/>
      <c r="AC1519" s="17"/>
      <c r="AD1519" s="27"/>
    </row>
    <row r="1520" ht="15.75" customHeight="1">
      <c r="A1520" s="216" t="s">
        <v>3525</v>
      </c>
      <c r="B1520" s="218" t="s">
        <v>3537</v>
      </c>
      <c r="C1520" s="216" t="s">
        <v>3538</v>
      </c>
      <c r="D1520" s="220" t="s">
        <v>96</v>
      </c>
      <c r="E1520" s="218"/>
      <c r="F1520" s="218"/>
      <c r="G1520" s="219">
        <f t="shared" si="10"/>
        <v>1.763699536</v>
      </c>
      <c r="H1520" s="220">
        <v>50.0</v>
      </c>
      <c r="I1520" s="221">
        <v>290.0</v>
      </c>
      <c r="J1520" s="220">
        <v>23.0</v>
      </c>
      <c r="K1520" s="220">
        <v>70.0</v>
      </c>
      <c r="L1520" s="220">
        <v>300.0</v>
      </c>
      <c r="M1520" s="230">
        <v>14.0</v>
      </c>
      <c r="N1520" s="230">
        <v>6.0</v>
      </c>
      <c r="O1520" s="230">
        <v>2.0</v>
      </c>
      <c r="P1520" s="223">
        <f t="shared" si="2"/>
        <v>6</v>
      </c>
      <c r="Q1520" s="231">
        <v>9.0</v>
      </c>
      <c r="R1520" s="232">
        <f t="shared" si="3"/>
        <v>164.4271</v>
      </c>
      <c r="S1520" s="233">
        <f t="shared" si="4"/>
        <v>5.8</v>
      </c>
      <c r="T1520" s="24">
        <f t="shared" si="5"/>
        <v>1.555555556</v>
      </c>
      <c r="U1520" s="26">
        <f t="shared" si="6"/>
        <v>0.6923076923</v>
      </c>
      <c r="V1520" s="26">
        <f t="shared" si="7"/>
        <v>0.02675585284</v>
      </c>
      <c r="W1520" s="19">
        <f t="shared" si="8"/>
        <v>0.2413793103</v>
      </c>
      <c r="X1520" s="218"/>
      <c r="Y1520" s="27"/>
      <c r="Z1520" s="17"/>
      <c r="AA1520" s="17"/>
      <c r="AB1520" s="17"/>
      <c r="AC1520" s="17"/>
      <c r="AD1520" s="27"/>
    </row>
    <row r="1521" ht="15.75" customHeight="1">
      <c r="A1521" s="216" t="s">
        <v>3525</v>
      </c>
      <c r="B1521" s="218" t="s">
        <v>3539</v>
      </c>
      <c r="C1521" s="216" t="s">
        <v>3540</v>
      </c>
      <c r="D1521" s="220" t="s">
        <v>96</v>
      </c>
      <c r="E1521" s="218"/>
      <c r="F1521" s="218"/>
      <c r="G1521" s="219">
        <f t="shared" si="10"/>
        <v>1.763699536</v>
      </c>
      <c r="H1521" s="220">
        <v>50.0</v>
      </c>
      <c r="I1521" s="221">
        <v>290.0</v>
      </c>
      <c r="J1521" s="220">
        <v>25.0</v>
      </c>
      <c r="K1521" s="220">
        <v>290.0</v>
      </c>
      <c r="L1521" s="220">
        <v>350.0</v>
      </c>
      <c r="M1521" s="230">
        <v>8.0</v>
      </c>
      <c r="N1521" s="230">
        <v>4.0</v>
      </c>
      <c r="O1521" s="230">
        <v>3.0</v>
      </c>
      <c r="P1521" s="223">
        <f t="shared" si="2"/>
        <v>1</v>
      </c>
      <c r="Q1521" s="231">
        <v>14.0</v>
      </c>
      <c r="R1521" s="232">
        <f t="shared" si="3"/>
        <v>164.4271</v>
      </c>
      <c r="S1521" s="233">
        <f t="shared" si="4"/>
        <v>5.8</v>
      </c>
      <c r="T1521" s="24">
        <f t="shared" si="5"/>
        <v>0.5714285714</v>
      </c>
      <c r="U1521" s="26">
        <f t="shared" si="6"/>
        <v>0.7188498403</v>
      </c>
      <c r="V1521" s="26">
        <f t="shared" si="7"/>
        <v>0.03833865815</v>
      </c>
      <c r="W1521" s="19">
        <f t="shared" si="8"/>
        <v>1</v>
      </c>
      <c r="X1521" s="218"/>
      <c r="Y1521" s="27"/>
      <c r="Z1521" s="17"/>
      <c r="AA1521" s="17"/>
      <c r="AB1521" s="17"/>
      <c r="AC1521" s="17"/>
      <c r="AD1521" s="27"/>
    </row>
    <row r="1522" ht="15.75" customHeight="1">
      <c r="A1522" s="216" t="s">
        <v>3392</v>
      </c>
      <c r="B1522" s="216" t="s">
        <v>3541</v>
      </c>
      <c r="C1522" s="216" t="s">
        <v>3542</v>
      </c>
      <c r="D1522" s="220" t="s">
        <v>96</v>
      </c>
      <c r="E1522" s="218"/>
      <c r="F1522" s="218"/>
      <c r="G1522" s="219">
        <f t="shared" si="10"/>
        <v>1.058219722</v>
      </c>
      <c r="H1522" s="220">
        <v>30.0</v>
      </c>
      <c r="I1522" s="221">
        <v>170.0</v>
      </c>
      <c r="J1522" s="220">
        <v>12.0</v>
      </c>
      <c r="K1522" s="220">
        <v>180.0</v>
      </c>
      <c r="L1522" s="218"/>
      <c r="M1522" s="230">
        <v>11.0</v>
      </c>
      <c r="N1522" s="230">
        <v>2.0</v>
      </c>
      <c r="O1522" s="230">
        <v>3.0</v>
      </c>
      <c r="P1522" s="223">
        <f t="shared" si="2"/>
        <v>6</v>
      </c>
      <c r="Q1522" s="231">
        <v>5.0</v>
      </c>
      <c r="R1522" s="232">
        <f t="shared" si="3"/>
        <v>160.6471667</v>
      </c>
      <c r="S1522" s="233">
        <f t="shared" si="4"/>
        <v>5.666666667</v>
      </c>
      <c r="T1522" s="24">
        <f t="shared" si="5"/>
        <v>2.2</v>
      </c>
      <c r="U1522" s="26">
        <f t="shared" si="6"/>
        <v>0.6279069767</v>
      </c>
      <c r="V1522" s="26">
        <f t="shared" si="7"/>
        <v>0.06976744186</v>
      </c>
      <c r="W1522" s="19">
        <f t="shared" si="8"/>
        <v>1.058823529</v>
      </c>
      <c r="X1522" s="218"/>
      <c r="Y1522" s="27"/>
      <c r="Z1522" s="17"/>
      <c r="AA1522" s="17"/>
      <c r="AB1522" s="17"/>
      <c r="AC1522" s="17"/>
      <c r="AD1522" s="27"/>
    </row>
    <row r="1523" ht="15.75" customHeight="1">
      <c r="A1523" s="216" t="s">
        <v>3525</v>
      </c>
      <c r="B1523" s="218" t="s">
        <v>3543</v>
      </c>
      <c r="C1523" s="216" t="s">
        <v>3544</v>
      </c>
      <c r="D1523" s="220" t="s">
        <v>96</v>
      </c>
      <c r="E1523" s="218"/>
      <c r="F1523" s="218"/>
      <c r="G1523" s="219">
        <f t="shared" si="10"/>
        <v>1.763699536</v>
      </c>
      <c r="H1523" s="220">
        <v>50.0</v>
      </c>
      <c r="I1523" s="221">
        <v>280.0</v>
      </c>
      <c r="J1523" s="220">
        <v>23.0</v>
      </c>
      <c r="K1523" s="220">
        <v>10.0</v>
      </c>
      <c r="L1523" s="220">
        <v>350.0</v>
      </c>
      <c r="M1523" s="230">
        <v>14.0</v>
      </c>
      <c r="N1523" s="230">
        <v>5.0</v>
      </c>
      <c r="O1523" s="230">
        <v>3.0</v>
      </c>
      <c r="P1523" s="223">
        <f t="shared" si="2"/>
        <v>6</v>
      </c>
      <c r="Q1523" s="231">
        <v>9.0</v>
      </c>
      <c r="R1523" s="232">
        <f t="shared" si="3"/>
        <v>158.7572</v>
      </c>
      <c r="S1523" s="233">
        <f t="shared" si="4"/>
        <v>5.6</v>
      </c>
      <c r="T1523" s="24">
        <f t="shared" si="5"/>
        <v>1.555555556</v>
      </c>
      <c r="U1523" s="26">
        <f t="shared" si="6"/>
        <v>0.6923076923</v>
      </c>
      <c r="V1523" s="26">
        <f t="shared" si="7"/>
        <v>0.04013377926</v>
      </c>
      <c r="W1523" s="19">
        <f t="shared" si="8"/>
        <v>0.03571428571</v>
      </c>
      <c r="X1523" s="218"/>
      <c r="Y1523" s="27"/>
      <c r="Z1523" s="17"/>
      <c r="AA1523" s="17"/>
      <c r="AB1523" s="17"/>
      <c r="AC1523" s="17"/>
      <c r="AD1523" s="27"/>
    </row>
    <row r="1524" ht="15.75" customHeight="1">
      <c r="A1524" s="216" t="s">
        <v>3525</v>
      </c>
      <c r="B1524" s="218" t="s">
        <v>3545</v>
      </c>
      <c r="C1524" s="216" t="s">
        <v>3546</v>
      </c>
      <c r="D1524" s="220" t="s">
        <v>96</v>
      </c>
      <c r="E1524" s="218"/>
      <c r="F1524" s="218"/>
      <c r="G1524" s="219">
        <f t="shared" si="10"/>
        <v>1.763699536</v>
      </c>
      <c r="H1524" s="220">
        <v>50.0</v>
      </c>
      <c r="I1524" s="221">
        <v>280.0</v>
      </c>
      <c r="J1524" s="220">
        <v>25.0</v>
      </c>
      <c r="K1524" s="220">
        <v>100.0</v>
      </c>
      <c r="L1524" s="220">
        <v>400.0</v>
      </c>
      <c r="M1524" s="230">
        <v>5.0</v>
      </c>
      <c r="N1524" s="230">
        <v>3.0</v>
      </c>
      <c r="O1524" s="230">
        <v>1.0</v>
      </c>
      <c r="P1524" s="223">
        <f t="shared" si="2"/>
        <v>1</v>
      </c>
      <c r="Q1524" s="231">
        <v>15.0</v>
      </c>
      <c r="R1524" s="232">
        <f t="shared" si="3"/>
        <v>158.7572</v>
      </c>
      <c r="S1524" s="233">
        <f t="shared" si="4"/>
        <v>5.6</v>
      </c>
      <c r="T1524" s="24">
        <f t="shared" si="5"/>
        <v>0.3333333333</v>
      </c>
      <c r="U1524" s="26">
        <f t="shared" si="6"/>
        <v>0.737704918</v>
      </c>
      <c r="V1524" s="26">
        <f t="shared" si="7"/>
        <v>0.0131147541</v>
      </c>
      <c r="W1524" s="19">
        <f t="shared" si="8"/>
        <v>0.3571428571</v>
      </c>
      <c r="X1524" s="218"/>
      <c r="Y1524" s="27"/>
      <c r="Z1524" s="17"/>
      <c r="AA1524" s="17"/>
      <c r="AB1524" s="17"/>
      <c r="AC1524" s="17"/>
      <c r="AD1524" s="27"/>
    </row>
    <row r="1525" ht="15.75" customHeight="1">
      <c r="A1525" s="216" t="s">
        <v>3525</v>
      </c>
      <c r="B1525" s="218" t="s">
        <v>3547</v>
      </c>
      <c r="C1525" s="216" t="s">
        <v>3548</v>
      </c>
      <c r="D1525" s="220" t="s">
        <v>96</v>
      </c>
      <c r="E1525" s="218"/>
      <c r="F1525" s="218"/>
      <c r="G1525" s="219">
        <f t="shared" si="10"/>
        <v>1.763699536</v>
      </c>
      <c r="H1525" s="220">
        <v>50.0</v>
      </c>
      <c r="I1525" s="221">
        <v>280.0</v>
      </c>
      <c r="J1525" s="220">
        <v>25.0</v>
      </c>
      <c r="K1525" s="220">
        <v>0.0</v>
      </c>
      <c r="L1525" s="220">
        <v>400.0</v>
      </c>
      <c r="M1525" s="230">
        <v>5.0</v>
      </c>
      <c r="N1525" s="230">
        <v>3.0</v>
      </c>
      <c r="O1525" s="230">
        <v>1.0</v>
      </c>
      <c r="P1525" s="223">
        <f t="shared" si="2"/>
        <v>1</v>
      </c>
      <c r="Q1525" s="231">
        <v>15.0</v>
      </c>
      <c r="R1525" s="232">
        <f t="shared" si="3"/>
        <v>158.7572</v>
      </c>
      <c r="S1525" s="233">
        <f t="shared" si="4"/>
        <v>5.6</v>
      </c>
      <c r="T1525" s="24">
        <f t="shared" si="5"/>
        <v>0.3333333333</v>
      </c>
      <c r="U1525" s="26">
        <f t="shared" si="6"/>
        <v>0.737704918</v>
      </c>
      <c r="V1525" s="26">
        <f t="shared" si="7"/>
        <v>0.0131147541</v>
      </c>
      <c r="W1525" s="19">
        <f t="shared" si="8"/>
        <v>0</v>
      </c>
      <c r="X1525" s="218"/>
      <c r="Y1525" s="27"/>
      <c r="Z1525" s="17"/>
      <c r="AA1525" s="17"/>
      <c r="AB1525" s="17"/>
      <c r="AC1525" s="17"/>
      <c r="AD1525" s="27"/>
    </row>
    <row r="1526" ht="15.75" customHeight="1">
      <c r="A1526" s="216" t="s">
        <v>3549</v>
      </c>
      <c r="B1526" s="216" t="s">
        <v>3550</v>
      </c>
      <c r="C1526" s="216" t="s">
        <v>3551</v>
      </c>
      <c r="D1526" s="220" t="s">
        <v>96</v>
      </c>
      <c r="E1526" s="218"/>
      <c r="F1526" s="218"/>
      <c r="G1526" s="219">
        <f t="shared" si="10"/>
        <v>1.093493712</v>
      </c>
      <c r="H1526" s="220">
        <v>31.0</v>
      </c>
      <c r="I1526" s="221">
        <v>170.0</v>
      </c>
      <c r="J1526" s="220">
        <v>13.0</v>
      </c>
      <c r="K1526" s="220">
        <v>20.0</v>
      </c>
      <c r="L1526" s="220">
        <v>130.0</v>
      </c>
      <c r="M1526" s="230">
        <v>13.0</v>
      </c>
      <c r="N1526" s="230">
        <v>2.0</v>
      </c>
      <c r="O1526" s="230">
        <v>10.0</v>
      </c>
      <c r="P1526" s="223">
        <f t="shared" si="2"/>
        <v>1</v>
      </c>
      <c r="Q1526" s="231">
        <v>4.0</v>
      </c>
      <c r="R1526" s="232">
        <f t="shared" si="3"/>
        <v>155.465</v>
      </c>
      <c r="S1526" s="233">
        <f t="shared" si="4"/>
        <v>5.483870968</v>
      </c>
      <c r="T1526" s="24">
        <f t="shared" si="5"/>
        <v>3.25</v>
      </c>
      <c r="U1526" s="26">
        <f t="shared" si="6"/>
        <v>0.6324324324</v>
      </c>
      <c r="V1526" s="26">
        <f t="shared" si="7"/>
        <v>0.2162162162</v>
      </c>
      <c r="W1526" s="19">
        <f t="shared" si="8"/>
        <v>0.1176470588</v>
      </c>
      <c r="X1526" s="218"/>
      <c r="Y1526" s="27"/>
      <c r="Z1526" s="17"/>
      <c r="AA1526" s="17"/>
      <c r="AB1526" s="17"/>
      <c r="AC1526" s="17"/>
      <c r="AD1526" s="27"/>
    </row>
    <row r="1527" ht="15.75" customHeight="1">
      <c r="A1527" s="216" t="s">
        <v>3525</v>
      </c>
      <c r="B1527" s="218" t="s">
        <v>3552</v>
      </c>
      <c r="C1527" s="216" t="s">
        <v>3553</v>
      </c>
      <c r="D1527" s="220" t="s">
        <v>96</v>
      </c>
      <c r="E1527" s="218"/>
      <c r="F1527" s="218"/>
      <c r="G1527" s="219">
        <f t="shared" si="10"/>
        <v>1.234589675</v>
      </c>
      <c r="H1527" s="220">
        <v>35.0</v>
      </c>
      <c r="I1527" s="221">
        <v>190.0</v>
      </c>
      <c r="J1527" s="220">
        <v>14.0</v>
      </c>
      <c r="K1527" s="220">
        <v>10.0</v>
      </c>
      <c r="L1527" s="220">
        <v>95.0</v>
      </c>
      <c r="M1527" s="230">
        <v>16.0</v>
      </c>
      <c r="N1527" s="230">
        <v>3.0</v>
      </c>
      <c r="O1527" s="230">
        <v>11.0</v>
      </c>
      <c r="P1527" s="223">
        <f t="shared" si="2"/>
        <v>2</v>
      </c>
      <c r="Q1527" s="231">
        <v>4.0</v>
      </c>
      <c r="R1527" s="234">
        <f t="shared" si="3"/>
        <v>153.8972857</v>
      </c>
      <c r="S1527" s="235">
        <f t="shared" si="4"/>
        <v>5.428571429</v>
      </c>
      <c r="T1527" s="24">
        <f t="shared" si="5"/>
        <v>4</v>
      </c>
      <c r="U1527" s="26">
        <f t="shared" si="6"/>
        <v>0.6116504854</v>
      </c>
      <c r="V1527" s="26">
        <f t="shared" si="7"/>
        <v>0.213592233</v>
      </c>
      <c r="W1527" s="19">
        <f t="shared" si="8"/>
        <v>0.05263157895</v>
      </c>
      <c r="X1527" s="218"/>
      <c r="Y1527" s="27"/>
      <c r="Z1527" s="17"/>
      <c r="AA1527" s="17"/>
      <c r="AB1527" s="17"/>
      <c r="AC1527" s="17"/>
      <c r="AD1527" s="27"/>
    </row>
    <row r="1528" ht="15.75" customHeight="1">
      <c r="A1528" s="216" t="s">
        <v>3525</v>
      </c>
      <c r="B1528" s="218" t="s">
        <v>3554</v>
      </c>
      <c r="C1528" s="216" t="s">
        <v>3555</v>
      </c>
      <c r="D1528" s="220" t="s">
        <v>96</v>
      </c>
      <c r="E1528" s="218"/>
      <c r="F1528" s="218"/>
      <c r="G1528" s="219">
        <f t="shared" si="10"/>
        <v>1.234589675</v>
      </c>
      <c r="H1528" s="220">
        <v>35.0</v>
      </c>
      <c r="I1528" s="221">
        <v>190.0</v>
      </c>
      <c r="J1528" s="220">
        <v>14.0</v>
      </c>
      <c r="K1528" s="220">
        <v>10.0</v>
      </c>
      <c r="L1528" s="220">
        <v>95.0</v>
      </c>
      <c r="M1528" s="230">
        <v>16.0</v>
      </c>
      <c r="N1528" s="230">
        <v>3.0</v>
      </c>
      <c r="O1528" s="230">
        <v>11.0</v>
      </c>
      <c r="P1528" s="223">
        <f t="shared" si="2"/>
        <v>2</v>
      </c>
      <c r="Q1528" s="231">
        <v>4.0</v>
      </c>
      <c r="R1528" s="234">
        <f t="shared" si="3"/>
        <v>153.8972857</v>
      </c>
      <c r="S1528" s="235">
        <f t="shared" si="4"/>
        <v>5.428571429</v>
      </c>
      <c r="T1528" s="24">
        <f t="shared" si="5"/>
        <v>4</v>
      </c>
      <c r="U1528" s="26">
        <f t="shared" si="6"/>
        <v>0.6116504854</v>
      </c>
      <c r="V1528" s="26">
        <f t="shared" si="7"/>
        <v>0.213592233</v>
      </c>
      <c r="W1528" s="19">
        <f t="shared" si="8"/>
        <v>0.05263157895</v>
      </c>
      <c r="X1528" s="218"/>
      <c r="Y1528" s="27"/>
      <c r="Z1528" s="17"/>
      <c r="AA1528" s="17"/>
      <c r="AB1528" s="17"/>
      <c r="AC1528" s="17"/>
      <c r="AD1528" s="27"/>
    </row>
    <row r="1529" ht="15.75" customHeight="1">
      <c r="A1529" s="216" t="s">
        <v>3525</v>
      </c>
      <c r="B1529" s="218" t="s">
        <v>3556</v>
      </c>
      <c r="C1529" s="216" t="s">
        <v>3557</v>
      </c>
      <c r="D1529" s="220" t="s">
        <v>96</v>
      </c>
      <c r="E1529" s="218"/>
      <c r="F1529" s="218"/>
      <c r="G1529" s="219">
        <f t="shared" si="10"/>
        <v>1.234589675</v>
      </c>
      <c r="H1529" s="220">
        <v>35.0</v>
      </c>
      <c r="I1529" s="221">
        <v>190.0</v>
      </c>
      <c r="J1529" s="220">
        <v>14.0</v>
      </c>
      <c r="K1529" s="220">
        <v>10.0</v>
      </c>
      <c r="L1529" s="220">
        <v>95.0</v>
      </c>
      <c r="M1529" s="230">
        <v>16.0</v>
      </c>
      <c r="N1529" s="230">
        <v>3.0</v>
      </c>
      <c r="O1529" s="230">
        <v>11.0</v>
      </c>
      <c r="P1529" s="223">
        <f t="shared" si="2"/>
        <v>2</v>
      </c>
      <c r="Q1529" s="231">
        <v>4.0</v>
      </c>
      <c r="R1529" s="234">
        <f t="shared" si="3"/>
        <v>153.8972857</v>
      </c>
      <c r="S1529" s="235">
        <f t="shared" si="4"/>
        <v>5.428571429</v>
      </c>
      <c r="T1529" s="24">
        <f t="shared" si="5"/>
        <v>4</v>
      </c>
      <c r="U1529" s="26">
        <f t="shared" si="6"/>
        <v>0.6116504854</v>
      </c>
      <c r="V1529" s="26">
        <f t="shared" si="7"/>
        <v>0.213592233</v>
      </c>
      <c r="W1529" s="19">
        <f t="shared" si="8"/>
        <v>0.05263157895</v>
      </c>
      <c r="X1529" s="218"/>
      <c r="Y1529" s="27"/>
      <c r="Z1529" s="17"/>
      <c r="AA1529" s="17"/>
      <c r="AB1529" s="17"/>
      <c r="AC1529" s="17"/>
      <c r="AD1529" s="27"/>
    </row>
    <row r="1530" ht="15.75" customHeight="1">
      <c r="A1530" s="218" t="s">
        <v>3422</v>
      </c>
      <c r="B1530" s="218" t="s">
        <v>3558</v>
      </c>
      <c r="C1530" s="216" t="s">
        <v>3559</v>
      </c>
      <c r="D1530" s="217" t="s">
        <v>456</v>
      </c>
      <c r="E1530" s="218"/>
      <c r="F1530" s="218"/>
      <c r="G1530" s="219">
        <f t="shared" si="10"/>
        <v>2.186987425</v>
      </c>
      <c r="H1530" s="217">
        <v>62.0</v>
      </c>
      <c r="I1530" s="236">
        <v>270.0</v>
      </c>
      <c r="J1530" s="217">
        <v>11.0</v>
      </c>
      <c r="K1530" s="217">
        <v>150.0</v>
      </c>
      <c r="L1530" s="217">
        <v>80.0</v>
      </c>
      <c r="M1530" s="223">
        <v>41.0</v>
      </c>
      <c r="N1530" s="223">
        <v>1.0</v>
      </c>
      <c r="O1530" s="223">
        <v>23.0</v>
      </c>
      <c r="P1530" s="223">
        <f t="shared" si="2"/>
        <v>17</v>
      </c>
      <c r="Q1530" s="237">
        <v>2.0</v>
      </c>
      <c r="R1530" s="240">
        <f t="shared" si="3"/>
        <v>123.4575</v>
      </c>
      <c r="S1530" s="241">
        <f t="shared" si="4"/>
        <v>4.35483871</v>
      </c>
      <c r="T1530" s="24">
        <f t="shared" si="5"/>
        <v>20.5</v>
      </c>
      <c r="U1530" s="26">
        <f t="shared" si="6"/>
        <v>0.3653136531</v>
      </c>
      <c r="V1530" s="26">
        <f t="shared" si="7"/>
        <v>0.3394833948</v>
      </c>
      <c r="W1530" s="19">
        <f t="shared" si="8"/>
        <v>0.5555555556</v>
      </c>
      <c r="X1530" s="218"/>
      <c r="Y1530" s="27"/>
      <c r="Z1530" s="17"/>
      <c r="AA1530" s="17"/>
      <c r="AB1530" s="17"/>
      <c r="AC1530" s="17"/>
      <c r="AD1530" s="27"/>
    </row>
    <row r="1531" ht="15.75" customHeight="1">
      <c r="A1531" s="218" t="s">
        <v>2739</v>
      </c>
      <c r="B1531" s="218" t="s">
        <v>2414</v>
      </c>
      <c r="C1531" s="216" t="s">
        <v>3560</v>
      </c>
      <c r="D1531" s="217" t="s">
        <v>119</v>
      </c>
      <c r="E1531" s="218"/>
      <c r="F1531" s="218"/>
      <c r="G1531" s="219">
        <f t="shared" si="10"/>
        <v>1.44623362</v>
      </c>
      <c r="H1531" s="217">
        <v>41.0</v>
      </c>
      <c r="I1531" s="236">
        <v>140.0</v>
      </c>
      <c r="J1531" s="217">
        <v>0.5</v>
      </c>
      <c r="K1531" s="217">
        <v>0.0</v>
      </c>
      <c r="L1531" s="218"/>
      <c r="M1531" s="223">
        <v>28.0</v>
      </c>
      <c r="N1531" s="223">
        <v>6.0</v>
      </c>
      <c r="O1531" s="223">
        <v>1.0</v>
      </c>
      <c r="P1531" s="223">
        <f t="shared" si="2"/>
        <v>21</v>
      </c>
      <c r="Q1531" s="237">
        <v>9.0</v>
      </c>
      <c r="R1531" s="242">
        <f t="shared" si="3"/>
        <v>96.80317073</v>
      </c>
      <c r="S1531" s="243">
        <f t="shared" si="4"/>
        <v>3.414634146</v>
      </c>
      <c r="T1531" s="24">
        <f t="shared" si="5"/>
        <v>3.111111111</v>
      </c>
      <c r="U1531" s="26">
        <f t="shared" si="6"/>
        <v>0.02950819672</v>
      </c>
      <c r="V1531" s="26">
        <f t="shared" si="7"/>
        <v>0.0262295082</v>
      </c>
      <c r="W1531" s="19">
        <f t="shared" si="8"/>
        <v>0</v>
      </c>
      <c r="X1531" s="218"/>
      <c r="Y1531" s="27"/>
      <c r="Z1531" s="17"/>
      <c r="AA1531" s="17"/>
      <c r="AB1531" s="17"/>
      <c r="AC1531" s="17"/>
      <c r="AD1531" s="27"/>
    </row>
    <row r="1532" ht="15.75" customHeight="1">
      <c r="A1532" s="216" t="s">
        <v>1645</v>
      </c>
      <c r="B1532" s="216" t="s">
        <v>177</v>
      </c>
      <c r="C1532" s="216" t="s">
        <v>3561</v>
      </c>
      <c r="D1532" s="217" t="s">
        <v>203</v>
      </c>
      <c r="E1532" s="218"/>
      <c r="F1532" s="218"/>
      <c r="G1532" s="219">
        <f t="shared" si="10"/>
        <v>1.763699536</v>
      </c>
      <c r="H1532" s="220">
        <v>50.0</v>
      </c>
      <c r="I1532" s="221">
        <v>320.0</v>
      </c>
      <c r="J1532" s="220">
        <v>28.0</v>
      </c>
      <c r="K1532" s="220">
        <v>105.0</v>
      </c>
      <c r="L1532" s="218"/>
      <c r="M1532" s="230">
        <v>12.0</v>
      </c>
      <c r="N1532" s="230">
        <v>4.0</v>
      </c>
      <c r="O1532" s="230">
        <v>2.0</v>
      </c>
      <c r="P1532" s="223">
        <f t="shared" si="2"/>
        <v>6</v>
      </c>
      <c r="Q1532" s="231">
        <v>9.0</v>
      </c>
      <c r="R1532" s="228">
        <f t="shared" si="3"/>
        <v>181.4368</v>
      </c>
      <c r="S1532" s="229">
        <f t="shared" si="4"/>
        <v>6.4</v>
      </c>
      <c r="T1532" s="24">
        <f t="shared" si="5"/>
        <v>1.333333333</v>
      </c>
      <c r="U1532" s="26">
        <f t="shared" si="6"/>
        <v>0.75</v>
      </c>
      <c r="V1532" s="26">
        <f t="shared" si="7"/>
        <v>0.02380952381</v>
      </c>
      <c r="W1532" s="19">
        <f t="shared" si="8"/>
        <v>0.328125</v>
      </c>
      <c r="X1532" s="218"/>
      <c r="Y1532" s="27"/>
      <c r="Z1532" s="17"/>
      <c r="AA1532" s="17"/>
      <c r="AB1532" s="17"/>
      <c r="AC1532" s="17"/>
      <c r="AD1532" s="27"/>
    </row>
    <row r="1533" ht="15.75" customHeight="1">
      <c r="A1533" s="216" t="s">
        <v>3562</v>
      </c>
      <c r="B1533" s="216" t="s">
        <v>3563</v>
      </c>
      <c r="C1533" s="216" t="s">
        <v>3564</v>
      </c>
      <c r="D1533" s="217" t="s">
        <v>203</v>
      </c>
      <c r="E1533" s="218"/>
      <c r="F1533" s="218"/>
      <c r="G1533" s="219">
        <f t="shared" si="10"/>
        <v>0.9876717402</v>
      </c>
      <c r="H1533" s="220">
        <v>28.0</v>
      </c>
      <c r="I1533" s="221">
        <v>170.0</v>
      </c>
      <c r="J1533" s="220">
        <v>15.0</v>
      </c>
      <c r="K1533" s="220">
        <v>55.0</v>
      </c>
      <c r="L1533" s="220">
        <v>195.0</v>
      </c>
      <c r="M1533" s="222">
        <v>4.0</v>
      </c>
      <c r="N1533" s="222">
        <v>2.0</v>
      </c>
      <c r="O1533" s="222">
        <v>1.0</v>
      </c>
      <c r="P1533" s="223">
        <f t="shared" si="2"/>
        <v>1</v>
      </c>
      <c r="Q1533" s="224">
        <v>7.0</v>
      </c>
      <c r="R1533" s="228">
        <f t="shared" si="3"/>
        <v>172.1219643</v>
      </c>
      <c r="S1533" s="229">
        <f t="shared" si="4"/>
        <v>6.071428571</v>
      </c>
      <c r="T1533" s="24">
        <f t="shared" si="5"/>
        <v>0.5714285714</v>
      </c>
      <c r="U1533" s="26">
        <f t="shared" si="6"/>
        <v>0.7541899441</v>
      </c>
      <c r="V1533" s="26">
        <f t="shared" si="7"/>
        <v>0.02234636872</v>
      </c>
      <c r="W1533" s="19">
        <f t="shared" si="8"/>
        <v>0.3235294118</v>
      </c>
      <c r="X1533" s="218"/>
      <c r="Y1533" s="27"/>
      <c r="Z1533" s="17"/>
      <c r="AA1533" s="17"/>
      <c r="AB1533" s="17"/>
      <c r="AC1533" s="17"/>
      <c r="AD1533" s="27"/>
    </row>
    <row r="1534" ht="15.75" customHeight="1">
      <c r="A1534" s="216" t="s">
        <v>3525</v>
      </c>
      <c r="B1534" s="218" t="s">
        <v>3565</v>
      </c>
      <c r="C1534" s="216" t="s">
        <v>3566</v>
      </c>
      <c r="D1534" s="217" t="s">
        <v>203</v>
      </c>
      <c r="E1534" s="218"/>
      <c r="F1534" s="218"/>
      <c r="G1534" s="219">
        <f t="shared" si="10"/>
        <v>1.410959629</v>
      </c>
      <c r="H1534" s="220">
        <v>40.0</v>
      </c>
      <c r="I1534" s="221">
        <v>240.0</v>
      </c>
      <c r="J1534" s="220">
        <v>13.0</v>
      </c>
      <c r="K1534" s="220">
        <v>0.0</v>
      </c>
      <c r="L1534" s="218"/>
      <c r="M1534" s="230">
        <v>24.0</v>
      </c>
      <c r="N1534" s="230">
        <v>3.0</v>
      </c>
      <c r="O1534" s="230">
        <v>15.0</v>
      </c>
      <c r="P1534" s="223">
        <f t="shared" si="2"/>
        <v>6</v>
      </c>
      <c r="Q1534" s="231">
        <v>7.0</v>
      </c>
      <c r="R1534" s="228">
        <f t="shared" si="3"/>
        <v>170.097</v>
      </c>
      <c r="S1534" s="229">
        <f t="shared" si="4"/>
        <v>6</v>
      </c>
      <c r="T1534" s="24">
        <f t="shared" si="5"/>
        <v>3.428571429</v>
      </c>
      <c r="U1534" s="26">
        <f t="shared" si="6"/>
        <v>0.4854771784</v>
      </c>
      <c r="V1534" s="26">
        <f t="shared" si="7"/>
        <v>0.2489626556</v>
      </c>
      <c r="W1534" s="19">
        <f t="shared" si="8"/>
        <v>0</v>
      </c>
      <c r="X1534" s="218"/>
      <c r="Y1534" s="27"/>
      <c r="Z1534" s="17"/>
      <c r="AA1534" s="17"/>
      <c r="AB1534" s="17"/>
      <c r="AC1534" s="17"/>
      <c r="AD1534" s="27"/>
    </row>
    <row r="1535" ht="15.75" customHeight="1">
      <c r="A1535" s="216" t="s">
        <v>3525</v>
      </c>
      <c r="B1535" s="218" t="s">
        <v>3567</v>
      </c>
      <c r="C1535" s="216" t="s">
        <v>3568</v>
      </c>
      <c r="D1535" s="217" t="s">
        <v>203</v>
      </c>
      <c r="E1535" s="218"/>
      <c r="F1535" s="218"/>
      <c r="G1535" s="219">
        <f t="shared" si="10"/>
        <v>1.763699536</v>
      </c>
      <c r="H1535" s="220">
        <v>50.0</v>
      </c>
      <c r="I1535" s="221">
        <v>300.0</v>
      </c>
      <c r="J1535" s="220">
        <v>25.0</v>
      </c>
      <c r="K1535" s="220">
        <v>160.0</v>
      </c>
      <c r="L1535" s="220">
        <v>150.0</v>
      </c>
      <c r="M1535" s="230">
        <v>12.0</v>
      </c>
      <c r="N1535" s="230">
        <v>4.0</v>
      </c>
      <c r="O1535" s="230">
        <v>3.0</v>
      </c>
      <c r="P1535" s="223">
        <f t="shared" si="2"/>
        <v>5</v>
      </c>
      <c r="Q1535" s="231">
        <v>9.0</v>
      </c>
      <c r="R1535" s="228">
        <f t="shared" si="3"/>
        <v>170.097</v>
      </c>
      <c r="S1535" s="229">
        <f t="shared" si="4"/>
        <v>6</v>
      </c>
      <c r="T1535" s="24">
        <f t="shared" si="5"/>
        <v>1.333333333</v>
      </c>
      <c r="U1535" s="26">
        <f t="shared" si="6"/>
        <v>0.7281553398</v>
      </c>
      <c r="V1535" s="26">
        <f t="shared" si="7"/>
        <v>0.03883495146</v>
      </c>
      <c r="W1535" s="19">
        <f t="shared" si="8"/>
        <v>0.5333333333</v>
      </c>
      <c r="X1535" s="218"/>
      <c r="Y1535" s="27"/>
      <c r="Z1535" s="17"/>
      <c r="AA1535" s="17"/>
      <c r="AB1535" s="17"/>
      <c r="AC1535" s="17"/>
      <c r="AD1535" s="27"/>
    </row>
    <row r="1536" ht="15.75" customHeight="1">
      <c r="A1536" s="216" t="s">
        <v>3347</v>
      </c>
      <c r="B1536" s="216" t="s">
        <v>3569</v>
      </c>
      <c r="C1536" s="216" t="s">
        <v>3570</v>
      </c>
      <c r="D1536" s="217" t="s">
        <v>203</v>
      </c>
      <c r="E1536" s="218"/>
      <c r="F1536" s="218"/>
      <c r="G1536" s="219">
        <f t="shared" si="10"/>
        <v>1.763699536</v>
      </c>
      <c r="H1536" s="220">
        <v>50.0</v>
      </c>
      <c r="I1536" s="221">
        <v>300.0</v>
      </c>
      <c r="J1536" s="220">
        <v>25.0</v>
      </c>
      <c r="K1536" s="220">
        <v>150.0</v>
      </c>
      <c r="L1536" s="220">
        <v>300.0</v>
      </c>
      <c r="M1536" s="230">
        <v>14.0</v>
      </c>
      <c r="N1536" s="230">
        <v>4.0</v>
      </c>
      <c r="O1536" s="230">
        <v>6.0</v>
      </c>
      <c r="P1536" s="223">
        <f t="shared" si="2"/>
        <v>4</v>
      </c>
      <c r="Q1536" s="231">
        <v>8.0</v>
      </c>
      <c r="R1536" s="228">
        <f t="shared" si="3"/>
        <v>170.097</v>
      </c>
      <c r="S1536" s="229">
        <f t="shared" si="4"/>
        <v>6</v>
      </c>
      <c r="T1536" s="24">
        <f t="shared" si="5"/>
        <v>1.75</v>
      </c>
      <c r="U1536" s="26">
        <f t="shared" si="6"/>
        <v>0.7188498403</v>
      </c>
      <c r="V1536" s="26">
        <f t="shared" si="7"/>
        <v>0.07667731629</v>
      </c>
      <c r="W1536" s="19">
        <f t="shared" si="8"/>
        <v>0.5</v>
      </c>
      <c r="X1536" s="218"/>
      <c r="Y1536" s="27"/>
      <c r="Z1536" s="17"/>
      <c r="AA1536" s="17"/>
      <c r="AB1536" s="17"/>
      <c r="AC1536" s="17"/>
      <c r="AD1536" s="27"/>
    </row>
    <row r="1537" ht="15.75" customHeight="1">
      <c r="A1537" s="216" t="s">
        <v>3484</v>
      </c>
      <c r="B1537" s="216" t="s">
        <v>3571</v>
      </c>
      <c r="C1537" s="216" t="s">
        <v>3572</v>
      </c>
      <c r="D1537" s="217" t="s">
        <v>203</v>
      </c>
      <c r="E1537" s="218"/>
      <c r="F1537" s="218"/>
      <c r="G1537" s="219">
        <f t="shared" si="10"/>
        <v>1.763699536</v>
      </c>
      <c r="H1537" s="220">
        <v>50.0</v>
      </c>
      <c r="I1537" s="221">
        <v>290.0</v>
      </c>
      <c r="J1537" s="220">
        <v>24.0</v>
      </c>
      <c r="K1537" s="220">
        <v>240.0</v>
      </c>
      <c r="L1537" s="220">
        <v>350.0</v>
      </c>
      <c r="M1537" s="222">
        <v>11.0</v>
      </c>
      <c r="N1537" s="222">
        <v>6.0</v>
      </c>
      <c r="O1537" s="222">
        <v>2.0</v>
      </c>
      <c r="P1537" s="223">
        <f t="shared" si="2"/>
        <v>3</v>
      </c>
      <c r="Q1537" s="224">
        <v>11.0</v>
      </c>
      <c r="R1537" s="232">
        <f t="shared" si="3"/>
        <v>164.4271</v>
      </c>
      <c r="S1537" s="233">
        <f t="shared" si="4"/>
        <v>5.8</v>
      </c>
      <c r="T1537" s="24">
        <f t="shared" si="5"/>
        <v>1</v>
      </c>
      <c r="U1537" s="26">
        <f t="shared" si="6"/>
        <v>0.7105263158</v>
      </c>
      <c r="V1537" s="26">
        <f t="shared" si="7"/>
        <v>0.02631578947</v>
      </c>
      <c r="W1537" s="19">
        <f t="shared" si="8"/>
        <v>0.8275862069</v>
      </c>
      <c r="X1537" s="218"/>
      <c r="Y1537" s="27"/>
      <c r="Z1537" s="17"/>
      <c r="AA1537" s="17"/>
      <c r="AB1537" s="17"/>
      <c r="AC1537" s="17"/>
      <c r="AD1537" s="27"/>
    </row>
    <row r="1538" ht="15.75" customHeight="1">
      <c r="A1538" s="216" t="s">
        <v>3562</v>
      </c>
      <c r="B1538" s="216" t="s">
        <v>3573</v>
      </c>
      <c r="C1538" s="216" t="s">
        <v>3574</v>
      </c>
      <c r="D1538" s="217" t="s">
        <v>203</v>
      </c>
      <c r="E1538" s="218"/>
      <c r="F1538" s="218"/>
      <c r="G1538" s="219">
        <f t="shared" si="10"/>
        <v>0.9876717402</v>
      </c>
      <c r="H1538" s="220">
        <v>28.0</v>
      </c>
      <c r="I1538" s="221">
        <v>160.0</v>
      </c>
      <c r="J1538" s="220">
        <v>14.0</v>
      </c>
      <c r="K1538" s="220">
        <v>20.0</v>
      </c>
      <c r="L1538" s="220">
        <v>250.0</v>
      </c>
      <c r="M1538" s="222">
        <v>9.0</v>
      </c>
      <c r="N1538" s="222">
        <v>5.0</v>
      </c>
      <c r="O1538" s="222">
        <v>1.0</v>
      </c>
      <c r="P1538" s="223">
        <f t="shared" si="2"/>
        <v>3</v>
      </c>
      <c r="Q1538" s="224">
        <v>4.0</v>
      </c>
      <c r="R1538" s="232">
        <f t="shared" si="3"/>
        <v>161.9971429</v>
      </c>
      <c r="S1538" s="233">
        <f t="shared" si="4"/>
        <v>5.714285714</v>
      </c>
      <c r="T1538" s="24">
        <f t="shared" si="5"/>
        <v>2.25</v>
      </c>
      <c r="U1538" s="26">
        <f t="shared" si="6"/>
        <v>0.7078651685</v>
      </c>
      <c r="V1538" s="26">
        <f t="shared" si="7"/>
        <v>0.02247191011</v>
      </c>
      <c r="W1538" s="19">
        <f t="shared" si="8"/>
        <v>0.125</v>
      </c>
      <c r="X1538" s="218"/>
      <c r="Y1538" s="27"/>
      <c r="Z1538" s="17"/>
      <c r="AA1538" s="17"/>
      <c r="AB1538" s="17"/>
      <c r="AC1538" s="17"/>
      <c r="AD1538" s="27"/>
    </row>
    <row r="1539" ht="15.75" customHeight="1">
      <c r="A1539" s="216" t="s">
        <v>3403</v>
      </c>
      <c r="B1539" s="216" t="s">
        <v>3575</v>
      </c>
      <c r="C1539" s="216" t="s">
        <v>3576</v>
      </c>
      <c r="D1539" s="217" t="s">
        <v>203</v>
      </c>
      <c r="E1539" s="218"/>
      <c r="F1539" s="218"/>
      <c r="G1539" s="219">
        <f t="shared" si="10"/>
        <v>1.234589675</v>
      </c>
      <c r="H1539" s="220">
        <v>35.0</v>
      </c>
      <c r="I1539" s="221">
        <v>200.0</v>
      </c>
      <c r="J1539" s="220">
        <v>18.0</v>
      </c>
      <c r="K1539" s="220">
        <v>120.0</v>
      </c>
      <c r="L1539" s="220">
        <v>175.0</v>
      </c>
      <c r="M1539" s="222">
        <v>11.0</v>
      </c>
      <c r="N1539" s="222">
        <v>5.0</v>
      </c>
      <c r="O1539" s="222">
        <v>4.0</v>
      </c>
      <c r="P1539" s="223">
        <f t="shared" si="2"/>
        <v>2</v>
      </c>
      <c r="Q1539" s="231">
        <v>2.0</v>
      </c>
      <c r="R1539" s="232">
        <f t="shared" si="3"/>
        <v>161.9971429</v>
      </c>
      <c r="S1539" s="233">
        <f t="shared" si="4"/>
        <v>5.714285714</v>
      </c>
      <c r="T1539" s="24">
        <f t="shared" si="5"/>
        <v>5.5</v>
      </c>
      <c r="U1539" s="26">
        <f t="shared" si="6"/>
        <v>0.7570093458</v>
      </c>
      <c r="V1539" s="26">
        <f t="shared" si="7"/>
        <v>0.07476635514</v>
      </c>
      <c r="W1539" s="19">
        <f t="shared" si="8"/>
        <v>0.6</v>
      </c>
      <c r="X1539" s="218"/>
      <c r="Y1539" s="27"/>
      <c r="Z1539" s="17"/>
      <c r="AA1539" s="17"/>
      <c r="AB1539" s="17"/>
      <c r="AC1539" s="17"/>
      <c r="AD1539" s="27"/>
    </row>
    <row r="1540" ht="15.75" customHeight="1">
      <c r="A1540" s="216" t="s">
        <v>3403</v>
      </c>
      <c r="B1540" s="216" t="s">
        <v>3577</v>
      </c>
      <c r="C1540" s="216" t="s">
        <v>3578</v>
      </c>
      <c r="D1540" s="217" t="s">
        <v>203</v>
      </c>
      <c r="E1540" s="218"/>
      <c r="F1540" s="218"/>
      <c r="G1540" s="219">
        <f t="shared" si="10"/>
        <v>1.234589675</v>
      </c>
      <c r="H1540" s="220">
        <v>35.0</v>
      </c>
      <c r="I1540" s="221">
        <v>200.0</v>
      </c>
      <c r="J1540" s="220">
        <v>18.0</v>
      </c>
      <c r="K1540" s="220">
        <v>115.0</v>
      </c>
      <c r="L1540" s="220">
        <v>150.0</v>
      </c>
      <c r="M1540" s="222">
        <v>11.0</v>
      </c>
      <c r="N1540" s="222">
        <v>4.0</v>
      </c>
      <c r="O1540" s="222">
        <v>7.0</v>
      </c>
      <c r="P1540" s="223">
        <f t="shared" si="2"/>
        <v>0</v>
      </c>
      <c r="Q1540" s="231">
        <v>2.0</v>
      </c>
      <c r="R1540" s="232">
        <f t="shared" si="3"/>
        <v>161.9971429</v>
      </c>
      <c r="S1540" s="233">
        <f t="shared" si="4"/>
        <v>5.714285714</v>
      </c>
      <c r="T1540" s="24">
        <f t="shared" si="5"/>
        <v>5.5</v>
      </c>
      <c r="U1540" s="26">
        <f t="shared" si="6"/>
        <v>0.7570093458</v>
      </c>
      <c r="V1540" s="26">
        <f t="shared" si="7"/>
        <v>0.1308411215</v>
      </c>
      <c r="W1540" s="19">
        <f t="shared" si="8"/>
        <v>0.575</v>
      </c>
      <c r="X1540" s="218"/>
      <c r="Y1540" s="27"/>
      <c r="Z1540" s="17"/>
      <c r="AA1540" s="17"/>
      <c r="AB1540" s="17"/>
      <c r="AC1540" s="17"/>
      <c r="AD1540" s="27"/>
    </row>
    <row r="1541" ht="15.75" customHeight="1">
      <c r="A1541" s="216" t="s">
        <v>3484</v>
      </c>
      <c r="B1541" s="216" t="s">
        <v>3579</v>
      </c>
      <c r="C1541" s="216" t="s">
        <v>3580</v>
      </c>
      <c r="D1541" s="217" t="s">
        <v>203</v>
      </c>
      <c r="E1541" s="218"/>
      <c r="F1541" s="218"/>
      <c r="G1541" s="219">
        <f t="shared" si="10"/>
        <v>1.058219722</v>
      </c>
      <c r="H1541" s="220">
        <v>30.0</v>
      </c>
      <c r="I1541" s="221">
        <v>170.0</v>
      </c>
      <c r="J1541" s="220">
        <v>11.0</v>
      </c>
      <c r="K1541" s="220">
        <v>40.0</v>
      </c>
      <c r="L1541" s="218"/>
      <c r="M1541" s="222">
        <v>12.0</v>
      </c>
      <c r="N1541" s="222">
        <v>2.0</v>
      </c>
      <c r="O1541" s="222">
        <v>8.0</v>
      </c>
      <c r="P1541" s="223">
        <f t="shared" si="2"/>
        <v>2</v>
      </c>
      <c r="Q1541" s="224">
        <v>4.0</v>
      </c>
      <c r="R1541" s="232">
        <f t="shared" si="3"/>
        <v>160.6471667</v>
      </c>
      <c r="S1541" s="233">
        <f t="shared" si="4"/>
        <v>5.666666667</v>
      </c>
      <c r="T1541" s="24">
        <f t="shared" si="5"/>
        <v>3</v>
      </c>
      <c r="U1541" s="26">
        <f t="shared" si="6"/>
        <v>0.6073619632</v>
      </c>
      <c r="V1541" s="26">
        <f t="shared" si="7"/>
        <v>0.1963190184</v>
      </c>
      <c r="W1541" s="19">
        <f t="shared" si="8"/>
        <v>0.2352941176</v>
      </c>
      <c r="X1541" s="218"/>
      <c r="Y1541" s="27"/>
      <c r="Z1541" s="17"/>
      <c r="AA1541" s="17"/>
      <c r="AB1541" s="17"/>
      <c r="AC1541" s="17"/>
      <c r="AD1541" s="27"/>
    </row>
    <row r="1542" ht="15.75" customHeight="1">
      <c r="A1542" s="216" t="s">
        <v>3484</v>
      </c>
      <c r="B1542" s="216" t="s">
        <v>3581</v>
      </c>
      <c r="C1542" s="216" t="s">
        <v>3582</v>
      </c>
      <c r="D1542" s="217" t="s">
        <v>203</v>
      </c>
      <c r="E1542" s="218"/>
      <c r="F1542" s="218"/>
      <c r="G1542" s="219">
        <f t="shared" si="10"/>
        <v>1.058219722</v>
      </c>
      <c r="H1542" s="220">
        <v>30.0</v>
      </c>
      <c r="I1542" s="221">
        <v>170.0</v>
      </c>
      <c r="J1542" s="220">
        <v>14.0</v>
      </c>
      <c r="K1542" s="220">
        <v>63.0</v>
      </c>
      <c r="L1542" s="218"/>
      <c r="M1542" s="222">
        <v>8.0</v>
      </c>
      <c r="N1542" s="222">
        <v>3.0</v>
      </c>
      <c r="O1542" s="222">
        <v>4.0</v>
      </c>
      <c r="P1542" s="223">
        <f t="shared" si="2"/>
        <v>1</v>
      </c>
      <c r="Q1542" s="224">
        <v>6.0</v>
      </c>
      <c r="R1542" s="232">
        <f t="shared" si="3"/>
        <v>160.6471667</v>
      </c>
      <c r="S1542" s="233">
        <f t="shared" si="4"/>
        <v>5.666666667</v>
      </c>
      <c r="T1542" s="24">
        <f t="shared" si="5"/>
        <v>1.333333333</v>
      </c>
      <c r="U1542" s="26">
        <f t="shared" si="6"/>
        <v>0.6923076923</v>
      </c>
      <c r="V1542" s="26">
        <f t="shared" si="7"/>
        <v>0.08791208791</v>
      </c>
      <c r="W1542" s="19">
        <f t="shared" si="8"/>
        <v>0.3705882353</v>
      </c>
      <c r="X1542" s="218"/>
      <c r="Y1542" s="27"/>
      <c r="Z1542" s="17"/>
      <c r="AA1542" s="17"/>
      <c r="AB1542" s="17"/>
      <c r="AC1542" s="17"/>
      <c r="AD1542" s="27"/>
    </row>
    <row r="1543" ht="15.75" customHeight="1">
      <c r="A1543" s="216" t="s">
        <v>3525</v>
      </c>
      <c r="B1543" s="218" t="s">
        <v>3583</v>
      </c>
      <c r="C1543" s="216" t="s">
        <v>3584</v>
      </c>
      <c r="D1543" s="217" t="s">
        <v>203</v>
      </c>
      <c r="E1543" s="218"/>
      <c r="F1543" s="218"/>
      <c r="G1543" s="219">
        <f t="shared" si="10"/>
        <v>1.763699536</v>
      </c>
      <c r="H1543" s="220">
        <v>50.0</v>
      </c>
      <c r="I1543" s="221">
        <v>280.0</v>
      </c>
      <c r="J1543" s="220">
        <v>14.0</v>
      </c>
      <c r="K1543" s="220">
        <v>740.0</v>
      </c>
      <c r="L1543" s="220">
        <v>100.0</v>
      </c>
      <c r="M1543" s="230">
        <v>23.0</v>
      </c>
      <c r="N1543" s="230">
        <v>3.0</v>
      </c>
      <c r="O1543" s="230">
        <v>0.0</v>
      </c>
      <c r="P1543" s="223">
        <f t="shared" si="2"/>
        <v>20</v>
      </c>
      <c r="Q1543" s="231">
        <v>5.0</v>
      </c>
      <c r="R1543" s="232">
        <f t="shared" si="3"/>
        <v>158.7572</v>
      </c>
      <c r="S1543" s="233">
        <f t="shared" si="4"/>
        <v>5.6</v>
      </c>
      <c r="T1543" s="24">
        <f t="shared" si="5"/>
        <v>4.6</v>
      </c>
      <c r="U1543" s="26">
        <f t="shared" si="6"/>
        <v>0.5294117647</v>
      </c>
      <c r="V1543" s="26" t="str">
        <f t="shared" si="7"/>
        <v>0%</v>
      </c>
      <c r="W1543" s="19">
        <f t="shared" si="8"/>
        <v>2.642857143</v>
      </c>
      <c r="X1543" s="218"/>
      <c r="Y1543" s="27"/>
      <c r="Z1543" s="17"/>
      <c r="AA1543" s="17"/>
      <c r="AB1543" s="17"/>
      <c r="AC1543" s="17"/>
      <c r="AD1543" s="27"/>
    </row>
    <row r="1544" ht="15.75" customHeight="1">
      <c r="A1544" s="216" t="s">
        <v>3484</v>
      </c>
      <c r="B1544" s="216" t="s">
        <v>3585</v>
      </c>
      <c r="C1544" s="216" t="s">
        <v>3586</v>
      </c>
      <c r="D1544" s="217" t="s">
        <v>203</v>
      </c>
      <c r="E1544" s="218"/>
      <c r="F1544" s="218"/>
      <c r="G1544" s="219">
        <f t="shared" si="10"/>
        <v>1.763699536</v>
      </c>
      <c r="H1544" s="220">
        <v>50.0</v>
      </c>
      <c r="I1544" s="221">
        <v>280.0</v>
      </c>
      <c r="J1544" s="220">
        <v>23.0</v>
      </c>
      <c r="K1544" s="220">
        <v>250.0</v>
      </c>
      <c r="L1544" s="220">
        <v>350.0</v>
      </c>
      <c r="M1544" s="222">
        <v>13.0</v>
      </c>
      <c r="N1544" s="222">
        <v>6.0</v>
      </c>
      <c r="O1544" s="222">
        <v>5.0</v>
      </c>
      <c r="P1544" s="223">
        <f t="shared" si="2"/>
        <v>2</v>
      </c>
      <c r="Q1544" s="224">
        <v>10.0</v>
      </c>
      <c r="R1544" s="232">
        <f t="shared" si="3"/>
        <v>158.7572</v>
      </c>
      <c r="S1544" s="233">
        <f t="shared" si="4"/>
        <v>5.6</v>
      </c>
      <c r="T1544" s="24">
        <f t="shared" si="5"/>
        <v>1.3</v>
      </c>
      <c r="U1544" s="26">
        <f t="shared" si="6"/>
        <v>0.6923076923</v>
      </c>
      <c r="V1544" s="26">
        <f t="shared" si="7"/>
        <v>0.06688963211</v>
      </c>
      <c r="W1544" s="19">
        <f t="shared" si="8"/>
        <v>0.8928571429</v>
      </c>
      <c r="X1544" s="218"/>
      <c r="Y1544" s="27"/>
      <c r="Z1544" s="17"/>
      <c r="AA1544" s="17"/>
      <c r="AB1544" s="17"/>
      <c r="AC1544" s="17"/>
      <c r="AD1544" s="27"/>
    </row>
    <row r="1545" ht="15.75" customHeight="1">
      <c r="A1545" s="216" t="s">
        <v>3587</v>
      </c>
      <c r="B1545" s="216" t="s">
        <v>3588</v>
      </c>
      <c r="C1545" s="216" t="s">
        <v>3589</v>
      </c>
      <c r="D1545" s="217" t="s">
        <v>203</v>
      </c>
      <c r="E1545" s="218"/>
      <c r="F1545" s="218"/>
      <c r="G1545" s="219">
        <f t="shared" si="10"/>
        <v>0.8818497681</v>
      </c>
      <c r="H1545" s="220">
        <v>25.0</v>
      </c>
      <c r="I1545" s="221">
        <v>136.5</v>
      </c>
      <c r="J1545" s="220">
        <v>9.0</v>
      </c>
      <c r="K1545" s="218"/>
      <c r="L1545" s="218"/>
      <c r="M1545" s="230">
        <v>5.0</v>
      </c>
      <c r="N1545" s="244"/>
      <c r="O1545" s="244"/>
      <c r="P1545" s="223">
        <f t="shared" si="2"/>
        <v>5</v>
      </c>
      <c r="Q1545" s="231">
        <v>6.0</v>
      </c>
      <c r="R1545" s="234">
        <f t="shared" si="3"/>
        <v>154.78827</v>
      </c>
      <c r="S1545" s="235">
        <f t="shared" si="4"/>
        <v>5.46</v>
      </c>
      <c r="T1545" s="24">
        <f t="shared" si="5"/>
        <v>0.8333333333</v>
      </c>
      <c r="U1545" s="26">
        <f t="shared" si="6"/>
        <v>0.648</v>
      </c>
      <c r="V1545" s="26" t="str">
        <f t="shared" si="7"/>
        <v>0%</v>
      </c>
      <c r="W1545" s="19">
        <f t="shared" si="8"/>
        <v>0</v>
      </c>
      <c r="X1545" s="218"/>
      <c r="Y1545" s="27"/>
      <c r="Z1545" s="17"/>
      <c r="AA1545" s="17"/>
      <c r="AB1545" s="17"/>
      <c r="AC1545" s="17"/>
      <c r="AD1545" s="27"/>
    </row>
    <row r="1546" ht="15.75" customHeight="1">
      <c r="A1546" s="216" t="s">
        <v>3590</v>
      </c>
      <c r="B1546" s="216" t="s">
        <v>3591</v>
      </c>
      <c r="C1546" s="216" t="s">
        <v>3592</v>
      </c>
      <c r="D1546" s="217" t="s">
        <v>203</v>
      </c>
      <c r="E1546" s="218"/>
      <c r="F1546" s="218"/>
      <c r="G1546" s="219">
        <f t="shared" si="10"/>
        <v>1.164041694</v>
      </c>
      <c r="H1546" s="220">
        <v>33.0</v>
      </c>
      <c r="I1546" s="221">
        <v>180.0</v>
      </c>
      <c r="J1546" s="220">
        <v>12.0</v>
      </c>
      <c r="K1546" s="220">
        <v>55.0</v>
      </c>
      <c r="L1546" s="218"/>
      <c r="M1546" s="222">
        <v>12.0</v>
      </c>
      <c r="N1546" s="222">
        <v>2.0</v>
      </c>
      <c r="O1546" s="222">
        <v>7.0</v>
      </c>
      <c r="P1546" s="223">
        <f t="shared" si="2"/>
        <v>3</v>
      </c>
      <c r="Q1546" s="224">
        <v>6.0</v>
      </c>
      <c r="R1546" s="234">
        <f t="shared" si="3"/>
        <v>154.6336364</v>
      </c>
      <c r="S1546" s="235">
        <f t="shared" si="4"/>
        <v>5.454545455</v>
      </c>
      <c r="T1546" s="24">
        <f t="shared" si="5"/>
        <v>2</v>
      </c>
      <c r="U1546" s="26">
        <f t="shared" si="6"/>
        <v>0.6</v>
      </c>
      <c r="V1546" s="26">
        <f t="shared" si="7"/>
        <v>0.1555555556</v>
      </c>
      <c r="W1546" s="19">
        <f t="shared" si="8"/>
        <v>0.3055555556</v>
      </c>
      <c r="X1546" s="218"/>
      <c r="Y1546" s="27"/>
      <c r="Z1546" s="17"/>
      <c r="AA1546" s="17"/>
      <c r="AB1546" s="17"/>
      <c r="AC1546" s="17"/>
      <c r="AD1546" s="27"/>
    </row>
    <row r="1547" ht="15.75" customHeight="1">
      <c r="A1547" s="216" t="s">
        <v>3525</v>
      </c>
      <c r="B1547" s="218" t="s">
        <v>3593</v>
      </c>
      <c r="C1547" s="216" t="s">
        <v>3594</v>
      </c>
      <c r="D1547" s="217" t="s">
        <v>203</v>
      </c>
      <c r="E1547" s="218"/>
      <c r="F1547" s="218"/>
      <c r="G1547" s="219">
        <f t="shared" si="10"/>
        <v>1.763699536</v>
      </c>
      <c r="H1547" s="220">
        <v>50.0</v>
      </c>
      <c r="I1547" s="221">
        <v>270.0</v>
      </c>
      <c r="J1547" s="220">
        <v>18.0</v>
      </c>
      <c r="K1547" s="220">
        <v>60.0</v>
      </c>
      <c r="L1547" s="220">
        <v>150.0</v>
      </c>
      <c r="M1547" s="230">
        <v>24.0</v>
      </c>
      <c r="N1547" s="230">
        <v>2.0</v>
      </c>
      <c r="O1547" s="230">
        <v>18.0</v>
      </c>
      <c r="P1547" s="223">
        <f t="shared" si="2"/>
        <v>4</v>
      </c>
      <c r="Q1547" s="231">
        <v>5.0</v>
      </c>
      <c r="R1547" s="234">
        <f t="shared" si="3"/>
        <v>153.0873</v>
      </c>
      <c r="S1547" s="235">
        <f t="shared" si="4"/>
        <v>5.4</v>
      </c>
      <c r="T1547" s="24">
        <f t="shared" si="5"/>
        <v>4.8</v>
      </c>
      <c r="U1547" s="26">
        <f t="shared" si="6"/>
        <v>0.5827338129</v>
      </c>
      <c r="V1547" s="26">
        <f t="shared" si="7"/>
        <v>0.2589928058</v>
      </c>
      <c r="W1547" s="19">
        <f t="shared" si="8"/>
        <v>0.2222222222</v>
      </c>
      <c r="X1547" s="218"/>
      <c r="Y1547" s="27"/>
      <c r="Z1547" s="17"/>
      <c r="AA1547" s="17"/>
      <c r="AB1547" s="17"/>
      <c r="AC1547" s="17"/>
      <c r="AD1547" s="27"/>
    </row>
    <row r="1548" ht="15.75" customHeight="1">
      <c r="A1548" s="216" t="s">
        <v>3525</v>
      </c>
      <c r="B1548" s="218" t="s">
        <v>3595</v>
      </c>
      <c r="C1548" s="216" t="s">
        <v>3596</v>
      </c>
      <c r="D1548" s="217" t="s">
        <v>203</v>
      </c>
      <c r="E1548" s="218"/>
      <c r="F1548" s="218"/>
      <c r="G1548" s="219">
        <f t="shared" si="10"/>
        <v>1.763699536</v>
      </c>
      <c r="H1548" s="220">
        <v>50.0</v>
      </c>
      <c r="I1548" s="221">
        <v>270.0</v>
      </c>
      <c r="J1548" s="220">
        <v>20.0</v>
      </c>
      <c r="K1548" s="220">
        <v>300.0</v>
      </c>
      <c r="L1548" s="220">
        <v>250.0</v>
      </c>
      <c r="M1548" s="230">
        <v>15.0</v>
      </c>
      <c r="N1548" s="230">
        <v>14.0</v>
      </c>
      <c r="O1548" s="230">
        <v>2.0</v>
      </c>
      <c r="P1548" s="223">
        <f t="shared" si="2"/>
        <v>-1</v>
      </c>
      <c r="Q1548" s="231">
        <v>10.0</v>
      </c>
      <c r="R1548" s="234">
        <f t="shared" si="3"/>
        <v>153.0873</v>
      </c>
      <c r="S1548" s="235">
        <f t="shared" si="4"/>
        <v>5.4</v>
      </c>
      <c r="T1548" s="24">
        <f t="shared" si="5"/>
        <v>1.5</v>
      </c>
      <c r="U1548" s="26">
        <f t="shared" si="6"/>
        <v>0.6428571429</v>
      </c>
      <c r="V1548" s="26">
        <f t="shared" si="7"/>
        <v>0.02857142857</v>
      </c>
      <c r="W1548" s="19">
        <f t="shared" si="8"/>
        <v>1.111111111</v>
      </c>
      <c r="X1548" s="218"/>
      <c r="Y1548" s="27"/>
      <c r="Z1548" s="17"/>
      <c r="AA1548" s="17"/>
      <c r="AB1548" s="17"/>
      <c r="AC1548" s="17"/>
      <c r="AD1548" s="27"/>
    </row>
    <row r="1549" ht="15.75" customHeight="1">
      <c r="A1549" s="216" t="s">
        <v>450</v>
      </c>
      <c r="B1549" s="216" t="s">
        <v>3597</v>
      </c>
      <c r="C1549" s="216" t="s">
        <v>3598</v>
      </c>
      <c r="D1549" s="217" t="s">
        <v>203</v>
      </c>
      <c r="E1549" s="218"/>
      <c r="F1549" s="218"/>
      <c r="G1549" s="219">
        <f t="shared" si="10"/>
        <v>1.058219722</v>
      </c>
      <c r="H1549" s="220">
        <v>30.0</v>
      </c>
      <c r="I1549" s="221">
        <v>150.0</v>
      </c>
      <c r="J1549" s="220">
        <v>11.0</v>
      </c>
      <c r="K1549" s="220">
        <v>210.0</v>
      </c>
      <c r="L1549" s="220">
        <v>150.0</v>
      </c>
      <c r="M1549" s="222">
        <v>13.0</v>
      </c>
      <c r="N1549" s="222">
        <v>1.0</v>
      </c>
      <c r="O1549" s="222">
        <v>1.0</v>
      </c>
      <c r="P1549" s="223">
        <f t="shared" si="2"/>
        <v>11</v>
      </c>
      <c r="Q1549" s="224">
        <v>2.0</v>
      </c>
      <c r="R1549" s="234">
        <f t="shared" si="3"/>
        <v>141.7475</v>
      </c>
      <c r="S1549" s="235">
        <f t="shared" si="4"/>
        <v>5</v>
      </c>
      <c r="T1549" s="24">
        <f t="shared" si="5"/>
        <v>6.5</v>
      </c>
      <c r="U1549" s="26">
        <f t="shared" si="6"/>
        <v>0.6226415094</v>
      </c>
      <c r="V1549" s="26">
        <f t="shared" si="7"/>
        <v>0.0251572327</v>
      </c>
      <c r="W1549" s="19">
        <f t="shared" si="8"/>
        <v>1.4</v>
      </c>
      <c r="X1549" s="218"/>
      <c r="Y1549" s="27"/>
      <c r="Z1549" s="17"/>
      <c r="AA1549" s="17"/>
      <c r="AB1549" s="17"/>
      <c r="AC1549" s="17"/>
      <c r="AD1549" s="27"/>
    </row>
    <row r="1550" ht="15.75" customHeight="1">
      <c r="A1550" s="218" t="s">
        <v>3599</v>
      </c>
      <c r="B1550" s="218" t="s">
        <v>3600</v>
      </c>
      <c r="C1550" s="218" t="s">
        <v>3601</v>
      </c>
      <c r="D1550" s="217" t="s">
        <v>92</v>
      </c>
      <c r="E1550" s="245" t="s">
        <v>2833</v>
      </c>
      <c r="F1550" s="217">
        <v>2.0</v>
      </c>
      <c r="G1550" s="219">
        <f t="shared" si="10"/>
        <v>1.552055592</v>
      </c>
      <c r="H1550" s="217">
        <v>44.0</v>
      </c>
      <c r="I1550" s="236">
        <v>294.0</v>
      </c>
      <c r="J1550" s="217">
        <v>11.0</v>
      </c>
      <c r="K1550" s="217">
        <v>124.0</v>
      </c>
      <c r="L1550" s="218"/>
      <c r="M1550" s="223">
        <v>43.0</v>
      </c>
      <c r="N1550" s="223">
        <v>6.0</v>
      </c>
      <c r="O1550" s="223">
        <v>16.0</v>
      </c>
      <c r="P1550" s="223">
        <f t="shared" si="2"/>
        <v>21</v>
      </c>
      <c r="Q1550" s="237">
        <v>6.0</v>
      </c>
      <c r="R1550" s="246">
        <f t="shared" si="3"/>
        <v>189.4262045</v>
      </c>
      <c r="S1550" s="229">
        <f t="shared" si="4"/>
        <v>6.681818182</v>
      </c>
      <c r="T1550" s="24">
        <f t="shared" si="5"/>
        <v>7.166666667</v>
      </c>
      <c r="U1550" s="26">
        <f t="shared" si="6"/>
        <v>0.3355932203</v>
      </c>
      <c r="V1550" s="26">
        <f t="shared" si="7"/>
        <v>0.2169491525</v>
      </c>
      <c r="W1550" s="19">
        <f t="shared" si="8"/>
        <v>0.4217687075</v>
      </c>
      <c r="X1550" s="247">
        <f t="shared" ref="X1550:X1654" si="12">F1550*I1550</f>
        <v>588</v>
      </c>
      <c r="Y1550" s="27"/>
      <c r="Z1550" s="17"/>
      <c r="AA1550" s="17"/>
      <c r="AB1550" s="17"/>
      <c r="AC1550" s="17"/>
      <c r="AD1550" s="27"/>
    </row>
    <row r="1551" ht="15.75" customHeight="1">
      <c r="A1551" s="218" t="s">
        <v>2844</v>
      </c>
      <c r="B1551" s="218" t="s">
        <v>3602</v>
      </c>
      <c r="C1551" s="218" t="s">
        <v>3603</v>
      </c>
      <c r="D1551" s="217" t="s">
        <v>92</v>
      </c>
      <c r="E1551" s="245" t="s">
        <v>2833</v>
      </c>
      <c r="F1551" s="217">
        <v>2.0</v>
      </c>
      <c r="G1551" s="219">
        <f t="shared" si="10"/>
        <v>3.527399072</v>
      </c>
      <c r="H1551" s="217">
        <v>100.0</v>
      </c>
      <c r="I1551" s="236">
        <v>660.0</v>
      </c>
      <c r="J1551" s="217">
        <v>21.0</v>
      </c>
      <c r="K1551" s="217">
        <v>75.0</v>
      </c>
      <c r="L1551" s="217">
        <v>1087.0</v>
      </c>
      <c r="M1551" s="223">
        <v>104.0</v>
      </c>
      <c r="N1551" s="223">
        <v>12.0</v>
      </c>
      <c r="O1551" s="223">
        <v>61.0</v>
      </c>
      <c r="P1551" s="223">
        <f t="shared" si="2"/>
        <v>31</v>
      </c>
      <c r="Q1551" s="237">
        <v>15.0</v>
      </c>
      <c r="R1551" s="246">
        <f t="shared" si="3"/>
        <v>187.1067</v>
      </c>
      <c r="S1551" s="229">
        <f t="shared" si="4"/>
        <v>6.6</v>
      </c>
      <c r="T1551" s="24">
        <f t="shared" si="5"/>
        <v>6.933333333</v>
      </c>
      <c r="U1551" s="26">
        <f t="shared" si="6"/>
        <v>0.2842105263</v>
      </c>
      <c r="V1551" s="26">
        <f t="shared" si="7"/>
        <v>0.3669172932</v>
      </c>
      <c r="W1551" s="19">
        <f t="shared" si="8"/>
        <v>0.1136363636</v>
      </c>
      <c r="X1551" s="247">
        <f t="shared" si="12"/>
        <v>1320</v>
      </c>
      <c r="Y1551" s="27"/>
      <c r="Z1551" s="17"/>
      <c r="AA1551" s="17"/>
      <c r="AB1551" s="17"/>
      <c r="AC1551" s="17"/>
      <c r="AD1551" s="27"/>
    </row>
    <row r="1552" ht="15.75" customHeight="1">
      <c r="A1552" s="218" t="s">
        <v>3604</v>
      </c>
      <c r="B1552" s="218" t="s">
        <v>3605</v>
      </c>
      <c r="C1552" s="218" t="s">
        <v>3606</v>
      </c>
      <c r="D1552" s="217" t="s">
        <v>92</v>
      </c>
      <c r="E1552" s="245" t="s">
        <v>2833</v>
      </c>
      <c r="F1552" s="217">
        <v>2.0</v>
      </c>
      <c r="G1552" s="219">
        <f t="shared" si="10"/>
        <v>3.492125082</v>
      </c>
      <c r="H1552" s="217">
        <v>99.0</v>
      </c>
      <c r="I1552" s="236">
        <v>540.0</v>
      </c>
      <c r="J1552" s="217">
        <v>24.0</v>
      </c>
      <c r="K1552" s="217">
        <v>330.0</v>
      </c>
      <c r="L1552" s="217">
        <v>1110.0</v>
      </c>
      <c r="M1552" s="223">
        <v>76.0</v>
      </c>
      <c r="N1552" s="223">
        <v>14.0</v>
      </c>
      <c r="O1552" s="223">
        <v>27.0</v>
      </c>
      <c r="P1552" s="223">
        <f t="shared" si="2"/>
        <v>35</v>
      </c>
      <c r="Q1552" s="237">
        <v>11.0</v>
      </c>
      <c r="R1552" s="248">
        <f t="shared" si="3"/>
        <v>154.6336364</v>
      </c>
      <c r="S1552" s="243">
        <f t="shared" si="4"/>
        <v>5.454545455</v>
      </c>
      <c r="T1552" s="24">
        <f t="shared" si="5"/>
        <v>6.909090909</v>
      </c>
      <c r="U1552" s="26">
        <f t="shared" si="6"/>
        <v>0.3829787234</v>
      </c>
      <c r="V1552" s="26">
        <f t="shared" si="7"/>
        <v>0.1914893617</v>
      </c>
      <c r="W1552" s="19">
        <f t="shared" si="8"/>
        <v>0.6111111111</v>
      </c>
      <c r="X1552" s="247">
        <f t="shared" si="12"/>
        <v>1080</v>
      </c>
      <c r="Y1552" s="27"/>
      <c r="Z1552" s="17"/>
      <c r="AA1552" s="17"/>
      <c r="AB1552" s="17"/>
      <c r="AC1552" s="17"/>
      <c r="AD1552" s="27"/>
    </row>
    <row r="1553" ht="15.75" customHeight="1">
      <c r="A1553" s="216" t="s">
        <v>3607</v>
      </c>
      <c r="B1553" s="216" t="s">
        <v>3608</v>
      </c>
      <c r="C1553" s="218" t="s">
        <v>3609</v>
      </c>
      <c r="D1553" s="220" t="s">
        <v>92</v>
      </c>
      <c r="E1553" s="249" t="s">
        <v>2839</v>
      </c>
      <c r="F1553" s="217">
        <v>1.0</v>
      </c>
      <c r="G1553" s="219">
        <f t="shared" si="10"/>
        <v>2.998289211</v>
      </c>
      <c r="H1553" s="220">
        <v>85.0</v>
      </c>
      <c r="I1553" s="221">
        <v>440.0</v>
      </c>
      <c r="J1553" s="220">
        <v>28.0</v>
      </c>
      <c r="K1553" s="220">
        <v>20.0</v>
      </c>
      <c r="L1553" s="220">
        <v>660.0</v>
      </c>
      <c r="M1553" s="222">
        <v>43.0</v>
      </c>
      <c r="N1553" s="222">
        <v>16.0</v>
      </c>
      <c r="O1553" s="222">
        <v>20.0</v>
      </c>
      <c r="P1553" s="223">
        <f t="shared" si="2"/>
        <v>7</v>
      </c>
      <c r="Q1553" s="231">
        <v>8.0</v>
      </c>
      <c r="R1553" s="248">
        <f t="shared" si="3"/>
        <v>146.7503529</v>
      </c>
      <c r="S1553" s="243">
        <f t="shared" si="4"/>
        <v>5.176470588</v>
      </c>
      <c r="T1553" s="24">
        <f t="shared" si="5"/>
        <v>5.375</v>
      </c>
      <c r="U1553" s="26">
        <f t="shared" si="6"/>
        <v>0.5526315789</v>
      </c>
      <c r="V1553" s="26">
        <f t="shared" si="7"/>
        <v>0.1754385965</v>
      </c>
      <c r="W1553" s="19">
        <f t="shared" si="8"/>
        <v>0.04545454545</v>
      </c>
      <c r="X1553" s="247">
        <f t="shared" si="12"/>
        <v>440</v>
      </c>
      <c r="Y1553" s="27"/>
      <c r="Z1553" s="17"/>
      <c r="AA1553" s="17"/>
      <c r="AB1553" s="17"/>
      <c r="AC1553" s="17"/>
      <c r="AD1553" s="27"/>
    </row>
    <row r="1554" ht="15.75" customHeight="1">
      <c r="A1554" s="218" t="s">
        <v>3604</v>
      </c>
      <c r="B1554" s="218" t="s">
        <v>3610</v>
      </c>
      <c r="C1554" s="218" t="s">
        <v>3611</v>
      </c>
      <c r="D1554" s="217" t="s">
        <v>92</v>
      </c>
      <c r="E1554" s="245" t="s">
        <v>2833</v>
      </c>
      <c r="F1554" s="217">
        <v>1.0</v>
      </c>
      <c r="G1554" s="219">
        <f t="shared" si="10"/>
        <v>3.985960952</v>
      </c>
      <c r="H1554" s="217">
        <v>113.0</v>
      </c>
      <c r="I1554" s="236">
        <v>570.0</v>
      </c>
      <c r="J1554" s="217">
        <v>27.0</v>
      </c>
      <c r="K1554" s="217">
        <v>710.0</v>
      </c>
      <c r="L1554" s="217">
        <v>760.0</v>
      </c>
      <c r="M1554" s="223">
        <v>74.0</v>
      </c>
      <c r="N1554" s="223">
        <v>11.0</v>
      </c>
      <c r="O1554" s="223">
        <v>24.0</v>
      </c>
      <c r="P1554" s="223">
        <f t="shared" si="2"/>
        <v>39</v>
      </c>
      <c r="Q1554" s="237">
        <v>13.0</v>
      </c>
      <c r="R1554" s="248">
        <f t="shared" si="3"/>
        <v>143.0019027</v>
      </c>
      <c r="S1554" s="243">
        <f t="shared" si="4"/>
        <v>5.044247788</v>
      </c>
      <c r="T1554" s="24">
        <f t="shared" si="5"/>
        <v>5.692307692</v>
      </c>
      <c r="U1554" s="26">
        <f t="shared" si="6"/>
        <v>0.4111675127</v>
      </c>
      <c r="V1554" s="26">
        <f t="shared" si="7"/>
        <v>0.1624365482</v>
      </c>
      <c r="W1554" s="19">
        <f t="shared" si="8"/>
        <v>1.245614035</v>
      </c>
      <c r="X1554" s="247">
        <f t="shared" si="12"/>
        <v>570</v>
      </c>
      <c r="Y1554" s="27"/>
      <c r="Z1554" s="17"/>
      <c r="AA1554" s="17"/>
      <c r="AB1554" s="17"/>
      <c r="AC1554" s="17"/>
      <c r="AD1554" s="27"/>
    </row>
    <row r="1555" ht="15.75" customHeight="1">
      <c r="A1555" s="216" t="s">
        <v>3165</v>
      </c>
      <c r="B1555" s="216" t="s">
        <v>3612</v>
      </c>
      <c r="C1555" s="218" t="s">
        <v>3613</v>
      </c>
      <c r="D1555" s="217" t="s">
        <v>92</v>
      </c>
      <c r="E1555" s="245" t="s">
        <v>2833</v>
      </c>
      <c r="F1555" s="217">
        <v>1.0</v>
      </c>
      <c r="G1555" s="219">
        <f t="shared" si="10"/>
        <v>3.985960952</v>
      </c>
      <c r="H1555" s="217">
        <v>113.0</v>
      </c>
      <c r="I1555" s="236">
        <v>540.0</v>
      </c>
      <c r="J1555" s="217">
        <v>27.0</v>
      </c>
      <c r="K1555" s="217">
        <v>450.0</v>
      </c>
      <c r="L1555" s="218"/>
      <c r="M1555" s="223">
        <v>64.0</v>
      </c>
      <c r="N1555" s="223">
        <v>11.0</v>
      </c>
      <c r="O1555" s="223">
        <v>25.0</v>
      </c>
      <c r="P1555" s="223">
        <f t="shared" si="2"/>
        <v>28</v>
      </c>
      <c r="Q1555" s="237">
        <v>13.0</v>
      </c>
      <c r="R1555" s="248">
        <f t="shared" si="3"/>
        <v>135.4754867</v>
      </c>
      <c r="S1555" s="243">
        <f t="shared" si="4"/>
        <v>4.778761062</v>
      </c>
      <c r="T1555" s="24">
        <f t="shared" si="5"/>
        <v>4.923076923</v>
      </c>
      <c r="U1555" s="26">
        <f t="shared" si="6"/>
        <v>0.4410163339</v>
      </c>
      <c r="V1555" s="26">
        <f t="shared" si="7"/>
        <v>0.1814882033</v>
      </c>
      <c r="W1555" s="19">
        <f t="shared" si="8"/>
        <v>0.8333333333</v>
      </c>
      <c r="X1555" s="247">
        <f t="shared" si="12"/>
        <v>540</v>
      </c>
      <c r="Y1555" s="27"/>
      <c r="Z1555" s="17"/>
      <c r="AA1555" s="17"/>
      <c r="AB1555" s="17"/>
      <c r="AC1555" s="17"/>
      <c r="AD1555" s="27"/>
    </row>
    <row r="1556" ht="15.75" customHeight="1">
      <c r="A1556" s="216" t="s">
        <v>3165</v>
      </c>
      <c r="B1556" s="216" t="s">
        <v>1478</v>
      </c>
      <c r="C1556" s="218" t="s">
        <v>3614</v>
      </c>
      <c r="D1556" s="217" t="s">
        <v>92</v>
      </c>
      <c r="E1556" s="245" t="s">
        <v>2833</v>
      </c>
      <c r="F1556" s="217">
        <v>1.0</v>
      </c>
      <c r="G1556" s="219">
        <f t="shared" si="10"/>
        <v>3.985960952</v>
      </c>
      <c r="H1556" s="217">
        <v>113.0</v>
      </c>
      <c r="I1556" s="236">
        <v>530.0</v>
      </c>
      <c r="J1556" s="217">
        <v>27.0</v>
      </c>
      <c r="K1556" s="217">
        <v>500.0</v>
      </c>
      <c r="L1556" s="218"/>
      <c r="M1556" s="223">
        <v>63.0</v>
      </c>
      <c r="N1556" s="223">
        <v>10.0</v>
      </c>
      <c r="O1556" s="223">
        <v>22.0</v>
      </c>
      <c r="P1556" s="223">
        <f t="shared" si="2"/>
        <v>31</v>
      </c>
      <c r="Q1556" s="237">
        <v>13.0</v>
      </c>
      <c r="R1556" s="248">
        <f t="shared" si="3"/>
        <v>132.9666814</v>
      </c>
      <c r="S1556" s="243">
        <f t="shared" si="4"/>
        <v>4.690265487</v>
      </c>
      <c r="T1556" s="24">
        <f t="shared" si="5"/>
        <v>4.846153846</v>
      </c>
      <c r="U1556" s="26">
        <f t="shared" si="6"/>
        <v>0.4442413163</v>
      </c>
      <c r="V1556" s="26">
        <f t="shared" si="7"/>
        <v>0.1608775137</v>
      </c>
      <c r="W1556" s="19">
        <f t="shared" si="8"/>
        <v>0.9433962264</v>
      </c>
      <c r="X1556" s="247">
        <f t="shared" si="12"/>
        <v>530</v>
      </c>
      <c r="Y1556" s="27"/>
      <c r="Z1556" s="17"/>
      <c r="AA1556" s="17"/>
      <c r="AB1556" s="17"/>
      <c r="AC1556" s="17"/>
      <c r="AD1556" s="27"/>
    </row>
    <row r="1557" ht="15.75" customHeight="1">
      <c r="A1557" s="216" t="s">
        <v>3165</v>
      </c>
      <c r="B1557" s="216" t="s">
        <v>3615</v>
      </c>
      <c r="C1557" s="218" t="s">
        <v>3616</v>
      </c>
      <c r="D1557" s="217" t="s">
        <v>92</v>
      </c>
      <c r="E1557" s="245" t="s">
        <v>2833</v>
      </c>
      <c r="F1557" s="217">
        <v>1.0</v>
      </c>
      <c r="G1557" s="219">
        <f t="shared" si="10"/>
        <v>3.985960952</v>
      </c>
      <c r="H1557" s="217">
        <v>113.0</v>
      </c>
      <c r="I1557" s="236">
        <v>530.0</v>
      </c>
      <c r="J1557" s="217">
        <v>27.0</v>
      </c>
      <c r="K1557" s="217">
        <v>450.0</v>
      </c>
      <c r="L1557" s="218"/>
      <c r="M1557" s="223">
        <v>64.0</v>
      </c>
      <c r="N1557" s="223">
        <v>10.0</v>
      </c>
      <c r="O1557" s="223">
        <v>16.0</v>
      </c>
      <c r="P1557" s="223">
        <f t="shared" si="2"/>
        <v>38</v>
      </c>
      <c r="Q1557" s="237">
        <v>14.0</v>
      </c>
      <c r="R1557" s="248">
        <f t="shared" si="3"/>
        <v>132.9666814</v>
      </c>
      <c r="S1557" s="243">
        <f t="shared" si="4"/>
        <v>4.690265487</v>
      </c>
      <c r="T1557" s="24">
        <f t="shared" si="5"/>
        <v>4.571428571</v>
      </c>
      <c r="U1557" s="26">
        <f t="shared" si="6"/>
        <v>0.4378378378</v>
      </c>
      <c r="V1557" s="26">
        <f t="shared" si="7"/>
        <v>0.1153153153</v>
      </c>
      <c r="W1557" s="19">
        <f t="shared" si="8"/>
        <v>0.8490566038</v>
      </c>
      <c r="X1557" s="247">
        <f t="shared" si="12"/>
        <v>530</v>
      </c>
      <c r="Y1557" s="27"/>
      <c r="Z1557" s="17"/>
      <c r="AA1557" s="17"/>
      <c r="AB1557" s="17"/>
      <c r="AC1557" s="17"/>
      <c r="AD1557" s="27"/>
    </row>
    <row r="1558" ht="15.75" customHeight="1">
      <c r="A1558" s="216" t="s">
        <v>3165</v>
      </c>
      <c r="B1558" s="216" t="s">
        <v>3617</v>
      </c>
      <c r="C1558" s="218" t="s">
        <v>3618</v>
      </c>
      <c r="D1558" s="217" t="s">
        <v>92</v>
      </c>
      <c r="E1558" s="245" t="s">
        <v>2833</v>
      </c>
      <c r="F1558" s="217">
        <v>1.0</v>
      </c>
      <c r="G1558" s="219">
        <f t="shared" si="10"/>
        <v>3.985960952</v>
      </c>
      <c r="H1558" s="217">
        <v>113.0</v>
      </c>
      <c r="I1558" s="236">
        <v>530.0</v>
      </c>
      <c r="J1558" s="217">
        <v>27.0</v>
      </c>
      <c r="K1558" s="217">
        <v>450.0</v>
      </c>
      <c r="L1558" s="218"/>
      <c r="M1558" s="223">
        <v>65.0</v>
      </c>
      <c r="N1558" s="223">
        <v>12.0</v>
      </c>
      <c r="O1558" s="223">
        <v>21.0</v>
      </c>
      <c r="P1558" s="223">
        <f t="shared" si="2"/>
        <v>32</v>
      </c>
      <c r="Q1558" s="237">
        <v>13.0</v>
      </c>
      <c r="R1558" s="248">
        <f t="shared" si="3"/>
        <v>132.9666814</v>
      </c>
      <c r="S1558" s="243">
        <f t="shared" si="4"/>
        <v>4.690265487</v>
      </c>
      <c r="T1558" s="24">
        <f t="shared" si="5"/>
        <v>5</v>
      </c>
      <c r="U1558" s="26">
        <f t="shared" si="6"/>
        <v>0.4378378378</v>
      </c>
      <c r="V1558" s="26">
        <f t="shared" si="7"/>
        <v>0.1513513514</v>
      </c>
      <c r="W1558" s="19">
        <f t="shared" si="8"/>
        <v>0.8490566038</v>
      </c>
      <c r="X1558" s="247">
        <f t="shared" si="12"/>
        <v>530</v>
      </c>
      <c r="Y1558" s="27"/>
      <c r="Z1558" s="17"/>
      <c r="AA1558" s="17"/>
      <c r="AB1558" s="17"/>
      <c r="AC1558" s="17"/>
      <c r="AD1558" s="27"/>
    </row>
    <row r="1559" ht="15.75" customHeight="1">
      <c r="A1559" s="216" t="s">
        <v>3165</v>
      </c>
      <c r="B1559" s="216" t="s">
        <v>3619</v>
      </c>
      <c r="C1559" s="218" t="s">
        <v>3620</v>
      </c>
      <c r="D1559" s="217" t="s">
        <v>92</v>
      </c>
      <c r="E1559" s="245" t="s">
        <v>2833</v>
      </c>
      <c r="F1559" s="217">
        <v>1.0</v>
      </c>
      <c r="G1559" s="219">
        <f t="shared" si="10"/>
        <v>3.985960952</v>
      </c>
      <c r="H1559" s="217">
        <v>113.0</v>
      </c>
      <c r="I1559" s="236">
        <v>530.0</v>
      </c>
      <c r="J1559" s="217">
        <v>29.0</v>
      </c>
      <c r="K1559" s="217">
        <v>450.0</v>
      </c>
      <c r="L1559" s="218"/>
      <c r="M1559" s="223">
        <v>61.0</v>
      </c>
      <c r="N1559" s="223">
        <v>7.0</v>
      </c>
      <c r="O1559" s="223">
        <v>20.0</v>
      </c>
      <c r="P1559" s="223">
        <f t="shared" si="2"/>
        <v>34</v>
      </c>
      <c r="Q1559" s="237">
        <v>13.0</v>
      </c>
      <c r="R1559" s="248">
        <f t="shared" si="3"/>
        <v>132.9666814</v>
      </c>
      <c r="S1559" s="243">
        <f t="shared" si="4"/>
        <v>4.690265487</v>
      </c>
      <c r="T1559" s="24">
        <f t="shared" si="5"/>
        <v>4.692307692</v>
      </c>
      <c r="U1559" s="26">
        <f t="shared" si="6"/>
        <v>0.4685816876</v>
      </c>
      <c r="V1559" s="26">
        <f t="shared" si="7"/>
        <v>0.1436265709</v>
      </c>
      <c r="W1559" s="19">
        <f t="shared" si="8"/>
        <v>0.8490566038</v>
      </c>
      <c r="X1559" s="247">
        <f t="shared" si="12"/>
        <v>530</v>
      </c>
      <c r="Y1559" s="27"/>
      <c r="Z1559" s="17"/>
      <c r="AA1559" s="17"/>
      <c r="AB1559" s="17"/>
      <c r="AC1559" s="17"/>
      <c r="AD1559" s="27"/>
    </row>
    <row r="1560" ht="15.75" customHeight="1">
      <c r="A1560" s="218" t="s">
        <v>3599</v>
      </c>
      <c r="B1560" s="218" t="s">
        <v>3621</v>
      </c>
      <c r="C1560" s="218" t="s">
        <v>3622</v>
      </c>
      <c r="D1560" s="217" t="s">
        <v>92</v>
      </c>
      <c r="E1560" s="249" t="s">
        <v>2839</v>
      </c>
      <c r="F1560" s="217">
        <v>2.0</v>
      </c>
      <c r="G1560" s="219">
        <f t="shared" si="10"/>
        <v>2.610275313</v>
      </c>
      <c r="H1560" s="217">
        <v>74.0</v>
      </c>
      <c r="I1560" s="236">
        <v>332.0</v>
      </c>
      <c r="J1560" s="217">
        <v>8.0</v>
      </c>
      <c r="K1560" s="217">
        <v>99.0</v>
      </c>
      <c r="L1560" s="218"/>
      <c r="M1560" s="223">
        <v>50.0</v>
      </c>
      <c r="N1560" s="223">
        <v>5.0</v>
      </c>
      <c r="O1560" s="223">
        <v>26.0</v>
      </c>
      <c r="P1560" s="223">
        <f t="shared" si="2"/>
        <v>19</v>
      </c>
      <c r="Q1560" s="237">
        <v>14.0</v>
      </c>
      <c r="R1560" s="248">
        <f t="shared" si="3"/>
        <v>127.1896486</v>
      </c>
      <c r="S1560" s="243">
        <f t="shared" si="4"/>
        <v>4.486486486</v>
      </c>
      <c r="T1560" s="24">
        <f t="shared" si="5"/>
        <v>3.571428571</v>
      </c>
      <c r="U1560" s="26">
        <f t="shared" si="6"/>
        <v>0.2195121951</v>
      </c>
      <c r="V1560" s="26">
        <f t="shared" si="7"/>
        <v>0.3170731707</v>
      </c>
      <c r="W1560" s="19">
        <f t="shared" si="8"/>
        <v>0.2981927711</v>
      </c>
      <c r="X1560" s="247">
        <f t="shared" si="12"/>
        <v>664</v>
      </c>
      <c r="Y1560" s="27"/>
      <c r="Z1560" s="17"/>
      <c r="AA1560" s="17"/>
      <c r="AB1560" s="17"/>
      <c r="AC1560" s="17"/>
      <c r="AD1560" s="27"/>
    </row>
    <row r="1561" ht="15.75" customHeight="1">
      <c r="A1561" s="218" t="s">
        <v>3599</v>
      </c>
      <c r="B1561" s="218" t="s">
        <v>3623</v>
      </c>
      <c r="C1561" s="218" t="s">
        <v>3624</v>
      </c>
      <c r="D1561" s="217" t="s">
        <v>92</v>
      </c>
      <c r="E1561" s="249" t="s">
        <v>2839</v>
      </c>
      <c r="F1561" s="217">
        <v>2.0</v>
      </c>
      <c r="G1561" s="219">
        <f t="shared" si="10"/>
        <v>2.151713434</v>
      </c>
      <c r="H1561" s="217">
        <v>61.0</v>
      </c>
      <c r="I1561" s="236">
        <v>270.0</v>
      </c>
      <c r="J1561" s="217">
        <v>9.0</v>
      </c>
      <c r="K1561" s="217">
        <v>116.0</v>
      </c>
      <c r="L1561" s="218"/>
      <c r="M1561" s="223">
        <v>37.0</v>
      </c>
      <c r="N1561" s="223">
        <v>5.0</v>
      </c>
      <c r="O1561" s="223">
        <v>22.0</v>
      </c>
      <c r="P1561" s="223">
        <f t="shared" si="2"/>
        <v>10</v>
      </c>
      <c r="Q1561" s="237">
        <v>12.0</v>
      </c>
      <c r="R1561" s="248">
        <f t="shared" si="3"/>
        <v>125.4813934</v>
      </c>
      <c r="S1561" s="243">
        <f t="shared" si="4"/>
        <v>4.426229508</v>
      </c>
      <c r="T1561" s="24">
        <f t="shared" si="5"/>
        <v>3.083333333</v>
      </c>
      <c r="U1561" s="26">
        <f t="shared" si="6"/>
        <v>0.2924187726</v>
      </c>
      <c r="V1561" s="26">
        <f t="shared" si="7"/>
        <v>0.3176895307</v>
      </c>
      <c r="W1561" s="19">
        <f t="shared" si="8"/>
        <v>0.4296296296</v>
      </c>
      <c r="X1561" s="247">
        <f t="shared" si="12"/>
        <v>540</v>
      </c>
      <c r="Y1561" s="27"/>
      <c r="Z1561" s="17"/>
      <c r="AA1561" s="17"/>
      <c r="AB1561" s="17"/>
      <c r="AC1561" s="17"/>
      <c r="AD1561" s="27"/>
    </row>
    <row r="1562" ht="15.75" customHeight="1">
      <c r="A1562" s="216" t="s">
        <v>3625</v>
      </c>
      <c r="B1562" s="216" t="s">
        <v>3626</v>
      </c>
      <c r="C1562" s="218" t="s">
        <v>3627</v>
      </c>
      <c r="D1562" s="217" t="s">
        <v>92</v>
      </c>
      <c r="E1562" s="249" t="s">
        <v>2839</v>
      </c>
      <c r="F1562" s="217">
        <v>1.0</v>
      </c>
      <c r="G1562" s="219">
        <f t="shared" si="10"/>
        <v>4.938358701</v>
      </c>
      <c r="H1562" s="217">
        <v>140.0</v>
      </c>
      <c r="I1562" s="236">
        <v>610.0</v>
      </c>
      <c r="J1562" s="217">
        <v>27.0</v>
      </c>
      <c r="K1562" s="217">
        <v>420.0</v>
      </c>
      <c r="L1562" s="217">
        <v>900.0</v>
      </c>
      <c r="M1562" s="223">
        <v>76.0</v>
      </c>
      <c r="N1562" s="223">
        <v>9.0</v>
      </c>
      <c r="O1562" s="223">
        <v>41.0</v>
      </c>
      <c r="P1562" s="223">
        <f t="shared" si="2"/>
        <v>26</v>
      </c>
      <c r="Q1562" s="237">
        <v>21.0</v>
      </c>
      <c r="R1562" s="248">
        <f t="shared" si="3"/>
        <v>123.5228214</v>
      </c>
      <c r="S1562" s="243">
        <f t="shared" si="4"/>
        <v>4.357142857</v>
      </c>
      <c r="T1562" s="24">
        <f t="shared" si="5"/>
        <v>3.619047619</v>
      </c>
      <c r="U1562" s="26">
        <f t="shared" si="6"/>
        <v>0.3851030111</v>
      </c>
      <c r="V1562" s="26">
        <f t="shared" si="7"/>
        <v>0.2599049128</v>
      </c>
      <c r="W1562" s="19">
        <f t="shared" si="8"/>
        <v>0.6885245902</v>
      </c>
      <c r="X1562" s="247">
        <f t="shared" si="12"/>
        <v>610</v>
      </c>
      <c r="Y1562" s="27"/>
      <c r="Z1562" s="17"/>
      <c r="AA1562" s="17"/>
      <c r="AB1562" s="17"/>
      <c r="AC1562" s="17"/>
      <c r="AD1562" s="27"/>
    </row>
    <row r="1563" ht="15.75" customHeight="1">
      <c r="A1563" s="218" t="s">
        <v>3628</v>
      </c>
      <c r="B1563" s="218" t="s">
        <v>3629</v>
      </c>
      <c r="C1563" s="218" t="s">
        <v>3630</v>
      </c>
      <c r="D1563" s="217" t="s">
        <v>92</v>
      </c>
      <c r="E1563" s="245" t="s">
        <v>2833</v>
      </c>
      <c r="F1563" s="217">
        <v>1.0</v>
      </c>
      <c r="G1563" s="219">
        <f t="shared" si="10"/>
        <v>4.515070813</v>
      </c>
      <c r="H1563" s="217">
        <v>128.0</v>
      </c>
      <c r="I1563" s="236">
        <v>550.0</v>
      </c>
      <c r="J1563" s="217">
        <v>30.0</v>
      </c>
      <c r="K1563" s="217">
        <v>1340.0</v>
      </c>
      <c r="L1563" s="217">
        <v>810.0</v>
      </c>
      <c r="M1563" s="223">
        <v>8.0</v>
      </c>
      <c r="N1563" s="223">
        <v>2.0</v>
      </c>
      <c r="O1563" s="223">
        <v>3.0</v>
      </c>
      <c r="P1563" s="223">
        <f t="shared" si="2"/>
        <v>3</v>
      </c>
      <c r="Q1563" s="237">
        <v>53.0</v>
      </c>
      <c r="R1563" s="248">
        <f t="shared" si="3"/>
        <v>121.8142578</v>
      </c>
      <c r="S1563" s="243">
        <f t="shared" si="4"/>
        <v>4.296875</v>
      </c>
      <c r="T1563" s="24">
        <f t="shared" si="5"/>
        <v>0.1509433962</v>
      </c>
      <c r="U1563" s="26">
        <f t="shared" si="6"/>
        <v>0.5252918288</v>
      </c>
      <c r="V1563" s="26">
        <f t="shared" si="7"/>
        <v>0.0233463035</v>
      </c>
      <c r="W1563" s="19">
        <f t="shared" si="8"/>
        <v>2.436363636</v>
      </c>
      <c r="X1563" s="247">
        <f t="shared" si="12"/>
        <v>550</v>
      </c>
      <c r="Y1563" s="27"/>
      <c r="Z1563" s="17"/>
      <c r="AA1563" s="17"/>
      <c r="AB1563" s="17"/>
      <c r="AC1563" s="17"/>
      <c r="AD1563" s="27"/>
    </row>
    <row r="1564" ht="15.75" customHeight="1">
      <c r="A1564" s="218" t="s">
        <v>3631</v>
      </c>
      <c r="B1564" s="218" t="s">
        <v>3632</v>
      </c>
      <c r="C1564" s="218" t="s">
        <v>3633</v>
      </c>
      <c r="D1564" s="217" t="s">
        <v>92</v>
      </c>
      <c r="E1564" s="249" t="s">
        <v>2839</v>
      </c>
      <c r="F1564" s="217">
        <v>1.0</v>
      </c>
      <c r="G1564" s="219">
        <f t="shared" si="10"/>
        <v>3.633221044</v>
      </c>
      <c r="H1564" s="217">
        <v>103.0</v>
      </c>
      <c r="I1564" s="236">
        <v>440.0</v>
      </c>
      <c r="J1564" s="217">
        <v>11.0</v>
      </c>
      <c r="K1564" s="217">
        <v>150.0</v>
      </c>
      <c r="L1564" s="217">
        <v>530.0</v>
      </c>
      <c r="M1564" s="223">
        <v>75.0</v>
      </c>
      <c r="N1564" s="223">
        <v>7.0</v>
      </c>
      <c r="O1564" s="223">
        <v>36.0</v>
      </c>
      <c r="P1564" s="223">
        <f t="shared" si="2"/>
        <v>32</v>
      </c>
      <c r="Q1564" s="237">
        <v>11.0</v>
      </c>
      <c r="R1564" s="248">
        <f t="shared" si="3"/>
        <v>121.1046602</v>
      </c>
      <c r="S1564" s="243">
        <f t="shared" si="4"/>
        <v>4.27184466</v>
      </c>
      <c r="T1564" s="24">
        <f t="shared" si="5"/>
        <v>6.818181818</v>
      </c>
      <c r="U1564" s="26">
        <f t="shared" si="6"/>
        <v>0.223476298</v>
      </c>
      <c r="V1564" s="26">
        <f t="shared" si="7"/>
        <v>0.3250564334</v>
      </c>
      <c r="W1564" s="19">
        <f t="shared" si="8"/>
        <v>0.3409090909</v>
      </c>
      <c r="X1564" s="247">
        <f t="shared" si="12"/>
        <v>440</v>
      </c>
      <c r="Y1564" s="27"/>
      <c r="Z1564" s="17"/>
      <c r="AA1564" s="17"/>
      <c r="AB1564" s="17"/>
      <c r="AC1564" s="17"/>
      <c r="AD1564" s="27"/>
    </row>
    <row r="1565" ht="15.75" customHeight="1">
      <c r="A1565" s="216" t="s">
        <v>3625</v>
      </c>
      <c r="B1565" s="216" t="s">
        <v>3634</v>
      </c>
      <c r="C1565" s="218" t="s">
        <v>3635</v>
      </c>
      <c r="D1565" s="217" t="s">
        <v>92</v>
      </c>
      <c r="E1565" s="249" t="s">
        <v>2839</v>
      </c>
      <c r="F1565" s="217">
        <v>1.0</v>
      </c>
      <c r="G1565" s="219">
        <f t="shared" si="10"/>
        <v>5.291098608</v>
      </c>
      <c r="H1565" s="217">
        <v>150.0</v>
      </c>
      <c r="I1565" s="236">
        <v>640.0</v>
      </c>
      <c r="J1565" s="217">
        <v>26.0</v>
      </c>
      <c r="K1565" s="217">
        <v>430.0</v>
      </c>
      <c r="L1565" s="217">
        <v>950.0</v>
      </c>
      <c r="M1565" s="223">
        <v>88.0</v>
      </c>
      <c r="N1565" s="223">
        <v>9.0</v>
      </c>
      <c r="O1565" s="223">
        <v>54.0</v>
      </c>
      <c r="P1565" s="223">
        <f t="shared" si="2"/>
        <v>25</v>
      </c>
      <c r="Q1565" s="237">
        <v>21.0</v>
      </c>
      <c r="R1565" s="248">
        <f t="shared" si="3"/>
        <v>120.9578667</v>
      </c>
      <c r="S1565" s="243">
        <f t="shared" si="4"/>
        <v>4.266666667</v>
      </c>
      <c r="T1565" s="24">
        <f t="shared" si="5"/>
        <v>4.19047619</v>
      </c>
      <c r="U1565" s="26">
        <f t="shared" si="6"/>
        <v>0.3492537313</v>
      </c>
      <c r="V1565" s="26">
        <f t="shared" si="7"/>
        <v>0.3223880597</v>
      </c>
      <c r="W1565" s="19">
        <f t="shared" si="8"/>
        <v>0.671875</v>
      </c>
      <c r="X1565" s="247">
        <f t="shared" si="12"/>
        <v>640</v>
      </c>
      <c r="Y1565" s="27"/>
      <c r="Z1565" s="17"/>
      <c r="AA1565" s="17"/>
      <c r="AB1565" s="17"/>
      <c r="AC1565" s="17"/>
      <c r="AD1565" s="27"/>
    </row>
    <row r="1566" ht="15.75" customHeight="1">
      <c r="A1566" s="218" t="s">
        <v>3636</v>
      </c>
      <c r="B1566" s="218" t="s">
        <v>3637</v>
      </c>
      <c r="C1566" s="218" t="s">
        <v>3638</v>
      </c>
      <c r="D1566" s="217" t="s">
        <v>92</v>
      </c>
      <c r="E1566" s="245" t="s">
        <v>2833</v>
      </c>
      <c r="F1566" s="217">
        <v>1.0</v>
      </c>
      <c r="G1566" s="219">
        <f t="shared" si="10"/>
        <v>3.950686961</v>
      </c>
      <c r="H1566" s="217">
        <v>112.0</v>
      </c>
      <c r="I1566" s="236">
        <v>470.0</v>
      </c>
      <c r="J1566" s="217">
        <v>17.0</v>
      </c>
      <c r="K1566" s="217">
        <v>400.0</v>
      </c>
      <c r="L1566" s="217">
        <v>800.0</v>
      </c>
      <c r="M1566" s="223">
        <v>68.0</v>
      </c>
      <c r="N1566" s="223">
        <v>9.0</v>
      </c>
      <c r="O1566" s="223">
        <v>4.0</v>
      </c>
      <c r="P1566" s="223">
        <f t="shared" si="2"/>
        <v>55</v>
      </c>
      <c r="Q1566" s="237">
        <v>15.0</v>
      </c>
      <c r="R1566" s="248">
        <f t="shared" si="3"/>
        <v>118.9666518</v>
      </c>
      <c r="S1566" s="243">
        <f t="shared" si="4"/>
        <v>4.196428571</v>
      </c>
      <c r="T1566" s="24">
        <f t="shared" si="5"/>
        <v>4.533333333</v>
      </c>
      <c r="U1566" s="26">
        <f t="shared" si="6"/>
        <v>0.3154639175</v>
      </c>
      <c r="V1566" s="26">
        <f t="shared" si="7"/>
        <v>0.03298969072</v>
      </c>
      <c r="W1566" s="19">
        <f t="shared" si="8"/>
        <v>0.8510638298</v>
      </c>
      <c r="X1566" s="247">
        <f t="shared" si="12"/>
        <v>470</v>
      </c>
      <c r="Y1566" s="27"/>
      <c r="Z1566" s="17"/>
      <c r="AA1566" s="17"/>
      <c r="AB1566" s="17"/>
      <c r="AC1566" s="17"/>
      <c r="AD1566" s="27"/>
    </row>
    <row r="1567" ht="15.75" customHeight="1">
      <c r="A1567" s="218" t="s">
        <v>3631</v>
      </c>
      <c r="B1567" s="218" t="s">
        <v>3639</v>
      </c>
      <c r="C1567" s="218" t="s">
        <v>3640</v>
      </c>
      <c r="D1567" s="217" t="s">
        <v>92</v>
      </c>
      <c r="E1567" s="249" t="s">
        <v>2839</v>
      </c>
      <c r="F1567" s="217">
        <v>1.0</v>
      </c>
      <c r="G1567" s="219">
        <f t="shared" si="10"/>
        <v>3.88013898</v>
      </c>
      <c r="H1567" s="217">
        <v>110.0</v>
      </c>
      <c r="I1567" s="236">
        <v>460.0</v>
      </c>
      <c r="J1567" s="217">
        <v>12.0</v>
      </c>
      <c r="K1567" s="217">
        <v>200.0</v>
      </c>
      <c r="L1567" s="217">
        <v>560.0</v>
      </c>
      <c r="M1567" s="223">
        <v>77.0</v>
      </c>
      <c r="N1567" s="223">
        <v>7.0</v>
      </c>
      <c r="O1567" s="223">
        <v>37.0</v>
      </c>
      <c r="P1567" s="223">
        <f t="shared" si="2"/>
        <v>33</v>
      </c>
      <c r="Q1567" s="237">
        <v>15.0</v>
      </c>
      <c r="R1567" s="248">
        <f t="shared" si="3"/>
        <v>118.5524545</v>
      </c>
      <c r="S1567" s="243">
        <f t="shared" si="4"/>
        <v>4.181818182</v>
      </c>
      <c r="T1567" s="24">
        <f t="shared" si="5"/>
        <v>5.133333333</v>
      </c>
      <c r="U1567" s="26">
        <f t="shared" si="6"/>
        <v>0.2268907563</v>
      </c>
      <c r="V1567" s="26">
        <f t="shared" si="7"/>
        <v>0.3109243697</v>
      </c>
      <c r="W1567" s="19">
        <f t="shared" si="8"/>
        <v>0.4347826087</v>
      </c>
      <c r="X1567" s="247">
        <f t="shared" si="12"/>
        <v>460</v>
      </c>
      <c r="Y1567" s="27"/>
      <c r="Z1567" s="17"/>
      <c r="AA1567" s="17"/>
      <c r="AB1567" s="17"/>
      <c r="AC1567" s="17"/>
      <c r="AD1567" s="27"/>
    </row>
    <row r="1568" ht="15.75" customHeight="1">
      <c r="A1568" s="218" t="s">
        <v>3631</v>
      </c>
      <c r="B1568" s="218" t="s">
        <v>3641</v>
      </c>
      <c r="C1568" s="218" t="s">
        <v>3642</v>
      </c>
      <c r="D1568" s="217" t="s">
        <v>92</v>
      </c>
      <c r="E1568" s="249" t="s">
        <v>2839</v>
      </c>
      <c r="F1568" s="217">
        <v>1.0</v>
      </c>
      <c r="G1568" s="219">
        <f t="shared" si="10"/>
        <v>3.844864989</v>
      </c>
      <c r="H1568" s="217">
        <v>109.0</v>
      </c>
      <c r="I1568" s="236">
        <v>450.0</v>
      </c>
      <c r="J1568" s="217">
        <v>10.0</v>
      </c>
      <c r="K1568" s="217">
        <v>215.0</v>
      </c>
      <c r="L1568" s="217">
        <v>752.0</v>
      </c>
      <c r="M1568" s="223">
        <v>77.0</v>
      </c>
      <c r="N1568" s="223">
        <v>7.0</v>
      </c>
      <c r="O1568" s="223">
        <v>37.0</v>
      </c>
      <c r="P1568" s="223">
        <f t="shared" si="2"/>
        <v>33</v>
      </c>
      <c r="Q1568" s="237">
        <v>15.0</v>
      </c>
      <c r="R1568" s="248">
        <f t="shared" si="3"/>
        <v>117.0392202</v>
      </c>
      <c r="S1568" s="243">
        <f t="shared" si="4"/>
        <v>4.128440367</v>
      </c>
      <c r="T1568" s="24">
        <f t="shared" si="5"/>
        <v>5.133333333</v>
      </c>
      <c r="U1568" s="26">
        <f t="shared" si="6"/>
        <v>0.1965065502</v>
      </c>
      <c r="V1568" s="26">
        <f t="shared" si="7"/>
        <v>0.3231441048</v>
      </c>
      <c r="W1568" s="19">
        <f t="shared" si="8"/>
        <v>0.4777777778</v>
      </c>
      <c r="X1568" s="247">
        <f t="shared" si="12"/>
        <v>450</v>
      </c>
      <c r="Y1568" s="27"/>
      <c r="Z1568" s="17"/>
      <c r="AA1568" s="17"/>
      <c r="AB1568" s="17"/>
      <c r="AC1568" s="17"/>
      <c r="AD1568" s="27"/>
    </row>
    <row r="1569" ht="15.75" customHeight="1">
      <c r="A1569" s="218" t="s">
        <v>3643</v>
      </c>
      <c r="B1569" s="218" t="s">
        <v>3644</v>
      </c>
      <c r="C1569" s="218" t="s">
        <v>3645</v>
      </c>
      <c r="D1569" s="217" t="s">
        <v>92</v>
      </c>
      <c r="E1569" s="245" t="s">
        <v>2833</v>
      </c>
      <c r="F1569" s="217">
        <v>2.0</v>
      </c>
      <c r="G1569" s="219">
        <f t="shared" si="10"/>
        <v>2.081165453</v>
      </c>
      <c r="H1569" s="217">
        <v>59.0</v>
      </c>
      <c r="I1569" s="236">
        <v>240.0</v>
      </c>
      <c r="J1569" s="217">
        <v>11.0</v>
      </c>
      <c r="K1569" s="217">
        <v>69.0</v>
      </c>
      <c r="L1569" s="217">
        <v>237.0</v>
      </c>
      <c r="M1569" s="223">
        <v>33.0</v>
      </c>
      <c r="N1569" s="223">
        <v>5.0</v>
      </c>
      <c r="O1569" s="223">
        <v>9.0</v>
      </c>
      <c r="P1569" s="223">
        <f t="shared" si="2"/>
        <v>19</v>
      </c>
      <c r="Q1569" s="237">
        <v>6.0</v>
      </c>
      <c r="R1569" s="248">
        <f t="shared" si="3"/>
        <v>115.32</v>
      </c>
      <c r="S1569" s="243">
        <f t="shared" si="4"/>
        <v>4.06779661</v>
      </c>
      <c r="T1569" s="24">
        <f t="shared" si="5"/>
        <v>5.5</v>
      </c>
      <c r="U1569" s="26">
        <f t="shared" si="6"/>
        <v>0.3882352941</v>
      </c>
      <c r="V1569" s="26">
        <f t="shared" si="7"/>
        <v>0.1411764706</v>
      </c>
      <c r="W1569" s="19">
        <f t="shared" si="8"/>
        <v>0.2875</v>
      </c>
      <c r="X1569" s="247">
        <f t="shared" si="12"/>
        <v>480</v>
      </c>
      <c r="Y1569" s="27"/>
      <c r="Z1569" s="17"/>
      <c r="AA1569" s="17"/>
      <c r="AB1569" s="17"/>
      <c r="AC1569" s="17"/>
      <c r="AD1569" s="27"/>
    </row>
    <row r="1570" ht="15.75" customHeight="1">
      <c r="A1570" s="216" t="s">
        <v>3625</v>
      </c>
      <c r="B1570" s="216" t="s">
        <v>3646</v>
      </c>
      <c r="C1570" s="218" t="s">
        <v>3647</v>
      </c>
      <c r="D1570" s="217" t="s">
        <v>92</v>
      </c>
      <c r="E1570" s="245" t="s">
        <v>2833</v>
      </c>
      <c r="F1570" s="217">
        <v>2.0</v>
      </c>
      <c r="G1570" s="219">
        <f t="shared" si="10"/>
        <v>1.869521508</v>
      </c>
      <c r="H1570" s="217">
        <v>53.0</v>
      </c>
      <c r="I1570" s="236">
        <v>190.0</v>
      </c>
      <c r="J1570" s="217">
        <v>0.4</v>
      </c>
      <c r="K1570" s="217">
        <v>70.0</v>
      </c>
      <c r="L1570" s="217">
        <v>300.0</v>
      </c>
      <c r="M1570" s="223">
        <v>39.0</v>
      </c>
      <c r="N1570" s="223">
        <v>2.0</v>
      </c>
      <c r="O1570" s="223">
        <v>18.0</v>
      </c>
      <c r="P1570" s="223">
        <f t="shared" si="2"/>
        <v>19</v>
      </c>
      <c r="Q1570" s="237">
        <v>8.0</v>
      </c>
      <c r="R1570" s="248">
        <f t="shared" si="3"/>
        <v>101.630283</v>
      </c>
      <c r="S1570" s="243">
        <f t="shared" si="4"/>
        <v>3.58490566</v>
      </c>
      <c r="T1570" s="24">
        <f t="shared" si="5"/>
        <v>4.875</v>
      </c>
      <c r="U1570" s="26">
        <f t="shared" si="6"/>
        <v>0.01878914405</v>
      </c>
      <c r="V1570" s="26">
        <f t="shared" si="7"/>
        <v>0.375782881</v>
      </c>
      <c r="W1570" s="19">
        <f t="shared" si="8"/>
        <v>0.3684210526</v>
      </c>
      <c r="X1570" s="247">
        <f t="shared" si="12"/>
        <v>380</v>
      </c>
      <c r="Y1570" s="27"/>
      <c r="Z1570" s="17"/>
      <c r="AA1570" s="17"/>
      <c r="AB1570" s="17"/>
      <c r="AC1570" s="17"/>
      <c r="AD1570" s="27"/>
    </row>
    <row r="1571" ht="15.75" customHeight="1">
      <c r="A1571" s="216" t="s">
        <v>3607</v>
      </c>
      <c r="B1571" s="216" t="s">
        <v>3648</v>
      </c>
      <c r="C1571" s="218" t="s">
        <v>3649</v>
      </c>
      <c r="D1571" s="217" t="s">
        <v>478</v>
      </c>
      <c r="E1571" s="245" t="s">
        <v>2833</v>
      </c>
      <c r="F1571" s="217">
        <v>2.0</v>
      </c>
      <c r="G1571" s="219">
        <f t="shared" si="10"/>
        <v>1.94006949</v>
      </c>
      <c r="H1571" s="217">
        <v>55.0</v>
      </c>
      <c r="I1571" s="236">
        <v>250.0</v>
      </c>
      <c r="J1571" s="217">
        <v>0.0</v>
      </c>
      <c r="K1571" s="217">
        <v>620.0</v>
      </c>
      <c r="L1571" s="217">
        <v>890.0</v>
      </c>
      <c r="M1571" s="223">
        <v>58.0</v>
      </c>
      <c r="N1571" s="223">
        <v>8.0</v>
      </c>
      <c r="O1571" s="223">
        <v>16.0</v>
      </c>
      <c r="P1571" s="223">
        <f t="shared" si="2"/>
        <v>34</v>
      </c>
      <c r="Q1571" s="237">
        <v>4.0</v>
      </c>
      <c r="R1571" s="248">
        <f t="shared" si="3"/>
        <v>128.8613636</v>
      </c>
      <c r="S1571" s="243">
        <f t="shared" si="4"/>
        <v>4.545454545</v>
      </c>
      <c r="T1571" s="24">
        <f t="shared" si="5"/>
        <v>14.5</v>
      </c>
      <c r="U1571" s="26" t="str">
        <f t="shared" si="6"/>
        <v>0%</v>
      </c>
      <c r="V1571" s="26">
        <f t="shared" si="7"/>
        <v>0.2580645161</v>
      </c>
      <c r="W1571" s="19">
        <f t="shared" si="8"/>
        <v>2.48</v>
      </c>
      <c r="X1571" s="247">
        <f t="shared" si="12"/>
        <v>500</v>
      </c>
      <c r="Y1571" s="27"/>
      <c r="Z1571" s="17"/>
      <c r="AA1571" s="17"/>
      <c r="AB1571" s="17"/>
      <c r="AC1571" s="17"/>
      <c r="AD1571" s="27"/>
    </row>
    <row r="1572" ht="15.75" customHeight="1">
      <c r="A1572" s="216" t="s">
        <v>3625</v>
      </c>
      <c r="B1572" s="216" t="s">
        <v>3650</v>
      </c>
      <c r="C1572" s="218" t="s">
        <v>3651</v>
      </c>
      <c r="D1572" s="217" t="s">
        <v>478</v>
      </c>
      <c r="E1572" s="245" t="s">
        <v>2833</v>
      </c>
      <c r="F1572" s="217">
        <v>2.0</v>
      </c>
      <c r="G1572" s="219">
        <f t="shared" si="10"/>
        <v>1.587329583</v>
      </c>
      <c r="H1572" s="217">
        <v>45.0</v>
      </c>
      <c r="I1572" s="236">
        <v>200.0</v>
      </c>
      <c r="J1572" s="217">
        <v>8.0</v>
      </c>
      <c r="K1572" s="217">
        <v>40.0</v>
      </c>
      <c r="L1572" s="217">
        <v>225.0</v>
      </c>
      <c r="M1572" s="223">
        <v>25.0</v>
      </c>
      <c r="N1572" s="223">
        <v>5.0</v>
      </c>
      <c r="O1572" s="223">
        <v>15.0</v>
      </c>
      <c r="P1572" s="223">
        <f t="shared" si="2"/>
        <v>5</v>
      </c>
      <c r="Q1572" s="237">
        <v>7.0</v>
      </c>
      <c r="R1572" s="248">
        <f t="shared" si="3"/>
        <v>125.9977778</v>
      </c>
      <c r="S1572" s="243">
        <f t="shared" si="4"/>
        <v>4.444444444</v>
      </c>
      <c r="T1572" s="24">
        <f t="shared" si="5"/>
        <v>3.571428571</v>
      </c>
      <c r="U1572" s="26">
        <f t="shared" si="6"/>
        <v>0.36</v>
      </c>
      <c r="V1572" s="26">
        <f t="shared" si="7"/>
        <v>0.3</v>
      </c>
      <c r="W1572" s="19">
        <f t="shared" si="8"/>
        <v>0.2</v>
      </c>
      <c r="X1572" s="247">
        <f t="shared" si="12"/>
        <v>400</v>
      </c>
      <c r="Y1572" s="27"/>
      <c r="Z1572" s="17"/>
      <c r="AA1572" s="17"/>
      <c r="AB1572" s="17"/>
      <c r="AC1572" s="17"/>
      <c r="AD1572" s="27"/>
    </row>
    <row r="1573" ht="15.75" customHeight="1">
      <c r="A1573" s="216" t="s">
        <v>3607</v>
      </c>
      <c r="B1573" s="216" t="s">
        <v>3652</v>
      </c>
      <c r="C1573" s="218" t="s">
        <v>3653</v>
      </c>
      <c r="D1573" s="217" t="s">
        <v>478</v>
      </c>
      <c r="E1573" s="245" t="s">
        <v>2833</v>
      </c>
      <c r="F1573" s="217">
        <v>2.0</v>
      </c>
      <c r="G1573" s="219">
        <f t="shared" si="10"/>
        <v>1.904795499</v>
      </c>
      <c r="H1573" s="217">
        <v>54.0</v>
      </c>
      <c r="I1573" s="236">
        <v>230.0</v>
      </c>
      <c r="J1573" s="217">
        <v>7.0</v>
      </c>
      <c r="K1573" s="217">
        <v>10.0</v>
      </c>
      <c r="L1573" s="217">
        <v>130.0</v>
      </c>
      <c r="M1573" s="223">
        <v>38.0</v>
      </c>
      <c r="N1573" s="223">
        <v>3.0</v>
      </c>
      <c r="O1573" s="223">
        <v>13.0</v>
      </c>
      <c r="P1573" s="223">
        <f t="shared" si="2"/>
        <v>22</v>
      </c>
      <c r="Q1573" s="237">
        <v>3.0</v>
      </c>
      <c r="R1573" s="248">
        <f t="shared" si="3"/>
        <v>120.7478704</v>
      </c>
      <c r="S1573" s="243">
        <f t="shared" si="4"/>
        <v>4.259259259</v>
      </c>
      <c r="T1573" s="24">
        <f t="shared" si="5"/>
        <v>12.66666667</v>
      </c>
      <c r="U1573" s="26">
        <f t="shared" si="6"/>
        <v>0.2775330396</v>
      </c>
      <c r="V1573" s="26">
        <f t="shared" si="7"/>
        <v>0.2290748899</v>
      </c>
      <c r="W1573" s="19">
        <f t="shared" si="8"/>
        <v>0.04347826087</v>
      </c>
      <c r="X1573" s="247">
        <f t="shared" si="12"/>
        <v>460</v>
      </c>
      <c r="Y1573" s="27"/>
      <c r="Z1573" s="17"/>
      <c r="AA1573" s="17"/>
      <c r="AB1573" s="17"/>
      <c r="AC1573" s="17"/>
      <c r="AD1573" s="27"/>
    </row>
    <row r="1574" ht="15.75" customHeight="1">
      <c r="A1574" s="218" t="s">
        <v>3628</v>
      </c>
      <c r="B1574" s="218" t="s">
        <v>3654</v>
      </c>
      <c r="C1574" s="218" t="s">
        <v>3655</v>
      </c>
      <c r="D1574" s="217" t="s">
        <v>2846</v>
      </c>
      <c r="E1574" s="245" t="s">
        <v>2833</v>
      </c>
      <c r="F1574" s="217">
        <v>1.0</v>
      </c>
      <c r="G1574" s="219">
        <f t="shared" si="10"/>
        <v>3.492125082</v>
      </c>
      <c r="H1574" s="217">
        <v>99.0</v>
      </c>
      <c r="I1574" s="236">
        <v>700.0</v>
      </c>
      <c r="J1574" s="217">
        <v>33.0</v>
      </c>
      <c r="K1574" s="217">
        <v>960.0</v>
      </c>
      <c r="L1574" s="217">
        <v>770.0</v>
      </c>
      <c r="M1574" s="223">
        <v>57.0</v>
      </c>
      <c r="N1574" s="223">
        <v>7.0</v>
      </c>
      <c r="O1574" s="223">
        <v>10.0</v>
      </c>
      <c r="P1574" s="223">
        <f t="shared" si="2"/>
        <v>40</v>
      </c>
      <c r="Q1574" s="237">
        <v>41.0</v>
      </c>
      <c r="R1574" s="248">
        <f t="shared" si="3"/>
        <v>200.4510101</v>
      </c>
      <c r="S1574" s="243">
        <f t="shared" si="4"/>
        <v>7.070707071</v>
      </c>
      <c r="T1574" s="24">
        <f t="shared" si="5"/>
        <v>1.390243902</v>
      </c>
      <c r="U1574" s="26">
        <f t="shared" si="6"/>
        <v>0.4310595065</v>
      </c>
      <c r="V1574" s="26">
        <f t="shared" si="7"/>
        <v>0.05805515239</v>
      </c>
      <c r="W1574" s="19">
        <f t="shared" si="8"/>
        <v>1.371428571</v>
      </c>
      <c r="X1574" s="247">
        <f t="shared" si="12"/>
        <v>700</v>
      </c>
      <c r="Y1574" s="27"/>
      <c r="Z1574" s="17"/>
      <c r="AA1574" s="17"/>
      <c r="AB1574" s="17"/>
      <c r="AC1574" s="17"/>
      <c r="AD1574" s="27"/>
    </row>
    <row r="1575" ht="15.75" customHeight="1">
      <c r="A1575" s="216" t="s">
        <v>3656</v>
      </c>
      <c r="B1575" s="216" t="s">
        <v>3657</v>
      </c>
      <c r="C1575" s="218" t="s">
        <v>3658</v>
      </c>
      <c r="D1575" s="217" t="s">
        <v>2846</v>
      </c>
      <c r="E1575" s="245" t="s">
        <v>2833</v>
      </c>
      <c r="F1575" s="217">
        <v>1.0</v>
      </c>
      <c r="G1575" s="219">
        <f t="shared" si="10"/>
        <v>3.950686961</v>
      </c>
      <c r="H1575" s="217">
        <v>112.0</v>
      </c>
      <c r="I1575" s="236">
        <v>780.0</v>
      </c>
      <c r="J1575" s="217">
        <v>19.0</v>
      </c>
      <c r="K1575" s="217">
        <v>790.0</v>
      </c>
      <c r="L1575" s="218"/>
      <c r="M1575" s="223">
        <v>46.0</v>
      </c>
      <c r="N1575" s="223">
        <v>14.0</v>
      </c>
      <c r="O1575" s="223">
        <v>12.0</v>
      </c>
      <c r="P1575" s="223">
        <f t="shared" si="2"/>
        <v>20</v>
      </c>
      <c r="Q1575" s="237">
        <v>34.0</v>
      </c>
      <c r="R1575" s="248">
        <f t="shared" si="3"/>
        <v>197.4340179</v>
      </c>
      <c r="S1575" s="243">
        <f t="shared" si="4"/>
        <v>6.964285714</v>
      </c>
      <c r="T1575" s="24">
        <f t="shared" si="5"/>
        <v>1.352941176</v>
      </c>
      <c r="U1575" s="26">
        <f t="shared" si="6"/>
        <v>0.3482688391</v>
      </c>
      <c r="V1575" s="26">
        <f t="shared" si="7"/>
        <v>0.09775967413</v>
      </c>
      <c r="W1575" s="19">
        <f t="shared" si="8"/>
        <v>1.012820513</v>
      </c>
      <c r="X1575" s="247">
        <f t="shared" si="12"/>
        <v>780</v>
      </c>
      <c r="Y1575" s="27"/>
      <c r="Z1575" s="17"/>
      <c r="AA1575" s="17"/>
      <c r="AB1575" s="17"/>
      <c r="AC1575" s="17"/>
      <c r="AD1575" s="27"/>
    </row>
    <row r="1576" ht="15.75" customHeight="1">
      <c r="A1576" s="218" t="s">
        <v>3628</v>
      </c>
      <c r="B1576" s="218" t="s">
        <v>3659</v>
      </c>
      <c r="C1576" s="218" t="s">
        <v>3660</v>
      </c>
      <c r="D1576" s="217" t="s">
        <v>2846</v>
      </c>
      <c r="E1576" s="245" t="s">
        <v>2833</v>
      </c>
      <c r="F1576" s="217">
        <v>1.0</v>
      </c>
      <c r="G1576" s="219">
        <f t="shared" si="10"/>
        <v>4.515070813</v>
      </c>
      <c r="H1576" s="217">
        <v>128.0</v>
      </c>
      <c r="I1576" s="236">
        <v>850.0</v>
      </c>
      <c r="J1576" s="217">
        <v>35.0</v>
      </c>
      <c r="K1576" s="217">
        <v>1250.0</v>
      </c>
      <c r="L1576" s="217">
        <v>1060.0</v>
      </c>
      <c r="M1576" s="223">
        <v>75.0</v>
      </c>
      <c r="N1576" s="223">
        <v>5.0</v>
      </c>
      <c r="O1576" s="223">
        <v>11.0</v>
      </c>
      <c r="P1576" s="223">
        <f t="shared" si="2"/>
        <v>59</v>
      </c>
      <c r="Q1576" s="237">
        <v>56.0</v>
      </c>
      <c r="R1576" s="248">
        <f t="shared" si="3"/>
        <v>188.2583984</v>
      </c>
      <c r="S1576" s="243">
        <f t="shared" si="4"/>
        <v>6.640625</v>
      </c>
      <c r="T1576" s="24">
        <f t="shared" si="5"/>
        <v>1.339285714</v>
      </c>
      <c r="U1576" s="26">
        <f t="shared" si="6"/>
        <v>0.3754469607</v>
      </c>
      <c r="V1576" s="26">
        <f t="shared" si="7"/>
        <v>0.05244338498</v>
      </c>
      <c r="W1576" s="19">
        <f t="shared" si="8"/>
        <v>1.470588235</v>
      </c>
      <c r="X1576" s="247">
        <f t="shared" si="12"/>
        <v>850</v>
      </c>
      <c r="Y1576" s="27"/>
      <c r="Z1576" s="17"/>
      <c r="AA1576" s="17"/>
      <c r="AB1576" s="17"/>
      <c r="AC1576" s="17"/>
      <c r="AD1576" s="27"/>
    </row>
    <row r="1577" ht="15.75" customHeight="1">
      <c r="A1577" s="218" t="s">
        <v>3628</v>
      </c>
      <c r="B1577" s="218" t="s">
        <v>3661</v>
      </c>
      <c r="C1577" s="218" t="s">
        <v>3662</v>
      </c>
      <c r="D1577" s="217" t="s">
        <v>2846</v>
      </c>
      <c r="E1577" s="245" t="s">
        <v>2833</v>
      </c>
      <c r="F1577" s="217">
        <v>1.0</v>
      </c>
      <c r="G1577" s="219">
        <f t="shared" si="10"/>
        <v>4.197604896</v>
      </c>
      <c r="H1577" s="217">
        <v>119.0</v>
      </c>
      <c r="I1577" s="236">
        <v>770.0</v>
      </c>
      <c r="J1577" s="217">
        <v>50.0</v>
      </c>
      <c r="K1577" s="217">
        <v>1270.0</v>
      </c>
      <c r="L1577" s="217">
        <v>720.0</v>
      </c>
      <c r="M1577" s="223">
        <v>52.0</v>
      </c>
      <c r="N1577" s="223">
        <v>2.0</v>
      </c>
      <c r="O1577" s="223">
        <v>14.0</v>
      </c>
      <c r="P1577" s="223">
        <f t="shared" si="2"/>
        <v>36</v>
      </c>
      <c r="Q1577" s="237">
        <v>31.0</v>
      </c>
      <c r="R1577" s="248">
        <f t="shared" si="3"/>
        <v>183.4379412</v>
      </c>
      <c r="S1577" s="243">
        <f t="shared" si="4"/>
        <v>6.470588235</v>
      </c>
      <c r="T1577" s="24">
        <f t="shared" si="5"/>
        <v>1.677419355</v>
      </c>
      <c r="U1577" s="26">
        <f t="shared" si="6"/>
        <v>0.5754475703</v>
      </c>
      <c r="V1577" s="26">
        <f t="shared" si="7"/>
        <v>0.0716112532</v>
      </c>
      <c r="W1577" s="19">
        <f t="shared" si="8"/>
        <v>1.649350649</v>
      </c>
      <c r="X1577" s="247">
        <f t="shared" si="12"/>
        <v>770</v>
      </c>
      <c r="Y1577" s="27"/>
      <c r="Z1577" s="17"/>
      <c r="AA1577" s="17"/>
      <c r="AB1577" s="17"/>
      <c r="AC1577" s="17"/>
      <c r="AD1577" s="27"/>
    </row>
    <row r="1578" ht="15.75" customHeight="1">
      <c r="A1578" s="216" t="s">
        <v>3656</v>
      </c>
      <c r="B1578" s="216" t="s">
        <v>3663</v>
      </c>
      <c r="C1578" s="218" t="s">
        <v>3664</v>
      </c>
      <c r="D1578" s="217" t="s">
        <v>2846</v>
      </c>
      <c r="E1578" s="245" t="s">
        <v>2833</v>
      </c>
      <c r="F1578" s="217">
        <v>1.0</v>
      </c>
      <c r="G1578" s="219">
        <f t="shared" si="10"/>
        <v>3.950686961</v>
      </c>
      <c r="H1578" s="217">
        <v>112.0</v>
      </c>
      <c r="I1578" s="236">
        <v>720.0</v>
      </c>
      <c r="J1578" s="217">
        <v>8.0</v>
      </c>
      <c r="K1578" s="217">
        <v>750.0</v>
      </c>
      <c r="L1578" s="218"/>
      <c r="M1578" s="223">
        <v>23.0</v>
      </c>
      <c r="N1578" s="223">
        <v>6.0</v>
      </c>
      <c r="O1578" s="223">
        <v>3.0</v>
      </c>
      <c r="P1578" s="223">
        <f t="shared" si="2"/>
        <v>14</v>
      </c>
      <c r="Q1578" s="237">
        <v>34.0</v>
      </c>
      <c r="R1578" s="248">
        <f t="shared" si="3"/>
        <v>182.2467857</v>
      </c>
      <c r="S1578" s="243">
        <f t="shared" si="4"/>
        <v>6.428571429</v>
      </c>
      <c r="T1578" s="24">
        <f t="shared" si="5"/>
        <v>0.6764705882</v>
      </c>
      <c r="U1578" s="26">
        <f t="shared" si="6"/>
        <v>0.24</v>
      </c>
      <c r="V1578" s="26">
        <f t="shared" si="7"/>
        <v>0.04</v>
      </c>
      <c r="W1578" s="19">
        <f t="shared" si="8"/>
        <v>1.041666667</v>
      </c>
      <c r="X1578" s="247">
        <f t="shared" si="12"/>
        <v>720</v>
      </c>
      <c r="Y1578" s="27"/>
      <c r="Z1578" s="17"/>
      <c r="AA1578" s="17"/>
      <c r="AB1578" s="17"/>
      <c r="AC1578" s="17"/>
      <c r="AD1578" s="27"/>
    </row>
    <row r="1579" ht="15.75" customHeight="1">
      <c r="A1579" s="216" t="s">
        <v>3656</v>
      </c>
      <c r="B1579" s="216" t="s">
        <v>3665</v>
      </c>
      <c r="C1579" s="218" t="s">
        <v>3666</v>
      </c>
      <c r="D1579" s="217" t="s">
        <v>2846</v>
      </c>
      <c r="E1579" s="245" t="s">
        <v>2833</v>
      </c>
      <c r="F1579" s="217">
        <v>1.0</v>
      </c>
      <c r="G1579" s="219">
        <f t="shared" si="10"/>
        <v>3.950686961</v>
      </c>
      <c r="H1579" s="217">
        <v>112.0</v>
      </c>
      <c r="I1579" s="236">
        <v>710.0</v>
      </c>
      <c r="J1579" s="217">
        <v>26.0</v>
      </c>
      <c r="K1579" s="217">
        <v>790.0</v>
      </c>
      <c r="L1579" s="218"/>
      <c r="M1579" s="223">
        <v>13.0</v>
      </c>
      <c r="N1579" s="244"/>
      <c r="O1579" s="223">
        <v>4.0</v>
      </c>
      <c r="P1579" s="223">
        <f t="shared" si="2"/>
        <v>9</v>
      </c>
      <c r="Q1579" s="237">
        <v>40.0</v>
      </c>
      <c r="R1579" s="248">
        <f t="shared" si="3"/>
        <v>179.7155804</v>
      </c>
      <c r="S1579" s="243">
        <f t="shared" si="4"/>
        <v>6.339285714</v>
      </c>
      <c r="T1579" s="24">
        <f t="shared" si="5"/>
        <v>0.325</v>
      </c>
      <c r="U1579" s="26">
        <f t="shared" si="6"/>
        <v>0.5246636771</v>
      </c>
      <c r="V1579" s="26">
        <f t="shared" si="7"/>
        <v>0.03587443946</v>
      </c>
      <c r="W1579" s="19">
        <f t="shared" si="8"/>
        <v>1.112676056</v>
      </c>
      <c r="X1579" s="247">
        <f t="shared" si="12"/>
        <v>710</v>
      </c>
      <c r="Y1579" s="27"/>
      <c r="Z1579" s="17"/>
      <c r="AA1579" s="17"/>
      <c r="AB1579" s="17"/>
      <c r="AC1579" s="17"/>
      <c r="AD1579" s="27"/>
    </row>
    <row r="1580" ht="15.75" customHeight="1">
      <c r="A1580" s="216" t="s">
        <v>3656</v>
      </c>
      <c r="B1580" s="216" t="s">
        <v>3667</v>
      </c>
      <c r="C1580" s="218" t="s">
        <v>3668</v>
      </c>
      <c r="D1580" s="217" t="s">
        <v>2846</v>
      </c>
      <c r="E1580" s="245" t="s">
        <v>2833</v>
      </c>
      <c r="F1580" s="217">
        <v>1.0</v>
      </c>
      <c r="G1580" s="219">
        <f t="shared" si="10"/>
        <v>3.950686961</v>
      </c>
      <c r="H1580" s="217">
        <v>112.0</v>
      </c>
      <c r="I1580" s="236">
        <v>710.0</v>
      </c>
      <c r="J1580" s="217">
        <v>22.0</v>
      </c>
      <c r="K1580" s="217">
        <v>690.0</v>
      </c>
      <c r="L1580" s="218"/>
      <c r="M1580" s="223">
        <v>56.0</v>
      </c>
      <c r="N1580" s="223">
        <v>13.0</v>
      </c>
      <c r="O1580" s="223">
        <v>9.0</v>
      </c>
      <c r="P1580" s="223">
        <f t="shared" si="2"/>
        <v>34</v>
      </c>
      <c r="Q1580" s="237">
        <v>46.0</v>
      </c>
      <c r="R1580" s="248">
        <f t="shared" si="3"/>
        <v>179.7155804</v>
      </c>
      <c r="S1580" s="243">
        <f t="shared" si="4"/>
        <v>6.339285714</v>
      </c>
      <c r="T1580" s="24">
        <f t="shared" si="5"/>
        <v>1.217391304</v>
      </c>
      <c r="U1580" s="26">
        <f t="shared" si="6"/>
        <v>0.3267326733</v>
      </c>
      <c r="V1580" s="26">
        <f t="shared" si="7"/>
        <v>0.05940594059</v>
      </c>
      <c r="W1580" s="19">
        <f t="shared" si="8"/>
        <v>0.9718309859</v>
      </c>
      <c r="X1580" s="247">
        <f t="shared" si="12"/>
        <v>710</v>
      </c>
      <c r="Y1580" s="27"/>
      <c r="Z1580" s="17"/>
      <c r="AA1580" s="17"/>
      <c r="AB1580" s="17"/>
      <c r="AC1580" s="17"/>
      <c r="AD1580" s="27"/>
    </row>
    <row r="1581" ht="15.75" customHeight="1">
      <c r="A1581" s="216" t="s">
        <v>3669</v>
      </c>
      <c r="B1581" s="216" t="s">
        <v>3670</v>
      </c>
      <c r="C1581" s="218" t="s">
        <v>3671</v>
      </c>
      <c r="D1581" s="220" t="s">
        <v>2846</v>
      </c>
      <c r="E1581" s="249" t="s">
        <v>2839</v>
      </c>
      <c r="F1581" s="217">
        <v>1.0</v>
      </c>
      <c r="G1581" s="219">
        <f t="shared" si="10"/>
        <v>3.209933156</v>
      </c>
      <c r="H1581" s="220">
        <v>91.0</v>
      </c>
      <c r="I1581" s="221">
        <v>570.0</v>
      </c>
      <c r="J1581" s="220">
        <v>43.0</v>
      </c>
      <c r="K1581" s="220">
        <v>730.0</v>
      </c>
      <c r="L1581" s="220">
        <v>900.0</v>
      </c>
      <c r="M1581" s="230">
        <v>43.0</v>
      </c>
      <c r="N1581" s="230">
        <v>10.0</v>
      </c>
      <c r="O1581" s="230">
        <v>16.0</v>
      </c>
      <c r="P1581" s="223">
        <f t="shared" si="2"/>
        <v>17</v>
      </c>
      <c r="Q1581" s="231">
        <v>21.0</v>
      </c>
      <c r="R1581" s="248">
        <f t="shared" si="3"/>
        <v>177.5737912</v>
      </c>
      <c r="S1581" s="243">
        <f t="shared" si="4"/>
        <v>6.263736264</v>
      </c>
      <c r="T1581" s="24">
        <f t="shared" si="5"/>
        <v>2.047619048</v>
      </c>
      <c r="U1581" s="26">
        <f t="shared" si="6"/>
        <v>0.6018662519</v>
      </c>
      <c r="V1581" s="26">
        <f t="shared" si="7"/>
        <v>0.09953343701</v>
      </c>
      <c r="W1581" s="19">
        <f t="shared" si="8"/>
        <v>1.280701754</v>
      </c>
      <c r="X1581" s="247">
        <f t="shared" si="12"/>
        <v>570</v>
      </c>
      <c r="Y1581" s="27"/>
      <c r="Z1581" s="17"/>
      <c r="AA1581" s="17"/>
      <c r="AB1581" s="17"/>
      <c r="AC1581" s="17"/>
      <c r="AD1581" s="27"/>
    </row>
    <row r="1582" ht="15.75" customHeight="1">
      <c r="A1582" s="218" t="s">
        <v>2844</v>
      </c>
      <c r="B1582" s="218" t="s">
        <v>3672</v>
      </c>
      <c r="C1582" s="218" t="s">
        <v>3673</v>
      </c>
      <c r="D1582" s="217" t="s">
        <v>2846</v>
      </c>
      <c r="E1582" s="245" t="s">
        <v>2833</v>
      </c>
      <c r="F1582" s="217">
        <v>2.0</v>
      </c>
      <c r="G1582" s="219">
        <f t="shared" si="10"/>
        <v>3.386303109</v>
      </c>
      <c r="H1582" s="217">
        <v>96.0</v>
      </c>
      <c r="I1582" s="236">
        <v>570.0</v>
      </c>
      <c r="J1582" s="217">
        <v>45.0</v>
      </c>
      <c r="K1582" s="217">
        <v>930.0</v>
      </c>
      <c r="L1582" s="217">
        <v>400.0</v>
      </c>
      <c r="M1582" s="223">
        <v>27.0</v>
      </c>
      <c r="N1582" s="223">
        <v>1.0</v>
      </c>
      <c r="O1582" s="223">
        <v>9.0</v>
      </c>
      <c r="P1582" s="223">
        <f t="shared" si="2"/>
        <v>17</v>
      </c>
      <c r="Q1582" s="237">
        <v>18.0</v>
      </c>
      <c r="R1582" s="248">
        <f t="shared" si="3"/>
        <v>168.3251563</v>
      </c>
      <c r="S1582" s="243">
        <f t="shared" si="4"/>
        <v>5.9375</v>
      </c>
      <c r="T1582" s="24">
        <f t="shared" si="5"/>
        <v>1.5</v>
      </c>
      <c r="U1582" s="26">
        <f t="shared" si="6"/>
        <v>0.6923076923</v>
      </c>
      <c r="V1582" s="26">
        <f t="shared" si="7"/>
        <v>0.06153846154</v>
      </c>
      <c r="W1582" s="19">
        <f t="shared" si="8"/>
        <v>1.631578947</v>
      </c>
      <c r="X1582" s="247">
        <f t="shared" si="12"/>
        <v>1140</v>
      </c>
      <c r="Y1582" s="27"/>
      <c r="Z1582" s="17"/>
      <c r="AA1582" s="17"/>
      <c r="AB1582" s="17"/>
      <c r="AC1582" s="17"/>
      <c r="AD1582" s="27"/>
    </row>
    <row r="1583" ht="15.75" customHeight="1">
      <c r="A1583" s="216" t="s">
        <v>3669</v>
      </c>
      <c r="B1583" s="216" t="s">
        <v>3674</v>
      </c>
      <c r="C1583" s="218" t="s">
        <v>3675</v>
      </c>
      <c r="D1583" s="220" t="s">
        <v>2846</v>
      </c>
      <c r="E1583" s="249" t="s">
        <v>2839</v>
      </c>
      <c r="F1583" s="217">
        <v>1.0</v>
      </c>
      <c r="G1583" s="219">
        <f t="shared" si="10"/>
        <v>3.492125082</v>
      </c>
      <c r="H1583" s="220">
        <v>99.0</v>
      </c>
      <c r="I1583" s="221">
        <v>580.0</v>
      </c>
      <c r="J1583" s="220">
        <v>47.0</v>
      </c>
      <c r="K1583" s="220">
        <v>1330.0</v>
      </c>
      <c r="L1583" s="220">
        <v>990.0</v>
      </c>
      <c r="M1583" s="230">
        <v>35.0</v>
      </c>
      <c r="N1583" s="230">
        <v>10.0</v>
      </c>
      <c r="O1583" s="230">
        <v>15.0</v>
      </c>
      <c r="P1583" s="223">
        <f t="shared" si="2"/>
        <v>10</v>
      </c>
      <c r="Q1583" s="231">
        <v>15.0</v>
      </c>
      <c r="R1583" s="248">
        <f t="shared" si="3"/>
        <v>166.0879798</v>
      </c>
      <c r="S1583" s="243">
        <f t="shared" si="4"/>
        <v>5.858585859</v>
      </c>
      <c r="T1583" s="24">
        <f t="shared" si="5"/>
        <v>2.333333333</v>
      </c>
      <c r="U1583" s="26">
        <f t="shared" si="6"/>
        <v>0.6789727127</v>
      </c>
      <c r="V1583" s="26">
        <f t="shared" si="7"/>
        <v>0.0963081862</v>
      </c>
      <c r="W1583" s="19">
        <f t="shared" si="8"/>
        <v>2.293103448</v>
      </c>
      <c r="X1583" s="247">
        <f t="shared" si="12"/>
        <v>580</v>
      </c>
      <c r="Y1583" s="27"/>
      <c r="Z1583" s="17"/>
      <c r="AA1583" s="17"/>
      <c r="AB1583" s="17"/>
      <c r="AC1583" s="17"/>
      <c r="AD1583" s="27"/>
    </row>
    <row r="1584" ht="15.75" customHeight="1">
      <c r="A1584" s="218" t="s">
        <v>3628</v>
      </c>
      <c r="B1584" s="218" t="s">
        <v>3676</v>
      </c>
      <c r="C1584" s="218" t="s">
        <v>55</v>
      </c>
      <c r="D1584" s="217" t="s">
        <v>2846</v>
      </c>
      <c r="E1584" s="245" t="s">
        <v>2833</v>
      </c>
      <c r="F1584" s="217">
        <v>1.0</v>
      </c>
      <c r="G1584" s="219">
        <f t="shared" si="10"/>
        <v>3.809590998</v>
      </c>
      <c r="H1584" s="217">
        <v>108.0</v>
      </c>
      <c r="I1584" s="236">
        <v>630.0</v>
      </c>
      <c r="J1584" s="217">
        <v>37.0</v>
      </c>
      <c r="K1584" s="217">
        <v>930.0</v>
      </c>
      <c r="L1584" s="217">
        <v>540.0</v>
      </c>
      <c r="M1584" s="223">
        <v>53.0</v>
      </c>
      <c r="N1584" s="223">
        <v>10.0</v>
      </c>
      <c r="O1584" s="223">
        <v>13.0</v>
      </c>
      <c r="P1584" s="223">
        <f t="shared" si="2"/>
        <v>30</v>
      </c>
      <c r="Q1584" s="237">
        <v>20.0</v>
      </c>
      <c r="R1584" s="248">
        <f t="shared" si="3"/>
        <v>165.3720833</v>
      </c>
      <c r="S1584" s="243">
        <f t="shared" si="4"/>
        <v>5.833333333</v>
      </c>
      <c r="T1584" s="24">
        <f t="shared" si="5"/>
        <v>2.65</v>
      </c>
      <c r="U1584" s="26">
        <f t="shared" si="6"/>
        <v>0.5328</v>
      </c>
      <c r="V1584" s="26">
        <f t="shared" si="7"/>
        <v>0.0832</v>
      </c>
      <c r="W1584" s="19">
        <f t="shared" si="8"/>
        <v>1.476190476</v>
      </c>
      <c r="X1584" s="247">
        <f t="shared" si="12"/>
        <v>630</v>
      </c>
      <c r="Y1584" s="27"/>
      <c r="Z1584" s="17"/>
      <c r="AA1584" s="17"/>
      <c r="AB1584" s="17"/>
      <c r="AC1584" s="17"/>
      <c r="AD1584" s="27"/>
    </row>
    <row r="1585" ht="15.75" customHeight="1">
      <c r="A1585" s="218" t="s">
        <v>3628</v>
      </c>
      <c r="B1585" s="218" t="s">
        <v>3677</v>
      </c>
      <c r="C1585" s="218" t="s">
        <v>3678</v>
      </c>
      <c r="D1585" s="217" t="s">
        <v>2846</v>
      </c>
      <c r="E1585" s="245" t="s">
        <v>2833</v>
      </c>
      <c r="F1585" s="217">
        <v>1.0</v>
      </c>
      <c r="G1585" s="219">
        <f t="shared" si="10"/>
        <v>4.303426868</v>
      </c>
      <c r="H1585" s="217">
        <v>122.0</v>
      </c>
      <c r="I1585" s="236">
        <v>710.0</v>
      </c>
      <c r="J1585" s="217">
        <v>33.0</v>
      </c>
      <c r="K1585" s="217">
        <v>1260.0</v>
      </c>
      <c r="L1585" s="217">
        <v>950.0</v>
      </c>
      <c r="M1585" s="223">
        <v>55.0</v>
      </c>
      <c r="N1585" s="223">
        <v>4.0</v>
      </c>
      <c r="O1585" s="223">
        <v>15.0</v>
      </c>
      <c r="P1585" s="223">
        <f t="shared" si="2"/>
        <v>36</v>
      </c>
      <c r="Q1585" s="237">
        <v>47.0</v>
      </c>
      <c r="R1585" s="248">
        <f t="shared" si="3"/>
        <v>164.9847951</v>
      </c>
      <c r="S1585" s="243">
        <f t="shared" si="4"/>
        <v>5.819672131</v>
      </c>
      <c r="T1585" s="24">
        <f t="shared" si="5"/>
        <v>1.170212766</v>
      </c>
      <c r="U1585" s="26">
        <f t="shared" si="6"/>
        <v>0.4212765957</v>
      </c>
      <c r="V1585" s="26">
        <f t="shared" si="7"/>
        <v>0.08510638298</v>
      </c>
      <c r="W1585" s="19">
        <f t="shared" si="8"/>
        <v>1.774647887</v>
      </c>
      <c r="X1585" s="247">
        <f t="shared" si="12"/>
        <v>710</v>
      </c>
      <c r="Y1585" s="27"/>
      <c r="Z1585" s="17"/>
      <c r="AA1585" s="17"/>
      <c r="AB1585" s="17"/>
      <c r="AC1585" s="17"/>
      <c r="AD1585" s="27"/>
    </row>
    <row r="1586" ht="15.75" customHeight="1">
      <c r="A1586" s="218" t="s">
        <v>2844</v>
      </c>
      <c r="B1586" s="218" t="s">
        <v>3679</v>
      </c>
      <c r="C1586" s="218" t="s">
        <v>3680</v>
      </c>
      <c r="D1586" s="217" t="s">
        <v>2846</v>
      </c>
      <c r="E1586" s="245" t="s">
        <v>2833</v>
      </c>
      <c r="F1586" s="217">
        <v>2.0</v>
      </c>
      <c r="G1586" s="219">
        <f t="shared" si="10"/>
        <v>3.351029119</v>
      </c>
      <c r="H1586" s="217">
        <v>95.0</v>
      </c>
      <c r="I1586" s="236">
        <v>550.0</v>
      </c>
      <c r="J1586" s="217">
        <v>35.0</v>
      </c>
      <c r="K1586" s="217">
        <v>540.0</v>
      </c>
      <c r="L1586" s="217">
        <v>252.0</v>
      </c>
      <c r="M1586" s="223">
        <v>32.0</v>
      </c>
      <c r="N1586" s="223">
        <v>2.0</v>
      </c>
      <c r="O1586" s="223">
        <v>5.0</v>
      </c>
      <c r="P1586" s="223">
        <f t="shared" si="2"/>
        <v>25</v>
      </c>
      <c r="Q1586" s="237">
        <v>26.0</v>
      </c>
      <c r="R1586" s="248">
        <f t="shared" si="3"/>
        <v>164.1286842</v>
      </c>
      <c r="S1586" s="243">
        <f t="shared" si="4"/>
        <v>5.789473684</v>
      </c>
      <c r="T1586" s="24">
        <f t="shared" si="5"/>
        <v>1.230769231</v>
      </c>
      <c r="U1586" s="26">
        <f t="shared" si="6"/>
        <v>0.5758683729</v>
      </c>
      <c r="V1586" s="26">
        <f t="shared" si="7"/>
        <v>0.0365630713</v>
      </c>
      <c r="W1586" s="19">
        <f t="shared" si="8"/>
        <v>0.9818181818</v>
      </c>
      <c r="X1586" s="247">
        <f t="shared" si="12"/>
        <v>1100</v>
      </c>
      <c r="Y1586" s="27"/>
      <c r="Z1586" s="17"/>
      <c r="AA1586" s="17"/>
      <c r="AB1586" s="17"/>
      <c r="AC1586" s="17"/>
      <c r="AD1586" s="27"/>
    </row>
    <row r="1587" ht="15.75" customHeight="1">
      <c r="A1587" s="216" t="s">
        <v>3607</v>
      </c>
      <c r="B1587" s="216" t="s">
        <v>3681</v>
      </c>
      <c r="C1587" s="218" t="s">
        <v>3682</v>
      </c>
      <c r="D1587" s="217" t="s">
        <v>2846</v>
      </c>
      <c r="E1587" s="245" t="s">
        <v>2833</v>
      </c>
      <c r="F1587" s="217">
        <v>1.0</v>
      </c>
      <c r="G1587" s="219">
        <f t="shared" si="10"/>
        <v>4.761988748</v>
      </c>
      <c r="H1587" s="217">
        <v>135.0</v>
      </c>
      <c r="I1587" s="236">
        <v>780.0</v>
      </c>
      <c r="J1587" s="217">
        <v>40.0</v>
      </c>
      <c r="K1587" s="217">
        <v>940.0</v>
      </c>
      <c r="L1587" s="217">
        <v>1780.0</v>
      </c>
      <c r="M1587" s="223">
        <v>76.0</v>
      </c>
      <c r="N1587" s="223">
        <v>13.0</v>
      </c>
      <c r="O1587" s="223">
        <v>20.0</v>
      </c>
      <c r="P1587" s="223">
        <f t="shared" si="2"/>
        <v>43</v>
      </c>
      <c r="Q1587" s="237">
        <v>33.0</v>
      </c>
      <c r="R1587" s="248">
        <f t="shared" si="3"/>
        <v>163.7971111</v>
      </c>
      <c r="S1587" s="243">
        <f t="shared" si="4"/>
        <v>5.777777778</v>
      </c>
      <c r="T1587" s="24">
        <f t="shared" si="5"/>
        <v>2.303030303</v>
      </c>
      <c r="U1587" s="26">
        <f t="shared" si="6"/>
        <v>0.4522613065</v>
      </c>
      <c r="V1587" s="26">
        <f t="shared" si="7"/>
        <v>0.1005025126</v>
      </c>
      <c r="W1587" s="19">
        <f t="shared" si="8"/>
        <v>1.205128205</v>
      </c>
      <c r="X1587" s="247">
        <f t="shared" si="12"/>
        <v>780</v>
      </c>
      <c r="Y1587" s="27"/>
      <c r="Z1587" s="17"/>
      <c r="AA1587" s="17"/>
      <c r="AB1587" s="17"/>
      <c r="AC1587" s="17"/>
      <c r="AD1587" s="27"/>
    </row>
    <row r="1588" ht="15.75" customHeight="1">
      <c r="A1588" s="218" t="s">
        <v>3628</v>
      </c>
      <c r="B1588" s="218" t="s">
        <v>3683</v>
      </c>
      <c r="C1588" s="218" t="s">
        <v>3684</v>
      </c>
      <c r="D1588" s="217" t="s">
        <v>2846</v>
      </c>
      <c r="E1588" s="245" t="s">
        <v>2833</v>
      </c>
      <c r="F1588" s="217">
        <v>1.0</v>
      </c>
      <c r="G1588" s="219">
        <f t="shared" si="10"/>
        <v>4.303426868</v>
      </c>
      <c r="H1588" s="217">
        <v>122.0</v>
      </c>
      <c r="I1588" s="236">
        <v>700.0</v>
      </c>
      <c r="J1588" s="217">
        <v>21.0</v>
      </c>
      <c r="K1588" s="217">
        <v>1340.0</v>
      </c>
      <c r="L1588" s="217">
        <v>780.0</v>
      </c>
      <c r="M1588" s="223">
        <v>72.0</v>
      </c>
      <c r="N1588" s="223">
        <v>4.0</v>
      </c>
      <c r="O1588" s="223">
        <v>21.0</v>
      </c>
      <c r="P1588" s="223">
        <f t="shared" si="2"/>
        <v>47</v>
      </c>
      <c r="Q1588" s="237">
        <v>52.0</v>
      </c>
      <c r="R1588" s="248">
        <f t="shared" si="3"/>
        <v>162.6610656</v>
      </c>
      <c r="S1588" s="243">
        <f t="shared" si="4"/>
        <v>5.737704918</v>
      </c>
      <c r="T1588" s="24">
        <f t="shared" si="5"/>
        <v>1.384615385</v>
      </c>
      <c r="U1588" s="26">
        <f t="shared" si="6"/>
        <v>0.2759124088</v>
      </c>
      <c r="V1588" s="26">
        <f t="shared" si="7"/>
        <v>0.1226277372</v>
      </c>
      <c r="W1588" s="19">
        <f t="shared" si="8"/>
        <v>1.914285714</v>
      </c>
      <c r="X1588" s="247">
        <f t="shared" si="12"/>
        <v>700</v>
      </c>
      <c r="Y1588" s="27"/>
      <c r="Z1588" s="17"/>
      <c r="AA1588" s="17"/>
      <c r="AB1588" s="17"/>
      <c r="AC1588" s="17"/>
      <c r="AD1588" s="27"/>
    </row>
    <row r="1589" ht="15.75" customHeight="1">
      <c r="A1589" s="218" t="s">
        <v>3628</v>
      </c>
      <c r="B1589" s="218" t="s">
        <v>3685</v>
      </c>
      <c r="C1589" s="218" t="s">
        <v>3686</v>
      </c>
      <c r="D1589" s="217" t="s">
        <v>2846</v>
      </c>
      <c r="E1589" s="245" t="s">
        <v>2833</v>
      </c>
      <c r="F1589" s="217">
        <v>1.0</v>
      </c>
      <c r="G1589" s="219">
        <f t="shared" si="10"/>
        <v>4.973632692</v>
      </c>
      <c r="H1589" s="217">
        <v>141.0</v>
      </c>
      <c r="I1589" s="236">
        <v>800.0</v>
      </c>
      <c r="J1589" s="217">
        <v>48.0</v>
      </c>
      <c r="K1589" s="217">
        <v>1570.0</v>
      </c>
      <c r="L1589" s="217">
        <v>850.0</v>
      </c>
      <c r="M1589" s="223">
        <v>55.0</v>
      </c>
      <c r="N1589" s="223">
        <v>6.0</v>
      </c>
      <c r="O1589" s="223">
        <v>11.0</v>
      </c>
      <c r="P1589" s="223">
        <f t="shared" si="2"/>
        <v>38</v>
      </c>
      <c r="Q1589" s="237">
        <v>38.0</v>
      </c>
      <c r="R1589" s="248">
        <f t="shared" si="3"/>
        <v>160.848227</v>
      </c>
      <c r="S1589" s="243">
        <f t="shared" si="4"/>
        <v>5.673758865</v>
      </c>
      <c r="T1589" s="24">
        <f t="shared" si="5"/>
        <v>1.447368421</v>
      </c>
      <c r="U1589" s="26">
        <f t="shared" si="6"/>
        <v>0.5373134328</v>
      </c>
      <c r="V1589" s="26">
        <f t="shared" si="7"/>
        <v>0.05472636816</v>
      </c>
      <c r="W1589" s="19">
        <f t="shared" si="8"/>
        <v>1.9625</v>
      </c>
      <c r="X1589" s="247">
        <f t="shared" si="12"/>
        <v>800</v>
      </c>
      <c r="Y1589" s="27"/>
      <c r="Z1589" s="17"/>
      <c r="AA1589" s="17"/>
      <c r="AB1589" s="17"/>
      <c r="AC1589" s="17"/>
      <c r="AD1589" s="27"/>
    </row>
    <row r="1590" ht="15.75" customHeight="1">
      <c r="A1590" s="218" t="s">
        <v>2844</v>
      </c>
      <c r="B1590" s="218" t="s">
        <v>3687</v>
      </c>
      <c r="C1590" s="218" t="s">
        <v>3688</v>
      </c>
      <c r="D1590" s="217" t="s">
        <v>2846</v>
      </c>
      <c r="E1590" s="245" t="s">
        <v>2833</v>
      </c>
      <c r="F1590" s="217">
        <v>2.0</v>
      </c>
      <c r="G1590" s="219">
        <f t="shared" si="10"/>
        <v>2.680823295</v>
      </c>
      <c r="H1590" s="217">
        <v>76.0</v>
      </c>
      <c r="I1590" s="236">
        <v>430.0</v>
      </c>
      <c r="J1590" s="217">
        <v>22.0</v>
      </c>
      <c r="K1590" s="217">
        <v>480.0</v>
      </c>
      <c r="L1590" s="217">
        <v>490.0</v>
      </c>
      <c r="M1590" s="223">
        <v>33.0</v>
      </c>
      <c r="N1590" s="223">
        <v>3.0</v>
      </c>
      <c r="O1590" s="223">
        <v>7.0</v>
      </c>
      <c r="P1590" s="223">
        <f t="shared" si="2"/>
        <v>23</v>
      </c>
      <c r="Q1590" s="237">
        <v>22.0</v>
      </c>
      <c r="R1590" s="248">
        <f t="shared" si="3"/>
        <v>160.3984868</v>
      </c>
      <c r="S1590" s="243">
        <f t="shared" si="4"/>
        <v>5.657894737</v>
      </c>
      <c r="T1590" s="24">
        <f t="shared" si="5"/>
        <v>1.5</v>
      </c>
      <c r="U1590" s="26">
        <f t="shared" si="6"/>
        <v>0.4736842105</v>
      </c>
      <c r="V1590" s="26">
        <f t="shared" si="7"/>
        <v>0.06698564593</v>
      </c>
      <c r="W1590" s="19">
        <f t="shared" si="8"/>
        <v>1.11627907</v>
      </c>
      <c r="X1590" s="247">
        <f t="shared" si="12"/>
        <v>860</v>
      </c>
      <c r="Y1590" s="27"/>
      <c r="Z1590" s="17"/>
      <c r="AA1590" s="17"/>
      <c r="AB1590" s="17"/>
      <c r="AC1590" s="17"/>
      <c r="AD1590" s="27"/>
    </row>
    <row r="1591" ht="15.75" customHeight="1">
      <c r="A1591" s="218" t="s">
        <v>3599</v>
      </c>
      <c r="B1591" s="218" t="s">
        <v>3689</v>
      </c>
      <c r="C1591" s="218" t="s">
        <v>3690</v>
      </c>
      <c r="D1591" s="217" t="s">
        <v>2846</v>
      </c>
      <c r="E1591" s="245" t="s">
        <v>2833</v>
      </c>
      <c r="F1591" s="217">
        <v>2.0</v>
      </c>
      <c r="G1591" s="219">
        <f t="shared" si="10"/>
        <v>1.763699536</v>
      </c>
      <c r="H1591" s="217">
        <v>50.0</v>
      </c>
      <c r="I1591" s="236">
        <v>282.0</v>
      </c>
      <c r="J1591" s="217">
        <v>11.0</v>
      </c>
      <c r="K1591" s="217">
        <v>712.0</v>
      </c>
      <c r="L1591" s="217">
        <v>574.0</v>
      </c>
      <c r="M1591" s="223">
        <v>20.0</v>
      </c>
      <c r="N1591" s="223">
        <v>3.0</v>
      </c>
      <c r="O1591" s="223">
        <v>4.0</v>
      </c>
      <c r="P1591" s="223">
        <f t="shared" si="2"/>
        <v>13</v>
      </c>
      <c r="Q1591" s="237">
        <v>18.0</v>
      </c>
      <c r="R1591" s="248">
        <f t="shared" si="3"/>
        <v>159.89118</v>
      </c>
      <c r="S1591" s="243">
        <f t="shared" si="4"/>
        <v>5.64</v>
      </c>
      <c r="T1591" s="24">
        <f t="shared" si="5"/>
        <v>1.111111111</v>
      </c>
      <c r="U1591" s="26">
        <f t="shared" si="6"/>
        <v>0.3944223108</v>
      </c>
      <c r="V1591" s="26">
        <f t="shared" si="7"/>
        <v>0.06374501992</v>
      </c>
      <c r="W1591" s="19">
        <f t="shared" si="8"/>
        <v>2.524822695</v>
      </c>
      <c r="X1591" s="247">
        <f t="shared" si="12"/>
        <v>564</v>
      </c>
      <c r="Y1591" s="27"/>
      <c r="Z1591" s="17"/>
      <c r="AA1591" s="17"/>
      <c r="AB1591" s="17"/>
      <c r="AC1591" s="17"/>
      <c r="AD1591" s="27"/>
    </row>
    <row r="1592" ht="15.75" customHeight="1">
      <c r="A1592" s="218" t="s">
        <v>3599</v>
      </c>
      <c r="B1592" s="218" t="s">
        <v>3691</v>
      </c>
      <c r="C1592" s="218" t="s">
        <v>3692</v>
      </c>
      <c r="D1592" s="217" t="s">
        <v>2846</v>
      </c>
      <c r="E1592" s="245" t="s">
        <v>2833</v>
      </c>
      <c r="F1592" s="217">
        <v>2.0</v>
      </c>
      <c r="G1592" s="219">
        <f t="shared" si="10"/>
        <v>1.834247518</v>
      </c>
      <c r="H1592" s="217">
        <v>52.0</v>
      </c>
      <c r="I1592" s="236">
        <v>280.0</v>
      </c>
      <c r="J1592" s="217">
        <v>10.0</v>
      </c>
      <c r="K1592" s="217">
        <v>521.0</v>
      </c>
      <c r="L1592" s="218"/>
      <c r="M1592" s="223">
        <v>31.0</v>
      </c>
      <c r="N1592" s="223">
        <v>2.0</v>
      </c>
      <c r="O1592" s="223">
        <v>3.0</v>
      </c>
      <c r="P1592" s="223">
        <f t="shared" si="2"/>
        <v>26</v>
      </c>
      <c r="Q1592" s="237">
        <v>17.0</v>
      </c>
      <c r="R1592" s="248">
        <f t="shared" si="3"/>
        <v>152.6511538</v>
      </c>
      <c r="S1592" s="243">
        <f t="shared" si="4"/>
        <v>5.384615385</v>
      </c>
      <c r="T1592" s="24">
        <f t="shared" si="5"/>
        <v>1.823529412</v>
      </c>
      <c r="U1592" s="26">
        <f t="shared" si="6"/>
        <v>0.3191489362</v>
      </c>
      <c r="V1592" s="26">
        <f t="shared" si="7"/>
        <v>0.04255319149</v>
      </c>
      <c r="W1592" s="19">
        <f t="shared" si="8"/>
        <v>1.860714286</v>
      </c>
      <c r="X1592" s="247">
        <f t="shared" si="12"/>
        <v>560</v>
      </c>
      <c r="Y1592" s="27"/>
      <c r="Z1592" s="17"/>
      <c r="AA1592" s="17"/>
      <c r="AB1592" s="17"/>
      <c r="AC1592" s="17"/>
      <c r="AD1592" s="27"/>
    </row>
    <row r="1593" ht="15.75" customHeight="1">
      <c r="A1593" s="218" t="s">
        <v>3599</v>
      </c>
      <c r="B1593" s="218" t="s">
        <v>3693</v>
      </c>
      <c r="C1593" s="218" t="s">
        <v>3694</v>
      </c>
      <c r="D1593" s="217" t="s">
        <v>2846</v>
      </c>
      <c r="E1593" s="245" t="s">
        <v>2833</v>
      </c>
      <c r="F1593" s="217">
        <v>2.0</v>
      </c>
      <c r="G1593" s="219">
        <f t="shared" si="10"/>
        <v>1.693151555</v>
      </c>
      <c r="H1593" s="217">
        <v>48.0</v>
      </c>
      <c r="I1593" s="236">
        <v>258.0</v>
      </c>
      <c r="J1593" s="217">
        <v>6.0</v>
      </c>
      <c r="K1593" s="217">
        <v>576.0</v>
      </c>
      <c r="L1593" s="218"/>
      <c r="M1593" s="223">
        <v>33.0</v>
      </c>
      <c r="N1593" s="223">
        <v>3.0</v>
      </c>
      <c r="O1593" s="223">
        <v>4.0</v>
      </c>
      <c r="P1593" s="223">
        <f t="shared" si="2"/>
        <v>26</v>
      </c>
      <c r="Q1593" s="237">
        <v>15.0</v>
      </c>
      <c r="R1593" s="248">
        <f t="shared" si="3"/>
        <v>152.3785625</v>
      </c>
      <c r="S1593" s="243">
        <f t="shared" si="4"/>
        <v>5.375</v>
      </c>
      <c r="T1593" s="24">
        <f t="shared" si="5"/>
        <v>2.2</v>
      </c>
      <c r="U1593" s="26">
        <f t="shared" si="6"/>
        <v>0.2195121951</v>
      </c>
      <c r="V1593" s="26">
        <f t="shared" si="7"/>
        <v>0.06504065041</v>
      </c>
      <c r="W1593" s="19">
        <f t="shared" si="8"/>
        <v>2.23255814</v>
      </c>
      <c r="X1593" s="247">
        <f t="shared" si="12"/>
        <v>516</v>
      </c>
      <c r="Y1593" s="27"/>
      <c r="Z1593" s="17"/>
      <c r="AA1593" s="17"/>
      <c r="AB1593" s="17"/>
      <c r="AC1593" s="17"/>
      <c r="AD1593" s="27"/>
    </row>
    <row r="1594" ht="15.75" customHeight="1">
      <c r="A1594" s="216" t="s">
        <v>3636</v>
      </c>
      <c r="B1594" s="216" t="s">
        <v>3695</v>
      </c>
      <c r="C1594" s="218" t="s">
        <v>3696</v>
      </c>
      <c r="D1594" s="220" t="s">
        <v>2846</v>
      </c>
      <c r="E1594" s="245" t="s">
        <v>2833</v>
      </c>
      <c r="F1594" s="217">
        <v>1.0</v>
      </c>
      <c r="G1594" s="219">
        <f t="shared" si="10"/>
        <v>3.950686961</v>
      </c>
      <c r="H1594" s="220">
        <v>112.0</v>
      </c>
      <c r="I1594" s="221">
        <v>600.0</v>
      </c>
      <c r="J1594" s="220">
        <v>22.0</v>
      </c>
      <c r="K1594" s="220">
        <v>520.0</v>
      </c>
      <c r="L1594" s="220">
        <v>1250.0</v>
      </c>
      <c r="M1594" s="222">
        <v>56.0</v>
      </c>
      <c r="N1594" s="222">
        <v>25.0</v>
      </c>
      <c r="O1594" s="222">
        <v>9.0</v>
      </c>
      <c r="P1594" s="223">
        <f t="shared" si="2"/>
        <v>22</v>
      </c>
      <c r="Q1594" s="224">
        <v>22.0</v>
      </c>
      <c r="R1594" s="248">
        <f t="shared" si="3"/>
        <v>151.8723214</v>
      </c>
      <c r="S1594" s="243">
        <f t="shared" si="4"/>
        <v>5.357142857</v>
      </c>
      <c r="T1594" s="24">
        <f t="shared" si="5"/>
        <v>2.545454545</v>
      </c>
      <c r="U1594" s="26">
        <f t="shared" si="6"/>
        <v>0.3882352941</v>
      </c>
      <c r="V1594" s="26">
        <f t="shared" si="7"/>
        <v>0.07058823529</v>
      </c>
      <c r="W1594" s="19">
        <f t="shared" si="8"/>
        <v>0.8666666667</v>
      </c>
      <c r="X1594" s="247">
        <f t="shared" si="12"/>
        <v>600</v>
      </c>
      <c r="Y1594" s="27"/>
      <c r="Z1594" s="17"/>
      <c r="AA1594" s="17"/>
      <c r="AB1594" s="17"/>
      <c r="AC1594" s="17"/>
      <c r="AD1594" s="27"/>
    </row>
    <row r="1595" ht="15.75" customHeight="1">
      <c r="A1595" s="216" t="s">
        <v>3636</v>
      </c>
      <c r="B1595" s="216" t="s">
        <v>3108</v>
      </c>
      <c r="C1595" s="218" t="s">
        <v>3697</v>
      </c>
      <c r="D1595" s="220" t="s">
        <v>2846</v>
      </c>
      <c r="E1595" s="245" t="s">
        <v>2833</v>
      </c>
      <c r="F1595" s="217">
        <v>1.0</v>
      </c>
      <c r="G1595" s="219">
        <f t="shared" si="10"/>
        <v>3.950686961</v>
      </c>
      <c r="H1595" s="220">
        <v>112.0</v>
      </c>
      <c r="I1595" s="221">
        <v>600.0</v>
      </c>
      <c r="J1595" s="220">
        <v>12.0</v>
      </c>
      <c r="K1595" s="220">
        <v>300.0</v>
      </c>
      <c r="L1595" s="220">
        <v>600.0</v>
      </c>
      <c r="M1595" s="222">
        <v>75.0</v>
      </c>
      <c r="N1595" s="222">
        <v>9.0</v>
      </c>
      <c r="O1595" s="222">
        <v>6.0</v>
      </c>
      <c r="P1595" s="223">
        <f t="shared" si="2"/>
        <v>60</v>
      </c>
      <c r="Q1595" s="224">
        <v>13.0</v>
      </c>
      <c r="R1595" s="248">
        <f t="shared" si="3"/>
        <v>151.8723214</v>
      </c>
      <c r="S1595" s="243">
        <f t="shared" si="4"/>
        <v>5.357142857</v>
      </c>
      <c r="T1595" s="24">
        <f t="shared" si="5"/>
        <v>5.769230769</v>
      </c>
      <c r="U1595" s="26">
        <f t="shared" si="6"/>
        <v>0.2347826087</v>
      </c>
      <c r="V1595" s="26">
        <f t="shared" si="7"/>
        <v>0.05217391304</v>
      </c>
      <c r="W1595" s="19">
        <f t="shared" si="8"/>
        <v>0.5</v>
      </c>
      <c r="X1595" s="247">
        <f t="shared" si="12"/>
        <v>600</v>
      </c>
      <c r="Y1595" s="27"/>
      <c r="Z1595" s="17"/>
      <c r="AA1595" s="17"/>
      <c r="AB1595" s="17"/>
      <c r="AC1595" s="17"/>
      <c r="AD1595" s="27"/>
    </row>
    <row r="1596" ht="15.75" customHeight="1">
      <c r="A1596" s="218" t="s">
        <v>3599</v>
      </c>
      <c r="B1596" s="218" t="s">
        <v>3698</v>
      </c>
      <c r="C1596" s="218" t="s">
        <v>3699</v>
      </c>
      <c r="D1596" s="217" t="s">
        <v>2846</v>
      </c>
      <c r="E1596" s="245" t="s">
        <v>2833</v>
      </c>
      <c r="F1596" s="217">
        <v>2.0</v>
      </c>
      <c r="G1596" s="219">
        <f t="shared" si="10"/>
        <v>2.328083388</v>
      </c>
      <c r="H1596" s="217">
        <v>66.0</v>
      </c>
      <c r="I1596" s="236">
        <v>353.0</v>
      </c>
      <c r="J1596" s="217">
        <v>15.0</v>
      </c>
      <c r="K1596" s="217">
        <v>684.0</v>
      </c>
      <c r="L1596" s="218"/>
      <c r="M1596" s="223">
        <v>35.0</v>
      </c>
      <c r="N1596" s="223">
        <v>14.0</v>
      </c>
      <c r="O1596" s="223">
        <v>4.0</v>
      </c>
      <c r="P1596" s="223">
        <f t="shared" si="2"/>
        <v>17</v>
      </c>
      <c r="Q1596" s="237">
        <v>21.0</v>
      </c>
      <c r="R1596" s="248">
        <f t="shared" si="3"/>
        <v>151.6268712</v>
      </c>
      <c r="S1596" s="243">
        <f t="shared" si="4"/>
        <v>5.348484848</v>
      </c>
      <c r="T1596" s="24">
        <f t="shared" si="5"/>
        <v>1.666666667</v>
      </c>
      <c r="U1596" s="26">
        <f t="shared" si="6"/>
        <v>0.3760445682</v>
      </c>
      <c r="V1596" s="26">
        <f t="shared" si="7"/>
        <v>0.04456824513</v>
      </c>
      <c r="W1596" s="19">
        <f t="shared" si="8"/>
        <v>1.937677054</v>
      </c>
      <c r="X1596" s="247">
        <f t="shared" si="12"/>
        <v>706</v>
      </c>
      <c r="Y1596" s="27"/>
      <c r="Z1596" s="17"/>
      <c r="AA1596" s="17"/>
      <c r="AB1596" s="17"/>
      <c r="AC1596" s="17"/>
      <c r="AD1596" s="27"/>
    </row>
    <row r="1597" ht="15.75" customHeight="1">
      <c r="A1597" s="216" t="s">
        <v>2844</v>
      </c>
      <c r="B1597" s="216" t="s">
        <v>3700</v>
      </c>
      <c r="C1597" s="218" t="s">
        <v>3701</v>
      </c>
      <c r="D1597" s="217" t="s">
        <v>2846</v>
      </c>
      <c r="E1597" s="245" t="s">
        <v>2833</v>
      </c>
      <c r="F1597" s="217">
        <v>2.0</v>
      </c>
      <c r="G1597" s="219">
        <f t="shared" si="10"/>
        <v>3.703769026</v>
      </c>
      <c r="H1597" s="217">
        <v>105.0</v>
      </c>
      <c r="I1597" s="236">
        <v>560.0</v>
      </c>
      <c r="J1597" s="217">
        <v>33.0</v>
      </c>
      <c r="K1597" s="217">
        <v>680.0</v>
      </c>
      <c r="L1597" s="217">
        <v>826.0</v>
      </c>
      <c r="M1597" s="223">
        <v>47.0</v>
      </c>
      <c r="N1597" s="223">
        <v>5.0</v>
      </c>
      <c r="O1597" s="223">
        <v>12.0</v>
      </c>
      <c r="P1597" s="223">
        <f t="shared" si="2"/>
        <v>30</v>
      </c>
      <c r="Q1597" s="237">
        <v>20.0</v>
      </c>
      <c r="R1597" s="248">
        <f t="shared" si="3"/>
        <v>151.1973333</v>
      </c>
      <c r="S1597" s="243">
        <f t="shared" si="4"/>
        <v>5.333333333</v>
      </c>
      <c r="T1597" s="24">
        <f t="shared" si="5"/>
        <v>2.35</v>
      </c>
      <c r="U1597" s="26">
        <f t="shared" si="6"/>
        <v>0.5256637168</v>
      </c>
      <c r="V1597" s="26">
        <f t="shared" si="7"/>
        <v>0.08495575221</v>
      </c>
      <c r="W1597" s="19">
        <f t="shared" si="8"/>
        <v>1.214285714</v>
      </c>
      <c r="X1597" s="247">
        <f t="shared" si="12"/>
        <v>1120</v>
      </c>
      <c r="Y1597" s="27"/>
      <c r="Z1597" s="17"/>
      <c r="AA1597" s="17"/>
      <c r="AB1597" s="17"/>
      <c r="AC1597" s="17"/>
      <c r="AD1597" s="27"/>
    </row>
    <row r="1598" ht="15.75" customHeight="1">
      <c r="A1598" s="216" t="s">
        <v>2844</v>
      </c>
      <c r="B1598" s="216" t="s">
        <v>3702</v>
      </c>
      <c r="C1598" s="218" t="s">
        <v>3703</v>
      </c>
      <c r="D1598" s="217" t="s">
        <v>2846</v>
      </c>
      <c r="E1598" s="245" t="s">
        <v>2833</v>
      </c>
      <c r="F1598" s="217">
        <v>2.0</v>
      </c>
      <c r="G1598" s="219">
        <f t="shared" si="10"/>
        <v>2.786645267</v>
      </c>
      <c r="H1598" s="217">
        <v>79.0</v>
      </c>
      <c r="I1598" s="236">
        <v>420.0</v>
      </c>
      <c r="J1598" s="217">
        <v>17.0</v>
      </c>
      <c r="K1598" s="217">
        <v>410.0</v>
      </c>
      <c r="L1598" s="217">
        <v>689.0</v>
      </c>
      <c r="M1598" s="223">
        <v>44.0</v>
      </c>
      <c r="N1598" s="223">
        <v>6.0</v>
      </c>
      <c r="O1598" s="223">
        <v>12.0</v>
      </c>
      <c r="P1598" s="223">
        <f t="shared" si="2"/>
        <v>26</v>
      </c>
      <c r="Q1598" s="237">
        <v>22.0</v>
      </c>
      <c r="R1598" s="248">
        <f t="shared" si="3"/>
        <v>150.7188608</v>
      </c>
      <c r="S1598" s="243">
        <f t="shared" si="4"/>
        <v>5.316455696</v>
      </c>
      <c r="T1598" s="24">
        <f t="shared" si="5"/>
        <v>2</v>
      </c>
      <c r="U1598" s="26">
        <f t="shared" si="6"/>
        <v>0.3669064748</v>
      </c>
      <c r="V1598" s="26">
        <f t="shared" si="7"/>
        <v>0.1151079137</v>
      </c>
      <c r="W1598" s="19">
        <f t="shared" si="8"/>
        <v>0.9761904762</v>
      </c>
      <c r="X1598" s="247">
        <f t="shared" si="12"/>
        <v>840</v>
      </c>
      <c r="Y1598" s="27"/>
      <c r="Z1598" s="17"/>
      <c r="AA1598" s="17"/>
      <c r="AB1598" s="17"/>
      <c r="AC1598" s="17"/>
      <c r="AD1598" s="27"/>
    </row>
    <row r="1599" ht="15.75" customHeight="1">
      <c r="A1599" s="218" t="s">
        <v>3643</v>
      </c>
      <c r="B1599" s="218" t="s">
        <v>3704</v>
      </c>
      <c r="C1599" s="218" t="s">
        <v>3705</v>
      </c>
      <c r="D1599" s="217" t="s">
        <v>2846</v>
      </c>
      <c r="E1599" s="245" t="s">
        <v>2833</v>
      </c>
      <c r="F1599" s="217">
        <v>2.0</v>
      </c>
      <c r="G1599" s="219">
        <f t="shared" si="10"/>
        <v>2.998289211</v>
      </c>
      <c r="H1599" s="217">
        <v>85.0</v>
      </c>
      <c r="I1599" s="236">
        <v>445.0</v>
      </c>
      <c r="J1599" s="217">
        <v>10.0</v>
      </c>
      <c r="K1599" s="217">
        <v>660.0</v>
      </c>
      <c r="L1599" s="217">
        <v>431.0</v>
      </c>
      <c r="M1599" s="223">
        <v>76.0</v>
      </c>
      <c r="N1599" s="223">
        <v>3.0</v>
      </c>
      <c r="O1599" s="223">
        <v>10.0</v>
      </c>
      <c r="P1599" s="223">
        <f t="shared" si="2"/>
        <v>63</v>
      </c>
      <c r="Q1599" s="237">
        <v>16.0</v>
      </c>
      <c r="R1599" s="248">
        <f t="shared" si="3"/>
        <v>148.4179706</v>
      </c>
      <c r="S1599" s="243">
        <f t="shared" si="4"/>
        <v>5.235294118</v>
      </c>
      <c r="T1599" s="24">
        <f t="shared" si="5"/>
        <v>4.75</v>
      </c>
      <c r="U1599" s="26">
        <f t="shared" si="6"/>
        <v>0.1965065502</v>
      </c>
      <c r="V1599" s="26">
        <f t="shared" si="7"/>
        <v>0.08733624454</v>
      </c>
      <c r="W1599" s="19">
        <f t="shared" si="8"/>
        <v>1.483146067</v>
      </c>
      <c r="X1599" s="247">
        <f t="shared" si="12"/>
        <v>890</v>
      </c>
      <c r="Y1599" s="27"/>
      <c r="Z1599" s="17"/>
      <c r="AA1599" s="17"/>
      <c r="AB1599" s="17"/>
      <c r="AC1599" s="17"/>
      <c r="AD1599" s="27"/>
    </row>
    <row r="1600" ht="15.75" customHeight="1">
      <c r="A1600" s="216" t="s">
        <v>2844</v>
      </c>
      <c r="B1600" s="216" t="s">
        <v>3706</v>
      </c>
      <c r="C1600" s="218" t="s">
        <v>3707</v>
      </c>
      <c r="D1600" s="217" t="s">
        <v>2846</v>
      </c>
      <c r="E1600" s="245" t="s">
        <v>2833</v>
      </c>
      <c r="F1600" s="217">
        <v>2.0</v>
      </c>
      <c r="G1600" s="219">
        <f t="shared" si="10"/>
        <v>3.104111184</v>
      </c>
      <c r="H1600" s="217">
        <v>88.0</v>
      </c>
      <c r="I1600" s="236">
        <v>460.0</v>
      </c>
      <c r="J1600" s="217">
        <v>29.0</v>
      </c>
      <c r="K1600" s="217">
        <v>700.0</v>
      </c>
      <c r="L1600" s="217">
        <v>153.0</v>
      </c>
      <c r="M1600" s="223">
        <v>34.0</v>
      </c>
      <c r="N1600" s="223">
        <v>2.0</v>
      </c>
      <c r="O1600" s="223">
        <v>5.0</v>
      </c>
      <c r="P1600" s="223">
        <f t="shared" si="2"/>
        <v>27</v>
      </c>
      <c r="Q1600" s="237">
        <v>20.0</v>
      </c>
      <c r="R1600" s="248">
        <f t="shared" si="3"/>
        <v>148.1905682</v>
      </c>
      <c r="S1600" s="243">
        <f t="shared" si="4"/>
        <v>5.227272727</v>
      </c>
      <c r="T1600" s="24">
        <f t="shared" si="5"/>
        <v>1.7</v>
      </c>
      <c r="U1600" s="26">
        <f t="shared" si="6"/>
        <v>0.5471698113</v>
      </c>
      <c r="V1600" s="26">
        <f t="shared" si="7"/>
        <v>0.04192872117</v>
      </c>
      <c r="W1600" s="19">
        <f t="shared" si="8"/>
        <v>1.52173913</v>
      </c>
      <c r="X1600" s="247">
        <f t="shared" si="12"/>
        <v>920</v>
      </c>
      <c r="Y1600" s="27"/>
      <c r="Z1600" s="17"/>
      <c r="AA1600" s="17"/>
      <c r="AB1600" s="17"/>
      <c r="AC1600" s="17"/>
      <c r="AD1600" s="27"/>
    </row>
    <row r="1601" ht="15.75" customHeight="1">
      <c r="A1601" s="218" t="s">
        <v>2844</v>
      </c>
      <c r="B1601" s="218" t="s">
        <v>3708</v>
      </c>
      <c r="C1601" s="218" t="s">
        <v>3709</v>
      </c>
      <c r="D1601" s="217" t="s">
        <v>2846</v>
      </c>
      <c r="E1601" s="245" t="s">
        <v>2833</v>
      </c>
      <c r="F1601" s="217">
        <v>2.0</v>
      </c>
      <c r="G1601" s="219">
        <f t="shared" si="10"/>
        <v>2.92774123</v>
      </c>
      <c r="H1601" s="217">
        <v>83.0</v>
      </c>
      <c r="I1601" s="236">
        <v>430.0</v>
      </c>
      <c r="J1601" s="217">
        <v>22.0</v>
      </c>
      <c r="K1601" s="217">
        <v>650.0</v>
      </c>
      <c r="L1601" s="217">
        <v>422.0</v>
      </c>
      <c r="M1601" s="223">
        <v>52.0</v>
      </c>
      <c r="N1601" s="223">
        <v>6.0</v>
      </c>
      <c r="O1601" s="223">
        <v>1.0</v>
      </c>
      <c r="P1601" s="223">
        <f t="shared" si="2"/>
        <v>45</v>
      </c>
      <c r="Q1601" s="237">
        <v>12.0</v>
      </c>
      <c r="R1601" s="248">
        <f t="shared" si="3"/>
        <v>146.8709036</v>
      </c>
      <c r="S1601" s="243">
        <f t="shared" si="4"/>
        <v>5.180722892</v>
      </c>
      <c r="T1601" s="24">
        <f t="shared" si="5"/>
        <v>4.333333333</v>
      </c>
      <c r="U1601" s="26">
        <f t="shared" si="6"/>
        <v>0.436123348</v>
      </c>
      <c r="V1601" s="26">
        <f t="shared" si="7"/>
        <v>0.008810572687</v>
      </c>
      <c r="W1601" s="19">
        <f t="shared" si="8"/>
        <v>1.511627907</v>
      </c>
      <c r="X1601" s="247">
        <f t="shared" si="12"/>
        <v>860</v>
      </c>
      <c r="Y1601" s="27"/>
      <c r="Z1601" s="17"/>
      <c r="AA1601" s="17"/>
      <c r="AB1601" s="17"/>
      <c r="AC1601" s="17"/>
      <c r="AD1601" s="27"/>
    </row>
    <row r="1602" ht="15.75" customHeight="1">
      <c r="A1602" s="218" t="s">
        <v>3643</v>
      </c>
      <c r="B1602" s="218" t="s">
        <v>3710</v>
      </c>
      <c r="C1602" s="218" t="s">
        <v>3711</v>
      </c>
      <c r="D1602" s="217" t="s">
        <v>2846</v>
      </c>
      <c r="E1602" s="245" t="s">
        <v>2833</v>
      </c>
      <c r="F1602" s="217">
        <v>2.0</v>
      </c>
      <c r="G1602" s="219">
        <f t="shared" si="10"/>
        <v>2.116439443</v>
      </c>
      <c r="H1602" s="217">
        <v>60.0</v>
      </c>
      <c r="I1602" s="236">
        <v>310.0</v>
      </c>
      <c r="J1602" s="217">
        <v>2.0</v>
      </c>
      <c r="K1602" s="217">
        <v>659.0</v>
      </c>
      <c r="L1602" s="217">
        <v>931.0</v>
      </c>
      <c r="M1602" s="223">
        <v>54.0</v>
      </c>
      <c r="N1602" s="223">
        <v>7.0</v>
      </c>
      <c r="O1602" s="223">
        <v>5.0</v>
      </c>
      <c r="P1602" s="223">
        <f t="shared" si="2"/>
        <v>42</v>
      </c>
      <c r="Q1602" s="237">
        <v>14.0</v>
      </c>
      <c r="R1602" s="248">
        <f t="shared" si="3"/>
        <v>146.4724167</v>
      </c>
      <c r="S1602" s="243">
        <f t="shared" si="4"/>
        <v>5.166666667</v>
      </c>
      <c r="T1602" s="24">
        <f t="shared" si="5"/>
        <v>3.857142857</v>
      </c>
      <c r="U1602" s="26">
        <f t="shared" si="6"/>
        <v>0.06206896552</v>
      </c>
      <c r="V1602" s="26">
        <f t="shared" si="7"/>
        <v>0.06896551724</v>
      </c>
      <c r="W1602" s="19">
        <f t="shared" si="8"/>
        <v>2.125806452</v>
      </c>
      <c r="X1602" s="247">
        <f t="shared" si="12"/>
        <v>620</v>
      </c>
      <c r="Y1602" s="27"/>
      <c r="Z1602" s="17"/>
      <c r="AA1602" s="17"/>
      <c r="AB1602" s="17"/>
      <c r="AC1602" s="17"/>
      <c r="AD1602" s="27"/>
    </row>
    <row r="1603" ht="15.75" customHeight="1">
      <c r="A1603" s="216" t="s">
        <v>3607</v>
      </c>
      <c r="B1603" s="216" t="s">
        <v>3712</v>
      </c>
      <c r="C1603" s="218" t="s">
        <v>3713</v>
      </c>
      <c r="D1603" s="220" t="s">
        <v>2846</v>
      </c>
      <c r="E1603" s="245" t="s">
        <v>2833</v>
      </c>
      <c r="F1603" s="217">
        <v>1.0</v>
      </c>
      <c r="G1603" s="219">
        <f t="shared" si="10"/>
        <v>3.703769026</v>
      </c>
      <c r="H1603" s="220">
        <v>105.0</v>
      </c>
      <c r="I1603" s="221">
        <v>540.0</v>
      </c>
      <c r="J1603" s="220">
        <v>26.0</v>
      </c>
      <c r="K1603" s="220">
        <v>690.0</v>
      </c>
      <c r="L1603" s="220">
        <v>1090.0</v>
      </c>
      <c r="M1603" s="222">
        <v>73.0</v>
      </c>
      <c r="N1603" s="222">
        <v>10.0</v>
      </c>
      <c r="O1603" s="222">
        <v>10.0</v>
      </c>
      <c r="P1603" s="223">
        <f t="shared" si="2"/>
        <v>53</v>
      </c>
      <c r="Q1603" s="224">
        <v>11.0</v>
      </c>
      <c r="R1603" s="248">
        <f t="shared" si="3"/>
        <v>145.7974286</v>
      </c>
      <c r="S1603" s="243">
        <f t="shared" si="4"/>
        <v>5.142857143</v>
      </c>
      <c r="T1603" s="24">
        <f t="shared" si="5"/>
        <v>6.636363636</v>
      </c>
      <c r="U1603" s="26">
        <f t="shared" si="6"/>
        <v>0.4105263158</v>
      </c>
      <c r="V1603" s="26">
        <f t="shared" si="7"/>
        <v>0.0701754386</v>
      </c>
      <c r="W1603" s="19">
        <f t="shared" si="8"/>
        <v>1.277777778</v>
      </c>
      <c r="X1603" s="247">
        <f t="shared" si="12"/>
        <v>540</v>
      </c>
      <c r="Y1603" s="27"/>
      <c r="Z1603" s="17"/>
      <c r="AA1603" s="17"/>
      <c r="AB1603" s="17"/>
      <c r="AC1603" s="17"/>
      <c r="AD1603" s="27"/>
    </row>
    <row r="1604" ht="15.75" customHeight="1">
      <c r="A1604" s="218" t="s">
        <v>3643</v>
      </c>
      <c r="B1604" s="218" t="s">
        <v>3714</v>
      </c>
      <c r="C1604" s="218" t="s">
        <v>3715</v>
      </c>
      <c r="D1604" s="217" t="s">
        <v>2846</v>
      </c>
      <c r="E1604" s="245" t="s">
        <v>2833</v>
      </c>
      <c r="F1604" s="217">
        <v>2.0</v>
      </c>
      <c r="G1604" s="219">
        <f t="shared" si="10"/>
        <v>2.998289211</v>
      </c>
      <c r="H1604" s="217">
        <v>85.0</v>
      </c>
      <c r="I1604" s="236">
        <v>425.0</v>
      </c>
      <c r="J1604" s="217">
        <v>8.0</v>
      </c>
      <c r="K1604" s="217">
        <v>546.0</v>
      </c>
      <c r="L1604" s="217">
        <v>362.0</v>
      </c>
      <c r="M1604" s="223">
        <v>76.0</v>
      </c>
      <c r="N1604" s="223">
        <v>3.0</v>
      </c>
      <c r="O1604" s="223">
        <v>12.0</v>
      </c>
      <c r="P1604" s="223">
        <f t="shared" si="2"/>
        <v>61</v>
      </c>
      <c r="Q1604" s="237">
        <v>17.0</v>
      </c>
      <c r="R1604" s="248">
        <f t="shared" si="3"/>
        <v>141.7475</v>
      </c>
      <c r="S1604" s="243">
        <f t="shared" si="4"/>
        <v>5</v>
      </c>
      <c r="T1604" s="24">
        <f t="shared" si="5"/>
        <v>4.470588235</v>
      </c>
      <c r="U1604" s="26">
        <f t="shared" si="6"/>
        <v>0.1621621622</v>
      </c>
      <c r="V1604" s="26">
        <f t="shared" si="7"/>
        <v>0.1081081081</v>
      </c>
      <c r="W1604" s="19">
        <f t="shared" si="8"/>
        <v>1.284705882</v>
      </c>
      <c r="X1604" s="247">
        <f t="shared" si="12"/>
        <v>850</v>
      </c>
      <c r="Y1604" s="27"/>
      <c r="Z1604" s="17"/>
      <c r="AA1604" s="17"/>
      <c r="AB1604" s="17"/>
      <c r="AC1604" s="17"/>
      <c r="AD1604" s="27"/>
    </row>
    <row r="1605" ht="15.75" customHeight="1">
      <c r="A1605" s="216" t="s">
        <v>3636</v>
      </c>
      <c r="B1605" s="216" t="s">
        <v>3716</v>
      </c>
      <c r="C1605" s="218" t="s">
        <v>3717</v>
      </c>
      <c r="D1605" s="220" t="s">
        <v>2846</v>
      </c>
      <c r="E1605" s="245" t="s">
        <v>2833</v>
      </c>
      <c r="F1605" s="217">
        <v>1.0</v>
      </c>
      <c r="G1605" s="219">
        <f t="shared" si="10"/>
        <v>3.950686961</v>
      </c>
      <c r="H1605" s="220">
        <v>112.0</v>
      </c>
      <c r="I1605" s="221">
        <v>560.0</v>
      </c>
      <c r="J1605" s="220">
        <v>15.0</v>
      </c>
      <c r="K1605" s="220">
        <v>400.0</v>
      </c>
      <c r="L1605" s="220">
        <v>1050.0</v>
      </c>
      <c r="M1605" s="222">
        <v>59.0</v>
      </c>
      <c r="N1605" s="222">
        <v>25.0</v>
      </c>
      <c r="O1605" s="222">
        <v>8.0</v>
      </c>
      <c r="P1605" s="223">
        <f t="shared" si="2"/>
        <v>26</v>
      </c>
      <c r="Q1605" s="224">
        <v>26.0</v>
      </c>
      <c r="R1605" s="248">
        <f t="shared" si="3"/>
        <v>141.7475</v>
      </c>
      <c r="S1605" s="243">
        <f t="shared" si="4"/>
        <v>5</v>
      </c>
      <c r="T1605" s="24">
        <f t="shared" si="5"/>
        <v>2.269230769</v>
      </c>
      <c r="U1605" s="26">
        <f t="shared" si="6"/>
        <v>0.2842105263</v>
      </c>
      <c r="V1605" s="26">
        <f t="shared" si="7"/>
        <v>0.06736842105</v>
      </c>
      <c r="W1605" s="19">
        <f t="shared" si="8"/>
        <v>0.7142857143</v>
      </c>
      <c r="X1605" s="247">
        <f t="shared" si="12"/>
        <v>560</v>
      </c>
      <c r="Y1605" s="27"/>
      <c r="Z1605" s="17"/>
      <c r="AA1605" s="17"/>
      <c r="AB1605" s="17"/>
      <c r="AC1605" s="17"/>
      <c r="AD1605" s="27"/>
    </row>
    <row r="1606" ht="15.75" customHeight="1">
      <c r="A1606" s="218" t="s">
        <v>3604</v>
      </c>
      <c r="B1606" s="218" t="s">
        <v>3718</v>
      </c>
      <c r="C1606" s="218" t="s">
        <v>3719</v>
      </c>
      <c r="D1606" s="217" t="s">
        <v>2846</v>
      </c>
      <c r="E1606" s="245" t="s">
        <v>2833</v>
      </c>
      <c r="F1606" s="217">
        <v>1.0</v>
      </c>
      <c r="G1606" s="219">
        <f t="shared" si="10"/>
        <v>4.515070813</v>
      </c>
      <c r="H1606" s="217">
        <v>128.0</v>
      </c>
      <c r="I1606" s="236">
        <v>630.0</v>
      </c>
      <c r="J1606" s="217">
        <v>25.0</v>
      </c>
      <c r="K1606" s="217">
        <v>1320.0</v>
      </c>
      <c r="L1606" s="217">
        <v>2120.0</v>
      </c>
      <c r="M1606" s="223">
        <v>83.0</v>
      </c>
      <c r="N1606" s="223">
        <v>23.0</v>
      </c>
      <c r="O1606" s="223">
        <v>22.0</v>
      </c>
      <c r="P1606" s="223">
        <f t="shared" si="2"/>
        <v>38</v>
      </c>
      <c r="Q1606" s="237">
        <v>25.0</v>
      </c>
      <c r="R1606" s="248">
        <f t="shared" si="3"/>
        <v>139.5326953</v>
      </c>
      <c r="S1606" s="243">
        <f t="shared" si="4"/>
        <v>4.921875</v>
      </c>
      <c r="T1606" s="24">
        <f t="shared" si="5"/>
        <v>3.32</v>
      </c>
      <c r="U1606" s="26">
        <f t="shared" si="6"/>
        <v>0.3424657534</v>
      </c>
      <c r="V1606" s="26">
        <f t="shared" si="7"/>
        <v>0.1339421613</v>
      </c>
      <c r="W1606" s="19">
        <f t="shared" si="8"/>
        <v>2.095238095</v>
      </c>
      <c r="X1606" s="247">
        <f t="shared" si="12"/>
        <v>630</v>
      </c>
      <c r="Y1606" s="27"/>
      <c r="Z1606" s="17"/>
      <c r="AA1606" s="17"/>
      <c r="AB1606" s="17"/>
      <c r="AC1606" s="17"/>
      <c r="AD1606" s="27"/>
    </row>
    <row r="1607" ht="15.75" customHeight="1">
      <c r="A1607" s="216" t="s">
        <v>3607</v>
      </c>
      <c r="B1607" s="216" t="s">
        <v>3720</v>
      </c>
      <c r="C1607" s="218" t="s">
        <v>3721</v>
      </c>
      <c r="D1607" s="217" t="s">
        <v>2846</v>
      </c>
      <c r="E1607" s="245" t="s">
        <v>2833</v>
      </c>
      <c r="F1607" s="217">
        <v>1.0</v>
      </c>
      <c r="G1607" s="219">
        <f t="shared" si="10"/>
        <v>4.127056915</v>
      </c>
      <c r="H1607" s="217">
        <v>117.0</v>
      </c>
      <c r="I1607" s="236">
        <v>570.0</v>
      </c>
      <c r="J1607" s="217">
        <v>19.0</v>
      </c>
      <c r="K1607" s="217">
        <v>710.0</v>
      </c>
      <c r="L1607" s="217">
        <v>1440.0</v>
      </c>
      <c r="M1607" s="223">
        <v>65.0</v>
      </c>
      <c r="N1607" s="223">
        <v>12.0</v>
      </c>
      <c r="O1607" s="223">
        <v>18.0</v>
      </c>
      <c r="P1607" s="223">
        <f t="shared" si="2"/>
        <v>35</v>
      </c>
      <c r="Q1607" s="237">
        <v>31.0</v>
      </c>
      <c r="R1607" s="248">
        <f t="shared" si="3"/>
        <v>138.1129487</v>
      </c>
      <c r="S1607" s="243">
        <f t="shared" si="4"/>
        <v>4.871794872</v>
      </c>
      <c r="T1607" s="24">
        <f t="shared" si="5"/>
        <v>2.096774194</v>
      </c>
      <c r="U1607" s="26">
        <f t="shared" si="6"/>
        <v>0.3081081081</v>
      </c>
      <c r="V1607" s="26">
        <f t="shared" si="7"/>
        <v>0.1297297297</v>
      </c>
      <c r="W1607" s="19">
        <f t="shared" si="8"/>
        <v>1.245614035</v>
      </c>
      <c r="X1607" s="247">
        <f t="shared" si="12"/>
        <v>570</v>
      </c>
      <c r="Y1607" s="27"/>
      <c r="Z1607" s="17"/>
      <c r="AA1607" s="17"/>
      <c r="AB1607" s="17"/>
      <c r="AC1607" s="17"/>
      <c r="AD1607" s="27"/>
    </row>
    <row r="1608" ht="15.75" customHeight="1">
      <c r="A1608" s="216" t="s">
        <v>3165</v>
      </c>
      <c r="B1608" s="216" t="s">
        <v>3722</v>
      </c>
      <c r="C1608" s="218" t="s">
        <v>3723</v>
      </c>
      <c r="D1608" s="217" t="s">
        <v>2846</v>
      </c>
      <c r="E1608" s="245" t="s">
        <v>2833</v>
      </c>
      <c r="F1608" s="217">
        <v>1.0</v>
      </c>
      <c r="G1608" s="219">
        <f t="shared" si="10"/>
        <v>3.985960952</v>
      </c>
      <c r="H1608" s="217">
        <v>113.0</v>
      </c>
      <c r="I1608" s="236">
        <v>550.0</v>
      </c>
      <c r="J1608" s="217">
        <v>14.0</v>
      </c>
      <c r="K1608" s="217">
        <v>870.0</v>
      </c>
      <c r="L1608" s="218"/>
      <c r="M1608" s="223">
        <v>70.0</v>
      </c>
      <c r="N1608" s="223">
        <v>13.0</v>
      </c>
      <c r="O1608" s="223">
        <v>11.0</v>
      </c>
      <c r="P1608" s="223">
        <f t="shared" si="2"/>
        <v>46</v>
      </c>
      <c r="Q1608" s="237">
        <v>42.0</v>
      </c>
      <c r="R1608" s="248">
        <f t="shared" si="3"/>
        <v>137.984292</v>
      </c>
      <c r="S1608" s="243">
        <f t="shared" si="4"/>
        <v>4.867256637</v>
      </c>
      <c r="T1608" s="24">
        <f t="shared" si="5"/>
        <v>1.666666667</v>
      </c>
      <c r="U1608" s="26">
        <f t="shared" si="6"/>
        <v>0.2195121951</v>
      </c>
      <c r="V1608" s="26">
        <f t="shared" si="7"/>
        <v>0.07665505226</v>
      </c>
      <c r="W1608" s="19">
        <f t="shared" si="8"/>
        <v>1.581818182</v>
      </c>
      <c r="X1608" s="247">
        <f t="shared" si="12"/>
        <v>550</v>
      </c>
      <c r="Y1608" s="27"/>
      <c r="Z1608" s="17"/>
      <c r="AA1608" s="17"/>
      <c r="AB1608" s="17"/>
      <c r="AC1608" s="17"/>
      <c r="AD1608" s="27"/>
    </row>
    <row r="1609" ht="15.75" customHeight="1">
      <c r="A1609" s="216" t="s">
        <v>3607</v>
      </c>
      <c r="B1609" s="216" t="s">
        <v>3724</v>
      </c>
      <c r="C1609" s="218" t="s">
        <v>3725</v>
      </c>
      <c r="D1609" s="217" t="s">
        <v>2846</v>
      </c>
      <c r="E1609" s="245" t="s">
        <v>2833</v>
      </c>
      <c r="F1609" s="217">
        <v>1.0</v>
      </c>
      <c r="G1609" s="219">
        <f t="shared" si="10"/>
        <v>4.162330905</v>
      </c>
      <c r="H1609" s="217">
        <v>118.0</v>
      </c>
      <c r="I1609" s="236">
        <v>570.0</v>
      </c>
      <c r="J1609" s="217">
        <v>21.0</v>
      </c>
      <c r="K1609" s="217">
        <v>570.0</v>
      </c>
      <c r="L1609" s="217">
        <v>560.0</v>
      </c>
      <c r="M1609" s="223">
        <v>63.0</v>
      </c>
      <c r="N1609" s="223">
        <v>8.0</v>
      </c>
      <c r="O1609" s="223">
        <v>14.0</v>
      </c>
      <c r="P1609" s="223">
        <f t="shared" si="2"/>
        <v>41</v>
      </c>
      <c r="Q1609" s="237">
        <v>30.0</v>
      </c>
      <c r="R1609" s="248">
        <f t="shared" si="3"/>
        <v>136.9425</v>
      </c>
      <c r="S1609" s="243">
        <f t="shared" si="4"/>
        <v>4.830508475</v>
      </c>
      <c r="T1609" s="24">
        <f t="shared" si="5"/>
        <v>2.1</v>
      </c>
      <c r="U1609" s="26">
        <f t="shared" si="6"/>
        <v>0.3368983957</v>
      </c>
      <c r="V1609" s="26">
        <f t="shared" si="7"/>
        <v>0.09982174688</v>
      </c>
      <c r="W1609" s="19">
        <f t="shared" si="8"/>
        <v>1</v>
      </c>
      <c r="X1609" s="247">
        <f t="shared" si="12"/>
        <v>570</v>
      </c>
      <c r="Y1609" s="27"/>
      <c r="Z1609" s="17"/>
      <c r="AA1609" s="17"/>
      <c r="AB1609" s="17"/>
      <c r="AC1609" s="17"/>
      <c r="AD1609" s="27"/>
    </row>
    <row r="1610" ht="15.75" customHeight="1">
      <c r="A1610" s="218" t="s">
        <v>3599</v>
      </c>
      <c r="B1610" s="218" t="s">
        <v>3726</v>
      </c>
      <c r="C1610" s="218" t="s">
        <v>3727</v>
      </c>
      <c r="D1610" s="217" t="s">
        <v>2846</v>
      </c>
      <c r="E1610" s="245" t="s">
        <v>2833</v>
      </c>
      <c r="F1610" s="217">
        <v>2.0</v>
      </c>
      <c r="G1610" s="219">
        <f t="shared" si="10"/>
        <v>2.116439443</v>
      </c>
      <c r="H1610" s="217">
        <v>60.0</v>
      </c>
      <c r="I1610" s="236">
        <v>285.0</v>
      </c>
      <c r="J1610" s="217">
        <v>8.0</v>
      </c>
      <c r="K1610" s="217">
        <v>697.0</v>
      </c>
      <c r="L1610" s="218"/>
      <c r="M1610" s="223">
        <v>37.0</v>
      </c>
      <c r="N1610" s="223">
        <v>4.0</v>
      </c>
      <c r="O1610" s="223">
        <v>5.0</v>
      </c>
      <c r="P1610" s="223">
        <f t="shared" si="2"/>
        <v>28</v>
      </c>
      <c r="Q1610" s="237">
        <v>14.0</v>
      </c>
      <c r="R1610" s="248">
        <f t="shared" si="3"/>
        <v>134.660125</v>
      </c>
      <c r="S1610" s="243">
        <f t="shared" si="4"/>
        <v>4.75</v>
      </c>
      <c r="T1610" s="24">
        <f t="shared" si="5"/>
        <v>2.642857143</v>
      </c>
      <c r="U1610" s="26">
        <f t="shared" si="6"/>
        <v>0.2608695652</v>
      </c>
      <c r="V1610" s="26">
        <f t="shared" si="7"/>
        <v>0.07246376812</v>
      </c>
      <c r="W1610" s="19">
        <f t="shared" si="8"/>
        <v>2.445614035</v>
      </c>
      <c r="X1610" s="247">
        <f t="shared" si="12"/>
        <v>570</v>
      </c>
      <c r="Y1610" s="27"/>
      <c r="Z1610" s="17"/>
      <c r="AA1610" s="17"/>
      <c r="AB1610" s="17"/>
      <c r="AC1610" s="17"/>
      <c r="AD1610" s="27"/>
    </row>
    <row r="1611" ht="15.75" customHeight="1">
      <c r="A1611" s="218" t="s">
        <v>3599</v>
      </c>
      <c r="B1611" s="218" t="s">
        <v>3047</v>
      </c>
      <c r="C1611" s="218" t="s">
        <v>3728</v>
      </c>
      <c r="D1611" s="217" t="s">
        <v>2846</v>
      </c>
      <c r="E1611" s="245" t="s">
        <v>2833</v>
      </c>
      <c r="F1611" s="217">
        <v>2.0</v>
      </c>
      <c r="G1611" s="219">
        <f t="shared" si="10"/>
        <v>1.904795499</v>
      </c>
      <c r="H1611" s="217">
        <v>54.0</v>
      </c>
      <c r="I1611" s="236">
        <v>254.0</v>
      </c>
      <c r="J1611" s="217">
        <v>10.0</v>
      </c>
      <c r="K1611" s="217">
        <v>579.0</v>
      </c>
      <c r="L1611" s="218"/>
      <c r="M1611" s="223">
        <v>35.0</v>
      </c>
      <c r="N1611" s="223">
        <v>6.0</v>
      </c>
      <c r="O1611" s="223">
        <v>6.0</v>
      </c>
      <c r="P1611" s="223">
        <f t="shared" si="2"/>
        <v>23</v>
      </c>
      <c r="Q1611" s="237">
        <v>9.0</v>
      </c>
      <c r="R1611" s="248">
        <f t="shared" si="3"/>
        <v>133.3476481</v>
      </c>
      <c r="S1611" s="243">
        <f t="shared" si="4"/>
        <v>4.703703704</v>
      </c>
      <c r="T1611" s="24">
        <f t="shared" si="5"/>
        <v>3.888888889</v>
      </c>
      <c r="U1611" s="26">
        <f t="shared" si="6"/>
        <v>0.3383458647</v>
      </c>
      <c r="V1611" s="26">
        <f t="shared" si="7"/>
        <v>0.09022556391</v>
      </c>
      <c r="W1611" s="19">
        <f t="shared" si="8"/>
        <v>2.279527559</v>
      </c>
      <c r="X1611" s="247">
        <f t="shared" si="12"/>
        <v>508</v>
      </c>
      <c r="Y1611" s="27"/>
      <c r="Z1611" s="17"/>
      <c r="AA1611" s="17"/>
      <c r="AB1611" s="17"/>
      <c r="AC1611" s="17"/>
      <c r="AD1611" s="27"/>
    </row>
    <row r="1612" ht="15.75" customHeight="1">
      <c r="A1612" s="216" t="s">
        <v>3165</v>
      </c>
      <c r="B1612" s="216" t="s">
        <v>3729</v>
      </c>
      <c r="C1612" s="218" t="s">
        <v>3730</v>
      </c>
      <c r="D1612" s="217" t="s">
        <v>2846</v>
      </c>
      <c r="E1612" s="245" t="s">
        <v>2833</v>
      </c>
      <c r="F1612" s="217">
        <v>1.0</v>
      </c>
      <c r="G1612" s="219">
        <f t="shared" si="10"/>
        <v>3.985960952</v>
      </c>
      <c r="H1612" s="217">
        <v>113.0</v>
      </c>
      <c r="I1612" s="236">
        <v>530.0</v>
      </c>
      <c r="J1612" s="217">
        <v>21.0</v>
      </c>
      <c r="K1612" s="217">
        <v>360.0</v>
      </c>
      <c r="L1612" s="218"/>
      <c r="M1612" s="223">
        <v>52.0</v>
      </c>
      <c r="N1612" s="223">
        <v>7.0</v>
      </c>
      <c r="O1612" s="223">
        <v>15.0</v>
      </c>
      <c r="P1612" s="223">
        <f t="shared" si="2"/>
        <v>30</v>
      </c>
      <c r="Q1612" s="237">
        <v>38.0</v>
      </c>
      <c r="R1612" s="248">
        <f t="shared" si="3"/>
        <v>132.9666814</v>
      </c>
      <c r="S1612" s="243">
        <f t="shared" si="4"/>
        <v>4.690265487</v>
      </c>
      <c r="T1612" s="24">
        <f t="shared" si="5"/>
        <v>1.368421053</v>
      </c>
      <c r="U1612" s="26">
        <f t="shared" si="6"/>
        <v>0.3442622951</v>
      </c>
      <c r="V1612" s="26">
        <f t="shared" si="7"/>
        <v>0.1092896175</v>
      </c>
      <c r="W1612" s="19">
        <f t="shared" si="8"/>
        <v>0.679245283</v>
      </c>
      <c r="X1612" s="247">
        <f t="shared" si="12"/>
        <v>530</v>
      </c>
      <c r="Y1612" s="27"/>
      <c r="Z1612" s="17"/>
      <c r="AA1612" s="17"/>
      <c r="AB1612" s="17"/>
      <c r="AC1612" s="17"/>
      <c r="AD1612" s="27"/>
    </row>
    <row r="1613" ht="15.75" customHeight="1">
      <c r="A1613" s="216" t="s">
        <v>3607</v>
      </c>
      <c r="B1613" s="216" t="s">
        <v>3731</v>
      </c>
      <c r="C1613" s="218" t="s">
        <v>3732</v>
      </c>
      <c r="D1613" s="220" t="s">
        <v>2846</v>
      </c>
      <c r="E1613" s="249" t="s">
        <v>2839</v>
      </c>
      <c r="F1613" s="217">
        <v>1.0</v>
      </c>
      <c r="G1613" s="219">
        <f t="shared" si="10"/>
        <v>4.585618794</v>
      </c>
      <c r="H1613" s="220">
        <v>130.0</v>
      </c>
      <c r="I1613" s="221">
        <v>600.0</v>
      </c>
      <c r="J1613" s="220">
        <v>17.0</v>
      </c>
      <c r="K1613" s="220">
        <v>760.0</v>
      </c>
      <c r="L1613" s="220">
        <v>1170.0</v>
      </c>
      <c r="M1613" s="222">
        <v>90.0</v>
      </c>
      <c r="N1613" s="222">
        <v>17.0</v>
      </c>
      <c r="O1613" s="222">
        <v>18.0</v>
      </c>
      <c r="P1613" s="223">
        <f t="shared" si="2"/>
        <v>55</v>
      </c>
      <c r="Q1613" s="224">
        <v>29.0</v>
      </c>
      <c r="R1613" s="248">
        <f t="shared" si="3"/>
        <v>130.8438462</v>
      </c>
      <c r="S1613" s="243">
        <f t="shared" si="4"/>
        <v>4.615384615</v>
      </c>
      <c r="T1613" s="24">
        <f t="shared" si="5"/>
        <v>3.103448276</v>
      </c>
      <c r="U1613" s="26">
        <f t="shared" si="6"/>
        <v>0.2432432432</v>
      </c>
      <c r="V1613" s="26">
        <f t="shared" si="7"/>
        <v>0.1144674086</v>
      </c>
      <c r="W1613" s="19">
        <f t="shared" si="8"/>
        <v>1.266666667</v>
      </c>
      <c r="X1613" s="247">
        <f t="shared" si="12"/>
        <v>600</v>
      </c>
      <c r="Y1613" s="27"/>
      <c r="Z1613" s="17"/>
      <c r="AA1613" s="17"/>
      <c r="AB1613" s="17"/>
      <c r="AC1613" s="17"/>
      <c r="AD1613" s="27"/>
    </row>
    <row r="1614" ht="15.75" customHeight="1">
      <c r="A1614" s="216" t="s">
        <v>3669</v>
      </c>
      <c r="B1614" s="216" t="s">
        <v>3733</v>
      </c>
      <c r="C1614" s="218" t="s">
        <v>3734</v>
      </c>
      <c r="D1614" s="220" t="s">
        <v>2846</v>
      </c>
      <c r="E1614" s="245" t="s">
        <v>2833</v>
      </c>
      <c r="F1614" s="217">
        <v>1.0</v>
      </c>
      <c r="G1614" s="219">
        <f t="shared" si="10"/>
        <v>5.150002646</v>
      </c>
      <c r="H1614" s="220">
        <v>146.0</v>
      </c>
      <c r="I1614" s="221">
        <v>670.0</v>
      </c>
      <c r="J1614" s="220">
        <v>18.0</v>
      </c>
      <c r="K1614" s="220">
        <v>1840.0</v>
      </c>
      <c r="L1614" s="220">
        <v>1645.0</v>
      </c>
      <c r="M1614" s="230">
        <v>109.0</v>
      </c>
      <c r="N1614" s="230">
        <v>20.0</v>
      </c>
      <c r="O1614" s="230">
        <v>21.0</v>
      </c>
      <c r="P1614" s="223">
        <f t="shared" si="2"/>
        <v>68</v>
      </c>
      <c r="Q1614" s="231">
        <v>21.0</v>
      </c>
      <c r="R1614" s="242">
        <f t="shared" si="3"/>
        <v>130.0970205</v>
      </c>
      <c r="S1614" s="243">
        <f t="shared" si="4"/>
        <v>4.589041096</v>
      </c>
      <c r="T1614" s="24">
        <f t="shared" si="5"/>
        <v>5.19047619</v>
      </c>
      <c r="U1614" s="26">
        <f t="shared" si="6"/>
        <v>0.2375366569</v>
      </c>
      <c r="V1614" s="26">
        <f t="shared" si="7"/>
        <v>0.1231671554</v>
      </c>
      <c r="W1614" s="19">
        <f t="shared" si="8"/>
        <v>2.746268657</v>
      </c>
      <c r="X1614" s="247">
        <f t="shared" si="12"/>
        <v>670</v>
      </c>
      <c r="Y1614" s="27"/>
      <c r="Z1614" s="17"/>
      <c r="AA1614" s="17"/>
      <c r="AB1614" s="17"/>
      <c r="AC1614" s="17"/>
      <c r="AD1614" s="27"/>
    </row>
    <row r="1615" ht="15.75" customHeight="1">
      <c r="A1615" s="216" t="s">
        <v>3669</v>
      </c>
      <c r="B1615" s="216" t="s">
        <v>3735</v>
      </c>
      <c r="C1615" s="218" t="s">
        <v>3736</v>
      </c>
      <c r="D1615" s="220" t="s">
        <v>2846</v>
      </c>
      <c r="E1615" s="245" t="s">
        <v>2833</v>
      </c>
      <c r="F1615" s="217">
        <v>1.0</v>
      </c>
      <c r="G1615" s="219">
        <f t="shared" si="10"/>
        <v>4.232878887</v>
      </c>
      <c r="H1615" s="220">
        <v>120.0</v>
      </c>
      <c r="I1615" s="221">
        <v>550.0</v>
      </c>
      <c r="J1615" s="220">
        <v>20.0</v>
      </c>
      <c r="K1615" s="220">
        <v>1520.0</v>
      </c>
      <c r="L1615" s="220">
        <v>1510.0</v>
      </c>
      <c r="M1615" s="230">
        <v>80.0</v>
      </c>
      <c r="N1615" s="230">
        <v>14.0</v>
      </c>
      <c r="O1615" s="230">
        <v>18.0</v>
      </c>
      <c r="P1615" s="223">
        <f t="shared" si="2"/>
        <v>48</v>
      </c>
      <c r="Q1615" s="231">
        <v>17.0</v>
      </c>
      <c r="R1615" s="242">
        <f t="shared" si="3"/>
        <v>129.9352083</v>
      </c>
      <c r="S1615" s="243">
        <f t="shared" si="4"/>
        <v>4.583333333</v>
      </c>
      <c r="T1615" s="24">
        <f t="shared" si="5"/>
        <v>4.705882353</v>
      </c>
      <c r="U1615" s="26">
        <f t="shared" si="6"/>
        <v>0.3169014085</v>
      </c>
      <c r="V1615" s="26">
        <f t="shared" si="7"/>
        <v>0.1267605634</v>
      </c>
      <c r="W1615" s="19">
        <f t="shared" si="8"/>
        <v>2.763636364</v>
      </c>
      <c r="X1615" s="247">
        <f t="shared" si="12"/>
        <v>550</v>
      </c>
      <c r="Y1615" s="27"/>
      <c r="Z1615" s="17"/>
      <c r="AA1615" s="17"/>
      <c r="AB1615" s="17"/>
      <c r="AC1615" s="17"/>
      <c r="AD1615" s="27"/>
    </row>
    <row r="1616" ht="15.75" customHeight="1">
      <c r="A1616" s="218" t="s">
        <v>3636</v>
      </c>
      <c r="B1616" s="218" t="s">
        <v>3737</v>
      </c>
      <c r="C1616" s="218" t="s">
        <v>3738</v>
      </c>
      <c r="D1616" s="217" t="s">
        <v>2846</v>
      </c>
      <c r="E1616" s="245" t="s">
        <v>2833</v>
      </c>
      <c r="F1616" s="217">
        <v>1.0</v>
      </c>
      <c r="G1616" s="219">
        <f t="shared" si="10"/>
        <v>3.950686961</v>
      </c>
      <c r="H1616" s="217">
        <v>112.0</v>
      </c>
      <c r="I1616" s="236">
        <v>510.0</v>
      </c>
      <c r="J1616" s="217">
        <v>17.0</v>
      </c>
      <c r="K1616" s="217">
        <v>470.0</v>
      </c>
      <c r="L1616" s="217">
        <v>750.0</v>
      </c>
      <c r="M1616" s="223">
        <v>71.0</v>
      </c>
      <c r="N1616" s="223">
        <v>9.0</v>
      </c>
      <c r="O1616" s="223">
        <v>6.0</v>
      </c>
      <c r="P1616" s="223">
        <f t="shared" si="2"/>
        <v>56</v>
      </c>
      <c r="Q1616" s="237">
        <v>11.0</v>
      </c>
      <c r="R1616" s="248">
        <f t="shared" si="3"/>
        <v>129.0914732</v>
      </c>
      <c r="S1616" s="243">
        <f t="shared" si="4"/>
        <v>4.553571429</v>
      </c>
      <c r="T1616" s="24">
        <f t="shared" si="5"/>
        <v>6.454545455</v>
      </c>
      <c r="U1616" s="26">
        <f t="shared" si="6"/>
        <v>0.3180873181</v>
      </c>
      <c r="V1616" s="26">
        <f t="shared" si="7"/>
        <v>0.0498960499</v>
      </c>
      <c r="W1616" s="19">
        <f t="shared" si="8"/>
        <v>0.9215686275</v>
      </c>
      <c r="X1616" s="247">
        <f t="shared" si="12"/>
        <v>510</v>
      </c>
      <c r="Y1616" s="27"/>
      <c r="Z1616" s="17"/>
      <c r="AA1616" s="17"/>
      <c r="AB1616" s="17"/>
      <c r="AC1616" s="17"/>
      <c r="AD1616" s="27"/>
    </row>
    <row r="1617" ht="15.75" customHeight="1">
      <c r="A1617" s="218" t="s">
        <v>3604</v>
      </c>
      <c r="B1617" s="218" t="s">
        <v>3739</v>
      </c>
      <c r="C1617" s="218" t="s">
        <v>3740</v>
      </c>
      <c r="D1617" s="217" t="s">
        <v>2846</v>
      </c>
      <c r="E1617" s="245" t="s">
        <v>2833</v>
      </c>
      <c r="F1617" s="217">
        <v>1.0</v>
      </c>
      <c r="G1617" s="219">
        <f t="shared" si="10"/>
        <v>4.515070813</v>
      </c>
      <c r="H1617" s="217">
        <v>128.0</v>
      </c>
      <c r="I1617" s="236">
        <v>580.0</v>
      </c>
      <c r="J1617" s="217">
        <v>26.0</v>
      </c>
      <c r="K1617" s="217">
        <v>820.0</v>
      </c>
      <c r="L1617" s="217">
        <v>2000.0</v>
      </c>
      <c r="M1617" s="223">
        <v>77.0</v>
      </c>
      <c r="N1617" s="223">
        <v>12.0</v>
      </c>
      <c r="O1617" s="223">
        <v>15.0</v>
      </c>
      <c r="P1617" s="223">
        <f t="shared" si="2"/>
        <v>50</v>
      </c>
      <c r="Q1617" s="237">
        <v>14.0</v>
      </c>
      <c r="R1617" s="248">
        <f t="shared" si="3"/>
        <v>128.4586719</v>
      </c>
      <c r="S1617" s="243">
        <f t="shared" si="4"/>
        <v>4.53125</v>
      </c>
      <c r="T1617" s="24">
        <f t="shared" si="5"/>
        <v>5.5</v>
      </c>
      <c r="U1617" s="26">
        <f t="shared" si="6"/>
        <v>0.3913043478</v>
      </c>
      <c r="V1617" s="26">
        <f t="shared" si="7"/>
        <v>0.1003344482</v>
      </c>
      <c r="W1617" s="19">
        <f t="shared" si="8"/>
        <v>1.413793103</v>
      </c>
      <c r="X1617" s="247">
        <f t="shared" si="12"/>
        <v>580</v>
      </c>
      <c r="Y1617" s="27"/>
      <c r="Z1617" s="17"/>
      <c r="AA1617" s="17"/>
      <c r="AB1617" s="17"/>
      <c r="AC1617" s="17"/>
      <c r="AD1617" s="27"/>
    </row>
    <row r="1618" ht="15.75" customHeight="1">
      <c r="A1618" s="218" t="s">
        <v>3599</v>
      </c>
      <c r="B1618" s="218" t="s">
        <v>3741</v>
      </c>
      <c r="C1618" s="218" t="s">
        <v>3742</v>
      </c>
      <c r="D1618" s="217" t="s">
        <v>2846</v>
      </c>
      <c r="E1618" s="245" t="s">
        <v>2833</v>
      </c>
      <c r="F1618" s="217">
        <v>2.0</v>
      </c>
      <c r="G1618" s="219">
        <f t="shared" si="10"/>
        <v>2.010617471</v>
      </c>
      <c r="H1618" s="217">
        <v>57.0</v>
      </c>
      <c r="I1618" s="236">
        <v>257.0</v>
      </c>
      <c r="J1618" s="217">
        <v>7.0</v>
      </c>
      <c r="K1618" s="217">
        <v>793.0</v>
      </c>
      <c r="L1618" s="217">
        <v>615.0</v>
      </c>
      <c r="M1618" s="223">
        <v>24.0</v>
      </c>
      <c r="N1618" s="223">
        <v>2.0</v>
      </c>
      <c r="O1618" s="223">
        <v>4.0</v>
      </c>
      <c r="P1618" s="223">
        <f t="shared" si="2"/>
        <v>18</v>
      </c>
      <c r="Q1618" s="237">
        <v>21.0</v>
      </c>
      <c r="R1618" s="248">
        <f t="shared" si="3"/>
        <v>127.8214298</v>
      </c>
      <c r="S1618" s="243">
        <f t="shared" si="4"/>
        <v>4.50877193</v>
      </c>
      <c r="T1618" s="24">
        <f t="shared" si="5"/>
        <v>1.142857143</v>
      </c>
      <c r="U1618" s="26">
        <f t="shared" si="6"/>
        <v>0.2592592593</v>
      </c>
      <c r="V1618" s="26">
        <f t="shared" si="7"/>
        <v>0.0658436214</v>
      </c>
      <c r="W1618" s="19">
        <f t="shared" si="8"/>
        <v>3.085603113</v>
      </c>
      <c r="X1618" s="247">
        <f t="shared" si="12"/>
        <v>514</v>
      </c>
      <c r="Y1618" s="27"/>
      <c r="Z1618" s="17"/>
      <c r="AA1618" s="17"/>
      <c r="AB1618" s="17"/>
      <c r="AC1618" s="17"/>
      <c r="AD1618" s="27"/>
    </row>
    <row r="1619" ht="15.75" customHeight="1">
      <c r="A1619" s="216" t="s">
        <v>3636</v>
      </c>
      <c r="B1619" s="216" t="s">
        <v>3743</v>
      </c>
      <c r="C1619" s="218" t="s">
        <v>3744</v>
      </c>
      <c r="D1619" s="220" t="s">
        <v>2846</v>
      </c>
      <c r="E1619" s="245" t="s">
        <v>2833</v>
      </c>
      <c r="F1619" s="217">
        <v>1.0</v>
      </c>
      <c r="G1619" s="219">
        <f t="shared" si="10"/>
        <v>3.950686961</v>
      </c>
      <c r="H1619" s="220">
        <v>112.0</v>
      </c>
      <c r="I1619" s="221">
        <v>500.0</v>
      </c>
      <c r="J1619" s="220">
        <v>19.0</v>
      </c>
      <c r="K1619" s="220">
        <v>290.0</v>
      </c>
      <c r="L1619" s="220">
        <v>1450.0</v>
      </c>
      <c r="M1619" s="222">
        <v>70.0</v>
      </c>
      <c r="N1619" s="222">
        <v>14.0</v>
      </c>
      <c r="O1619" s="222">
        <v>7.0</v>
      </c>
      <c r="P1619" s="223">
        <f t="shared" si="2"/>
        <v>49</v>
      </c>
      <c r="Q1619" s="224">
        <v>11.0</v>
      </c>
      <c r="R1619" s="248">
        <f t="shared" si="3"/>
        <v>126.5602679</v>
      </c>
      <c r="S1619" s="243">
        <f t="shared" si="4"/>
        <v>4.464285714</v>
      </c>
      <c r="T1619" s="24">
        <f t="shared" si="5"/>
        <v>6.363636364</v>
      </c>
      <c r="U1619" s="26">
        <f t="shared" si="6"/>
        <v>0.3454545455</v>
      </c>
      <c r="V1619" s="26">
        <f t="shared" si="7"/>
        <v>0.05656565657</v>
      </c>
      <c r="W1619" s="19">
        <f t="shared" si="8"/>
        <v>0.58</v>
      </c>
      <c r="X1619" s="247">
        <f t="shared" si="12"/>
        <v>500</v>
      </c>
      <c r="Y1619" s="27"/>
      <c r="Z1619" s="17"/>
      <c r="AA1619" s="17"/>
      <c r="AB1619" s="17"/>
      <c r="AC1619" s="17"/>
      <c r="AD1619" s="27"/>
    </row>
    <row r="1620" ht="15.75" customHeight="1">
      <c r="A1620" s="216" t="s">
        <v>3636</v>
      </c>
      <c r="B1620" s="216" t="s">
        <v>3745</v>
      </c>
      <c r="C1620" s="218" t="s">
        <v>3746</v>
      </c>
      <c r="D1620" s="220" t="s">
        <v>2846</v>
      </c>
      <c r="E1620" s="245" t="s">
        <v>2833</v>
      </c>
      <c r="F1620" s="217">
        <v>1.0</v>
      </c>
      <c r="G1620" s="219">
        <f t="shared" si="10"/>
        <v>3.950686961</v>
      </c>
      <c r="H1620" s="220">
        <v>112.0</v>
      </c>
      <c r="I1620" s="221">
        <v>500.0</v>
      </c>
      <c r="J1620" s="220">
        <v>20.0</v>
      </c>
      <c r="K1620" s="220">
        <v>450.0</v>
      </c>
      <c r="L1620" s="220">
        <v>1600.0</v>
      </c>
      <c r="M1620" s="222">
        <v>64.0</v>
      </c>
      <c r="N1620" s="222">
        <v>20.0</v>
      </c>
      <c r="O1620" s="222">
        <v>8.0</v>
      </c>
      <c r="P1620" s="223">
        <f t="shared" si="2"/>
        <v>36</v>
      </c>
      <c r="Q1620" s="224">
        <v>16.0</v>
      </c>
      <c r="R1620" s="248">
        <f t="shared" si="3"/>
        <v>126.5602679</v>
      </c>
      <c r="S1620" s="243">
        <f t="shared" si="4"/>
        <v>4.464285714</v>
      </c>
      <c r="T1620" s="24">
        <f t="shared" si="5"/>
        <v>4</v>
      </c>
      <c r="U1620" s="26">
        <f t="shared" si="6"/>
        <v>0.36</v>
      </c>
      <c r="V1620" s="26">
        <f t="shared" si="7"/>
        <v>0.064</v>
      </c>
      <c r="W1620" s="19">
        <f t="shared" si="8"/>
        <v>0.9</v>
      </c>
      <c r="X1620" s="247">
        <f t="shared" si="12"/>
        <v>500</v>
      </c>
      <c r="Y1620" s="27"/>
      <c r="Z1620" s="17"/>
      <c r="AA1620" s="17"/>
      <c r="AB1620" s="17"/>
      <c r="AC1620" s="17"/>
      <c r="AD1620" s="27"/>
    </row>
    <row r="1621" ht="15.75" customHeight="1">
      <c r="A1621" s="218" t="s">
        <v>3599</v>
      </c>
      <c r="B1621" s="218" t="s">
        <v>3747</v>
      </c>
      <c r="C1621" s="218" t="s">
        <v>3748</v>
      </c>
      <c r="D1621" s="217" t="s">
        <v>2846</v>
      </c>
      <c r="E1621" s="245" t="s">
        <v>2833</v>
      </c>
      <c r="F1621" s="217">
        <v>2.0</v>
      </c>
      <c r="G1621" s="219">
        <f t="shared" si="10"/>
        <v>1.763699536</v>
      </c>
      <c r="H1621" s="217">
        <v>50.0</v>
      </c>
      <c r="I1621" s="236">
        <v>218.0</v>
      </c>
      <c r="J1621" s="217">
        <v>6.0</v>
      </c>
      <c r="K1621" s="217">
        <v>949.0</v>
      </c>
      <c r="L1621" s="218"/>
      <c r="M1621" s="223">
        <v>27.0</v>
      </c>
      <c r="N1621" s="223">
        <v>2.0</v>
      </c>
      <c r="O1621" s="223">
        <v>3.0</v>
      </c>
      <c r="P1621" s="223">
        <f t="shared" si="2"/>
        <v>22</v>
      </c>
      <c r="Q1621" s="237">
        <v>12.0</v>
      </c>
      <c r="R1621" s="248">
        <f t="shared" si="3"/>
        <v>123.60382</v>
      </c>
      <c r="S1621" s="243">
        <f t="shared" si="4"/>
        <v>4.36</v>
      </c>
      <c r="T1621" s="24">
        <f t="shared" si="5"/>
        <v>2.25</v>
      </c>
      <c r="U1621" s="26">
        <f t="shared" si="6"/>
        <v>0.2571428571</v>
      </c>
      <c r="V1621" s="26">
        <f t="shared" si="7"/>
        <v>0.05714285714</v>
      </c>
      <c r="W1621" s="19">
        <f t="shared" si="8"/>
        <v>4.353211009</v>
      </c>
      <c r="X1621" s="247">
        <f t="shared" si="12"/>
        <v>436</v>
      </c>
      <c r="Y1621" s="27"/>
      <c r="Z1621" s="17"/>
      <c r="AA1621" s="17"/>
      <c r="AB1621" s="17"/>
      <c r="AC1621" s="17"/>
      <c r="AD1621" s="27"/>
    </row>
    <row r="1622" ht="15.75" customHeight="1">
      <c r="A1622" s="216" t="s">
        <v>3165</v>
      </c>
      <c r="B1622" s="216" t="s">
        <v>3749</v>
      </c>
      <c r="C1622" s="218" t="s">
        <v>3750</v>
      </c>
      <c r="D1622" s="217" t="s">
        <v>2846</v>
      </c>
      <c r="E1622" s="245" t="s">
        <v>2833</v>
      </c>
      <c r="F1622" s="217">
        <v>1.0</v>
      </c>
      <c r="G1622" s="219">
        <f t="shared" si="10"/>
        <v>3.985960952</v>
      </c>
      <c r="H1622" s="217">
        <v>113.0</v>
      </c>
      <c r="I1622" s="236">
        <v>490.0</v>
      </c>
      <c r="J1622" s="217">
        <v>17.0</v>
      </c>
      <c r="K1622" s="217">
        <v>220.0</v>
      </c>
      <c r="L1622" s="218"/>
      <c r="M1622" s="223">
        <v>56.0</v>
      </c>
      <c r="N1622" s="223">
        <v>6.0</v>
      </c>
      <c r="O1622" s="223">
        <v>4.0</v>
      </c>
      <c r="P1622" s="223">
        <f t="shared" si="2"/>
        <v>46</v>
      </c>
      <c r="Q1622" s="237">
        <v>26.0</v>
      </c>
      <c r="R1622" s="248">
        <f t="shared" si="3"/>
        <v>122.9314602</v>
      </c>
      <c r="S1622" s="243">
        <f t="shared" si="4"/>
        <v>4.336283186</v>
      </c>
      <c r="T1622" s="24">
        <f t="shared" si="5"/>
        <v>2.153846154</v>
      </c>
      <c r="U1622" s="26">
        <f t="shared" si="6"/>
        <v>0.3180873181</v>
      </c>
      <c r="V1622" s="26">
        <f t="shared" si="7"/>
        <v>0.03326403326</v>
      </c>
      <c r="W1622" s="19">
        <f t="shared" si="8"/>
        <v>0.4489795918</v>
      </c>
      <c r="X1622" s="247">
        <f t="shared" si="12"/>
        <v>490</v>
      </c>
      <c r="Y1622" s="27"/>
      <c r="Z1622" s="17"/>
      <c r="AA1622" s="17"/>
      <c r="AB1622" s="17"/>
      <c r="AC1622" s="17"/>
      <c r="AD1622" s="27"/>
    </row>
    <row r="1623" ht="15.75" customHeight="1">
      <c r="A1623" s="216" t="s">
        <v>3165</v>
      </c>
      <c r="B1623" s="216" t="s">
        <v>3751</v>
      </c>
      <c r="C1623" s="218" t="s">
        <v>3752</v>
      </c>
      <c r="D1623" s="217" t="s">
        <v>2846</v>
      </c>
      <c r="E1623" s="245" t="s">
        <v>2833</v>
      </c>
      <c r="F1623" s="217">
        <v>1.0</v>
      </c>
      <c r="G1623" s="219">
        <f t="shared" si="10"/>
        <v>3.985960952</v>
      </c>
      <c r="H1623" s="217">
        <v>113.0</v>
      </c>
      <c r="I1623" s="236">
        <v>490.0</v>
      </c>
      <c r="J1623" s="217">
        <v>15.0</v>
      </c>
      <c r="K1623" s="217">
        <v>400.0</v>
      </c>
      <c r="L1623" s="218"/>
      <c r="M1623" s="223">
        <v>44.0</v>
      </c>
      <c r="N1623" s="223">
        <v>7.0</v>
      </c>
      <c r="O1623" s="223">
        <v>9.0</v>
      </c>
      <c r="P1623" s="223">
        <f t="shared" si="2"/>
        <v>28</v>
      </c>
      <c r="Q1623" s="237">
        <v>39.0</v>
      </c>
      <c r="R1623" s="248">
        <f t="shared" si="3"/>
        <v>122.9314602</v>
      </c>
      <c r="S1623" s="243">
        <f t="shared" si="4"/>
        <v>4.336283186</v>
      </c>
      <c r="T1623" s="24">
        <f t="shared" si="5"/>
        <v>1.128205128</v>
      </c>
      <c r="U1623" s="26">
        <f t="shared" si="6"/>
        <v>0.2890792291</v>
      </c>
      <c r="V1623" s="26">
        <f t="shared" si="7"/>
        <v>0.07708779443</v>
      </c>
      <c r="W1623" s="19">
        <f t="shared" si="8"/>
        <v>0.8163265306</v>
      </c>
      <c r="X1623" s="247">
        <f t="shared" si="12"/>
        <v>490</v>
      </c>
      <c r="Y1623" s="27"/>
      <c r="Z1623" s="17"/>
      <c r="AA1623" s="17"/>
      <c r="AB1623" s="17"/>
      <c r="AC1623" s="17"/>
      <c r="AD1623" s="27"/>
    </row>
    <row r="1624" ht="15.75" customHeight="1">
      <c r="A1624" s="218" t="s">
        <v>3643</v>
      </c>
      <c r="B1624" s="218" t="s">
        <v>3753</v>
      </c>
      <c r="C1624" s="218" t="s">
        <v>3754</v>
      </c>
      <c r="D1624" s="217" t="s">
        <v>2846</v>
      </c>
      <c r="E1624" s="245" t="s">
        <v>2833</v>
      </c>
      <c r="F1624" s="217">
        <v>2.0</v>
      </c>
      <c r="G1624" s="219">
        <f t="shared" si="10"/>
        <v>3.104111184</v>
      </c>
      <c r="H1624" s="217">
        <v>88.0</v>
      </c>
      <c r="I1624" s="236">
        <v>380.0</v>
      </c>
      <c r="J1624" s="217">
        <v>1.0</v>
      </c>
      <c r="K1624" s="217">
        <v>625.0</v>
      </c>
      <c r="L1624" s="217">
        <v>962.0</v>
      </c>
      <c r="M1624" s="223">
        <v>68.0</v>
      </c>
      <c r="N1624" s="223">
        <v>11.0</v>
      </c>
      <c r="O1624" s="223">
        <v>4.0</v>
      </c>
      <c r="P1624" s="223">
        <f t="shared" si="2"/>
        <v>53</v>
      </c>
      <c r="Q1624" s="237">
        <v>18.0</v>
      </c>
      <c r="R1624" s="248">
        <f t="shared" si="3"/>
        <v>122.4182955</v>
      </c>
      <c r="S1624" s="243">
        <f t="shared" si="4"/>
        <v>4.318181818</v>
      </c>
      <c r="T1624" s="24">
        <f t="shared" si="5"/>
        <v>3.777777778</v>
      </c>
      <c r="U1624" s="26">
        <f t="shared" si="6"/>
        <v>0.02549575071</v>
      </c>
      <c r="V1624" s="26">
        <f t="shared" si="7"/>
        <v>0.04532577904</v>
      </c>
      <c r="W1624" s="19">
        <f t="shared" si="8"/>
        <v>1.644736842</v>
      </c>
      <c r="X1624" s="247">
        <f t="shared" si="12"/>
        <v>760</v>
      </c>
      <c r="Y1624" s="27"/>
      <c r="Z1624" s="17"/>
      <c r="AA1624" s="17"/>
      <c r="AB1624" s="17"/>
      <c r="AC1624" s="17"/>
      <c r="AD1624" s="27"/>
    </row>
    <row r="1625" ht="15.75" customHeight="1">
      <c r="A1625" s="218" t="s">
        <v>3599</v>
      </c>
      <c r="B1625" s="218" t="s">
        <v>3755</v>
      </c>
      <c r="C1625" s="218" t="s">
        <v>3756</v>
      </c>
      <c r="D1625" s="217" t="s">
        <v>2846</v>
      </c>
      <c r="E1625" s="245" t="s">
        <v>2833</v>
      </c>
      <c r="F1625" s="217">
        <v>2.0</v>
      </c>
      <c r="G1625" s="219">
        <f t="shared" si="10"/>
        <v>2.222261416</v>
      </c>
      <c r="H1625" s="217">
        <v>63.0</v>
      </c>
      <c r="I1625" s="236">
        <v>272.0</v>
      </c>
      <c r="J1625" s="217">
        <v>7.0</v>
      </c>
      <c r="K1625" s="217">
        <v>593.0</v>
      </c>
      <c r="L1625" s="218"/>
      <c r="M1625" s="223">
        <v>34.0</v>
      </c>
      <c r="N1625" s="223">
        <v>15.0</v>
      </c>
      <c r="O1625" s="223">
        <v>4.0</v>
      </c>
      <c r="P1625" s="223">
        <f t="shared" si="2"/>
        <v>15</v>
      </c>
      <c r="Q1625" s="237">
        <v>21.0</v>
      </c>
      <c r="R1625" s="248">
        <f t="shared" si="3"/>
        <v>122.3978413</v>
      </c>
      <c r="S1625" s="243">
        <f t="shared" si="4"/>
        <v>4.317460317</v>
      </c>
      <c r="T1625" s="24">
        <f t="shared" si="5"/>
        <v>1.619047619</v>
      </c>
      <c r="U1625" s="26">
        <f t="shared" si="6"/>
        <v>0.222614841</v>
      </c>
      <c r="V1625" s="26">
        <f t="shared" si="7"/>
        <v>0.05653710247</v>
      </c>
      <c r="W1625" s="19">
        <f t="shared" si="8"/>
        <v>2.180147059</v>
      </c>
      <c r="X1625" s="247">
        <f t="shared" si="12"/>
        <v>544</v>
      </c>
      <c r="Y1625" s="27"/>
      <c r="Z1625" s="17"/>
      <c r="AA1625" s="17"/>
      <c r="AB1625" s="17"/>
      <c r="AC1625" s="17"/>
      <c r="AD1625" s="27"/>
    </row>
    <row r="1626" ht="15.75" customHeight="1">
      <c r="A1626" s="216" t="s">
        <v>3669</v>
      </c>
      <c r="B1626" s="216" t="s">
        <v>3757</v>
      </c>
      <c r="C1626" s="218" t="s">
        <v>3758</v>
      </c>
      <c r="D1626" s="220" t="s">
        <v>2846</v>
      </c>
      <c r="E1626" s="245" t="s">
        <v>2833</v>
      </c>
      <c r="F1626" s="217">
        <v>1.0</v>
      </c>
      <c r="G1626" s="219">
        <f t="shared" si="10"/>
        <v>4.197604896</v>
      </c>
      <c r="H1626" s="220">
        <v>119.0</v>
      </c>
      <c r="I1626" s="221">
        <v>510.0</v>
      </c>
      <c r="J1626" s="220">
        <v>17.0</v>
      </c>
      <c r="K1626" s="220">
        <v>1220.0</v>
      </c>
      <c r="L1626" s="220">
        <v>1630.0</v>
      </c>
      <c r="M1626" s="230">
        <v>76.0</v>
      </c>
      <c r="N1626" s="230">
        <v>14.0</v>
      </c>
      <c r="O1626" s="230">
        <v>14.0</v>
      </c>
      <c r="P1626" s="223">
        <f t="shared" si="2"/>
        <v>48</v>
      </c>
      <c r="Q1626" s="231">
        <v>19.0</v>
      </c>
      <c r="R1626" s="242">
        <f t="shared" si="3"/>
        <v>121.4978571</v>
      </c>
      <c r="S1626" s="243">
        <f t="shared" si="4"/>
        <v>4.285714286</v>
      </c>
      <c r="T1626" s="24">
        <f t="shared" si="5"/>
        <v>4</v>
      </c>
      <c r="U1626" s="26">
        <f t="shared" si="6"/>
        <v>0.287054409</v>
      </c>
      <c r="V1626" s="26">
        <f t="shared" si="7"/>
        <v>0.105065666</v>
      </c>
      <c r="W1626" s="19">
        <f t="shared" si="8"/>
        <v>2.392156863</v>
      </c>
      <c r="X1626" s="247">
        <f t="shared" si="12"/>
        <v>510</v>
      </c>
      <c r="Y1626" s="27"/>
      <c r="Z1626" s="17"/>
      <c r="AA1626" s="17"/>
      <c r="AB1626" s="17"/>
      <c r="AC1626" s="17"/>
      <c r="AD1626" s="27"/>
    </row>
    <row r="1627" ht="15.75" customHeight="1">
      <c r="A1627" s="218" t="s">
        <v>2832</v>
      </c>
      <c r="B1627" s="218" t="s">
        <v>3759</v>
      </c>
      <c r="C1627" s="218" t="s">
        <v>3760</v>
      </c>
      <c r="D1627" s="217" t="s">
        <v>2846</v>
      </c>
      <c r="E1627" s="245" t="s">
        <v>2833</v>
      </c>
      <c r="F1627" s="217">
        <v>1.0</v>
      </c>
      <c r="G1627" s="219">
        <f t="shared" si="10"/>
        <v>5.432194571</v>
      </c>
      <c r="H1627" s="217">
        <v>154.0</v>
      </c>
      <c r="I1627" s="236">
        <v>660.0</v>
      </c>
      <c r="J1627" s="218"/>
      <c r="K1627" s="218"/>
      <c r="L1627" s="218"/>
      <c r="M1627" s="244"/>
      <c r="N1627" s="244"/>
      <c r="O1627" s="244"/>
      <c r="P1627" s="223">
        <f t="shared" si="2"/>
        <v>0</v>
      </c>
      <c r="Q1627" s="250"/>
      <c r="R1627" s="248">
        <f t="shared" si="3"/>
        <v>121.4978571</v>
      </c>
      <c r="S1627" s="243">
        <f t="shared" si="4"/>
        <v>4.285714286</v>
      </c>
      <c r="T1627" s="24" t="str">
        <f t="shared" si="5"/>
        <v>N/A</v>
      </c>
      <c r="U1627" s="26" t="str">
        <f t="shared" si="6"/>
        <v>0%</v>
      </c>
      <c r="V1627" s="26" t="str">
        <f t="shared" si="7"/>
        <v>0%</v>
      </c>
      <c r="W1627" s="19">
        <f t="shared" si="8"/>
        <v>0</v>
      </c>
      <c r="X1627" s="247">
        <f t="shared" si="12"/>
        <v>660</v>
      </c>
      <c r="Y1627" s="27"/>
      <c r="Z1627" s="17"/>
      <c r="AA1627" s="17"/>
      <c r="AB1627" s="17"/>
      <c r="AC1627" s="17"/>
      <c r="AD1627" s="27"/>
    </row>
    <row r="1628" ht="15.75" customHeight="1">
      <c r="A1628" s="216" t="s">
        <v>3625</v>
      </c>
      <c r="B1628" s="216" t="s">
        <v>3761</v>
      </c>
      <c r="C1628" s="218" t="s">
        <v>3762</v>
      </c>
      <c r="D1628" s="217" t="s">
        <v>2846</v>
      </c>
      <c r="E1628" s="245" t="s">
        <v>2833</v>
      </c>
      <c r="F1628" s="217">
        <v>2.0</v>
      </c>
      <c r="G1628" s="219">
        <f t="shared" si="10"/>
        <v>1.587329583</v>
      </c>
      <c r="H1628" s="217">
        <v>45.0</v>
      </c>
      <c r="I1628" s="236">
        <v>190.0</v>
      </c>
      <c r="J1628" s="217">
        <v>7.0</v>
      </c>
      <c r="K1628" s="217">
        <v>400.0</v>
      </c>
      <c r="L1628" s="217">
        <v>300.0</v>
      </c>
      <c r="M1628" s="223">
        <v>24.0</v>
      </c>
      <c r="N1628" s="223">
        <v>3.0</v>
      </c>
      <c r="O1628" s="223">
        <v>4.0</v>
      </c>
      <c r="P1628" s="223">
        <f t="shared" si="2"/>
        <v>17</v>
      </c>
      <c r="Q1628" s="237">
        <v>9.0</v>
      </c>
      <c r="R1628" s="248">
        <f t="shared" si="3"/>
        <v>119.6978889</v>
      </c>
      <c r="S1628" s="243">
        <f t="shared" si="4"/>
        <v>4.222222222</v>
      </c>
      <c r="T1628" s="24">
        <f t="shared" si="5"/>
        <v>2.666666667</v>
      </c>
      <c r="U1628" s="26">
        <f t="shared" si="6"/>
        <v>0.3230769231</v>
      </c>
      <c r="V1628" s="26">
        <f t="shared" si="7"/>
        <v>0.08205128205</v>
      </c>
      <c r="W1628" s="19">
        <f t="shared" si="8"/>
        <v>2.105263158</v>
      </c>
      <c r="X1628" s="247">
        <f t="shared" si="12"/>
        <v>380</v>
      </c>
      <c r="Y1628" s="27"/>
      <c r="Z1628" s="17"/>
      <c r="AA1628" s="17"/>
      <c r="AB1628" s="17"/>
      <c r="AC1628" s="17"/>
      <c r="AD1628" s="27"/>
    </row>
    <row r="1629" ht="15.75" customHeight="1">
      <c r="A1629" s="216" t="s">
        <v>3636</v>
      </c>
      <c r="B1629" s="216" t="s">
        <v>3763</v>
      </c>
      <c r="C1629" s="218" t="s">
        <v>3764</v>
      </c>
      <c r="D1629" s="217" t="s">
        <v>2846</v>
      </c>
      <c r="E1629" s="245" t="s">
        <v>2833</v>
      </c>
      <c r="F1629" s="217">
        <v>1.0</v>
      </c>
      <c r="G1629" s="219">
        <f t="shared" si="10"/>
        <v>3.950686961</v>
      </c>
      <c r="H1629" s="217">
        <v>112.0</v>
      </c>
      <c r="I1629" s="236">
        <v>470.0</v>
      </c>
      <c r="J1629" s="217">
        <v>16.0</v>
      </c>
      <c r="K1629" s="217">
        <v>340.0</v>
      </c>
      <c r="L1629" s="217">
        <v>1750.0</v>
      </c>
      <c r="M1629" s="223">
        <v>67.0</v>
      </c>
      <c r="N1629" s="223">
        <v>18.0</v>
      </c>
      <c r="O1629" s="223">
        <v>12.0</v>
      </c>
      <c r="P1629" s="223">
        <f t="shared" si="2"/>
        <v>37</v>
      </c>
      <c r="Q1629" s="237">
        <v>15.0</v>
      </c>
      <c r="R1629" s="248">
        <f t="shared" si="3"/>
        <v>118.9666518</v>
      </c>
      <c r="S1629" s="243">
        <f t="shared" si="4"/>
        <v>4.196428571</v>
      </c>
      <c r="T1629" s="24">
        <f t="shared" si="5"/>
        <v>4.466666667</v>
      </c>
      <c r="U1629" s="26">
        <f t="shared" si="6"/>
        <v>0.3050847458</v>
      </c>
      <c r="V1629" s="26">
        <f t="shared" si="7"/>
        <v>0.1016949153</v>
      </c>
      <c r="W1629" s="19">
        <f t="shared" si="8"/>
        <v>0.7234042553</v>
      </c>
      <c r="X1629" s="247">
        <f t="shared" si="12"/>
        <v>470</v>
      </c>
      <c r="Y1629" s="27"/>
      <c r="Z1629" s="17"/>
      <c r="AA1629" s="17"/>
      <c r="AB1629" s="17"/>
      <c r="AC1629" s="17"/>
      <c r="AD1629" s="27"/>
    </row>
    <row r="1630" ht="15.75" customHeight="1">
      <c r="A1630" s="218" t="s">
        <v>3604</v>
      </c>
      <c r="B1630" s="218" t="s">
        <v>3765</v>
      </c>
      <c r="C1630" s="218" t="s">
        <v>3766</v>
      </c>
      <c r="D1630" s="217" t="s">
        <v>2846</v>
      </c>
      <c r="E1630" s="245" t="s">
        <v>2833</v>
      </c>
      <c r="F1630" s="217">
        <v>1.0</v>
      </c>
      <c r="G1630" s="219">
        <f t="shared" si="10"/>
        <v>4.515070813</v>
      </c>
      <c r="H1630" s="217">
        <v>128.0</v>
      </c>
      <c r="I1630" s="236">
        <v>530.0</v>
      </c>
      <c r="J1630" s="217">
        <v>7.0</v>
      </c>
      <c r="K1630" s="217">
        <v>880.0</v>
      </c>
      <c r="L1630" s="217">
        <v>1910.0</v>
      </c>
      <c r="M1630" s="223">
        <v>101.0</v>
      </c>
      <c r="N1630" s="223">
        <v>21.0</v>
      </c>
      <c r="O1630" s="223">
        <v>20.0</v>
      </c>
      <c r="P1630" s="223">
        <f t="shared" si="2"/>
        <v>60</v>
      </c>
      <c r="Q1630" s="237">
        <v>19.0</v>
      </c>
      <c r="R1630" s="248">
        <f t="shared" si="3"/>
        <v>117.3846484</v>
      </c>
      <c r="S1630" s="243">
        <f t="shared" si="4"/>
        <v>4.140625</v>
      </c>
      <c r="T1630" s="24">
        <f t="shared" si="5"/>
        <v>5.315789474</v>
      </c>
      <c r="U1630" s="26">
        <f t="shared" si="6"/>
        <v>0.1160220994</v>
      </c>
      <c r="V1630" s="26">
        <f t="shared" si="7"/>
        <v>0.1473296501</v>
      </c>
      <c r="W1630" s="19">
        <f t="shared" si="8"/>
        <v>1.660377358</v>
      </c>
      <c r="X1630" s="247">
        <f t="shared" si="12"/>
        <v>530</v>
      </c>
      <c r="Y1630" s="27"/>
      <c r="Z1630" s="17"/>
      <c r="AA1630" s="17"/>
      <c r="AB1630" s="17"/>
      <c r="AC1630" s="17"/>
      <c r="AD1630" s="27"/>
    </row>
    <row r="1631" ht="15.75" customHeight="1">
      <c r="A1631" s="218" t="s">
        <v>3604</v>
      </c>
      <c r="B1631" s="218" t="s">
        <v>3767</v>
      </c>
      <c r="C1631" s="218" t="s">
        <v>3768</v>
      </c>
      <c r="D1631" s="217" t="s">
        <v>2846</v>
      </c>
      <c r="E1631" s="245" t="s">
        <v>2833</v>
      </c>
      <c r="F1631" s="217">
        <v>1.0</v>
      </c>
      <c r="G1631" s="219">
        <f t="shared" si="10"/>
        <v>4.515070813</v>
      </c>
      <c r="H1631" s="217">
        <v>128.0</v>
      </c>
      <c r="I1631" s="236">
        <v>520.0</v>
      </c>
      <c r="J1631" s="217">
        <v>6.0</v>
      </c>
      <c r="K1631" s="217">
        <v>1500.0</v>
      </c>
      <c r="L1631" s="217">
        <v>1050.0</v>
      </c>
      <c r="M1631" s="223">
        <v>97.0</v>
      </c>
      <c r="N1631" s="223">
        <v>11.0</v>
      </c>
      <c r="O1631" s="223">
        <v>10.0</v>
      </c>
      <c r="P1631" s="223">
        <f t="shared" si="2"/>
        <v>76</v>
      </c>
      <c r="Q1631" s="237">
        <v>20.0</v>
      </c>
      <c r="R1631" s="248">
        <f t="shared" si="3"/>
        <v>115.1698438</v>
      </c>
      <c r="S1631" s="243">
        <f t="shared" si="4"/>
        <v>4.0625</v>
      </c>
      <c r="T1631" s="24">
        <f t="shared" si="5"/>
        <v>4.85</v>
      </c>
      <c r="U1631" s="26">
        <f t="shared" si="6"/>
        <v>0.1034482759</v>
      </c>
      <c r="V1631" s="26">
        <f t="shared" si="7"/>
        <v>0.07662835249</v>
      </c>
      <c r="W1631" s="19">
        <f t="shared" si="8"/>
        <v>2.884615385</v>
      </c>
      <c r="X1631" s="247">
        <f t="shared" si="12"/>
        <v>520</v>
      </c>
      <c r="Y1631" s="27"/>
      <c r="Z1631" s="17"/>
      <c r="AA1631" s="17"/>
      <c r="AB1631" s="17"/>
      <c r="AC1631" s="17"/>
      <c r="AD1631" s="27"/>
    </row>
    <row r="1632" ht="15.75" customHeight="1">
      <c r="A1632" s="216" t="s">
        <v>3625</v>
      </c>
      <c r="B1632" s="216" t="s">
        <v>3769</v>
      </c>
      <c r="C1632" s="218" t="s">
        <v>3770</v>
      </c>
      <c r="D1632" s="217" t="s">
        <v>2846</v>
      </c>
      <c r="E1632" s="245" t="s">
        <v>2833</v>
      </c>
      <c r="F1632" s="217">
        <v>2.0</v>
      </c>
      <c r="G1632" s="219">
        <f t="shared" si="10"/>
        <v>2.821919258</v>
      </c>
      <c r="H1632" s="217">
        <v>80.0</v>
      </c>
      <c r="I1632" s="236">
        <v>320.0</v>
      </c>
      <c r="J1632" s="217">
        <v>7.0</v>
      </c>
      <c r="K1632" s="217">
        <v>590.0</v>
      </c>
      <c r="L1632" s="217">
        <v>350.0</v>
      </c>
      <c r="M1632" s="223">
        <v>51.0</v>
      </c>
      <c r="N1632" s="223">
        <v>2.0</v>
      </c>
      <c r="O1632" s="223">
        <v>6.0</v>
      </c>
      <c r="P1632" s="223">
        <f t="shared" si="2"/>
        <v>43</v>
      </c>
      <c r="Q1632" s="237">
        <v>14.0</v>
      </c>
      <c r="R1632" s="248">
        <f t="shared" si="3"/>
        <v>113.398</v>
      </c>
      <c r="S1632" s="243">
        <f t="shared" si="4"/>
        <v>4</v>
      </c>
      <c r="T1632" s="24">
        <f t="shared" si="5"/>
        <v>3.642857143</v>
      </c>
      <c r="U1632" s="26">
        <f t="shared" si="6"/>
        <v>0.1950464396</v>
      </c>
      <c r="V1632" s="26">
        <f t="shared" si="7"/>
        <v>0.07430340557</v>
      </c>
      <c r="W1632" s="19">
        <f t="shared" si="8"/>
        <v>1.84375</v>
      </c>
      <c r="X1632" s="247">
        <f t="shared" si="12"/>
        <v>640</v>
      </c>
      <c r="Y1632" s="27"/>
      <c r="Z1632" s="17"/>
      <c r="AA1632" s="17"/>
      <c r="AB1632" s="17"/>
      <c r="AC1632" s="17"/>
      <c r="AD1632" s="27"/>
    </row>
    <row r="1633" ht="15.75" customHeight="1">
      <c r="A1633" s="216" t="s">
        <v>3625</v>
      </c>
      <c r="B1633" s="216" t="s">
        <v>3771</v>
      </c>
      <c r="C1633" s="218" t="s">
        <v>3772</v>
      </c>
      <c r="D1633" s="217" t="s">
        <v>2846</v>
      </c>
      <c r="E1633" s="245" t="s">
        <v>2833</v>
      </c>
      <c r="F1633" s="217">
        <v>2.0</v>
      </c>
      <c r="G1633" s="219">
        <f t="shared" si="10"/>
        <v>1.94006949</v>
      </c>
      <c r="H1633" s="217">
        <v>55.0</v>
      </c>
      <c r="I1633" s="236">
        <v>220.0</v>
      </c>
      <c r="J1633" s="217">
        <v>1.0</v>
      </c>
      <c r="K1633" s="217">
        <v>160.0</v>
      </c>
      <c r="L1633" s="217">
        <v>350.0</v>
      </c>
      <c r="M1633" s="223">
        <v>43.0</v>
      </c>
      <c r="N1633" s="223">
        <v>6.0</v>
      </c>
      <c r="O1633" s="223">
        <v>3.0</v>
      </c>
      <c r="P1633" s="223">
        <f t="shared" si="2"/>
        <v>34</v>
      </c>
      <c r="Q1633" s="237">
        <v>9.0</v>
      </c>
      <c r="R1633" s="248">
        <f t="shared" si="3"/>
        <v>113.398</v>
      </c>
      <c r="S1633" s="243">
        <f t="shared" si="4"/>
        <v>4</v>
      </c>
      <c r="T1633" s="24">
        <f t="shared" si="5"/>
        <v>4.777777778</v>
      </c>
      <c r="U1633" s="26">
        <f t="shared" si="6"/>
        <v>0.04147465438</v>
      </c>
      <c r="V1633" s="26">
        <f t="shared" si="7"/>
        <v>0.05529953917</v>
      </c>
      <c r="W1633" s="19">
        <f t="shared" si="8"/>
        <v>0.7272727273</v>
      </c>
      <c r="X1633" s="247">
        <f t="shared" si="12"/>
        <v>440</v>
      </c>
      <c r="Y1633" s="27"/>
      <c r="Z1633" s="17"/>
      <c r="AA1633" s="17"/>
      <c r="AB1633" s="17"/>
      <c r="AC1633" s="17"/>
      <c r="AD1633" s="27"/>
    </row>
    <row r="1634" ht="15.75" customHeight="1">
      <c r="A1634" s="218" t="s">
        <v>3631</v>
      </c>
      <c r="B1634" s="218" t="s">
        <v>3773</v>
      </c>
      <c r="C1634" s="218" t="s">
        <v>3774</v>
      </c>
      <c r="D1634" s="217" t="s">
        <v>2846</v>
      </c>
      <c r="E1634" s="245" t="s">
        <v>2833</v>
      </c>
      <c r="F1634" s="217">
        <v>1.0</v>
      </c>
      <c r="G1634" s="219">
        <f t="shared" si="10"/>
        <v>5.608564525</v>
      </c>
      <c r="H1634" s="217">
        <v>159.0</v>
      </c>
      <c r="I1634" s="236">
        <v>616.0</v>
      </c>
      <c r="J1634" s="217">
        <v>24.0</v>
      </c>
      <c r="K1634" s="217">
        <v>1626.0</v>
      </c>
      <c r="L1634" s="218"/>
      <c r="M1634" s="223">
        <v>69.0</v>
      </c>
      <c r="N1634" s="223">
        <v>4.0</v>
      </c>
      <c r="O1634" s="223">
        <v>15.0</v>
      </c>
      <c r="P1634" s="223">
        <f t="shared" si="2"/>
        <v>50</v>
      </c>
      <c r="Q1634" s="237">
        <v>31.0</v>
      </c>
      <c r="R1634" s="248">
        <f t="shared" si="3"/>
        <v>109.8320252</v>
      </c>
      <c r="S1634" s="243">
        <f t="shared" si="4"/>
        <v>3.874213836</v>
      </c>
      <c r="T1634" s="24">
        <f t="shared" si="5"/>
        <v>2.225806452</v>
      </c>
      <c r="U1634" s="26">
        <f t="shared" si="6"/>
        <v>0.3506493506</v>
      </c>
      <c r="V1634" s="26">
        <f t="shared" si="7"/>
        <v>0.0974025974</v>
      </c>
      <c r="W1634" s="19">
        <f t="shared" si="8"/>
        <v>2.63961039</v>
      </c>
      <c r="X1634" s="247">
        <f t="shared" si="12"/>
        <v>616</v>
      </c>
      <c r="Y1634" s="27"/>
      <c r="Z1634" s="17"/>
      <c r="AA1634" s="17"/>
      <c r="AB1634" s="17"/>
      <c r="AC1634" s="17"/>
      <c r="AD1634" s="27"/>
    </row>
    <row r="1635" ht="15.75" customHeight="1">
      <c r="A1635" s="218" t="s">
        <v>3631</v>
      </c>
      <c r="B1635" s="218" t="s">
        <v>3775</v>
      </c>
      <c r="C1635" s="218" t="s">
        <v>3776</v>
      </c>
      <c r="D1635" s="217" t="s">
        <v>2846</v>
      </c>
      <c r="E1635" s="245" t="s">
        <v>2833</v>
      </c>
      <c r="F1635" s="217">
        <v>1.0</v>
      </c>
      <c r="G1635" s="219">
        <f t="shared" si="10"/>
        <v>5.608564525</v>
      </c>
      <c r="H1635" s="217">
        <v>159.0</v>
      </c>
      <c r="I1635" s="236">
        <v>616.0</v>
      </c>
      <c r="J1635" s="217">
        <v>24.0</v>
      </c>
      <c r="K1635" s="217">
        <v>1626.0</v>
      </c>
      <c r="L1635" s="218"/>
      <c r="M1635" s="223">
        <v>69.0</v>
      </c>
      <c r="N1635" s="223">
        <v>4.0</v>
      </c>
      <c r="O1635" s="223">
        <v>15.0</v>
      </c>
      <c r="P1635" s="223">
        <f t="shared" si="2"/>
        <v>50</v>
      </c>
      <c r="Q1635" s="237">
        <v>31.0</v>
      </c>
      <c r="R1635" s="248">
        <f t="shared" si="3"/>
        <v>109.8320252</v>
      </c>
      <c r="S1635" s="243">
        <f t="shared" si="4"/>
        <v>3.874213836</v>
      </c>
      <c r="T1635" s="24">
        <f t="shared" si="5"/>
        <v>2.225806452</v>
      </c>
      <c r="U1635" s="26">
        <f t="shared" si="6"/>
        <v>0.3506493506</v>
      </c>
      <c r="V1635" s="26">
        <f t="shared" si="7"/>
        <v>0.0974025974</v>
      </c>
      <c r="W1635" s="19">
        <f t="shared" si="8"/>
        <v>2.63961039</v>
      </c>
      <c r="X1635" s="247">
        <f t="shared" si="12"/>
        <v>616</v>
      </c>
      <c r="Y1635" s="27"/>
      <c r="Z1635" s="17"/>
      <c r="AA1635" s="17"/>
      <c r="AB1635" s="17"/>
      <c r="AC1635" s="17"/>
      <c r="AD1635" s="27"/>
    </row>
    <row r="1636" ht="15.75" customHeight="1">
      <c r="A1636" s="216" t="s">
        <v>3165</v>
      </c>
      <c r="B1636" s="216" t="s">
        <v>3777</v>
      </c>
      <c r="C1636" s="218" t="s">
        <v>3778</v>
      </c>
      <c r="D1636" s="217" t="s">
        <v>2846</v>
      </c>
      <c r="E1636" s="245" t="s">
        <v>2833</v>
      </c>
      <c r="F1636" s="217">
        <v>1.0</v>
      </c>
      <c r="G1636" s="219">
        <f t="shared" si="10"/>
        <v>3.985960952</v>
      </c>
      <c r="H1636" s="217">
        <v>113.0</v>
      </c>
      <c r="I1636" s="236">
        <v>430.0</v>
      </c>
      <c r="J1636" s="217">
        <v>11.0</v>
      </c>
      <c r="K1636" s="217">
        <v>1870.0</v>
      </c>
      <c r="L1636" s="218"/>
      <c r="M1636" s="223">
        <v>75.0</v>
      </c>
      <c r="N1636" s="223">
        <v>11.0</v>
      </c>
      <c r="O1636" s="223">
        <v>14.0</v>
      </c>
      <c r="P1636" s="223">
        <f t="shared" si="2"/>
        <v>50</v>
      </c>
      <c r="Q1636" s="237">
        <v>10.0</v>
      </c>
      <c r="R1636" s="248">
        <f t="shared" si="3"/>
        <v>107.8786283</v>
      </c>
      <c r="S1636" s="243">
        <f t="shared" si="4"/>
        <v>3.805309735</v>
      </c>
      <c r="T1636" s="24">
        <f t="shared" si="5"/>
        <v>7.5</v>
      </c>
      <c r="U1636" s="26">
        <f t="shared" si="6"/>
        <v>0.2255125285</v>
      </c>
      <c r="V1636" s="26">
        <f t="shared" si="7"/>
        <v>0.1275626424</v>
      </c>
      <c r="W1636" s="19">
        <f t="shared" si="8"/>
        <v>4.348837209</v>
      </c>
      <c r="X1636" s="247">
        <f t="shared" si="12"/>
        <v>430</v>
      </c>
      <c r="Y1636" s="27"/>
      <c r="Z1636" s="17"/>
      <c r="AA1636" s="17"/>
      <c r="AB1636" s="17"/>
      <c r="AC1636" s="17"/>
      <c r="AD1636" s="27"/>
    </row>
    <row r="1637" ht="15.75" customHeight="1">
      <c r="A1637" s="216" t="s">
        <v>3625</v>
      </c>
      <c r="B1637" s="216" t="s">
        <v>3779</v>
      </c>
      <c r="C1637" s="218" t="s">
        <v>3780</v>
      </c>
      <c r="D1637" s="217" t="s">
        <v>2846</v>
      </c>
      <c r="E1637" s="245" t="s">
        <v>2833</v>
      </c>
      <c r="F1637" s="217">
        <v>2.0</v>
      </c>
      <c r="G1637" s="219">
        <f t="shared" si="10"/>
        <v>3.068837193</v>
      </c>
      <c r="H1637" s="217">
        <v>87.0</v>
      </c>
      <c r="I1637" s="236">
        <v>330.0</v>
      </c>
      <c r="J1637" s="217">
        <v>5.0</v>
      </c>
      <c r="K1637" s="217">
        <v>310.0</v>
      </c>
      <c r="L1637" s="217">
        <v>500.0</v>
      </c>
      <c r="M1637" s="223">
        <v>59.0</v>
      </c>
      <c r="N1637" s="223">
        <v>6.0</v>
      </c>
      <c r="O1637" s="223">
        <v>5.0</v>
      </c>
      <c r="P1637" s="223">
        <f t="shared" si="2"/>
        <v>48</v>
      </c>
      <c r="Q1637" s="237">
        <v>14.0</v>
      </c>
      <c r="R1637" s="248">
        <f t="shared" si="3"/>
        <v>107.5325862</v>
      </c>
      <c r="S1637" s="243">
        <f t="shared" si="4"/>
        <v>3.793103448</v>
      </c>
      <c r="T1637" s="24">
        <f t="shared" si="5"/>
        <v>4.214285714</v>
      </c>
      <c r="U1637" s="26">
        <f t="shared" si="6"/>
        <v>0.1335311573</v>
      </c>
      <c r="V1637" s="26">
        <f t="shared" si="7"/>
        <v>0.05934718101</v>
      </c>
      <c r="W1637" s="19">
        <f t="shared" si="8"/>
        <v>0.9393939394</v>
      </c>
      <c r="X1637" s="247">
        <f t="shared" si="12"/>
        <v>660</v>
      </c>
      <c r="Y1637" s="27"/>
      <c r="Z1637" s="17"/>
      <c r="AA1637" s="17"/>
      <c r="AB1637" s="17"/>
      <c r="AC1637" s="17"/>
      <c r="AD1637" s="27"/>
    </row>
    <row r="1638" ht="15.75" customHeight="1">
      <c r="A1638" s="216" t="s">
        <v>3625</v>
      </c>
      <c r="B1638" s="216" t="s">
        <v>3781</v>
      </c>
      <c r="C1638" s="218" t="s">
        <v>3782</v>
      </c>
      <c r="D1638" s="217" t="s">
        <v>2846</v>
      </c>
      <c r="E1638" s="245" t="s">
        <v>2833</v>
      </c>
      <c r="F1638" s="217">
        <v>2.0</v>
      </c>
      <c r="G1638" s="219">
        <f t="shared" si="10"/>
        <v>3.351029119</v>
      </c>
      <c r="H1638" s="217">
        <v>95.0</v>
      </c>
      <c r="I1638" s="236">
        <v>360.0</v>
      </c>
      <c r="J1638" s="217">
        <v>2.0</v>
      </c>
      <c r="K1638" s="217">
        <v>490.0</v>
      </c>
      <c r="L1638" s="217">
        <v>900.0</v>
      </c>
      <c r="M1638" s="223">
        <v>67.0</v>
      </c>
      <c r="N1638" s="223">
        <v>12.0</v>
      </c>
      <c r="O1638" s="223">
        <v>10.0</v>
      </c>
      <c r="P1638" s="223">
        <f t="shared" si="2"/>
        <v>45</v>
      </c>
      <c r="Q1638" s="237">
        <v>20.0</v>
      </c>
      <c r="R1638" s="248">
        <f t="shared" si="3"/>
        <v>107.4296842</v>
      </c>
      <c r="S1638" s="243">
        <f t="shared" si="4"/>
        <v>3.789473684</v>
      </c>
      <c r="T1638" s="24">
        <f t="shared" si="5"/>
        <v>3.35</v>
      </c>
      <c r="U1638" s="26">
        <f t="shared" si="6"/>
        <v>0.04918032787</v>
      </c>
      <c r="V1638" s="26">
        <f t="shared" si="7"/>
        <v>0.1092896175</v>
      </c>
      <c r="W1638" s="19">
        <f t="shared" si="8"/>
        <v>1.361111111</v>
      </c>
      <c r="X1638" s="247">
        <f t="shared" si="12"/>
        <v>720</v>
      </c>
      <c r="Y1638" s="27"/>
      <c r="Z1638" s="17"/>
      <c r="AA1638" s="17"/>
      <c r="AB1638" s="17"/>
      <c r="AC1638" s="17"/>
      <c r="AD1638" s="27"/>
    </row>
    <row r="1639" ht="15.75" customHeight="1">
      <c r="A1639" s="216" t="s">
        <v>3625</v>
      </c>
      <c r="B1639" s="216" t="s">
        <v>2227</v>
      </c>
      <c r="C1639" s="218" t="s">
        <v>3783</v>
      </c>
      <c r="D1639" s="217" t="s">
        <v>2846</v>
      </c>
      <c r="E1639" s="245" t="s">
        <v>2833</v>
      </c>
      <c r="F1639" s="217">
        <v>2.0</v>
      </c>
      <c r="G1639" s="219">
        <f t="shared" si="10"/>
        <v>2.892467239</v>
      </c>
      <c r="H1639" s="217">
        <v>82.0</v>
      </c>
      <c r="I1639" s="236">
        <v>310.0</v>
      </c>
      <c r="J1639" s="217">
        <v>4.0</v>
      </c>
      <c r="K1639" s="217">
        <v>670.0</v>
      </c>
      <c r="L1639" s="217">
        <v>300.0</v>
      </c>
      <c r="M1639" s="223">
        <v>55.0</v>
      </c>
      <c r="N1639" s="223">
        <v>5.0</v>
      </c>
      <c r="O1639" s="223">
        <v>6.0</v>
      </c>
      <c r="P1639" s="223">
        <f t="shared" si="2"/>
        <v>44</v>
      </c>
      <c r="Q1639" s="237">
        <v>14.0</v>
      </c>
      <c r="R1639" s="248">
        <f t="shared" si="3"/>
        <v>107.174939</v>
      </c>
      <c r="S1639" s="243">
        <f t="shared" si="4"/>
        <v>3.780487805</v>
      </c>
      <c r="T1639" s="24">
        <f t="shared" si="5"/>
        <v>3.928571429</v>
      </c>
      <c r="U1639" s="26">
        <f t="shared" si="6"/>
        <v>0.1153846154</v>
      </c>
      <c r="V1639" s="26">
        <f t="shared" si="7"/>
        <v>0.07692307692</v>
      </c>
      <c r="W1639" s="19">
        <f t="shared" si="8"/>
        <v>2.161290323</v>
      </c>
      <c r="X1639" s="247">
        <f t="shared" si="12"/>
        <v>620</v>
      </c>
      <c r="Y1639" s="27"/>
      <c r="Z1639" s="17"/>
      <c r="AA1639" s="17"/>
      <c r="AB1639" s="17"/>
      <c r="AC1639" s="17"/>
      <c r="AD1639" s="27"/>
    </row>
    <row r="1640" ht="15.75" customHeight="1">
      <c r="A1640" s="218" t="s">
        <v>3631</v>
      </c>
      <c r="B1640" s="218" t="s">
        <v>3784</v>
      </c>
      <c r="C1640" s="218" t="s">
        <v>3785</v>
      </c>
      <c r="D1640" s="217" t="s">
        <v>2846</v>
      </c>
      <c r="E1640" s="245" t="s">
        <v>2833</v>
      </c>
      <c r="F1640" s="217">
        <v>1.0</v>
      </c>
      <c r="G1640" s="219">
        <f t="shared" si="10"/>
        <v>4.462159826</v>
      </c>
      <c r="H1640" s="217">
        <v>126.5</v>
      </c>
      <c r="I1640" s="236">
        <v>477.0</v>
      </c>
      <c r="J1640" s="217">
        <v>15.7</v>
      </c>
      <c r="K1640" s="217">
        <v>756.0</v>
      </c>
      <c r="L1640" s="218"/>
      <c r="M1640" s="223">
        <v>77.0</v>
      </c>
      <c r="N1640" s="223">
        <v>3.0</v>
      </c>
      <c r="O1640" s="223">
        <v>17.0</v>
      </c>
      <c r="P1640" s="223">
        <f t="shared" si="2"/>
        <v>57</v>
      </c>
      <c r="Q1640" s="237">
        <v>18.0</v>
      </c>
      <c r="R1640" s="248">
        <f t="shared" si="3"/>
        <v>106.8989051</v>
      </c>
      <c r="S1640" s="243">
        <f t="shared" si="4"/>
        <v>3.770750988</v>
      </c>
      <c r="T1640" s="24">
        <f t="shared" si="5"/>
        <v>4.277777778</v>
      </c>
      <c r="U1640" s="26">
        <f t="shared" si="6"/>
        <v>0.2710531364</v>
      </c>
      <c r="V1640" s="26">
        <f t="shared" si="7"/>
        <v>0.130443123</v>
      </c>
      <c r="W1640" s="19">
        <f t="shared" si="8"/>
        <v>1.58490566</v>
      </c>
      <c r="X1640" s="247">
        <f t="shared" si="12"/>
        <v>477</v>
      </c>
      <c r="Y1640" s="27"/>
      <c r="Z1640" s="17"/>
      <c r="AA1640" s="17"/>
      <c r="AB1640" s="17"/>
      <c r="AC1640" s="17"/>
      <c r="AD1640" s="27"/>
    </row>
    <row r="1641" ht="15.75" customHeight="1">
      <c r="A1641" s="218" t="s">
        <v>3631</v>
      </c>
      <c r="B1641" s="218" t="s">
        <v>3786</v>
      </c>
      <c r="C1641" s="218" t="s">
        <v>3787</v>
      </c>
      <c r="D1641" s="217" t="s">
        <v>2846</v>
      </c>
      <c r="E1641" s="245" t="s">
        <v>2833</v>
      </c>
      <c r="F1641" s="217">
        <v>1.0</v>
      </c>
      <c r="G1641" s="219">
        <f t="shared" si="10"/>
        <v>5.432194571</v>
      </c>
      <c r="H1641" s="217">
        <v>154.0</v>
      </c>
      <c r="I1641" s="236">
        <v>580.0</v>
      </c>
      <c r="J1641" s="217">
        <v>1.0</v>
      </c>
      <c r="K1641" s="217">
        <v>153.0</v>
      </c>
      <c r="L1641" s="218"/>
      <c r="M1641" s="223">
        <v>125.0</v>
      </c>
      <c r="N1641" s="223">
        <v>12.7</v>
      </c>
      <c r="O1641" s="223">
        <v>4.5</v>
      </c>
      <c r="P1641" s="223">
        <f t="shared" si="2"/>
        <v>107.8</v>
      </c>
      <c r="Q1641" s="237">
        <v>16.0</v>
      </c>
      <c r="R1641" s="248">
        <f t="shared" si="3"/>
        <v>106.7708442</v>
      </c>
      <c r="S1641" s="243">
        <f t="shared" si="4"/>
        <v>3.766233766</v>
      </c>
      <c r="T1641" s="24">
        <f t="shared" si="5"/>
        <v>7.8125</v>
      </c>
      <c r="U1641" s="26">
        <f t="shared" si="6"/>
        <v>0.01570680628</v>
      </c>
      <c r="V1641" s="26">
        <f t="shared" si="7"/>
        <v>0.03141361257</v>
      </c>
      <c r="W1641" s="19">
        <f t="shared" si="8"/>
        <v>0.2637931034</v>
      </c>
      <c r="X1641" s="247">
        <f t="shared" si="12"/>
        <v>580</v>
      </c>
      <c r="Y1641" s="27"/>
      <c r="Z1641" s="17"/>
      <c r="AA1641" s="17"/>
      <c r="AB1641" s="17"/>
      <c r="AC1641" s="17"/>
      <c r="AD1641" s="27"/>
    </row>
    <row r="1642" ht="15.75" customHeight="1">
      <c r="A1642" s="216" t="s">
        <v>3625</v>
      </c>
      <c r="B1642" s="216" t="s">
        <v>3788</v>
      </c>
      <c r="C1642" s="218" t="s">
        <v>3789</v>
      </c>
      <c r="D1642" s="217" t="s">
        <v>2846</v>
      </c>
      <c r="E1642" s="245" t="s">
        <v>2833</v>
      </c>
      <c r="F1642" s="217">
        <v>2.0</v>
      </c>
      <c r="G1642" s="219">
        <f t="shared" si="10"/>
        <v>2.998289211</v>
      </c>
      <c r="H1642" s="217">
        <v>85.0</v>
      </c>
      <c r="I1642" s="236">
        <v>320.0</v>
      </c>
      <c r="J1642" s="217">
        <v>3.5</v>
      </c>
      <c r="K1642" s="217">
        <v>470.0</v>
      </c>
      <c r="L1642" s="217">
        <v>450.0</v>
      </c>
      <c r="M1642" s="223">
        <v>56.0</v>
      </c>
      <c r="N1642" s="223">
        <v>6.0</v>
      </c>
      <c r="O1642" s="223">
        <v>3.0</v>
      </c>
      <c r="P1642" s="223">
        <f t="shared" si="2"/>
        <v>47</v>
      </c>
      <c r="Q1642" s="237">
        <v>16.0</v>
      </c>
      <c r="R1642" s="248">
        <f t="shared" si="3"/>
        <v>106.7275294</v>
      </c>
      <c r="S1642" s="243">
        <f t="shared" si="4"/>
        <v>3.764705882</v>
      </c>
      <c r="T1642" s="24">
        <f t="shared" si="5"/>
        <v>3.5</v>
      </c>
      <c r="U1642" s="26">
        <f t="shared" si="6"/>
        <v>0.0985915493</v>
      </c>
      <c r="V1642" s="26">
        <f t="shared" si="7"/>
        <v>0.03755868545</v>
      </c>
      <c r="W1642" s="19">
        <f t="shared" si="8"/>
        <v>1.46875</v>
      </c>
      <c r="X1642" s="247">
        <f t="shared" si="12"/>
        <v>640</v>
      </c>
      <c r="Y1642" s="27"/>
      <c r="Z1642" s="17"/>
      <c r="AA1642" s="17"/>
      <c r="AB1642" s="17"/>
      <c r="AC1642" s="17"/>
      <c r="AD1642" s="27"/>
    </row>
    <row r="1643" ht="15.75" customHeight="1">
      <c r="A1643" s="216" t="s">
        <v>3625</v>
      </c>
      <c r="B1643" s="216" t="s">
        <v>3790</v>
      </c>
      <c r="C1643" s="218" t="s">
        <v>3791</v>
      </c>
      <c r="D1643" s="217" t="s">
        <v>2846</v>
      </c>
      <c r="E1643" s="245" t="s">
        <v>2833</v>
      </c>
      <c r="F1643" s="217">
        <v>2.0</v>
      </c>
      <c r="G1643" s="219">
        <f t="shared" si="10"/>
        <v>2.116439443</v>
      </c>
      <c r="H1643" s="217">
        <v>60.0</v>
      </c>
      <c r="I1643" s="236">
        <v>220.0</v>
      </c>
      <c r="J1643" s="217">
        <v>1.5</v>
      </c>
      <c r="K1643" s="217">
        <v>450.0</v>
      </c>
      <c r="L1643" s="217">
        <v>850.0</v>
      </c>
      <c r="M1643" s="223">
        <v>33.0</v>
      </c>
      <c r="N1643" s="223">
        <v>10.0</v>
      </c>
      <c r="O1643" s="223">
        <v>8.0</v>
      </c>
      <c r="P1643" s="223">
        <f t="shared" si="2"/>
        <v>15</v>
      </c>
      <c r="Q1643" s="237">
        <v>20.0</v>
      </c>
      <c r="R1643" s="248">
        <f t="shared" si="3"/>
        <v>103.9481667</v>
      </c>
      <c r="S1643" s="243">
        <f t="shared" si="4"/>
        <v>3.666666667</v>
      </c>
      <c r="T1643" s="24">
        <f t="shared" si="5"/>
        <v>1.65</v>
      </c>
      <c r="U1643" s="26">
        <f t="shared" si="6"/>
        <v>0.05986696231</v>
      </c>
      <c r="V1643" s="26">
        <f t="shared" si="7"/>
        <v>0.1419068736</v>
      </c>
      <c r="W1643" s="19">
        <f t="shared" si="8"/>
        <v>2.045454545</v>
      </c>
      <c r="X1643" s="247">
        <f t="shared" si="12"/>
        <v>440</v>
      </c>
      <c r="Y1643" s="27"/>
      <c r="Z1643" s="17"/>
      <c r="AA1643" s="17"/>
      <c r="AB1643" s="17"/>
      <c r="AC1643" s="17"/>
      <c r="AD1643" s="27"/>
    </row>
    <row r="1644" ht="15.75" customHeight="1">
      <c r="A1644" s="216" t="s">
        <v>3625</v>
      </c>
      <c r="B1644" s="216" t="s">
        <v>3792</v>
      </c>
      <c r="C1644" s="218" t="s">
        <v>3793</v>
      </c>
      <c r="D1644" s="217" t="s">
        <v>2846</v>
      </c>
      <c r="E1644" s="251" t="s">
        <v>2837</v>
      </c>
      <c r="F1644" s="217">
        <v>2.0</v>
      </c>
      <c r="G1644" s="219">
        <f t="shared" si="10"/>
        <v>2.998289211</v>
      </c>
      <c r="H1644" s="217">
        <v>85.0</v>
      </c>
      <c r="I1644" s="236">
        <v>310.0</v>
      </c>
      <c r="J1644" s="217">
        <v>2.5</v>
      </c>
      <c r="K1644" s="217">
        <v>410.0</v>
      </c>
      <c r="L1644" s="217">
        <v>600.0</v>
      </c>
      <c r="M1644" s="223">
        <v>55.0</v>
      </c>
      <c r="N1644" s="223">
        <v>6.0</v>
      </c>
      <c r="O1644" s="223">
        <v>9.0</v>
      </c>
      <c r="P1644" s="223">
        <f t="shared" si="2"/>
        <v>40</v>
      </c>
      <c r="Q1644" s="237">
        <v>17.0</v>
      </c>
      <c r="R1644" s="248">
        <f t="shared" si="3"/>
        <v>103.3922941</v>
      </c>
      <c r="S1644" s="243">
        <f t="shared" si="4"/>
        <v>3.647058824</v>
      </c>
      <c r="T1644" s="24">
        <f t="shared" si="5"/>
        <v>3.235294118</v>
      </c>
      <c r="U1644" s="26">
        <f t="shared" si="6"/>
        <v>0.07246376812</v>
      </c>
      <c r="V1644" s="26">
        <f t="shared" si="7"/>
        <v>0.115942029</v>
      </c>
      <c r="W1644" s="19">
        <f t="shared" si="8"/>
        <v>1.322580645</v>
      </c>
      <c r="X1644" s="247">
        <f t="shared" si="12"/>
        <v>620</v>
      </c>
      <c r="Y1644" s="27"/>
      <c r="Z1644" s="17"/>
      <c r="AA1644" s="17"/>
      <c r="AB1644" s="17"/>
      <c r="AC1644" s="17"/>
      <c r="AD1644" s="27"/>
    </row>
    <row r="1645" ht="15.75" customHeight="1">
      <c r="A1645" s="218" t="s">
        <v>3599</v>
      </c>
      <c r="B1645" s="218" t="s">
        <v>3794</v>
      </c>
      <c r="C1645" s="218" t="s">
        <v>3795</v>
      </c>
      <c r="D1645" s="217" t="s">
        <v>2846</v>
      </c>
      <c r="E1645" s="245" t="s">
        <v>2833</v>
      </c>
      <c r="F1645" s="217">
        <v>2.0</v>
      </c>
      <c r="G1645" s="219">
        <f t="shared" si="10"/>
        <v>2.222261416</v>
      </c>
      <c r="H1645" s="217">
        <v>63.0</v>
      </c>
      <c r="I1645" s="236">
        <v>229.0</v>
      </c>
      <c r="J1645" s="217">
        <v>10.0</v>
      </c>
      <c r="K1645" s="217">
        <v>615.0</v>
      </c>
      <c r="L1645" s="218"/>
      <c r="M1645" s="223">
        <v>16.0</v>
      </c>
      <c r="N1645" s="223">
        <v>4.0</v>
      </c>
      <c r="O1645" s="223">
        <v>3.0</v>
      </c>
      <c r="P1645" s="223">
        <f t="shared" si="2"/>
        <v>9</v>
      </c>
      <c r="Q1645" s="237">
        <v>19.0</v>
      </c>
      <c r="R1645" s="248">
        <f t="shared" si="3"/>
        <v>103.0481825</v>
      </c>
      <c r="S1645" s="243">
        <f t="shared" si="4"/>
        <v>3.634920635</v>
      </c>
      <c r="T1645" s="24">
        <f t="shared" si="5"/>
        <v>0.8421052632</v>
      </c>
      <c r="U1645" s="26">
        <f t="shared" si="6"/>
        <v>0.3913043478</v>
      </c>
      <c r="V1645" s="26">
        <f t="shared" si="7"/>
        <v>0.05217391304</v>
      </c>
      <c r="W1645" s="19">
        <f t="shared" si="8"/>
        <v>2.68558952</v>
      </c>
      <c r="X1645" s="247">
        <f t="shared" si="12"/>
        <v>458</v>
      </c>
      <c r="Y1645" s="27"/>
      <c r="Z1645" s="17"/>
      <c r="AA1645" s="17"/>
      <c r="AB1645" s="17"/>
      <c r="AC1645" s="17"/>
      <c r="AD1645" s="27"/>
    </row>
    <row r="1646" ht="15.75" customHeight="1">
      <c r="A1646" s="216" t="s">
        <v>3669</v>
      </c>
      <c r="B1646" s="216" t="s">
        <v>3796</v>
      </c>
      <c r="C1646" s="218" t="s">
        <v>3797</v>
      </c>
      <c r="D1646" s="220" t="s">
        <v>2846</v>
      </c>
      <c r="E1646" s="245" t="s">
        <v>2833</v>
      </c>
      <c r="F1646" s="217">
        <v>1.0</v>
      </c>
      <c r="G1646" s="219">
        <f t="shared" si="10"/>
        <v>5.396920581</v>
      </c>
      <c r="H1646" s="220">
        <v>153.0</v>
      </c>
      <c r="I1646" s="221">
        <v>550.0</v>
      </c>
      <c r="J1646" s="220">
        <v>35.0</v>
      </c>
      <c r="K1646" s="220">
        <v>1130.0</v>
      </c>
      <c r="L1646" s="220">
        <v>1090.0</v>
      </c>
      <c r="M1646" s="230">
        <v>43.0</v>
      </c>
      <c r="N1646" s="230">
        <v>17.0</v>
      </c>
      <c r="O1646" s="230">
        <v>6.0</v>
      </c>
      <c r="P1646" s="223">
        <f t="shared" si="2"/>
        <v>20</v>
      </c>
      <c r="Q1646" s="231">
        <v>22.0</v>
      </c>
      <c r="R1646" s="242">
        <f t="shared" si="3"/>
        <v>101.9099673</v>
      </c>
      <c r="S1646" s="243">
        <f t="shared" si="4"/>
        <v>3.594771242</v>
      </c>
      <c r="T1646" s="24">
        <f t="shared" si="5"/>
        <v>1.954545455</v>
      </c>
      <c r="U1646" s="26">
        <f t="shared" si="6"/>
        <v>0.547826087</v>
      </c>
      <c r="V1646" s="26">
        <f t="shared" si="7"/>
        <v>0.04173913043</v>
      </c>
      <c r="W1646" s="19">
        <f t="shared" si="8"/>
        <v>2.054545455</v>
      </c>
      <c r="X1646" s="247">
        <f t="shared" si="12"/>
        <v>550</v>
      </c>
      <c r="Y1646" s="27"/>
      <c r="Z1646" s="17"/>
      <c r="AA1646" s="17"/>
      <c r="AB1646" s="17"/>
      <c r="AC1646" s="17"/>
      <c r="AD1646" s="27"/>
    </row>
    <row r="1647" ht="15.75" customHeight="1">
      <c r="A1647" s="218" t="s">
        <v>3631</v>
      </c>
      <c r="B1647" s="218" t="s">
        <v>2857</v>
      </c>
      <c r="C1647" s="218" t="s">
        <v>3798</v>
      </c>
      <c r="D1647" s="217" t="s">
        <v>2846</v>
      </c>
      <c r="E1647" s="245" t="s">
        <v>2833</v>
      </c>
      <c r="F1647" s="217">
        <v>1.0</v>
      </c>
      <c r="G1647" s="219">
        <f t="shared" si="10"/>
        <v>5.13236565</v>
      </c>
      <c r="H1647" s="217">
        <v>145.5</v>
      </c>
      <c r="I1647" s="236">
        <v>513.0</v>
      </c>
      <c r="J1647" s="217">
        <v>7.2</v>
      </c>
      <c r="K1647" s="217">
        <v>736.0</v>
      </c>
      <c r="L1647" s="218"/>
      <c r="M1647" s="223">
        <v>92.0</v>
      </c>
      <c r="N1647" s="223">
        <v>2.9</v>
      </c>
      <c r="O1647" s="223">
        <v>15.0</v>
      </c>
      <c r="P1647" s="223">
        <f t="shared" si="2"/>
        <v>74.1</v>
      </c>
      <c r="Q1647" s="237">
        <v>22.0</v>
      </c>
      <c r="R1647" s="248">
        <f t="shared" si="3"/>
        <v>99.95390722</v>
      </c>
      <c r="S1647" s="243">
        <f t="shared" si="4"/>
        <v>3.525773196</v>
      </c>
      <c r="T1647" s="24">
        <f t="shared" si="5"/>
        <v>4.181818182</v>
      </c>
      <c r="U1647" s="26">
        <f t="shared" si="6"/>
        <v>0.1244239631</v>
      </c>
      <c r="V1647" s="26">
        <f t="shared" si="7"/>
        <v>0.1152073733</v>
      </c>
      <c r="W1647" s="19">
        <f t="shared" si="8"/>
        <v>1.434697856</v>
      </c>
      <c r="X1647" s="247">
        <f t="shared" si="12"/>
        <v>513</v>
      </c>
      <c r="Y1647" s="27"/>
      <c r="Z1647" s="17"/>
      <c r="AA1647" s="17"/>
      <c r="AB1647" s="17"/>
      <c r="AC1647" s="17"/>
      <c r="AD1647" s="27"/>
    </row>
    <row r="1648" ht="15.75" customHeight="1">
      <c r="A1648" s="216" t="s">
        <v>3625</v>
      </c>
      <c r="B1648" s="216" t="s">
        <v>3799</v>
      </c>
      <c r="C1648" s="218" t="s">
        <v>3800</v>
      </c>
      <c r="D1648" s="217" t="s">
        <v>2846</v>
      </c>
      <c r="E1648" s="245" t="s">
        <v>2833</v>
      </c>
      <c r="F1648" s="217">
        <v>2.0</v>
      </c>
      <c r="G1648" s="219">
        <f t="shared" si="10"/>
        <v>1.234589675</v>
      </c>
      <c r="H1648" s="217">
        <v>35.0</v>
      </c>
      <c r="I1648" s="236">
        <v>120.0</v>
      </c>
      <c r="J1648" s="217">
        <v>2.0</v>
      </c>
      <c r="K1648" s="217">
        <v>700.0</v>
      </c>
      <c r="L1648" s="217">
        <v>250.0</v>
      </c>
      <c r="M1648" s="223">
        <v>21.0</v>
      </c>
      <c r="N1648" s="223">
        <v>2.0</v>
      </c>
      <c r="O1648" s="223">
        <v>2.0</v>
      </c>
      <c r="P1648" s="223">
        <f t="shared" si="2"/>
        <v>17</v>
      </c>
      <c r="Q1648" s="237">
        <v>7.0</v>
      </c>
      <c r="R1648" s="248">
        <f t="shared" si="3"/>
        <v>97.19828571</v>
      </c>
      <c r="S1648" s="243">
        <f t="shared" si="4"/>
        <v>3.428571429</v>
      </c>
      <c r="T1648" s="24">
        <f t="shared" si="5"/>
        <v>3</v>
      </c>
      <c r="U1648" s="26">
        <f t="shared" si="6"/>
        <v>0.1384615385</v>
      </c>
      <c r="V1648" s="26">
        <f t="shared" si="7"/>
        <v>0.06153846154</v>
      </c>
      <c r="W1648" s="19">
        <f t="shared" si="8"/>
        <v>5.833333333</v>
      </c>
      <c r="X1648" s="247">
        <f t="shared" si="12"/>
        <v>240</v>
      </c>
      <c r="Y1648" s="27"/>
      <c r="Z1648" s="17"/>
      <c r="AA1648" s="17"/>
      <c r="AB1648" s="17"/>
      <c r="AC1648" s="17"/>
      <c r="AD1648" s="27"/>
    </row>
    <row r="1649" ht="15.75" customHeight="1">
      <c r="A1649" s="216" t="s">
        <v>3625</v>
      </c>
      <c r="B1649" s="216" t="s">
        <v>3801</v>
      </c>
      <c r="C1649" s="218" t="s">
        <v>3802</v>
      </c>
      <c r="D1649" s="217" t="s">
        <v>2846</v>
      </c>
      <c r="E1649" s="245" t="s">
        <v>2833</v>
      </c>
      <c r="F1649" s="217">
        <v>2.0</v>
      </c>
      <c r="G1649" s="219">
        <f t="shared" si="10"/>
        <v>1.234589675</v>
      </c>
      <c r="H1649" s="217">
        <v>35.0</v>
      </c>
      <c r="I1649" s="236">
        <v>120.0</v>
      </c>
      <c r="J1649" s="217">
        <v>0.5</v>
      </c>
      <c r="K1649" s="217">
        <v>500.0</v>
      </c>
      <c r="L1649" s="217">
        <v>250.0</v>
      </c>
      <c r="M1649" s="223">
        <v>24.0</v>
      </c>
      <c r="N1649" s="223">
        <v>3.0</v>
      </c>
      <c r="O1649" s="223">
        <v>4.0</v>
      </c>
      <c r="P1649" s="223">
        <f t="shared" si="2"/>
        <v>17</v>
      </c>
      <c r="Q1649" s="237">
        <v>6.0</v>
      </c>
      <c r="R1649" s="248">
        <f t="shared" si="3"/>
        <v>97.19828571</v>
      </c>
      <c r="S1649" s="243">
        <f t="shared" si="4"/>
        <v>3.428571429</v>
      </c>
      <c r="T1649" s="24">
        <f t="shared" si="5"/>
        <v>4</v>
      </c>
      <c r="U1649" s="26">
        <f t="shared" si="6"/>
        <v>0.03614457831</v>
      </c>
      <c r="V1649" s="26">
        <f t="shared" si="7"/>
        <v>0.1285140562</v>
      </c>
      <c r="W1649" s="19">
        <f t="shared" si="8"/>
        <v>4.166666667</v>
      </c>
      <c r="X1649" s="247">
        <f t="shared" si="12"/>
        <v>240</v>
      </c>
      <c r="Y1649" s="27"/>
      <c r="Z1649" s="17"/>
      <c r="AA1649" s="17"/>
      <c r="AB1649" s="17"/>
      <c r="AC1649" s="17"/>
      <c r="AD1649" s="27"/>
    </row>
    <row r="1650" ht="15.75" customHeight="1">
      <c r="A1650" s="218" t="s">
        <v>3631</v>
      </c>
      <c r="B1650" s="218" t="s">
        <v>3803</v>
      </c>
      <c r="C1650" s="218" t="s">
        <v>3804</v>
      </c>
      <c r="D1650" s="217" t="s">
        <v>2846</v>
      </c>
      <c r="E1650" s="245" t="s">
        <v>2833</v>
      </c>
      <c r="F1650" s="217">
        <v>1.0</v>
      </c>
      <c r="G1650" s="219">
        <f t="shared" si="10"/>
        <v>4.479796822</v>
      </c>
      <c r="H1650" s="217">
        <v>127.0</v>
      </c>
      <c r="I1650" s="236">
        <v>435.0</v>
      </c>
      <c r="J1650" s="217">
        <v>1.2</v>
      </c>
      <c r="K1650" s="217">
        <v>1044.0</v>
      </c>
      <c r="L1650" s="217">
        <v>799.0</v>
      </c>
      <c r="M1650" s="223">
        <v>93.0</v>
      </c>
      <c r="N1650" s="223">
        <v>9.0</v>
      </c>
      <c r="O1650" s="223">
        <v>29.0</v>
      </c>
      <c r="P1650" s="223">
        <f t="shared" si="2"/>
        <v>55</v>
      </c>
      <c r="Q1650" s="237">
        <v>20.0</v>
      </c>
      <c r="R1650" s="248">
        <f t="shared" si="3"/>
        <v>97.10261811</v>
      </c>
      <c r="S1650" s="243">
        <f t="shared" si="4"/>
        <v>3.42519685</v>
      </c>
      <c r="T1650" s="24">
        <f t="shared" si="5"/>
        <v>4.65</v>
      </c>
      <c r="U1650" s="26">
        <f t="shared" si="6"/>
        <v>0.02333621435</v>
      </c>
      <c r="V1650" s="26">
        <f t="shared" si="7"/>
        <v>0.2506482282</v>
      </c>
      <c r="W1650" s="19">
        <f t="shared" si="8"/>
        <v>2.4</v>
      </c>
      <c r="X1650" s="247">
        <f t="shared" si="12"/>
        <v>435</v>
      </c>
      <c r="Y1650" s="27"/>
      <c r="Z1650" s="17"/>
      <c r="AA1650" s="17"/>
      <c r="AB1650" s="17"/>
      <c r="AC1650" s="17"/>
      <c r="AD1650" s="27"/>
    </row>
    <row r="1651" ht="15.75" customHeight="1">
      <c r="A1651" s="218" t="s">
        <v>3631</v>
      </c>
      <c r="B1651" s="218" t="s">
        <v>3805</v>
      </c>
      <c r="C1651" s="218" t="s">
        <v>3806</v>
      </c>
      <c r="D1651" s="217" t="s">
        <v>2846</v>
      </c>
      <c r="E1651" s="245" t="s">
        <v>2833</v>
      </c>
      <c r="F1651" s="217">
        <v>1.0</v>
      </c>
      <c r="G1651" s="219">
        <f t="shared" si="10"/>
        <v>4.232878887</v>
      </c>
      <c r="H1651" s="217">
        <v>120.0</v>
      </c>
      <c r="I1651" s="236">
        <v>409.0</v>
      </c>
      <c r="J1651" s="217">
        <v>1.3</v>
      </c>
      <c r="K1651" s="217">
        <v>97.0</v>
      </c>
      <c r="L1651" s="218"/>
      <c r="M1651" s="223">
        <v>89.0</v>
      </c>
      <c r="N1651" s="223">
        <v>10.0</v>
      </c>
      <c r="O1651" s="223">
        <v>9.0</v>
      </c>
      <c r="P1651" s="223">
        <f t="shared" si="2"/>
        <v>70</v>
      </c>
      <c r="Q1651" s="237">
        <v>13.0</v>
      </c>
      <c r="R1651" s="248">
        <f t="shared" si="3"/>
        <v>96.62454583</v>
      </c>
      <c r="S1651" s="243">
        <f t="shared" si="4"/>
        <v>3.408333333</v>
      </c>
      <c r="T1651" s="24">
        <f t="shared" si="5"/>
        <v>6.846153846</v>
      </c>
      <c r="U1651" s="26">
        <f t="shared" si="6"/>
        <v>0.02787705504</v>
      </c>
      <c r="V1651" s="26">
        <f t="shared" si="7"/>
        <v>0.08577555397</v>
      </c>
      <c r="W1651" s="19">
        <f t="shared" si="8"/>
        <v>0.2371638142</v>
      </c>
      <c r="X1651" s="247">
        <f t="shared" si="12"/>
        <v>409</v>
      </c>
      <c r="Y1651" s="27"/>
      <c r="Z1651" s="17"/>
      <c r="AA1651" s="17"/>
      <c r="AB1651" s="17"/>
      <c r="AC1651" s="17"/>
      <c r="AD1651" s="27"/>
    </row>
    <row r="1652" ht="15.75" customHeight="1">
      <c r="A1652" s="218" t="s">
        <v>3643</v>
      </c>
      <c r="B1652" s="218" t="s">
        <v>3807</v>
      </c>
      <c r="C1652" s="218" t="s">
        <v>3808</v>
      </c>
      <c r="D1652" s="217" t="s">
        <v>2846</v>
      </c>
      <c r="E1652" s="249" t="s">
        <v>2839</v>
      </c>
      <c r="F1652" s="217">
        <v>2.0</v>
      </c>
      <c r="G1652" s="219">
        <f t="shared" si="10"/>
        <v>1.869521508</v>
      </c>
      <c r="H1652" s="217">
        <v>53.0</v>
      </c>
      <c r="I1652" s="236">
        <v>180.0</v>
      </c>
      <c r="J1652" s="217">
        <v>13.0</v>
      </c>
      <c r="K1652" s="217">
        <v>337.0</v>
      </c>
      <c r="L1652" s="217">
        <v>230.0</v>
      </c>
      <c r="M1652" s="223">
        <v>11.0</v>
      </c>
      <c r="N1652" s="223">
        <v>4.0</v>
      </c>
      <c r="O1652" s="223">
        <v>5.0</v>
      </c>
      <c r="P1652" s="223">
        <f t="shared" si="2"/>
        <v>2</v>
      </c>
      <c r="Q1652" s="237">
        <v>7.0</v>
      </c>
      <c r="R1652" s="248">
        <f t="shared" si="3"/>
        <v>96.28132075</v>
      </c>
      <c r="S1652" s="243">
        <f t="shared" si="4"/>
        <v>3.396226415</v>
      </c>
      <c r="T1652" s="24">
        <f t="shared" si="5"/>
        <v>1.571428571</v>
      </c>
      <c r="U1652" s="26">
        <f t="shared" si="6"/>
        <v>0.619047619</v>
      </c>
      <c r="V1652" s="26">
        <f t="shared" si="7"/>
        <v>0.1058201058</v>
      </c>
      <c r="W1652" s="19">
        <f t="shared" si="8"/>
        <v>1.872222222</v>
      </c>
      <c r="X1652" s="247">
        <f t="shared" si="12"/>
        <v>360</v>
      </c>
      <c r="Y1652" s="27"/>
      <c r="Z1652" s="17"/>
      <c r="AA1652" s="17"/>
      <c r="AB1652" s="17"/>
      <c r="AC1652" s="17"/>
      <c r="AD1652" s="27"/>
    </row>
    <row r="1653" ht="15.75" customHeight="1">
      <c r="A1653" s="218" t="s">
        <v>3643</v>
      </c>
      <c r="B1653" s="218" t="s">
        <v>3809</v>
      </c>
      <c r="C1653" s="218" t="s">
        <v>3810</v>
      </c>
      <c r="D1653" s="217" t="s">
        <v>2846</v>
      </c>
      <c r="E1653" s="245" t="s">
        <v>2833</v>
      </c>
      <c r="F1653" s="217">
        <v>2.0</v>
      </c>
      <c r="G1653" s="219">
        <f t="shared" si="10"/>
        <v>3.527399072</v>
      </c>
      <c r="H1653" s="217">
        <v>100.0</v>
      </c>
      <c r="I1653" s="236">
        <v>330.0</v>
      </c>
      <c r="J1653" s="217">
        <v>11.0</v>
      </c>
      <c r="K1653" s="217">
        <v>654.0</v>
      </c>
      <c r="L1653" s="217">
        <v>815.0</v>
      </c>
      <c r="M1653" s="223">
        <v>57.0</v>
      </c>
      <c r="N1653" s="223">
        <v>10.0</v>
      </c>
      <c r="O1653" s="223">
        <v>9.0</v>
      </c>
      <c r="P1653" s="223">
        <f t="shared" si="2"/>
        <v>38</v>
      </c>
      <c r="Q1653" s="237">
        <v>9.0</v>
      </c>
      <c r="R1653" s="248">
        <f t="shared" si="3"/>
        <v>93.55335</v>
      </c>
      <c r="S1653" s="243">
        <f t="shared" si="4"/>
        <v>3.3</v>
      </c>
      <c r="T1653" s="24">
        <f t="shared" si="5"/>
        <v>6.333333333</v>
      </c>
      <c r="U1653" s="26">
        <f t="shared" si="6"/>
        <v>0.2727272727</v>
      </c>
      <c r="V1653" s="26">
        <f t="shared" si="7"/>
        <v>0.09917355372</v>
      </c>
      <c r="W1653" s="19">
        <f t="shared" si="8"/>
        <v>1.981818182</v>
      </c>
      <c r="X1653" s="247">
        <f t="shared" si="12"/>
        <v>660</v>
      </c>
      <c r="Y1653" s="27"/>
      <c r="Z1653" s="17"/>
      <c r="AA1653" s="17"/>
      <c r="AB1653" s="17"/>
      <c r="AC1653" s="17"/>
      <c r="AD1653" s="27"/>
    </row>
    <row r="1654" ht="15.75" customHeight="1">
      <c r="A1654" s="216" t="s">
        <v>3607</v>
      </c>
      <c r="B1654" s="216" t="s">
        <v>3811</v>
      </c>
      <c r="C1654" s="218" t="s">
        <v>3812</v>
      </c>
      <c r="D1654" s="217" t="s">
        <v>2880</v>
      </c>
      <c r="E1654" s="245" t="s">
        <v>2833</v>
      </c>
      <c r="F1654" s="217">
        <v>2.0</v>
      </c>
      <c r="G1654" s="219">
        <f t="shared" si="10"/>
        <v>4.797262738</v>
      </c>
      <c r="H1654" s="217">
        <v>136.0</v>
      </c>
      <c r="I1654" s="236">
        <v>360.0</v>
      </c>
      <c r="J1654" s="217">
        <v>21.0</v>
      </c>
      <c r="K1654" s="217">
        <v>520.0</v>
      </c>
      <c r="L1654" s="217">
        <v>1040.0</v>
      </c>
      <c r="M1654" s="223">
        <v>36.0</v>
      </c>
      <c r="N1654" s="223">
        <v>4.0</v>
      </c>
      <c r="O1654" s="223">
        <v>3.0</v>
      </c>
      <c r="P1654" s="223">
        <f t="shared" si="2"/>
        <v>29</v>
      </c>
      <c r="Q1654" s="237">
        <v>4.0</v>
      </c>
      <c r="R1654" s="248">
        <f t="shared" si="3"/>
        <v>75.04279412</v>
      </c>
      <c r="S1654" s="243">
        <f t="shared" si="4"/>
        <v>2.647058824</v>
      </c>
      <c r="T1654" s="24">
        <f t="shared" si="5"/>
        <v>9</v>
      </c>
      <c r="U1654" s="26">
        <f t="shared" si="6"/>
        <v>0.5415472779</v>
      </c>
      <c r="V1654" s="26">
        <f t="shared" si="7"/>
        <v>0.03438395415</v>
      </c>
      <c r="W1654" s="19">
        <f t="shared" si="8"/>
        <v>1.444444444</v>
      </c>
      <c r="X1654" s="247">
        <f t="shared" si="12"/>
        <v>720</v>
      </c>
      <c r="Y1654" s="27"/>
      <c r="Z1654" s="17"/>
      <c r="AA1654" s="17"/>
      <c r="AB1654" s="17"/>
      <c r="AC1654" s="17"/>
      <c r="AD1654" s="27"/>
    </row>
    <row r="1655" ht="15.75" customHeight="1">
      <c r="A1655" s="27"/>
      <c r="B1655" s="27"/>
      <c r="C1655" s="27"/>
      <c r="D1655" s="27"/>
      <c r="E1655" s="27"/>
      <c r="F1655" s="27"/>
      <c r="G1655" s="27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17"/>
      <c r="AA1655" s="17"/>
      <c r="AB1655" s="17"/>
      <c r="AC1655" s="17"/>
      <c r="AD1655" s="27"/>
    </row>
    <row r="1656" ht="15.75" customHeight="1">
      <c r="A1656" s="27"/>
      <c r="B1656" s="27"/>
      <c r="C1656" s="27"/>
      <c r="D1656" s="27"/>
      <c r="E1656" s="27"/>
      <c r="F1656" s="27"/>
      <c r="G1656" s="27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17"/>
      <c r="AA1656" s="17"/>
      <c r="AB1656" s="17"/>
      <c r="AC1656" s="17"/>
      <c r="AD1656" s="27"/>
    </row>
    <row r="1657" ht="15.75" customHeight="1">
      <c r="A1657" s="27"/>
      <c r="B1657" s="27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17"/>
      <c r="AA1657" s="17"/>
      <c r="AB1657" s="17"/>
      <c r="AC1657" s="17"/>
      <c r="AD1657" s="27"/>
    </row>
    <row r="1658" ht="15.75" customHeight="1">
      <c r="A1658" s="27"/>
      <c r="B1658" s="27"/>
      <c r="C1658" s="27"/>
      <c r="D1658" s="27"/>
      <c r="E1658" s="27"/>
      <c r="F1658" s="27"/>
      <c r="G1658" s="27"/>
      <c r="H1658" s="27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  <c r="Z1658" s="17"/>
      <c r="AA1658" s="17"/>
      <c r="AB1658" s="17"/>
      <c r="AC1658" s="17"/>
      <c r="AD1658" s="27"/>
    </row>
    <row r="1659" ht="15.75" customHeight="1">
      <c r="A1659" s="27"/>
      <c r="B1659" s="27"/>
      <c r="C1659" s="27"/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  <c r="Z1659" s="17"/>
      <c r="AA1659" s="17"/>
      <c r="AB1659" s="17"/>
      <c r="AC1659" s="17"/>
      <c r="AD1659" s="27"/>
    </row>
    <row r="1660" ht="15.75" customHeight="1">
      <c r="A1660" s="27"/>
      <c r="B1660" s="27"/>
      <c r="C1660" s="27"/>
      <c r="D1660" s="27"/>
      <c r="E1660" s="27"/>
      <c r="F1660" s="27"/>
      <c r="G1660" s="27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17"/>
      <c r="AA1660" s="17"/>
      <c r="AB1660" s="17"/>
      <c r="AC1660" s="17"/>
      <c r="AD1660" s="27"/>
    </row>
    <row r="1661" ht="15.75" customHeight="1">
      <c r="A1661" s="27"/>
      <c r="B1661" s="27"/>
      <c r="C1661" s="27"/>
      <c r="D1661" s="27"/>
      <c r="E1661" s="27"/>
      <c r="F1661" s="27"/>
      <c r="G1661" s="27"/>
      <c r="H1661" s="27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  <c r="Z1661" s="17"/>
      <c r="AA1661" s="17"/>
      <c r="AB1661" s="17"/>
      <c r="AC1661" s="17"/>
      <c r="AD1661" s="27"/>
    </row>
    <row r="1662" ht="15.75" customHeight="1">
      <c r="A1662" s="27"/>
      <c r="B1662" s="27"/>
      <c r="C1662" s="27"/>
      <c r="D1662" s="27"/>
      <c r="E1662" s="27"/>
      <c r="F1662" s="27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17"/>
      <c r="AA1662" s="17"/>
      <c r="AB1662" s="17"/>
      <c r="AC1662" s="17"/>
      <c r="AD1662" s="27"/>
    </row>
    <row r="1663" ht="15.75" customHeight="1">
      <c r="A1663" s="27"/>
      <c r="B1663" s="27"/>
      <c r="C1663" s="27"/>
      <c r="D1663" s="27"/>
      <c r="E1663" s="27"/>
      <c r="F1663" s="27"/>
      <c r="G1663" s="27"/>
      <c r="H1663" s="27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17"/>
      <c r="AA1663" s="17"/>
      <c r="AB1663" s="17"/>
      <c r="AC1663" s="17"/>
      <c r="AD1663" s="27"/>
    </row>
    <row r="1664" ht="15.75" customHeight="1">
      <c r="A1664" s="27"/>
      <c r="B1664" s="27"/>
      <c r="C1664" s="27"/>
      <c r="D1664" s="27"/>
      <c r="E1664" s="27"/>
      <c r="F1664" s="27"/>
      <c r="G1664" s="27"/>
      <c r="H1664" s="27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  <c r="Z1664" s="17"/>
      <c r="AA1664" s="17"/>
      <c r="AB1664" s="17"/>
      <c r="AC1664" s="17"/>
      <c r="AD1664" s="27"/>
    </row>
    <row r="1665" ht="15.75" customHeight="1">
      <c r="A1665" s="27"/>
      <c r="B1665" s="27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  <c r="Z1665" s="17"/>
      <c r="AA1665" s="17"/>
      <c r="AB1665" s="17"/>
      <c r="AC1665" s="17"/>
      <c r="AD1665" s="27"/>
    </row>
    <row r="1666" ht="15.75" customHeight="1">
      <c r="A1666" s="27"/>
      <c r="B1666" s="27"/>
      <c r="C1666" s="27"/>
      <c r="D1666" s="27"/>
      <c r="E1666" s="27"/>
      <c r="F1666" s="27"/>
      <c r="G1666" s="27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17"/>
      <c r="AA1666" s="17"/>
      <c r="AB1666" s="17"/>
      <c r="AC1666" s="17"/>
      <c r="AD1666" s="27"/>
    </row>
    <row r="1667" ht="15.75" customHeight="1">
      <c r="A1667" s="27"/>
      <c r="B1667" s="27"/>
      <c r="C1667" s="27"/>
      <c r="D1667" s="27"/>
      <c r="E1667" s="27"/>
      <c r="F1667" s="27"/>
      <c r="G1667" s="27"/>
      <c r="H1667" s="27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  <c r="Z1667" s="17"/>
      <c r="AA1667" s="17"/>
      <c r="AB1667" s="17"/>
      <c r="AC1667" s="17"/>
      <c r="AD1667" s="27"/>
    </row>
    <row r="1668" ht="15.75" customHeight="1">
      <c r="A1668" s="27"/>
      <c r="B1668" s="27"/>
      <c r="C1668" s="27"/>
      <c r="D1668" s="27"/>
      <c r="E1668" s="27"/>
      <c r="F1668" s="27"/>
      <c r="G1668" s="27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17"/>
      <c r="AA1668" s="17"/>
      <c r="AB1668" s="17"/>
      <c r="AC1668" s="17"/>
      <c r="AD1668" s="27"/>
    </row>
    <row r="1669" ht="15.75" customHeight="1">
      <c r="A1669" s="27"/>
      <c r="B1669" s="27"/>
      <c r="C1669" s="27"/>
      <c r="D1669" s="27"/>
      <c r="E1669" s="27"/>
      <c r="F1669" s="27"/>
      <c r="G1669" s="27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  <c r="Z1669" s="17"/>
      <c r="AA1669" s="17"/>
      <c r="AB1669" s="17"/>
      <c r="AC1669" s="17"/>
      <c r="AD1669" s="27"/>
    </row>
    <row r="1670" ht="15.75" customHeight="1">
      <c r="A1670" s="27"/>
      <c r="B1670" s="27"/>
      <c r="C1670" s="27"/>
      <c r="D1670" s="27"/>
      <c r="E1670" s="27"/>
      <c r="F1670" s="27"/>
      <c r="G1670" s="27"/>
      <c r="H1670" s="27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  <c r="Z1670" s="17"/>
      <c r="AA1670" s="17"/>
      <c r="AB1670" s="17"/>
      <c r="AC1670" s="17"/>
      <c r="AD1670" s="27"/>
    </row>
    <row r="1671" ht="15.75" customHeight="1">
      <c r="A1671" s="27"/>
      <c r="B1671" s="27"/>
      <c r="C1671" s="27"/>
      <c r="D1671" s="27"/>
      <c r="E1671" s="27"/>
      <c r="F1671" s="27"/>
      <c r="G1671" s="27"/>
      <c r="H1671" s="27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17"/>
      <c r="AA1671" s="17"/>
      <c r="AB1671" s="17"/>
      <c r="AC1671" s="17"/>
      <c r="AD1671" s="27"/>
    </row>
    <row r="1672" ht="15.75" customHeight="1">
      <c r="A1672" s="27"/>
      <c r="B1672" s="27"/>
      <c r="C1672" s="27"/>
      <c r="D1672" s="27"/>
      <c r="E1672" s="27"/>
      <c r="F1672" s="27"/>
      <c r="G1672" s="27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17"/>
      <c r="AA1672" s="17"/>
      <c r="AB1672" s="17"/>
      <c r="AC1672" s="17"/>
      <c r="AD1672" s="27"/>
    </row>
    <row r="1673" ht="15.75" customHeight="1">
      <c r="A1673" s="27"/>
      <c r="B1673" s="27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  <c r="Z1673" s="17"/>
      <c r="AA1673" s="17"/>
      <c r="AB1673" s="17"/>
      <c r="AC1673" s="17"/>
      <c r="AD1673" s="27"/>
    </row>
    <row r="1674" ht="15.75" customHeight="1">
      <c r="A1674" s="27"/>
      <c r="B1674" s="27"/>
      <c r="C1674" s="27"/>
      <c r="D1674" s="27"/>
      <c r="E1674" s="27"/>
      <c r="F1674" s="27"/>
      <c r="G1674" s="27"/>
      <c r="H1674" s="27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  <c r="Z1674" s="17"/>
      <c r="AA1674" s="17"/>
      <c r="AB1674" s="17"/>
      <c r="AC1674" s="17"/>
      <c r="AD1674" s="27"/>
    </row>
    <row r="1675" ht="15.75" customHeight="1">
      <c r="A1675" s="27"/>
      <c r="B1675" s="27"/>
      <c r="C1675" s="27"/>
      <c r="D1675" s="27"/>
      <c r="E1675" s="27"/>
      <c r="F1675" s="27"/>
      <c r="G1675" s="27"/>
      <c r="H1675" s="27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17"/>
      <c r="AA1675" s="17"/>
      <c r="AB1675" s="17"/>
      <c r="AC1675" s="17"/>
      <c r="AD1675" s="27"/>
    </row>
    <row r="1676" ht="15.75" customHeight="1">
      <c r="A1676" s="27"/>
      <c r="B1676" s="27"/>
      <c r="C1676" s="27"/>
      <c r="D1676" s="27"/>
      <c r="E1676" s="27"/>
      <c r="F1676" s="27"/>
      <c r="G1676" s="27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  <c r="Z1676" s="17"/>
      <c r="AA1676" s="17"/>
      <c r="AB1676" s="17"/>
      <c r="AC1676" s="17"/>
      <c r="AD1676" s="27"/>
    </row>
    <row r="1677" ht="15.75" customHeight="1">
      <c r="A1677" s="27"/>
      <c r="B1677" s="27"/>
      <c r="C1677" s="27"/>
      <c r="D1677" s="27"/>
      <c r="E1677" s="27"/>
      <c r="F1677" s="27"/>
      <c r="G1677" s="27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  <c r="Z1677" s="17"/>
      <c r="AA1677" s="17"/>
      <c r="AB1677" s="17"/>
      <c r="AC1677" s="17"/>
      <c r="AD1677" s="27"/>
    </row>
    <row r="1678" ht="15.75" customHeight="1">
      <c r="A1678" s="27"/>
      <c r="B1678" s="27"/>
      <c r="C1678" s="27"/>
      <c r="D1678" s="27"/>
      <c r="E1678" s="27"/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17"/>
      <c r="AA1678" s="17"/>
      <c r="AB1678" s="17"/>
      <c r="AC1678" s="17"/>
      <c r="AD1678" s="27"/>
    </row>
    <row r="1679" ht="15.75" customHeight="1">
      <c r="A1679" s="27"/>
      <c r="B1679" s="27"/>
      <c r="C1679" s="27"/>
      <c r="D1679" s="27"/>
      <c r="E1679" s="27"/>
      <c r="F1679" s="27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17"/>
      <c r="AA1679" s="17"/>
      <c r="AB1679" s="17"/>
      <c r="AC1679" s="17"/>
      <c r="AD1679" s="27"/>
    </row>
    <row r="1680" ht="15.75" customHeight="1">
      <c r="A1680" s="27"/>
      <c r="B1680" s="27"/>
      <c r="C1680" s="27"/>
      <c r="D1680" s="27"/>
      <c r="E1680" s="27"/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17"/>
      <c r="AA1680" s="17"/>
      <c r="AB1680" s="17"/>
      <c r="AC1680" s="17"/>
      <c r="AD1680" s="27"/>
    </row>
    <row r="1681" ht="15.75" customHeight="1">
      <c r="A1681" s="27"/>
      <c r="B1681" s="27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17"/>
      <c r="AA1681" s="17"/>
      <c r="AB1681" s="17"/>
      <c r="AC1681" s="17"/>
      <c r="AD1681" s="27"/>
    </row>
    <row r="1682" ht="15.75" customHeight="1">
      <c r="A1682" s="27"/>
      <c r="B1682" s="27"/>
      <c r="C1682" s="27"/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17"/>
      <c r="AA1682" s="17"/>
      <c r="AB1682" s="17"/>
      <c r="AC1682" s="17"/>
      <c r="AD1682" s="27"/>
    </row>
    <row r="1683" ht="15.75" customHeight="1">
      <c r="A1683" s="27"/>
      <c r="B1683" s="27"/>
      <c r="C1683" s="27"/>
      <c r="D1683" s="27"/>
      <c r="E1683" s="27"/>
      <c r="F1683" s="27"/>
      <c r="G1683" s="27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  <c r="Z1683" s="17"/>
      <c r="AA1683" s="17"/>
      <c r="AB1683" s="17"/>
      <c r="AC1683" s="17"/>
      <c r="AD1683" s="27"/>
    </row>
    <row r="1684" ht="15.75" customHeight="1">
      <c r="A1684" s="27"/>
      <c r="B1684" s="27"/>
      <c r="C1684" s="27"/>
      <c r="D1684" s="27"/>
      <c r="E1684" s="27"/>
      <c r="F1684" s="27"/>
      <c r="G1684" s="27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17"/>
      <c r="AA1684" s="17"/>
      <c r="AB1684" s="17"/>
      <c r="AC1684" s="17"/>
      <c r="AD1684" s="27"/>
    </row>
    <row r="1685" ht="15.75" customHeight="1">
      <c r="A1685" s="27"/>
      <c r="B1685" s="27"/>
      <c r="C1685" s="27"/>
      <c r="D1685" s="27"/>
      <c r="E1685" s="27"/>
      <c r="F1685" s="27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17"/>
      <c r="AA1685" s="17"/>
      <c r="AB1685" s="17"/>
      <c r="AC1685" s="17"/>
      <c r="AD1685" s="27"/>
    </row>
    <row r="1686" ht="15.75" customHeight="1">
      <c r="A1686" s="27"/>
      <c r="B1686" s="27"/>
      <c r="C1686" s="27"/>
      <c r="D1686" s="27"/>
      <c r="E1686" s="27"/>
      <c r="F1686" s="27"/>
      <c r="G1686" s="27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  <c r="Z1686" s="17"/>
      <c r="AA1686" s="17"/>
      <c r="AB1686" s="17"/>
      <c r="AC1686" s="17"/>
      <c r="AD1686" s="27"/>
    </row>
    <row r="1687" ht="15.75" customHeight="1">
      <c r="A1687" s="27"/>
      <c r="B1687" s="27"/>
      <c r="C1687" s="27"/>
      <c r="D1687" s="27"/>
      <c r="E1687" s="27"/>
      <c r="F1687" s="27"/>
      <c r="G1687" s="27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17"/>
      <c r="AA1687" s="17"/>
      <c r="AB1687" s="17"/>
      <c r="AC1687" s="17"/>
      <c r="AD1687" s="27"/>
    </row>
    <row r="1688" ht="15.75" customHeight="1">
      <c r="A1688" s="27"/>
      <c r="B1688" s="27"/>
      <c r="C1688" s="27"/>
      <c r="D1688" s="27"/>
      <c r="E1688" s="27"/>
      <c r="F1688" s="27"/>
      <c r="G1688" s="27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17"/>
      <c r="AA1688" s="17"/>
      <c r="AB1688" s="17"/>
      <c r="AC1688" s="17"/>
      <c r="AD1688" s="27"/>
    </row>
    <row r="1689" ht="15.75" customHeight="1">
      <c r="A1689" s="27"/>
      <c r="B1689" s="27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17"/>
      <c r="AA1689" s="17"/>
      <c r="AB1689" s="17"/>
      <c r="AC1689" s="17"/>
      <c r="AD1689" s="27"/>
    </row>
    <row r="1690" ht="15.75" customHeight="1">
      <c r="A1690" s="27"/>
      <c r="B1690" s="27"/>
      <c r="C1690" s="27"/>
      <c r="D1690" s="27"/>
      <c r="E1690" s="27"/>
      <c r="F1690" s="27"/>
      <c r="G1690" s="27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17"/>
      <c r="AA1690" s="17"/>
      <c r="AB1690" s="17"/>
      <c r="AC1690" s="17"/>
      <c r="AD1690" s="27"/>
    </row>
    <row r="1691" ht="15.75" customHeight="1">
      <c r="A1691" s="27"/>
      <c r="B1691" s="27"/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17"/>
      <c r="AA1691" s="17"/>
      <c r="AB1691" s="17"/>
      <c r="AC1691" s="17"/>
      <c r="AD1691" s="27"/>
    </row>
    <row r="1692" ht="15.75" customHeight="1">
      <c r="A1692" s="27"/>
      <c r="B1692" s="27"/>
      <c r="C1692" s="27"/>
      <c r="D1692" s="27"/>
      <c r="E1692" s="27"/>
      <c r="F1692" s="27"/>
      <c r="G1692" s="27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17"/>
      <c r="AA1692" s="17"/>
      <c r="AB1692" s="17"/>
      <c r="AC1692" s="17"/>
      <c r="AD1692" s="27"/>
    </row>
    <row r="1693" ht="15.75" customHeight="1">
      <c r="A1693" s="27"/>
      <c r="B1693" s="27"/>
      <c r="C1693" s="27"/>
      <c r="D1693" s="27"/>
      <c r="E1693" s="27"/>
      <c r="F1693" s="27"/>
      <c r="G1693" s="27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  <c r="Z1693" s="17"/>
      <c r="AA1693" s="17"/>
      <c r="AB1693" s="17"/>
      <c r="AC1693" s="17"/>
      <c r="AD1693" s="27"/>
    </row>
    <row r="1694" ht="15.75" customHeight="1">
      <c r="A1694" s="27"/>
      <c r="B1694" s="27"/>
      <c r="C1694" s="27"/>
      <c r="D1694" s="27"/>
      <c r="E1694" s="27"/>
      <c r="F1694" s="27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17"/>
      <c r="AA1694" s="17"/>
      <c r="AB1694" s="17"/>
      <c r="AC1694" s="17"/>
      <c r="AD1694" s="27"/>
    </row>
    <row r="1695" ht="15.75" customHeight="1">
      <c r="A1695" s="27"/>
      <c r="B1695" s="27"/>
      <c r="C1695" s="27"/>
      <c r="D1695" s="27"/>
      <c r="E1695" s="27"/>
      <c r="F1695" s="27"/>
      <c r="G1695" s="27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17"/>
      <c r="AA1695" s="17"/>
      <c r="AB1695" s="17"/>
      <c r="AC1695" s="17"/>
      <c r="AD1695" s="27"/>
    </row>
    <row r="1696" ht="15.75" customHeight="1">
      <c r="A1696" s="27"/>
      <c r="B1696" s="27"/>
      <c r="C1696" s="27"/>
      <c r="D1696" s="27"/>
      <c r="E1696" s="27"/>
      <c r="F1696" s="27"/>
      <c r="G1696" s="27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17"/>
      <c r="AA1696" s="17"/>
      <c r="AB1696" s="17"/>
      <c r="AC1696" s="17"/>
      <c r="AD1696" s="27"/>
    </row>
    <row r="1697" ht="15.75" customHeight="1">
      <c r="A1697" s="27"/>
      <c r="B1697" s="27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17"/>
      <c r="AA1697" s="17"/>
      <c r="AB1697" s="17"/>
      <c r="AC1697" s="17"/>
      <c r="AD1697" s="27"/>
    </row>
    <row r="1698" ht="15.75" customHeight="1">
      <c r="A1698" s="27"/>
      <c r="B1698" s="27"/>
      <c r="C1698" s="27"/>
      <c r="D1698" s="27"/>
      <c r="E1698" s="27"/>
      <c r="F1698" s="27"/>
      <c r="G1698" s="27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17"/>
      <c r="AA1698" s="17"/>
      <c r="AB1698" s="17"/>
      <c r="AC1698" s="17"/>
      <c r="AD1698" s="27"/>
    </row>
    <row r="1699" ht="15.75" customHeight="1">
      <c r="A1699" s="27"/>
      <c r="B1699" s="27"/>
      <c r="C1699" s="27"/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17"/>
      <c r="AA1699" s="17"/>
      <c r="AB1699" s="17"/>
      <c r="AC1699" s="17"/>
      <c r="AD1699" s="27"/>
    </row>
    <row r="1700" ht="15.75" customHeight="1">
      <c r="A1700" s="27"/>
      <c r="B1700" s="27"/>
      <c r="C1700" s="27"/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17"/>
      <c r="AA1700" s="17"/>
      <c r="AB1700" s="17"/>
      <c r="AC1700" s="17"/>
      <c r="AD1700" s="27"/>
    </row>
    <row r="1701" ht="15.75" customHeight="1">
      <c r="A1701" s="27"/>
      <c r="B1701" s="27"/>
      <c r="C1701" s="27"/>
      <c r="D1701" s="27"/>
      <c r="E1701" s="27"/>
      <c r="F1701" s="27"/>
      <c r="G1701" s="27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17"/>
      <c r="AA1701" s="17"/>
      <c r="AB1701" s="17"/>
      <c r="AC1701" s="17"/>
      <c r="AD1701" s="27"/>
    </row>
    <row r="1702" ht="15.75" customHeight="1">
      <c r="A1702" s="27"/>
      <c r="B1702" s="27"/>
      <c r="C1702" s="27"/>
      <c r="D1702" s="27"/>
      <c r="E1702" s="27"/>
      <c r="F1702" s="27"/>
      <c r="G1702" s="27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17"/>
      <c r="AA1702" s="17"/>
      <c r="AB1702" s="17"/>
      <c r="AC1702" s="17"/>
      <c r="AD1702" s="27"/>
    </row>
    <row r="1703" ht="15.75" customHeight="1">
      <c r="A1703" s="27"/>
      <c r="B1703" s="27"/>
      <c r="C1703" s="27"/>
      <c r="D1703" s="27"/>
      <c r="E1703" s="27"/>
      <c r="F1703" s="27"/>
      <c r="G1703" s="27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17"/>
      <c r="AA1703" s="17"/>
      <c r="AB1703" s="17"/>
      <c r="AC1703" s="17"/>
      <c r="AD1703" s="27"/>
    </row>
    <row r="1704" ht="15.75" customHeight="1">
      <c r="A1704" s="27"/>
      <c r="B1704" s="27"/>
      <c r="C1704" s="27"/>
      <c r="D1704" s="27"/>
      <c r="E1704" s="27"/>
      <c r="F1704" s="27"/>
      <c r="G1704" s="27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  <c r="Z1704" s="17"/>
      <c r="AA1704" s="17"/>
      <c r="AB1704" s="17"/>
      <c r="AC1704" s="17"/>
      <c r="AD1704" s="27"/>
    </row>
    <row r="1705" ht="15.75" customHeight="1">
      <c r="A1705" s="27"/>
      <c r="B1705" s="27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  <c r="Z1705" s="17"/>
      <c r="AA1705" s="17"/>
      <c r="AB1705" s="17"/>
      <c r="AC1705" s="17"/>
      <c r="AD1705" s="27"/>
    </row>
    <row r="1706" ht="15.75" customHeight="1">
      <c r="A1706" s="27"/>
      <c r="B1706" s="27"/>
      <c r="C1706" s="27"/>
      <c r="D1706" s="27"/>
      <c r="E1706" s="27"/>
      <c r="F1706" s="27"/>
      <c r="G1706" s="27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17"/>
      <c r="AA1706" s="17"/>
      <c r="AB1706" s="17"/>
      <c r="AC1706" s="17"/>
      <c r="AD1706" s="27"/>
    </row>
    <row r="1707" ht="15.75" customHeight="1">
      <c r="A1707" s="27"/>
      <c r="B1707" s="27"/>
      <c r="C1707" s="27"/>
      <c r="D1707" s="27"/>
      <c r="E1707" s="27"/>
      <c r="F1707" s="27"/>
      <c r="G1707" s="27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  <c r="Z1707" s="17"/>
      <c r="AA1707" s="17"/>
      <c r="AB1707" s="17"/>
      <c r="AC1707" s="17"/>
      <c r="AD1707" s="27"/>
    </row>
    <row r="1708" ht="15.75" customHeight="1">
      <c r="A1708" s="27"/>
      <c r="B1708" s="27"/>
      <c r="C1708" s="27"/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17"/>
      <c r="AA1708" s="17"/>
      <c r="AB1708" s="17"/>
      <c r="AC1708" s="17"/>
      <c r="AD1708" s="27"/>
    </row>
    <row r="1709" ht="15.75" customHeight="1">
      <c r="A1709" s="27"/>
      <c r="B1709" s="27"/>
      <c r="C1709" s="27"/>
      <c r="D1709" s="27"/>
      <c r="E1709" s="27"/>
      <c r="F1709" s="27"/>
      <c r="G1709" s="27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  <c r="Z1709" s="17"/>
      <c r="AA1709" s="17"/>
      <c r="AB1709" s="17"/>
      <c r="AC1709" s="17"/>
      <c r="AD1709" s="27"/>
    </row>
    <row r="1710" ht="15.75" customHeight="1">
      <c r="A1710" s="27"/>
      <c r="B1710" s="27"/>
      <c r="C1710" s="27"/>
      <c r="D1710" s="27"/>
      <c r="E1710" s="27"/>
      <c r="F1710" s="27"/>
      <c r="G1710" s="27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  <c r="Z1710" s="17"/>
      <c r="AA1710" s="17"/>
      <c r="AB1710" s="17"/>
      <c r="AC1710" s="17"/>
      <c r="AD1710" s="27"/>
    </row>
    <row r="1711" ht="15.75" customHeight="1">
      <c r="A1711" s="27"/>
      <c r="B1711" s="27"/>
      <c r="C1711" s="27"/>
      <c r="D1711" s="27"/>
      <c r="E1711" s="27"/>
      <c r="F1711" s="27"/>
      <c r="G1711" s="27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  <c r="Z1711" s="17"/>
      <c r="AA1711" s="17"/>
      <c r="AB1711" s="17"/>
      <c r="AC1711" s="17"/>
      <c r="AD1711" s="27"/>
    </row>
    <row r="1712" ht="15.75" customHeight="1">
      <c r="A1712" s="27"/>
      <c r="B1712" s="27"/>
      <c r="C1712" s="27"/>
      <c r="D1712" s="27"/>
      <c r="E1712" s="27"/>
      <c r="F1712" s="27"/>
      <c r="G1712" s="27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  <c r="Z1712" s="17"/>
      <c r="AA1712" s="17"/>
      <c r="AB1712" s="17"/>
      <c r="AC1712" s="17"/>
      <c r="AD1712" s="27"/>
    </row>
    <row r="1713" ht="15.75" customHeight="1">
      <c r="A1713" s="27"/>
      <c r="B1713" s="27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17"/>
      <c r="AA1713" s="17"/>
      <c r="AB1713" s="17"/>
      <c r="AC1713" s="17"/>
      <c r="AD1713" s="27"/>
    </row>
    <row r="1714" ht="15.75" customHeight="1">
      <c r="A1714" s="27"/>
      <c r="B1714" s="27"/>
      <c r="C1714" s="27"/>
      <c r="D1714" s="27"/>
      <c r="E1714" s="27"/>
      <c r="F1714" s="27"/>
      <c r="G1714" s="27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  <c r="Z1714" s="17"/>
      <c r="AA1714" s="17"/>
      <c r="AB1714" s="17"/>
      <c r="AC1714" s="17"/>
      <c r="AD1714" s="27"/>
    </row>
    <row r="1715" ht="15.75" customHeight="1">
      <c r="A1715" s="27"/>
      <c r="B1715" s="27"/>
      <c r="C1715" s="27"/>
      <c r="D1715" s="27"/>
      <c r="E1715" s="27"/>
      <c r="F1715" s="27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17"/>
      <c r="AA1715" s="17"/>
      <c r="AB1715" s="17"/>
      <c r="AC1715" s="17"/>
      <c r="AD1715" s="27"/>
    </row>
    <row r="1716" ht="15.75" customHeight="1">
      <c r="A1716" s="27"/>
      <c r="B1716" s="27"/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17"/>
      <c r="AA1716" s="17"/>
      <c r="AB1716" s="17"/>
      <c r="AC1716" s="17"/>
      <c r="AD1716" s="27"/>
    </row>
    <row r="1717" ht="15.75" customHeight="1">
      <c r="A1717" s="27"/>
      <c r="B1717" s="27"/>
      <c r="C1717" s="27"/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  <c r="Z1717" s="17"/>
      <c r="AA1717" s="17"/>
      <c r="AB1717" s="17"/>
      <c r="AC1717" s="17"/>
      <c r="AD1717" s="27"/>
    </row>
    <row r="1718" ht="15.75" customHeight="1">
      <c r="A1718" s="27"/>
      <c r="B1718" s="27"/>
      <c r="C1718" s="27"/>
      <c r="D1718" s="27"/>
      <c r="E1718" s="27"/>
      <c r="F1718" s="27"/>
      <c r="G1718" s="27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17"/>
      <c r="AA1718" s="17"/>
      <c r="AB1718" s="17"/>
      <c r="AC1718" s="17"/>
      <c r="AD1718" s="27"/>
    </row>
    <row r="1719" ht="15.75" customHeight="1">
      <c r="A1719" s="27"/>
      <c r="B1719" s="27"/>
      <c r="C1719" s="27"/>
      <c r="D1719" s="27"/>
      <c r="E1719" s="27"/>
      <c r="F1719" s="27"/>
      <c r="G1719" s="27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17"/>
      <c r="AA1719" s="17"/>
      <c r="AB1719" s="17"/>
      <c r="AC1719" s="17"/>
      <c r="AD1719" s="27"/>
    </row>
    <row r="1720" ht="15.75" customHeight="1">
      <c r="A1720" s="27"/>
      <c r="B1720" s="27"/>
      <c r="C1720" s="27"/>
      <c r="D1720" s="27"/>
      <c r="E1720" s="27"/>
      <c r="F1720" s="27"/>
      <c r="G1720" s="27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17"/>
      <c r="AA1720" s="17"/>
      <c r="AB1720" s="17"/>
      <c r="AC1720" s="17"/>
      <c r="AD1720" s="27"/>
    </row>
    <row r="1721" ht="15.75" customHeight="1">
      <c r="A1721" s="27"/>
      <c r="B1721" s="27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17"/>
      <c r="AA1721" s="17"/>
      <c r="AB1721" s="17"/>
      <c r="AC1721" s="17"/>
      <c r="AD1721" s="27"/>
    </row>
    <row r="1722" ht="15.75" customHeight="1">
      <c r="A1722" s="27"/>
      <c r="B1722" s="27"/>
      <c r="C1722" s="27"/>
      <c r="D1722" s="27"/>
      <c r="E1722" s="27"/>
      <c r="F1722" s="27"/>
      <c r="G1722" s="27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17"/>
      <c r="AA1722" s="17"/>
      <c r="AB1722" s="17"/>
      <c r="AC1722" s="17"/>
      <c r="AD1722" s="27"/>
    </row>
    <row r="1723" ht="15.75" customHeight="1">
      <c r="A1723" s="27"/>
      <c r="B1723" s="27"/>
      <c r="C1723" s="27"/>
      <c r="D1723" s="27"/>
      <c r="E1723" s="27"/>
      <c r="F1723" s="27"/>
      <c r="G1723" s="27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17"/>
      <c r="AA1723" s="17"/>
      <c r="AB1723" s="17"/>
      <c r="AC1723" s="17"/>
      <c r="AD1723" s="27"/>
    </row>
    <row r="1724" ht="15.75" customHeight="1">
      <c r="A1724" s="27"/>
      <c r="B1724" s="27"/>
      <c r="C1724" s="27"/>
      <c r="D1724" s="27"/>
      <c r="E1724" s="27"/>
      <c r="F1724" s="27"/>
      <c r="G1724" s="27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17"/>
      <c r="AA1724" s="17"/>
      <c r="AB1724" s="17"/>
      <c r="AC1724" s="17"/>
      <c r="AD1724" s="27"/>
    </row>
    <row r="1725" ht="15.75" customHeight="1">
      <c r="A1725" s="27"/>
      <c r="B1725" s="27"/>
      <c r="C1725" s="27"/>
      <c r="D1725" s="27"/>
      <c r="E1725" s="27"/>
      <c r="F1725" s="27"/>
      <c r="G1725" s="27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17"/>
      <c r="AA1725" s="17"/>
      <c r="AB1725" s="17"/>
      <c r="AC1725" s="17"/>
      <c r="AD1725" s="27"/>
    </row>
    <row r="1726" ht="15.75" customHeight="1">
      <c r="A1726" s="27"/>
      <c r="B1726" s="27"/>
      <c r="C1726" s="27"/>
      <c r="D1726" s="27"/>
      <c r="E1726" s="27"/>
      <c r="F1726" s="27"/>
      <c r="G1726" s="27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17"/>
      <c r="AA1726" s="17"/>
      <c r="AB1726" s="17"/>
      <c r="AC1726" s="17"/>
      <c r="AD1726" s="27"/>
    </row>
    <row r="1727" ht="15.75" customHeight="1">
      <c r="A1727" s="27"/>
      <c r="B1727" s="27"/>
      <c r="C1727" s="27"/>
      <c r="D1727" s="27"/>
      <c r="E1727" s="27"/>
      <c r="F1727" s="27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17"/>
      <c r="AA1727" s="17"/>
      <c r="AB1727" s="17"/>
      <c r="AC1727" s="17"/>
      <c r="AD1727" s="27"/>
    </row>
    <row r="1728" ht="15.75" customHeight="1">
      <c r="A1728" s="27"/>
      <c r="B1728" s="27"/>
      <c r="C1728" s="27"/>
      <c r="D1728" s="27"/>
      <c r="E1728" s="27"/>
      <c r="F1728" s="27"/>
      <c r="G1728" s="27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17"/>
      <c r="AA1728" s="17"/>
      <c r="AB1728" s="17"/>
      <c r="AC1728" s="17"/>
      <c r="AD1728" s="27"/>
    </row>
    <row r="1729" ht="15.75" customHeight="1">
      <c r="A1729" s="27"/>
      <c r="B1729" s="27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17"/>
      <c r="AA1729" s="17"/>
      <c r="AB1729" s="17"/>
      <c r="AC1729" s="17"/>
      <c r="AD1729" s="27"/>
    </row>
    <row r="1730" ht="15.75" customHeight="1">
      <c r="A1730" s="27"/>
      <c r="B1730" s="27"/>
      <c r="C1730" s="27"/>
      <c r="D1730" s="27"/>
      <c r="E1730" s="27"/>
      <c r="F1730" s="27"/>
      <c r="G1730" s="27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17"/>
      <c r="AA1730" s="17"/>
      <c r="AB1730" s="17"/>
      <c r="AC1730" s="17"/>
      <c r="AD1730" s="27"/>
    </row>
    <row r="1731" ht="15.75" customHeight="1">
      <c r="A1731" s="27"/>
      <c r="B1731" s="27"/>
      <c r="C1731" s="27"/>
      <c r="D1731" s="27"/>
      <c r="E1731" s="27"/>
      <c r="F1731" s="27"/>
      <c r="G1731" s="27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17"/>
      <c r="AA1731" s="17"/>
      <c r="AB1731" s="17"/>
      <c r="AC1731" s="17"/>
      <c r="AD1731" s="27"/>
    </row>
    <row r="1732" ht="15.75" customHeight="1">
      <c r="A1732" s="27"/>
      <c r="B1732" s="27"/>
      <c r="C1732" s="27"/>
      <c r="D1732" s="27"/>
      <c r="E1732" s="27"/>
      <c r="F1732" s="27"/>
      <c r="G1732" s="27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17"/>
      <c r="AA1732" s="17"/>
      <c r="AB1732" s="17"/>
      <c r="AC1732" s="17"/>
      <c r="AD1732" s="27"/>
    </row>
    <row r="1733" ht="15.75" customHeight="1">
      <c r="A1733" s="27"/>
      <c r="B1733" s="27"/>
      <c r="C1733" s="27"/>
      <c r="D1733" s="27"/>
      <c r="E1733" s="27"/>
      <c r="F1733" s="27"/>
      <c r="G1733" s="27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17"/>
      <c r="AA1733" s="17"/>
      <c r="AB1733" s="17"/>
      <c r="AC1733" s="17"/>
      <c r="AD1733" s="27"/>
    </row>
    <row r="1734" ht="15.75" customHeight="1">
      <c r="A1734" s="27"/>
      <c r="B1734" s="27"/>
      <c r="C1734" s="27"/>
      <c r="D1734" s="27"/>
      <c r="E1734" s="27"/>
      <c r="F1734" s="27"/>
      <c r="G1734" s="27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17"/>
      <c r="AA1734" s="17"/>
      <c r="AB1734" s="17"/>
      <c r="AC1734" s="17"/>
      <c r="AD1734" s="27"/>
    </row>
    <row r="1735" ht="15.75" customHeight="1">
      <c r="A1735" s="27"/>
      <c r="B1735" s="27"/>
      <c r="C1735" s="27"/>
      <c r="D1735" s="27"/>
      <c r="E1735" s="27"/>
      <c r="F1735" s="27"/>
      <c r="G1735" s="27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17"/>
      <c r="AA1735" s="17"/>
      <c r="AB1735" s="17"/>
      <c r="AC1735" s="17"/>
      <c r="AD1735" s="27"/>
    </row>
    <row r="1736" ht="15.75" customHeight="1">
      <c r="A1736" s="27"/>
      <c r="B1736" s="27"/>
      <c r="C1736" s="27"/>
      <c r="D1736" s="27"/>
      <c r="E1736" s="27"/>
      <c r="F1736" s="27"/>
      <c r="G1736" s="27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17"/>
      <c r="AA1736" s="17"/>
      <c r="AB1736" s="17"/>
      <c r="AC1736" s="17"/>
      <c r="AD1736" s="27"/>
    </row>
    <row r="1737" ht="15.75" customHeight="1">
      <c r="A1737" s="27"/>
      <c r="B1737" s="27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17"/>
      <c r="AA1737" s="17"/>
      <c r="AB1737" s="17"/>
      <c r="AC1737" s="17"/>
      <c r="AD1737" s="27"/>
    </row>
    <row r="1738" ht="15.75" customHeight="1">
      <c r="A1738" s="27"/>
      <c r="B1738" s="27"/>
      <c r="C1738" s="27"/>
      <c r="D1738" s="27"/>
      <c r="E1738" s="27"/>
      <c r="F1738" s="27"/>
      <c r="G1738" s="27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17"/>
      <c r="AA1738" s="17"/>
      <c r="AB1738" s="17"/>
      <c r="AC1738" s="17"/>
      <c r="AD1738" s="27"/>
    </row>
    <row r="1739" ht="15.75" customHeight="1">
      <c r="A1739" s="27"/>
      <c r="B1739" s="27"/>
      <c r="C1739" s="27"/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17"/>
      <c r="AA1739" s="17"/>
      <c r="AB1739" s="17"/>
      <c r="AC1739" s="17"/>
      <c r="AD1739" s="27"/>
    </row>
    <row r="1740" ht="15.75" customHeight="1">
      <c r="A1740" s="27"/>
      <c r="B1740" s="27"/>
      <c r="C1740" s="27"/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17"/>
      <c r="AA1740" s="17"/>
      <c r="AB1740" s="17"/>
      <c r="AC1740" s="17"/>
      <c r="AD1740" s="27"/>
    </row>
    <row r="1741" ht="15.75" customHeight="1">
      <c r="A1741" s="27"/>
      <c r="B1741" s="27"/>
      <c r="C1741" s="27"/>
      <c r="D1741" s="27"/>
      <c r="E1741" s="27"/>
      <c r="F1741" s="27"/>
      <c r="G1741" s="27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17"/>
      <c r="AA1741" s="17"/>
      <c r="AB1741" s="17"/>
      <c r="AC1741" s="17"/>
      <c r="AD1741" s="27"/>
    </row>
    <row r="1742" ht="15.75" customHeight="1">
      <c r="A1742" s="27"/>
      <c r="B1742" s="27"/>
      <c r="C1742" s="27"/>
      <c r="D1742" s="27"/>
      <c r="E1742" s="27"/>
      <c r="F1742" s="27"/>
      <c r="G1742" s="27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17"/>
      <c r="AA1742" s="17"/>
      <c r="AB1742" s="17"/>
      <c r="AC1742" s="17"/>
      <c r="AD1742" s="27"/>
    </row>
    <row r="1743" ht="15.75" customHeight="1">
      <c r="A1743" s="27"/>
      <c r="B1743" s="27"/>
      <c r="C1743" s="27"/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17"/>
      <c r="AA1743" s="17"/>
      <c r="AB1743" s="17"/>
      <c r="AC1743" s="17"/>
      <c r="AD1743" s="27"/>
    </row>
    <row r="1744" ht="15.75" customHeight="1">
      <c r="A1744" s="27"/>
      <c r="B1744" s="27"/>
      <c r="C1744" s="27"/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17"/>
      <c r="AA1744" s="17"/>
      <c r="AB1744" s="17"/>
      <c r="AC1744" s="17"/>
      <c r="AD1744" s="27"/>
    </row>
    <row r="1745" ht="15.75" customHeight="1">
      <c r="A1745" s="27"/>
      <c r="B1745" s="27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17"/>
      <c r="AA1745" s="17"/>
      <c r="AB1745" s="17"/>
      <c r="AC1745" s="17"/>
      <c r="AD1745" s="27"/>
    </row>
    <row r="1746" ht="15.75" customHeight="1">
      <c r="A1746" s="27"/>
      <c r="B1746" s="27"/>
      <c r="C1746" s="27"/>
      <c r="D1746" s="27"/>
      <c r="E1746" s="27"/>
      <c r="F1746" s="27"/>
      <c r="G1746" s="27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17"/>
      <c r="AA1746" s="17"/>
      <c r="AB1746" s="17"/>
      <c r="AC1746" s="17"/>
      <c r="AD1746" s="27"/>
    </row>
    <row r="1747" ht="15.75" customHeight="1">
      <c r="A1747" s="27"/>
      <c r="B1747" s="27"/>
      <c r="C1747" s="27"/>
      <c r="D1747" s="27"/>
      <c r="E1747" s="27"/>
      <c r="F1747" s="27"/>
      <c r="G1747" s="27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  <c r="Z1747" s="17"/>
      <c r="AA1747" s="17"/>
      <c r="AB1747" s="17"/>
      <c r="AC1747" s="17"/>
      <c r="AD1747" s="27"/>
    </row>
    <row r="1748" ht="15.75" customHeight="1">
      <c r="A1748" s="27"/>
      <c r="B1748" s="27"/>
      <c r="C1748" s="27"/>
      <c r="D1748" s="27"/>
      <c r="E1748" s="27"/>
      <c r="F1748" s="27"/>
      <c r="G1748" s="27"/>
      <c r="H1748" s="27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  <c r="Z1748" s="17"/>
      <c r="AA1748" s="17"/>
      <c r="AB1748" s="17"/>
      <c r="AC1748" s="17"/>
      <c r="AD1748" s="27"/>
    </row>
    <row r="1749" ht="15.75" customHeight="1">
      <c r="A1749" s="27"/>
      <c r="B1749" s="27"/>
      <c r="C1749" s="27"/>
      <c r="D1749" s="27"/>
      <c r="E1749" s="27"/>
      <c r="F1749" s="27"/>
      <c r="G1749" s="27"/>
      <c r="H1749" s="27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/>
      <c r="Z1749" s="17"/>
      <c r="AA1749" s="17"/>
      <c r="AB1749" s="17"/>
      <c r="AC1749" s="17"/>
      <c r="AD1749" s="27"/>
    </row>
    <row r="1750" ht="15.75" customHeight="1">
      <c r="A1750" s="27"/>
      <c r="B1750" s="27"/>
      <c r="C1750" s="27"/>
      <c r="D1750" s="27"/>
      <c r="E1750" s="27"/>
      <c r="F1750" s="27"/>
      <c r="G1750" s="27"/>
      <c r="H1750" s="27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17"/>
      <c r="AA1750" s="17"/>
      <c r="AB1750" s="17"/>
      <c r="AC1750" s="17"/>
      <c r="AD1750" s="27"/>
    </row>
    <row r="1751" ht="15.75" customHeight="1">
      <c r="A1751" s="27"/>
      <c r="B1751" s="27"/>
      <c r="C1751" s="27"/>
      <c r="D1751" s="27"/>
      <c r="E1751" s="27"/>
      <c r="F1751" s="27"/>
      <c r="G1751" s="27"/>
      <c r="H1751" s="27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  <c r="Z1751" s="17"/>
      <c r="AA1751" s="17"/>
      <c r="AB1751" s="17"/>
      <c r="AC1751" s="17"/>
      <c r="AD1751" s="27"/>
    </row>
    <row r="1752" ht="15.75" customHeight="1">
      <c r="A1752" s="27"/>
      <c r="B1752" s="27"/>
      <c r="C1752" s="27"/>
      <c r="D1752" s="27"/>
      <c r="E1752" s="27"/>
      <c r="F1752" s="27"/>
      <c r="G1752" s="27"/>
      <c r="H1752" s="27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  <c r="Z1752" s="17"/>
      <c r="AA1752" s="17"/>
      <c r="AB1752" s="17"/>
      <c r="AC1752" s="17"/>
      <c r="AD1752" s="27"/>
    </row>
    <row r="1753" ht="15.75" customHeight="1">
      <c r="A1753" s="27"/>
      <c r="B1753" s="27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7"/>
      <c r="X1753" s="27"/>
      <c r="Y1753" s="27"/>
      <c r="Z1753" s="17"/>
      <c r="AA1753" s="17"/>
      <c r="AB1753" s="17"/>
      <c r="AC1753" s="17"/>
      <c r="AD1753" s="27"/>
    </row>
    <row r="1754" ht="15.75" customHeight="1">
      <c r="A1754" s="27"/>
      <c r="B1754" s="27"/>
      <c r="C1754" s="27"/>
      <c r="D1754" s="27"/>
      <c r="E1754" s="27"/>
      <c r="F1754" s="27"/>
      <c r="G1754" s="27"/>
      <c r="H1754" s="27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7"/>
      <c r="X1754" s="27"/>
      <c r="Y1754" s="27"/>
      <c r="Z1754" s="17"/>
      <c r="AA1754" s="17"/>
      <c r="AB1754" s="17"/>
      <c r="AC1754" s="17"/>
      <c r="AD1754" s="27"/>
    </row>
    <row r="1755" ht="15.75" customHeight="1">
      <c r="A1755" s="27"/>
      <c r="B1755" s="27"/>
      <c r="C1755" s="27"/>
      <c r="D1755" s="27"/>
      <c r="E1755" s="27"/>
      <c r="F1755" s="27"/>
      <c r="G1755" s="27"/>
      <c r="H1755" s="27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  <c r="Z1755" s="17"/>
      <c r="AA1755" s="17"/>
      <c r="AB1755" s="17"/>
      <c r="AC1755" s="17"/>
      <c r="AD1755" s="27"/>
    </row>
    <row r="1756" ht="15.75" customHeight="1">
      <c r="A1756" s="27"/>
      <c r="B1756" s="27"/>
      <c r="C1756" s="27"/>
      <c r="D1756" s="27"/>
      <c r="E1756" s="27"/>
      <c r="F1756" s="27"/>
      <c r="G1756" s="27"/>
      <c r="H1756" s="27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  <c r="Z1756" s="17"/>
      <c r="AA1756" s="17"/>
      <c r="AB1756" s="17"/>
      <c r="AC1756" s="17"/>
      <c r="AD1756" s="27"/>
    </row>
    <row r="1757" ht="15.75" customHeight="1">
      <c r="A1757" s="27"/>
      <c r="B1757" s="27"/>
      <c r="C1757" s="27"/>
      <c r="D1757" s="27"/>
      <c r="E1757" s="27"/>
      <c r="F1757" s="27"/>
      <c r="G1757" s="27"/>
      <c r="H1757" s="27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  <c r="Z1757" s="17"/>
      <c r="AA1757" s="17"/>
      <c r="AB1757" s="17"/>
      <c r="AC1757" s="17"/>
      <c r="AD1757" s="27"/>
    </row>
    <row r="1758" ht="15.75" customHeight="1">
      <c r="A1758" s="27"/>
      <c r="B1758" s="27"/>
      <c r="C1758" s="27"/>
      <c r="D1758" s="27"/>
      <c r="E1758" s="27"/>
      <c r="F1758" s="27"/>
      <c r="G1758" s="27"/>
      <c r="H1758" s="27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  <c r="Z1758" s="17"/>
      <c r="AA1758" s="17"/>
      <c r="AB1758" s="17"/>
      <c r="AC1758" s="17"/>
      <c r="AD1758" s="27"/>
    </row>
    <row r="1759" ht="15.75" customHeight="1">
      <c r="A1759" s="27"/>
      <c r="B1759" s="27"/>
      <c r="C1759" s="27"/>
      <c r="D1759" s="27"/>
      <c r="E1759" s="27"/>
      <c r="F1759" s="27"/>
      <c r="G1759" s="27"/>
      <c r="H1759" s="27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  <c r="Z1759" s="17"/>
      <c r="AA1759" s="17"/>
      <c r="AB1759" s="17"/>
      <c r="AC1759" s="17"/>
      <c r="AD1759" s="27"/>
    </row>
    <row r="1760" ht="15.75" customHeight="1">
      <c r="A1760" s="27"/>
      <c r="B1760" s="27"/>
      <c r="C1760" s="27"/>
      <c r="D1760" s="27"/>
      <c r="E1760" s="27"/>
      <c r="F1760" s="27"/>
      <c r="G1760" s="27"/>
      <c r="H1760" s="27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  <c r="Z1760" s="17"/>
      <c r="AA1760" s="17"/>
      <c r="AB1760" s="17"/>
      <c r="AC1760" s="17"/>
      <c r="AD1760" s="27"/>
    </row>
    <row r="1761" ht="15.75" customHeight="1">
      <c r="A1761" s="27"/>
      <c r="B1761" s="27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  <c r="Z1761" s="17"/>
      <c r="AA1761" s="17"/>
      <c r="AB1761" s="17"/>
      <c r="AC1761" s="17"/>
      <c r="AD1761" s="27"/>
    </row>
    <row r="1762" ht="15.75" customHeight="1">
      <c r="A1762" s="27"/>
      <c r="B1762" s="27"/>
      <c r="C1762" s="27"/>
      <c r="D1762" s="27"/>
      <c r="E1762" s="27"/>
      <c r="F1762" s="27"/>
      <c r="G1762" s="27"/>
      <c r="H1762" s="27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7"/>
      <c r="X1762" s="27"/>
      <c r="Y1762" s="27"/>
      <c r="Z1762" s="17"/>
      <c r="AA1762" s="17"/>
      <c r="AB1762" s="17"/>
      <c r="AC1762" s="17"/>
      <c r="AD1762" s="27"/>
    </row>
    <row r="1763" ht="15.75" customHeight="1">
      <c r="A1763" s="27"/>
      <c r="B1763" s="27"/>
      <c r="C1763" s="27"/>
      <c r="D1763" s="27"/>
      <c r="E1763" s="27"/>
      <c r="F1763" s="27"/>
      <c r="G1763" s="27"/>
      <c r="H1763" s="27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/>
      <c r="Z1763" s="17"/>
      <c r="AA1763" s="17"/>
      <c r="AB1763" s="17"/>
      <c r="AC1763" s="17"/>
      <c r="AD1763" s="27"/>
    </row>
    <row r="1764" ht="15.75" customHeight="1">
      <c r="A1764" s="27"/>
      <c r="B1764" s="27"/>
      <c r="C1764" s="27"/>
      <c r="D1764" s="27"/>
      <c r="E1764" s="27"/>
      <c r="F1764" s="27"/>
      <c r="G1764" s="27"/>
      <c r="H1764" s="27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  <c r="Z1764" s="17"/>
      <c r="AA1764" s="17"/>
      <c r="AB1764" s="17"/>
      <c r="AC1764" s="17"/>
      <c r="AD1764" s="27"/>
    </row>
    <row r="1765" ht="15.75" customHeight="1">
      <c r="A1765" s="27"/>
      <c r="B1765" s="27"/>
      <c r="C1765" s="27"/>
      <c r="D1765" s="27"/>
      <c r="E1765" s="27"/>
      <c r="F1765" s="27"/>
      <c r="G1765" s="27"/>
      <c r="H1765" s="27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/>
      <c r="Z1765" s="17"/>
      <c r="AA1765" s="17"/>
      <c r="AB1765" s="17"/>
      <c r="AC1765" s="17"/>
      <c r="AD1765" s="27"/>
    </row>
    <row r="1766" ht="15.75" customHeight="1">
      <c r="A1766" s="27"/>
      <c r="B1766" s="27"/>
      <c r="C1766" s="27"/>
      <c r="D1766" s="27"/>
      <c r="E1766" s="27"/>
      <c r="F1766" s="27"/>
      <c r="G1766" s="27"/>
      <c r="H1766" s="27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  <c r="Z1766" s="17"/>
      <c r="AA1766" s="17"/>
      <c r="AB1766" s="17"/>
      <c r="AC1766" s="17"/>
      <c r="AD1766" s="27"/>
    </row>
    <row r="1767" ht="15.75" customHeight="1">
      <c r="A1767" s="27"/>
      <c r="B1767" s="27"/>
      <c r="C1767" s="27"/>
      <c r="D1767" s="27"/>
      <c r="E1767" s="27"/>
      <c r="F1767" s="27"/>
      <c r="G1767" s="27"/>
      <c r="H1767" s="27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  <c r="Z1767" s="17"/>
      <c r="AA1767" s="17"/>
      <c r="AB1767" s="17"/>
      <c r="AC1767" s="17"/>
      <c r="AD1767" s="27"/>
    </row>
    <row r="1768" ht="15.75" customHeight="1">
      <c r="A1768" s="27"/>
      <c r="B1768" s="27"/>
      <c r="C1768" s="27"/>
      <c r="D1768" s="27"/>
      <c r="E1768" s="27"/>
      <c r="F1768" s="27"/>
      <c r="G1768" s="27"/>
      <c r="H1768" s="27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  <c r="Z1768" s="17"/>
      <c r="AA1768" s="17"/>
      <c r="AB1768" s="17"/>
      <c r="AC1768" s="17"/>
      <c r="AD1768" s="27"/>
    </row>
    <row r="1769" ht="15.75" customHeight="1">
      <c r="A1769" s="27"/>
      <c r="B1769" s="27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  <c r="Z1769" s="17"/>
      <c r="AA1769" s="17"/>
      <c r="AB1769" s="17"/>
      <c r="AC1769" s="17"/>
      <c r="AD1769" s="27"/>
    </row>
    <row r="1770" ht="15.75" customHeight="1">
      <c r="A1770" s="27"/>
      <c r="B1770" s="27"/>
      <c r="C1770" s="27"/>
      <c r="D1770" s="27"/>
      <c r="E1770" s="27"/>
      <c r="F1770" s="27"/>
      <c r="G1770" s="27"/>
      <c r="H1770" s="27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17"/>
      <c r="AA1770" s="17"/>
      <c r="AB1770" s="17"/>
      <c r="AC1770" s="17"/>
      <c r="AD1770" s="27"/>
    </row>
    <row r="1771" ht="15.75" customHeight="1">
      <c r="A1771" s="27"/>
      <c r="B1771" s="27"/>
      <c r="C1771" s="27"/>
      <c r="D1771" s="27"/>
      <c r="E1771" s="27"/>
      <c r="F1771" s="27"/>
      <c r="G1771" s="27"/>
      <c r="H1771" s="27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17"/>
      <c r="AA1771" s="17"/>
      <c r="AB1771" s="17"/>
      <c r="AC1771" s="17"/>
      <c r="AD1771" s="27"/>
    </row>
    <row r="1772" ht="15.75" customHeight="1">
      <c r="A1772" s="27"/>
      <c r="B1772" s="27"/>
      <c r="C1772" s="27"/>
      <c r="D1772" s="27"/>
      <c r="E1772" s="27"/>
      <c r="F1772" s="27"/>
      <c r="G1772" s="27"/>
      <c r="H1772" s="27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/>
      <c r="Z1772" s="17"/>
      <c r="AA1772" s="17"/>
      <c r="AB1772" s="17"/>
      <c r="AC1772" s="17"/>
      <c r="AD1772" s="27"/>
    </row>
    <row r="1773" ht="15.75" customHeight="1">
      <c r="A1773" s="27"/>
      <c r="B1773" s="27"/>
      <c r="C1773" s="27"/>
      <c r="D1773" s="27"/>
      <c r="E1773" s="27"/>
      <c r="F1773" s="27"/>
      <c r="G1773" s="27"/>
      <c r="H1773" s="27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17"/>
      <c r="AA1773" s="17"/>
      <c r="AB1773" s="17"/>
      <c r="AC1773" s="17"/>
      <c r="AD1773" s="27"/>
    </row>
    <row r="1774" ht="15.75" customHeight="1">
      <c r="A1774" s="27"/>
      <c r="B1774" s="27"/>
      <c r="C1774" s="27"/>
      <c r="D1774" s="27"/>
      <c r="E1774" s="27"/>
      <c r="F1774" s="27"/>
      <c r="G1774" s="27"/>
      <c r="H1774" s="27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17"/>
      <c r="AA1774" s="17"/>
      <c r="AB1774" s="17"/>
      <c r="AC1774" s="17"/>
      <c r="AD1774" s="27"/>
    </row>
    <row r="1775" ht="15.75" customHeight="1">
      <c r="A1775" s="27"/>
      <c r="B1775" s="27"/>
      <c r="C1775" s="27"/>
      <c r="D1775" s="27"/>
      <c r="E1775" s="27"/>
      <c r="F1775" s="27"/>
      <c r="G1775" s="27"/>
      <c r="H1775" s="27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/>
      <c r="Z1775" s="17"/>
      <c r="AA1775" s="17"/>
      <c r="AB1775" s="17"/>
      <c r="AC1775" s="17"/>
      <c r="AD1775" s="27"/>
    </row>
    <row r="1776" ht="15.75" customHeight="1">
      <c r="A1776" s="27"/>
      <c r="B1776" s="27"/>
      <c r="C1776" s="27"/>
      <c r="D1776" s="27"/>
      <c r="E1776" s="27"/>
      <c r="F1776" s="27"/>
      <c r="G1776" s="27"/>
      <c r="H1776" s="27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17"/>
      <c r="AA1776" s="17"/>
      <c r="AB1776" s="17"/>
      <c r="AC1776" s="17"/>
      <c r="AD1776" s="27"/>
    </row>
    <row r="1777" ht="15.75" customHeight="1">
      <c r="A1777" s="27"/>
      <c r="B1777" s="27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  <c r="Z1777" s="17"/>
      <c r="AA1777" s="17"/>
      <c r="AB1777" s="17"/>
      <c r="AC1777" s="17"/>
      <c r="AD1777" s="27"/>
    </row>
    <row r="1778" ht="15.75" customHeight="1">
      <c r="A1778" s="27"/>
      <c r="B1778" s="27"/>
      <c r="C1778" s="27"/>
      <c r="D1778" s="27"/>
      <c r="E1778" s="27"/>
      <c r="F1778" s="27"/>
      <c r="G1778" s="27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  <c r="Z1778" s="17"/>
      <c r="AA1778" s="17"/>
      <c r="AB1778" s="17"/>
      <c r="AC1778" s="17"/>
      <c r="AD1778" s="27"/>
    </row>
    <row r="1779" ht="15.75" customHeight="1">
      <c r="A1779" s="27"/>
      <c r="B1779" s="27"/>
      <c r="C1779" s="27"/>
      <c r="D1779" s="27"/>
      <c r="E1779" s="27"/>
      <c r="F1779" s="27"/>
      <c r="G1779" s="27"/>
      <c r="H1779" s="27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7"/>
      <c r="X1779" s="27"/>
      <c r="Y1779" s="27"/>
      <c r="Z1779" s="17"/>
      <c r="AA1779" s="17"/>
      <c r="AB1779" s="17"/>
      <c r="AC1779" s="17"/>
      <c r="AD1779" s="27"/>
    </row>
    <row r="1780" ht="15.75" customHeight="1">
      <c r="A1780" s="27"/>
      <c r="B1780" s="27"/>
      <c r="C1780" s="27"/>
      <c r="D1780" s="27"/>
      <c r="E1780" s="27"/>
      <c r="F1780" s="27"/>
      <c r="G1780" s="27"/>
      <c r="H1780" s="27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  <c r="Z1780" s="17"/>
      <c r="AA1780" s="17"/>
      <c r="AB1780" s="17"/>
      <c r="AC1780" s="17"/>
      <c r="AD1780" s="27"/>
    </row>
    <row r="1781" ht="15.75" customHeight="1">
      <c r="A1781" s="27"/>
      <c r="B1781" s="27"/>
      <c r="C1781" s="27"/>
      <c r="D1781" s="27"/>
      <c r="E1781" s="27"/>
      <c r="F1781" s="27"/>
      <c r="G1781" s="27"/>
      <c r="H1781" s="27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  <c r="Z1781" s="17"/>
      <c r="AA1781" s="17"/>
      <c r="AB1781" s="17"/>
      <c r="AC1781" s="17"/>
      <c r="AD1781" s="27"/>
    </row>
    <row r="1782" ht="15.75" customHeight="1">
      <c r="A1782" s="27"/>
      <c r="B1782" s="27"/>
      <c r="C1782" s="27"/>
      <c r="D1782" s="27"/>
      <c r="E1782" s="27"/>
      <c r="F1782" s="27"/>
      <c r="G1782" s="27"/>
      <c r="H1782" s="27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7"/>
      <c r="X1782" s="27"/>
      <c r="Y1782" s="27"/>
      <c r="Z1782" s="17"/>
      <c r="AA1782" s="17"/>
      <c r="AB1782" s="17"/>
      <c r="AC1782" s="17"/>
      <c r="AD1782" s="27"/>
    </row>
    <row r="1783" ht="15.75" customHeight="1">
      <c r="A1783" s="27"/>
      <c r="B1783" s="27"/>
      <c r="C1783" s="27"/>
      <c r="D1783" s="27"/>
      <c r="E1783" s="27"/>
      <c r="F1783" s="27"/>
      <c r="G1783" s="27"/>
      <c r="H1783" s="27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17"/>
      <c r="AA1783" s="17"/>
      <c r="AB1783" s="17"/>
      <c r="AC1783" s="17"/>
      <c r="AD1783" s="27"/>
    </row>
    <row r="1784" ht="15.75" customHeight="1">
      <c r="A1784" s="27"/>
      <c r="B1784" s="27"/>
      <c r="C1784" s="27"/>
      <c r="D1784" s="27"/>
      <c r="E1784" s="27"/>
      <c r="F1784" s="27"/>
      <c r="G1784" s="27"/>
      <c r="H1784" s="27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  <c r="Z1784" s="17"/>
      <c r="AA1784" s="17"/>
      <c r="AB1784" s="17"/>
      <c r="AC1784" s="17"/>
      <c r="AD1784" s="27"/>
    </row>
    <row r="1785" ht="15.75" customHeight="1">
      <c r="A1785" s="27"/>
      <c r="B1785" s="27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7"/>
      <c r="X1785" s="27"/>
      <c r="Y1785" s="27"/>
      <c r="Z1785" s="17"/>
      <c r="AA1785" s="17"/>
      <c r="AB1785" s="17"/>
      <c r="AC1785" s="17"/>
      <c r="AD1785" s="27"/>
    </row>
    <row r="1786" ht="15.75" customHeight="1">
      <c r="A1786" s="27"/>
      <c r="B1786" s="27"/>
      <c r="C1786" s="27"/>
      <c r="D1786" s="27"/>
      <c r="E1786" s="27"/>
      <c r="F1786" s="27"/>
      <c r="G1786" s="27"/>
      <c r="H1786" s="27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17"/>
      <c r="AA1786" s="17"/>
      <c r="AB1786" s="17"/>
      <c r="AC1786" s="17"/>
      <c r="AD1786" s="27"/>
    </row>
    <row r="1787" ht="15.75" customHeight="1">
      <c r="A1787" s="27"/>
      <c r="B1787" s="27"/>
      <c r="C1787" s="27"/>
      <c r="D1787" s="27"/>
      <c r="E1787" s="27"/>
      <c r="F1787" s="27"/>
      <c r="G1787" s="27"/>
      <c r="H1787" s="27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  <c r="Z1787" s="17"/>
      <c r="AA1787" s="17"/>
      <c r="AB1787" s="17"/>
      <c r="AC1787" s="17"/>
      <c r="AD1787" s="27"/>
    </row>
    <row r="1788" ht="15.75" customHeight="1">
      <c r="A1788" s="27"/>
      <c r="B1788" s="27"/>
      <c r="C1788" s="27"/>
      <c r="D1788" s="27"/>
      <c r="E1788" s="27"/>
      <c r="F1788" s="27"/>
      <c r="G1788" s="27"/>
      <c r="H1788" s="27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  <c r="Z1788" s="17"/>
      <c r="AA1788" s="17"/>
      <c r="AB1788" s="17"/>
      <c r="AC1788" s="17"/>
      <c r="AD1788" s="27"/>
    </row>
    <row r="1789" ht="15.75" customHeight="1">
      <c r="A1789" s="27"/>
      <c r="B1789" s="27"/>
      <c r="C1789" s="27"/>
      <c r="D1789" s="27"/>
      <c r="E1789" s="27"/>
      <c r="F1789" s="27"/>
      <c r="G1789" s="27"/>
      <c r="H1789" s="27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/>
      <c r="Z1789" s="17"/>
      <c r="AA1789" s="17"/>
      <c r="AB1789" s="17"/>
      <c r="AC1789" s="17"/>
      <c r="AD1789" s="27"/>
    </row>
    <row r="1790" ht="15.75" customHeight="1">
      <c r="A1790" s="27"/>
      <c r="B1790" s="27"/>
      <c r="C1790" s="27"/>
      <c r="D1790" s="27"/>
      <c r="E1790" s="27"/>
      <c r="F1790" s="27"/>
      <c r="G1790" s="27"/>
      <c r="H1790" s="27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  <c r="Z1790" s="17"/>
      <c r="AA1790" s="17"/>
      <c r="AB1790" s="17"/>
      <c r="AC1790" s="17"/>
      <c r="AD1790" s="27"/>
    </row>
    <row r="1791" ht="15.75" customHeight="1">
      <c r="A1791" s="27"/>
      <c r="B1791" s="27"/>
      <c r="C1791" s="27"/>
      <c r="D1791" s="27"/>
      <c r="E1791" s="27"/>
      <c r="F1791" s="27"/>
      <c r="G1791" s="27"/>
      <c r="H1791" s="27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  <c r="Z1791" s="17"/>
      <c r="AA1791" s="17"/>
      <c r="AB1791" s="17"/>
      <c r="AC1791" s="17"/>
      <c r="AD1791" s="27"/>
    </row>
    <row r="1792" ht="15.75" customHeight="1">
      <c r="A1792" s="27"/>
      <c r="B1792" s="27"/>
      <c r="C1792" s="27"/>
      <c r="D1792" s="27"/>
      <c r="E1792" s="27"/>
      <c r="F1792" s="27"/>
      <c r="G1792" s="27"/>
      <c r="H1792" s="27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  <c r="Z1792" s="17"/>
      <c r="AA1792" s="17"/>
      <c r="AB1792" s="17"/>
      <c r="AC1792" s="17"/>
      <c r="AD1792" s="27"/>
    </row>
    <row r="1793" ht="15.75" customHeight="1">
      <c r="A1793" s="27"/>
      <c r="B1793" s="27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17"/>
      <c r="AA1793" s="17"/>
      <c r="AB1793" s="17"/>
      <c r="AC1793" s="17"/>
      <c r="AD1793" s="27"/>
    </row>
    <row r="1794" ht="15.75" customHeight="1">
      <c r="A1794" s="27"/>
      <c r="B1794" s="27"/>
      <c r="C1794" s="27"/>
      <c r="D1794" s="27"/>
      <c r="E1794" s="27"/>
      <c r="F1794" s="27"/>
      <c r="G1794" s="27"/>
      <c r="H1794" s="27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  <c r="Z1794" s="17"/>
      <c r="AA1794" s="17"/>
      <c r="AB1794" s="17"/>
      <c r="AC1794" s="17"/>
      <c r="AD1794" s="27"/>
    </row>
    <row r="1795" ht="15.75" customHeight="1">
      <c r="A1795" s="27"/>
      <c r="B1795" s="27"/>
      <c r="C1795" s="27"/>
      <c r="D1795" s="27"/>
      <c r="E1795" s="27"/>
      <c r="F1795" s="27"/>
      <c r="G1795" s="27"/>
      <c r="H1795" s="27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  <c r="Z1795" s="17"/>
      <c r="AA1795" s="17"/>
      <c r="AB1795" s="17"/>
      <c r="AC1795" s="17"/>
      <c r="AD1795" s="27"/>
    </row>
    <row r="1796" ht="15.75" customHeight="1">
      <c r="A1796" s="27"/>
      <c r="B1796" s="27"/>
      <c r="C1796" s="27"/>
      <c r="D1796" s="27"/>
      <c r="E1796" s="27"/>
      <c r="F1796" s="27"/>
      <c r="G1796" s="27"/>
      <c r="H1796" s="27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  <c r="Z1796" s="17"/>
      <c r="AA1796" s="17"/>
      <c r="AB1796" s="17"/>
      <c r="AC1796" s="17"/>
      <c r="AD1796" s="27"/>
    </row>
    <row r="1797" ht="15.75" customHeight="1">
      <c r="A1797" s="27"/>
      <c r="B1797" s="27"/>
      <c r="C1797" s="27"/>
      <c r="D1797" s="27"/>
      <c r="E1797" s="27"/>
      <c r="F1797" s="27"/>
      <c r="G1797" s="27"/>
      <c r="H1797" s="27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  <c r="Z1797" s="17"/>
      <c r="AA1797" s="17"/>
      <c r="AB1797" s="17"/>
      <c r="AC1797" s="17"/>
      <c r="AD1797" s="27"/>
    </row>
    <row r="1798" ht="15.75" customHeight="1">
      <c r="A1798" s="27"/>
      <c r="B1798" s="27"/>
      <c r="C1798" s="27"/>
      <c r="D1798" s="27"/>
      <c r="E1798" s="27"/>
      <c r="F1798" s="27"/>
      <c r="G1798" s="27"/>
      <c r="H1798" s="27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/>
      <c r="Z1798" s="17"/>
      <c r="AA1798" s="17"/>
      <c r="AB1798" s="17"/>
      <c r="AC1798" s="17"/>
      <c r="AD1798" s="27"/>
    </row>
    <row r="1799" ht="15.75" customHeight="1">
      <c r="A1799" s="27"/>
      <c r="B1799" s="27"/>
      <c r="C1799" s="27"/>
      <c r="D1799" s="27"/>
      <c r="E1799" s="27"/>
      <c r="F1799" s="27"/>
      <c r="G1799" s="27"/>
      <c r="H1799" s="27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/>
      <c r="Z1799" s="17"/>
      <c r="AA1799" s="17"/>
      <c r="AB1799" s="17"/>
      <c r="AC1799" s="17"/>
      <c r="AD1799" s="27"/>
    </row>
    <row r="1800" ht="15.75" customHeight="1">
      <c r="A1800" s="27"/>
      <c r="B1800" s="27"/>
      <c r="C1800" s="27"/>
      <c r="D1800" s="27"/>
      <c r="E1800" s="27"/>
      <c r="F1800" s="27"/>
      <c r="G1800" s="27"/>
      <c r="H1800" s="27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  <c r="Z1800" s="17"/>
      <c r="AA1800" s="17"/>
      <c r="AB1800" s="17"/>
      <c r="AC1800" s="17"/>
      <c r="AD1800" s="27"/>
    </row>
    <row r="1801" ht="15.75" customHeight="1">
      <c r="A1801" s="27"/>
      <c r="B1801" s="27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17"/>
      <c r="AA1801" s="17"/>
      <c r="AB1801" s="17"/>
      <c r="AC1801" s="17"/>
      <c r="AD1801" s="27"/>
    </row>
    <row r="1802" ht="15.75" customHeight="1">
      <c r="A1802" s="27"/>
      <c r="B1802" s="27"/>
      <c r="C1802" s="27"/>
      <c r="D1802" s="27"/>
      <c r="E1802" s="27"/>
      <c r="F1802" s="27"/>
      <c r="G1802" s="27"/>
      <c r="H1802" s="27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  <c r="Z1802" s="17"/>
      <c r="AA1802" s="17"/>
      <c r="AB1802" s="17"/>
      <c r="AC1802" s="17"/>
      <c r="AD1802" s="27"/>
    </row>
    <row r="1803" ht="15.75" customHeight="1">
      <c r="A1803" s="27"/>
      <c r="B1803" s="27"/>
      <c r="C1803" s="27"/>
      <c r="D1803" s="27"/>
      <c r="E1803" s="27"/>
      <c r="F1803" s="27"/>
      <c r="G1803" s="27"/>
      <c r="H1803" s="27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  <c r="Z1803" s="17"/>
      <c r="AA1803" s="17"/>
      <c r="AB1803" s="17"/>
      <c r="AC1803" s="17"/>
      <c r="AD1803" s="27"/>
    </row>
    <row r="1804" ht="15.75" customHeight="1">
      <c r="A1804" s="27"/>
      <c r="B1804" s="27"/>
      <c r="C1804" s="27"/>
      <c r="D1804" s="27"/>
      <c r="E1804" s="27"/>
      <c r="F1804" s="27"/>
      <c r="G1804" s="27"/>
      <c r="H1804" s="27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  <c r="Z1804" s="17"/>
      <c r="AA1804" s="17"/>
      <c r="AB1804" s="17"/>
      <c r="AC1804" s="17"/>
      <c r="AD1804" s="27"/>
    </row>
    <row r="1805" ht="15.75" customHeight="1">
      <c r="A1805" s="27"/>
      <c r="B1805" s="27"/>
      <c r="C1805" s="27"/>
      <c r="D1805" s="27"/>
      <c r="E1805" s="27"/>
      <c r="F1805" s="27"/>
      <c r="G1805" s="27"/>
      <c r="H1805" s="27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/>
      <c r="Z1805" s="17"/>
      <c r="AA1805" s="17"/>
      <c r="AB1805" s="17"/>
      <c r="AC1805" s="17"/>
      <c r="AD1805" s="27"/>
    </row>
    <row r="1806" ht="15.75" customHeight="1">
      <c r="A1806" s="27"/>
      <c r="B1806" s="27"/>
      <c r="C1806" s="27"/>
      <c r="D1806" s="27"/>
      <c r="E1806" s="27"/>
      <c r="F1806" s="27"/>
      <c r="G1806" s="27"/>
      <c r="H1806" s="27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  <c r="Z1806" s="17"/>
      <c r="AA1806" s="17"/>
      <c r="AB1806" s="17"/>
      <c r="AC1806" s="17"/>
      <c r="AD1806" s="27"/>
    </row>
    <row r="1807" ht="15.75" customHeight="1">
      <c r="A1807" s="27"/>
      <c r="B1807" s="27"/>
      <c r="C1807" s="27"/>
      <c r="D1807" s="27"/>
      <c r="E1807" s="27"/>
      <c r="F1807" s="27"/>
      <c r="G1807" s="27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  <c r="Z1807" s="17"/>
      <c r="AA1807" s="17"/>
      <c r="AB1807" s="17"/>
      <c r="AC1807" s="17"/>
      <c r="AD1807" s="27"/>
    </row>
    <row r="1808" ht="15.75" customHeight="1">
      <c r="A1808" s="27"/>
      <c r="B1808" s="27"/>
      <c r="C1808" s="27"/>
      <c r="D1808" s="27"/>
      <c r="E1808" s="27"/>
      <c r="F1808" s="27"/>
      <c r="G1808" s="27"/>
      <c r="H1808" s="27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/>
      <c r="Z1808" s="17"/>
      <c r="AA1808" s="17"/>
      <c r="AB1808" s="17"/>
      <c r="AC1808" s="17"/>
      <c r="AD1808" s="27"/>
    </row>
    <row r="1809" ht="15.75" customHeight="1">
      <c r="A1809" s="27"/>
      <c r="B1809" s="27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17"/>
      <c r="AA1809" s="17"/>
      <c r="AB1809" s="17"/>
      <c r="AC1809" s="17"/>
      <c r="AD1809" s="27"/>
    </row>
    <row r="1810" ht="15.75" customHeight="1">
      <c r="A1810" s="27"/>
      <c r="B1810" s="27"/>
      <c r="C1810" s="27"/>
      <c r="D1810" s="27"/>
      <c r="E1810" s="27"/>
      <c r="F1810" s="27"/>
      <c r="G1810" s="27"/>
      <c r="H1810" s="27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/>
      <c r="Z1810" s="17"/>
      <c r="AA1810" s="17"/>
      <c r="AB1810" s="17"/>
      <c r="AC1810" s="17"/>
      <c r="AD1810" s="27"/>
    </row>
    <row r="1811" ht="15.75" customHeight="1">
      <c r="A1811" s="27"/>
      <c r="B1811" s="27"/>
      <c r="C1811" s="27"/>
      <c r="D1811" s="27"/>
      <c r="E1811" s="27"/>
      <c r="F1811" s="27"/>
      <c r="G1811" s="27"/>
      <c r="H1811" s="27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  <c r="Z1811" s="17"/>
      <c r="AA1811" s="17"/>
      <c r="AB1811" s="17"/>
      <c r="AC1811" s="17"/>
      <c r="AD1811" s="27"/>
    </row>
    <row r="1812" ht="15.75" customHeight="1">
      <c r="A1812" s="27"/>
      <c r="B1812" s="27"/>
      <c r="C1812" s="27"/>
      <c r="D1812" s="27"/>
      <c r="E1812" s="27"/>
      <c r="F1812" s="27"/>
      <c r="G1812" s="27"/>
      <c r="H1812" s="27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17"/>
      <c r="AA1812" s="17"/>
      <c r="AB1812" s="17"/>
      <c r="AC1812" s="17"/>
      <c r="AD1812" s="27"/>
    </row>
    <row r="1813" ht="15.75" customHeight="1">
      <c r="A1813" s="27"/>
      <c r="B1813" s="27"/>
      <c r="C1813" s="27"/>
      <c r="D1813" s="27"/>
      <c r="E1813" s="27"/>
      <c r="F1813" s="27"/>
      <c r="G1813" s="27"/>
      <c r="H1813" s="27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7"/>
      <c r="X1813" s="27"/>
      <c r="Y1813" s="27"/>
      <c r="Z1813" s="17"/>
      <c r="AA1813" s="17"/>
      <c r="AB1813" s="17"/>
      <c r="AC1813" s="17"/>
      <c r="AD1813" s="27"/>
    </row>
    <row r="1814" ht="15.75" customHeight="1">
      <c r="A1814" s="27"/>
      <c r="B1814" s="27"/>
      <c r="C1814" s="27"/>
      <c r="D1814" s="27"/>
      <c r="E1814" s="27"/>
      <c r="F1814" s="27"/>
      <c r="G1814" s="27"/>
      <c r="H1814" s="27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  <c r="Z1814" s="17"/>
      <c r="AA1814" s="17"/>
      <c r="AB1814" s="17"/>
      <c r="AC1814" s="17"/>
      <c r="AD1814" s="27"/>
    </row>
    <row r="1815" ht="15.75" customHeight="1">
      <c r="A1815" s="27"/>
      <c r="B1815" s="27"/>
      <c r="C1815" s="27"/>
      <c r="D1815" s="27"/>
      <c r="E1815" s="27"/>
      <c r="F1815" s="27"/>
      <c r="G1815" s="27"/>
      <c r="H1815" s="27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  <c r="Z1815" s="17"/>
      <c r="AA1815" s="17"/>
      <c r="AB1815" s="17"/>
      <c r="AC1815" s="17"/>
      <c r="AD1815" s="27"/>
    </row>
    <row r="1816" ht="15.75" customHeight="1">
      <c r="A1816" s="27"/>
      <c r="B1816" s="27"/>
      <c r="C1816" s="27"/>
      <c r="D1816" s="27"/>
      <c r="E1816" s="27"/>
      <c r="F1816" s="27"/>
      <c r="G1816" s="27"/>
      <c r="H1816" s="27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  <c r="Z1816" s="17"/>
      <c r="AA1816" s="17"/>
      <c r="AB1816" s="17"/>
      <c r="AC1816" s="17"/>
      <c r="AD1816" s="27"/>
    </row>
    <row r="1817" ht="15.75" customHeight="1">
      <c r="A1817" s="27"/>
      <c r="B1817" s="27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  <c r="Z1817" s="17"/>
      <c r="AA1817" s="17"/>
      <c r="AB1817" s="17"/>
      <c r="AC1817" s="17"/>
      <c r="AD1817" s="27"/>
    </row>
    <row r="1818" ht="15.75" customHeight="1">
      <c r="A1818" s="27"/>
      <c r="B1818" s="27"/>
      <c r="C1818" s="27"/>
      <c r="D1818" s="27"/>
      <c r="E1818" s="27"/>
      <c r="F1818" s="27"/>
      <c r="G1818" s="27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17"/>
      <c r="AA1818" s="17"/>
      <c r="AB1818" s="17"/>
      <c r="AC1818" s="17"/>
      <c r="AD1818" s="27"/>
    </row>
    <row r="1819" ht="15.75" customHeight="1">
      <c r="A1819" s="27"/>
      <c r="B1819" s="27"/>
      <c r="C1819" s="27"/>
      <c r="D1819" s="27"/>
      <c r="E1819" s="27"/>
      <c r="F1819" s="27"/>
      <c r="G1819" s="27"/>
      <c r="H1819" s="27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  <c r="Z1819" s="17"/>
      <c r="AA1819" s="17"/>
      <c r="AB1819" s="17"/>
      <c r="AC1819" s="17"/>
      <c r="AD1819" s="27"/>
    </row>
    <row r="1820" ht="15.75" customHeight="1">
      <c r="A1820" s="27"/>
      <c r="B1820" s="27"/>
      <c r="C1820" s="27"/>
      <c r="D1820" s="27"/>
      <c r="E1820" s="27"/>
      <c r="F1820" s="27"/>
      <c r="G1820" s="27"/>
      <c r="H1820" s="27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  <c r="Z1820" s="17"/>
      <c r="AA1820" s="17"/>
      <c r="AB1820" s="17"/>
      <c r="AC1820" s="17"/>
      <c r="AD1820" s="27"/>
    </row>
    <row r="1821" ht="15.75" customHeight="1">
      <c r="A1821" s="27"/>
      <c r="B1821" s="27"/>
      <c r="C1821" s="27"/>
      <c r="D1821" s="27"/>
      <c r="E1821" s="27"/>
      <c r="F1821" s="27"/>
      <c r="G1821" s="27"/>
      <c r="H1821" s="27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  <c r="Z1821" s="17"/>
      <c r="AA1821" s="17"/>
      <c r="AB1821" s="17"/>
      <c r="AC1821" s="17"/>
      <c r="AD1821" s="27"/>
    </row>
    <row r="1822" ht="15.75" customHeight="1">
      <c r="A1822" s="27"/>
      <c r="B1822" s="27"/>
      <c r="C1822" s="27"/>
      <c r="D1822" s="27"/>
      <c r="E1822" s="27"/>
      <c r="F1822" s="27"/>
      <c r="G1822" s="27"/>
      <c r="H1822" s="27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  <c r="Z1822" s="17"/>
      <c r="AA1822" s="17"/>
      <c r="AB1822" s="17"/>
      <c r="AC1822" s="17"/>
      <c r="AD1822" s="27"/>
    </row>
    <row r="1823" ht="15.75" customHeight="1">
      <c r="A1823" s="27"/>
      <c r="B1823" s="27"/>
      <c r="C1823" s="27"/>
      <c r="D1823" s="27"/>
      <c r="E1823" s="27"/>
      <c r="F1823" s="27"/>
      <c r="G1823" s="27"/>
      <c r="H1823" s="27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17"/>
      <c r="AA1823" s="17"/>
      <c r="AB1823" s="17"/>
      <c r="AC1823" s="17"/>
      <c r="AD1823" s="27"/>
    </row>
    <row r="1824" ht="15.75" customHeight="1">
      <c r="A1824" s="27"/>
      <c r="B1824" s="27"/>
      <c r="C1824" s="27"/>
      <c r="D1824" s="27"/>
      <c r="E1824" s="27"/>
      <c r="F1824" s="27"/>
      <c r="G1824" s="27"/>
      <c r="H1824" s="27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/>
      <c r="Z1824" s="17"/>
      <c r="AA1824" s="17"/>
      <c r="AB1824" s="17"/>
      <c r="AC1824" s="17"/>
      <c r="AD1824" s="27"/>
    </row>
    <row r="1825" ht="15.75" customHeight="1">
      <c r="A1825" s="27"/>
      <c r="B1825" s="27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  <c r="Z1825" s="17"/>
      <c r="AA1825" s="17"/>
      <c r="AB1825" s="17"/>
      <c r="AC1825" s="17"/>
      <c r="AD1825" s="27"/>
    </row>
    <row r="1826" ht="15.75" customHeight="1">
      <c r="A1826" s="27"/>
      <c r="B1826" s="27"/>
      <c r="C1826" s="27"/>
      <c r="D1826" s="27"/>
      <c r="E1826" s="27"/>
      <c r="F1826" s="27"/>
      <c r="G1826" s="27"/>
      <c r="H1826" s="27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17"/>
      <c r="AA1826" s="17"/>
      <c r="AB1826" s="17"/>
      <c r="AC1826" s="17"/>
      <c r="AD1826" s="27"/>
    </row>
    <row r="1827" ht="15.75" customHeight="1">
      <c r="A1827" s="27"/>
      <c r="B1827" s="27"/>
      <c r="C1827" s="27"/>
      <c r="D1827" s="27"/>
      <c r="E1827" s="27"/>
      <c r="F1827" s="27"/>
      <c r="G1827" s="27"/>
      <c r="H1827" s="27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7"/>
      <c r="X1827" s="27"/>
      <c r="Y1827" s="27"/>
      <c r="Z1827" s="17"/>
      <c r="AA1827" s="17"/>
      <c r="AB1827" s="17"/>
      <c r="AC1827" s="17"/>
      <c r="AD1827" s="27"/>
    </row>
    <row r="1828" ht="15.75" customHeight="1">
      <c r="A1828" s="27"/>
      <c r="B1828" s="27"/>
      <c r="C1828" s="27"/>
      <c r="D1828" s="27"/>
      <c r="E1828" s="27"/>
      <c r="F1828" s="27"/>
      <c r="G1828" s="27"/>
      <c r="H1828" s="27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  <c r="Z1828" s="17"/>
      <c r="AA1828" s="17"/>
      <c r="AB1828" s="17"/>
      <c r="AC1828" s="17"/>
      <c r="AD1828" s="27"/>
    </row>
    <row r="1829" ht="15.75" customHeight="1">
      <c r="A1829" s="27"/>
      <c r="B1829" s="27"/>
      <c r="C1829" s="27"/>
      <c r="D1829" s="27"/>
      <c r="E1829" s="27"/>
      <c r="F1829" s="27"/>
      <c r="G1829" s="27"/>
      <c r="H1829" s="27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  <c r="Z1829" s="17"/>
      <c r="AA1829" s="17"/>
      <c r="AB1829" s="17"/>
      <c r="AC1829" s="17"/>
      <c r="AD1829" s="27"/>
    </row>
    <row r="1830" ht="15.75" customHeight="1">
      <c r="A1830" s="27"/>
      <c r="B1830" s="27"/>
      <c r="C1830" s="27"/>
      <c r="D1830" s="27"/>
      <c r="E1830" s="27"/>
      <c r="F1830" s="27"/>
      <c r="G1830" s="27"/>
      <c r="H1830" s="27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  <c r="Z1830" s="17"/>
      <c r="AA1830" s="17"/>
      <c r="AB1830" s="17"/>
      <c r="AC1830" s="17"/>
      <c r="AD1830" s="27"/>
    </row>
    <row r="1831" ht="15.75" customHeight="1">
      <c r="A1831" s="27"/>
      <c r="B1831" s="27"/>
      <c r="C1831" s="27"/>
      <c r="D1831" s="27"/>
      <c r="E1831" s="27"/>
      <c r="F1831" s="27"/>
      <c r="G1831" s="27"/>
      <c r="H1831" s="27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17"/>
      <c r="AA1831" s="17"/>
      <c r="AB1831" s="17"/>
      <c r="AC1831" s="17"/>
      <c r="AD1831" s="27"/>
    </row>
    <row r="1832" ht="15.75" customHeight="1">
      <c r="A1832" s="27"/>
      <c r="B1832" s="27"/>
      <c r="C1832" s="27"/>
      <c r="D1832" s="27"/>
      <c r="E1832" s="27"/>
      <c r="F1832" s="27"/>
      <c r="G1832" s="27"/>
      <c r="H1832" s="27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  <c r="Z1832" s="17"/>
      <c r="AA1832" s="17"/>
      <c r="AB1832" s="17"/>
      <c r="AC1832" s="17"/>
      <c r="AD1832" s="27"/>
    </row>
    <row r="1833" ht="15.75" customHeight="1">
      <c r="A1833" s="27"/>
      <c r="B1833" s="27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  <c r="Z1833" s="17"/>
      <c r="AA1833" s="17"/>
      <c r="AB1833" s="17"/>
      <c r="AC1833" s="17"/>
      <c r="AD1833" s="27"/>
    </row>
    <row r="1834" ht="15.75" customHeight="1">
      <c r="A1834" s="27"/>
      <c r="B1834" s="27"/>
      <c r="C1834" s="27"/>
      <c r="D1834" s="27"/>
      <c r="E1834" s="27"/>
      <c r="F1834" s="27"/>
      <c r="G1834" s="27"/>
      <c r="H1834" s="27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  <c r="Z1834" s="17"/>
      <c r="AA1834" s="17"/>
      <c r="AB1834" s="17"/>
      <c r="AC1834" s="17"/>
      <c r="AD1834" s="27"/>
    </row>
    <row r="1835" ht="15.75" customHeight="1">
      <c r="A1835" s="27"/>
      <c r="B1835" s="27"/>
      <c r="C1835" s="27"/>
      <c r="D1835" s="27"/>
      <c r="E1835" s="27"/>
      <c r="F1835" s="27"/>
      <c r="G1835" s="27"/>
      <c r="H1835" s="27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  <c r="Z1835" s="17"/>
      <c r="AA1835" s="17"/>
      <c r="AB1835" s="17"/>
      <c r="AC1835" s="17"/>
      <c r="AD1835" s="27"/>
    </row>
    <row r="1836" ht="15.75" customHeight="1">
      <c r="A1836" s="27"/>
      <c r="B1836" s="27"/>
      <c r="C1836" s="27"/>
      <c r="D1836" s="27"/>
      <c r="E1836" s="27"/>
      <c r="F1836" s="27"/>
      <c r="G1836" s="27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  <c r="Z1836" s="17"/>
      <c r="AA1836" s="17"/>
      <c r="AB1836" s="17"/>
      <c r="AC1836" s="17"/>
      <c r="AD1836" s="27"/>
    </row>
    <row r="1837" ht="15.75" customHeight="1">
      <c r="A1837" s="27"/>
      <c r="B1837" s="27"/>
      <c r="C1837" s="27"/>
      <c r="D1837" s="27"/>
      <c r="E1837" s="27"/>
      <c r="F1837" s="27"/>
      <c r="G1837" s="27"/>
      <c r="H1837" s="27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7"/>
      <c r="X1837" s="27"/>
      <c r="Y1837" s="27"/>
      <c r="Z1837" s="17"/>
      <c r="AA1837" s="17"/>
      <c r="AB1837" s="17"/>
      <c r="AC1837" s="17"/>
      <c r="AD1837" s="27"/>
    </row>
    <row r="1838" ht="15.75" customHeight="1">
      <c r="A1838" s="27"/>
      <c r="B1838" s="27"/>
      <c r="C1838" s="27"/>
      <c r="D1838" s="27"/>
      <c r="E1838" s="27"/>
      <c r="F1838" s="27"/>
      <c r="G1838" s="27"/>
      <c r="H1838" s="27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7"/>
      <c r="X1838" s="27"/>
      <c r="Y1838" s="27"/>
      <c r="Z1838" s="17"/>
      <c r="AA1838" s="17"/>
      <c r="AB1838" s="17"/>
      <c r="AC1838" s="17"/>
      <c r="AD1838" s="27"/>
    </row>
    <row r="1839" ht="15.75" customHeight="1">
      <c r="A1839" s="27"/>
      <c r="B1839" s="27"/>
      <c r="C1839" s="27"/>
      <c r="D1839" s="27"/>
      <c r="E1839" s="27"/>
      <c r="F1839" s="27"/>
      <c r="G1839" s="27"/>
      <c r="H1839" s="27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7"/>
      <c r="X1839" s="27"/>
      <c r="Y1839" s="27"/>
      <c r="Z1839" s="17"/>
      <c r="AA1839" s="17"/>
      <c r="AB1839" s="17"/>
      <c r="AC1839" s="17"/>
      <c r="AD1839" s="27"/>
    </row>
    <row r="1840" ht="15.75" customHeight="1">
      <c r="A1840" s="27"/>
      <c r="B1840" s="27"/>
      <c r="C1840" s="27"/>
      <c r="D1840" s="27"/>
      <c r="E1840" s="27"/>
      <c r="F1840" s="27"/>
      <c r="G1840" s="27"/>
      <c r="H1840" s="27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  <c r="Z1840" s="17"/>
      <c r="AA1840" s="17"/>
      <c r="AB1840" s="17"/>
      <c r="AC1840" s="17"/>
      <c r="AD1840" s="27"/>
    </row>
    <row r="1841" ht="15.75" customHeight="1">
      <c r="A1841" s="27"/>
      <c r="B1841" s="27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7"/>
      <c r="X1841" s="27"/>
      <c r="Y1841" s="27"/>
      <c r="Z1841" s="17"/>
      <c r="AA1841" s="17"/>
      <c r="AB1841" s="17"/>
      <c r="AC1841" s="17"/>
      <c r="AD1841" s="27"/>
    </row>
    <row r="1842" ht="15.75" customHeight="1">
      <c r="A1842" s="27"/>
      <c r="B1842" s="27"/>
      <c r="C1842" s="27"/>
      <c r="D1842" s="27"/>
      <c r="E1842" s="27"/>
      <c r="F1842" s="27"/>
      <c r="G1842" s="27"/>
      <c r="H1842" s="27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  <c r="Z1842" s="17"/>
      <c r="AA1842" s="17"/>
      <c r="AB1842" s="17"/>
      <c r="AC1842" s="17"/>
      <c r="AD1842" s="27"/>
    </row>
    <row r="1843" ht="15.75" customHeight="1">
      <c r="A1843" s="27"/>
      <c r="B1843" s="27"/>
      <c r="C1843" s="27"/>
      <c r="D1843" s="27"/>
      <c r="E1843" s="27"/>
      <c r="F1843" s="27"/>
      <c r="G1843" s="27"/>
      <c r="H1843" s="27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  <c r="Z1843" s="17"/>
      <c r="AA1843" s="17"/>
      <c r="AB1843" s="17"/>
      <c r="AC1843" s="17"/>
      <c r="AD1843" s="27"/>
    </row>
    <row r="1844" ht="15.75" customHeight="1">
      <c r="A1844" s="27"/>
      <c r="B1844" s="27"/>
      <c r="C1844" s="27"/>
      <c r="D1844" s="27"/>
      <c r="E1844" s="27"/>
      <c r="F1844" s="27"/>
      <c r="G1844" s="27"/>
      <c r="H1844" s="27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17"/>
      <c r="AA1844" s="17"/>
      <c r="AB1844" s="17"/>
      <c r="AC1844" s="17"/>
      <c r="AD1844" s="27"/>
    </row>
    <row r="1845" ht="15.75" customHeight="1">
      <c r="A1845" s="27"/>
      <c r="B1845" s="27"/>
      <c r="C1845" s="27"/>
      <c r="D1845" s="27"/>
      <c r="E1845" s="27"/>
      <c r="F1845" s="27"/>
      <c r="G1845" s="27"/>
      <c r="H1845" s="27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7"/>
      <c r="X1845" s="27"/>
      <c r="Y1845" s="27"/>
      <c r="Z1845" s="17"/>
      <c r="AA1845" s="17"/>
      <c r="AB1845" s="17"/>
      <c r="AC1845" s="17"/>
      <c r="AD1845" s="27"/>
    </row>
    <row r="1846" ht="15.75" customHeight="1">
      <c r="A1846" s="27"/>
      <c r="B1846" s="27"/>
      <c r="C1846" s="27"/>
      <c r="D1846" s="27"/>
      <c r="E1846" s="27"/>
      <c r="F1846" s="27"/>
      <c r="G1846" s="27"/>
      <c r="H1846" s="27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  <c r="Z1846" s="17"/>
      <c r="AA1846" s="17"/>
      <c r="AB1846" s="17"/>
      <c r="AC1846" s="17"/>
      <c r="AD1846" s="27"/>
    </row>
    <row r="1847" ht="15.75" customHeight="1">
      <c r="A1847" s="27"/>
      <c r="B1847" s="27"/>
      <c r="C1847" s="27"/>
      <c r="D1847" s="27"/>
      <c r="E1847" s="27"/>
      <c r="F1847" s="27"/>
      <c r="G1847" s="27"/>
      <c r="H1847" s="27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17"/>
      <c r="AA1847" s="17"/>
      <c r="AB1847" s="17"/>
      <c r="AC1847" s="17"/>
      <c r="AD1847" s="27"/>
    </row>
    <row r="1848" ht="15.75" customHeight="1">
      <c r="A1848" s="27"/>
      <c r="B1848" s="27"/>
      <c r="C1848" s="27"/>
      <c r="D1848" s="27"/>
      <c r="E1848" s="27"/>
      <c r="F1848" s="27"/>
      <c r="G1848" s="27"/>
      <c r="H1848" s="27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  <c r="Z1848" s="17"/>
      <c r="AA1848" s="17"/>
      <c r="AB1848" s="17"/>
      <c r="AC1848" s="17"/>
      <c r="AD1848" s="27"/>
    </row>
    <row r="1849" ht="15.75" customHeight="1">
      <c r="A1849" s="27"/>
      <c r="B1849" s="27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  <c r="Z1849" s="17"/>
      <c r="AA1849" s="17"/>
      <c r="AB1849" s="17"/>
      <c r="AC1849" s="17"/>
      <c r="AD1849" s="27"/>
    </row>
    <row r="1850" ht="15.75" customHeight="1">
      <c r="A1850" s="27"/>
      <c r="B1850" s="27"/>
      <c r="C1850" s="27"/>
      <c r="D1850" s="27"/>
      <c r="E1850" s="27"/>
      <c r="F1850" s="27"/>
      <c r="G1850" s="27"/>
      <c r="H1850" s="27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17"/>
      <c r="AA1850" s="17"/>
      <c r="AB1850" s="17"/>
      <c r="AC1850" s="17"/>
      <c r="AD1850" s="27"/>
    </row>
    <row r="1851" ht="15.75" customHeight="1">
      <c r="A1851" s="27"/>
      <c r="B1851" s="27"/>
      <c r="C1851" s="27"/>
      <c r="D1851" s="27"/>
      <c r="E1851" s="27"/>
      <c r="F1851" s="27"/>
      <c r="G1851" s="27"/>
      <c r="H1851" s="27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  <c r="Z1851" s="17"/>
      <c r="AA1851" s="17"/>
      <c r="AB1851" s="17"/>
      <c r="AC1851" s="17"/>
      <c r="AD1851" s="27"/>
    </row>
    <row r="1852" ht="15.75" customHeight="1">
      <c r="A1852" s="27"/>
      <c r="B1852" s="27"/>
      <c r="C1852" s="27"/>
      <c r="D1852" s="27"/>
      <c r="E1852" s="27"/>
      <c r="F1852" s="27"/>
      <c r="G1852" s="27"/>
      <c r="H1852" s="27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  <c r="Z1852" s="17"/>
      <c r="AA1852" s="17"/>
      <c r="AB1852" s="17"/>
      <c r="AC1852" s="17"/>
      <c r="AD1852" s="27"/>
    </row>
    <row r="1853" ht="15.75" customHeight="1">
      <c r="A1853" s="27"/>
      <c r="B1853" s="27"/>
      <c r="C1853" s="27"/>
      <c r="D1853" s="27"/>
      <c r="E1853" s="27"/>
      <c r="F1853" s="27"/>
      <c r="G1853" s="27"/>
      <c r="H1853" s="27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  <c r="Z1853" s="17"/>
      <c r="AA1853" s="17"/>
      <c r="AB1853" s="17"/>
      <c r="AC1853" s="17"/>
      <c r="AD1853" s="27"/>
    </row>
    <row r="1854" ht="15.75" customHeight="1">
      <c r="A1854" s="27"/>
      <c r="B1854" s="27"/>
      <c r="C1854" s="27"/>
      <c r="D1854" s="27"/>
      <c r="E1854" s="27"/>
      <c r="F1854" s="27"/>
      <c r="G1854" s="27"/>
      <c r="H1854" s="27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  <c r="Z1854" s="17"/>
      <c r="AA1854" s="17"/>
      <c r="AB1854" s="17"/>
      <c r="AC1854" s="17"/>
      <c r="AD1854" s="27"/>
    </row>
    <row r="1855" ht="15.75" customHeight="1">
      <c r="A1855" s="27"/>
      <c r="B1855" s="27"/>
      <c r="C1855" s="27"/>
      <c r="D1855" s="27"/>
      <c r="E1855" s="27"/>
      <c r="F1855" s="27"/>
      <c r="G1855" s="27"/>
      <c r="H1855" s="27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  <c r="Z1855" s="17"/>
      <c r="AA1855" s="17"/>
      <c r="AB1855" s="17"/>
      <c r="AC1855" s="17"/>
      <c r="AD1855" s="27"/>
    </row>
    <row r="1856" ht="15.75" customHeight="1">
      <c r="A1856" s="27"/>
      <c r="B1856" s="27"/>
      <c r="C1856" s="27"/>
      <c r="D1856" s="27"/>
      <c r="E1856" s="27"/>
      <c r="F1856" s="27"/>
      <c r="G1856" s="27"/>
      <c r="H1856" s="27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17"/>
      <c r="AA1856" s="17"/>
      <c r="AB1856" s="17"/>
      <c r="AC1856" s="17"/>
      <c r="AD1856" s="27"/>
    </row>
    <row r="1857" ht="15.75" customHeight="1">
      <c r="A1857" s="27"/>
      <c r="B1857" s="27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  <c r="Z1857" s="17"/>
      <c r="AA1857" s="17"/>
      <c r="AB1857" s="17"/>
      <c r="AC1857" s="17"/>
      <c r="AD1857" s="27"/>
    </row>
    <row r="1858" ht="15.75" customHeight="1">
      <c r="A1858" s="27"/>
      <c r="B1858" s="27"/>
      <c r="C1858" s="27"/>
      <c r="D1858" s="27"/>
      <c r="E1858" s="27"/>
      <c r="F1858" s="27"/>
      <c r="G1858" s="27"/>
      <c r="H1858" s="27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  <c r="Z1858" s="17"/>
      <c r="AA1858" s="17"/>
      <c r="AB1858" s="17"/>
      <c r="AC1858" s="17"/>
      <c r="AD1858" s="27"/>
    </row>
    <row r="1859" ht="15.75" customHeight="1">
      <c r="A1859" s="27"/>
      <c r="B1859" s="27"/>
      <c r="C1859" s="27"/>
      <c r="D1859" s="27"/>
      <c r="E1859" s="27"/>
      <c r="F1859" s="27"/>
      <c r="G1859" s="27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17"/>
      <c r="AA1859" s="17"/>
      <c r="AB1859" s="17"/>
      <c r="AC1859" s="17"/>
      <c r="AD1859" s="27"/>
    </row>
    <row r="1860" ht="15.75" customHeight="1">
      <c r="A1860" s="27"/>
      <c r="B1860" s="27"/>
      <c r="C1860" s="27"/>
      <c r="D1860" s="27"/>
      <c r="E1860" s="27"/>
      <c r="F1860" s="27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17"/>
      <c r="AA1860" s="17"/>
      <c r="AB1860" s="17"/>
      <c r="AC1860" s="17"/>
      <c r="AD1860" s="27"/>
    </row>
    <row r="1861" ht="15.75" customHeight="1">
      <c r="A1861" s="27"/>
      <c r="B1861" s="27"/>
      <c r="C1861" s="27"/>
      <c r="D1861" s="27"/>
      <c r="E1861" s="27"/>
      <c r="F1861" s="27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17"/>
      <c r="AA1861" s="17"/>
      <c r="AB1861" s="17"/>
      <c r="AC1861" s="17"/>
      <c r="AD1861" s="27"/>
    </row>
    <row r="1862" ht="15.75" customHeight="1">
      <c r="A1862" s="27"/>
      <c r="B1862" s="27"/>
      <c r="C1862" s="27"/>
      <c r="D1862" s="27"/>
      <c r="E1862" s="27"/>
      <c r="F1862" s="27"/>
      <c r="G1862" s="27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17"/>
      <c r="AA1862" s="17"/>
      <c r="AB1862" s="17"/>
      <c r="AC1862" s="17"/>
      <c r="AD1862" s="27"/>
    </row>
    <row r="1863" ht="15.75" customHeight="1">
      <c r="A1863" s="27"/>
      <c r="B1863" s="27"/>
      <c r="C1863" s="27"/>
      <c r="D1863" s="27"/>
      <c r="E1863" s="27"/>
      <c r="F1863" s="27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17"/>
      <c r="AA1863" s="17"/>
      <c r="AB1863" s="17"/>
      <c r="AC1863" s="17"/>
      <c r="AD1863" s="27"/>
    </row>
    <row r="1864" ht="15.75" customHeight="1">
      <c r="A1864" s="27"/>
      <c r="B1864" s="27"/>
      <c r="C1864" s="27"/>
      <c r="D1864" s="27"/>
      <c r="E1864" s="27"/>
      <c r="F1864" s="27"/>
      <c r="G1864" s="27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17"/>
      <c r="AA1864" s="17"/>
      <c r="AB1864" s="17"/>
      <c r="AC1864" s="17"/>
      <c r="AD1864" s="27"/>
    </row>
    <row r="1865" ht="15.75" customHeight="1">
      <c r="A1865" s="27"/>
      <c r="B1865" s="27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  <c r="Z1865" s="17"/>
      <c r="AA1865" s="17"/>
      <c r="AB1865" s="17"/>
      <c r="AC1865" s="17"/>
      <c r="AD1865" s="27"/>
    </row>
    <row r="1866" ht="15.75" customHeight="1">
      <c r="A1866" s="27"/>
      <c r="B1866" s="27"/>
      <c r="C1866" s="27"/>
      <c r="D1866" s="27"/>
      <c r="E1866" s="27"/>
      <c r="F1866" s="27"/>
      <c r="G1866" s="27"/>
      <c r="H1866" s="27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17"/>
      <c r="AA1866" s="17"/>
      <c r="AB1866" s="17"/>
      <c r="AC1866" s="17"/>
      <c r="AD1866" s="27"/>
    </row>
    <row r="1867" ht="15.75" customHeight="1">
      <c r="A1867" s="27"/>
      <c r="B1867" s="27"/>
      <c r="C1867" s="27"/>
      <c r="D1867" s="27"/>
      <c r="E1867" s="27"/>
      <c r="F1867" s="27"/>
      <c r="G1867" s="27"/>
      <c r="H1867" s="27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  <c r="Z1867" s="17"/>
      <c r="AA1867" s="17"/>
      <c r="AB1867" s="17"/>
      <c r="AC1867" s="17"/>
      <c r="AD1867" s="27"/>
    </row>
    <row r="1868" ht="15.75" customHeight="1">
      <c r="A1868" s="27"/>
      <c r="B1868" s="27"/>
      <c r="C1868" s="27"/>
      <c r="D1868" s="27"/>
      <c r="E1868" s="27"/>
      <c r="F1868" s="27"/>
      <c r="G1868" s="27"/>
      <c r="H1868" s="27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  <c r="Z1868" s="17"/>
      <c r="AA1868" s="17"/>
      <c r="AB1868" s="17"/>
      <c r="AC1868" s="17"/>
      <c r="AD1868" s="27"/>
    </row>
    <row r="1869" ht="15.75" customHeight="1">
      <c r="A1869" s="27"/>
      <c r="B1869" s="27"/>
      <c r="C1869" s="27"/>
      <c r="D1869" s="27"/>
      <c r="E1869" s="27"/>
      <c r="F1869" s="27"/>
      <c r="G1869" s="27"/>
      <c r="H1869" s="27"/>
      <c r="I1869" s="27"/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  <c r="Z1869" s="17"/>
      <c r="AA1869" s="17"/>
      <c r="AB1869" s="17"/>
      <c r="AC1869" s="17"/>
      <c r="AD1869" s="27"/>
    </row>
    <row r="1870" ht="15.75" customHeight="1">
      <c r="A1870" s="27"/>
      <c r="B1870" s="27"/>
      <c r="C1870" s="27"/>
      <c r="D1870" s="27"/>
      <c r="E1870" s="27"/>
      <c r="F1870" s="27"/>
      <c r="G1870" s="27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  <c r="Z1870" s="17"/>
      <c r="AA1870" s="17"/>
      <c r="AB1870" s="17"/>
      <c r="AC1870" s="17"/>
      <c r="AD1870" s="27"/>
    </row>
    <row r="1871" ht="15.75" customHeight="1">
      <c r="A1871" s="27"/>
      <c r="B1871" s="27"/>
      <c r="C1871" s="27"/>
      <c r="D1871" s="27"/>
      <c r="E1871" s="27"/>
      <c r="F1871" s="27"/>
      <c r="G1871" s="27"/>
      <c r="H1871" s="27"/>
      <c r="I1871" s="27"/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7"/>
      <c r="X1871" s="27"/>
      <c r="Y1871" s="27"/>
      <c r="Z1871" s="17"/>
      <c r="AA1871" s="17"/>
      <c r="AB1871" s="17"/>
      <c r="AC1871" s="17"/>
      <c r="AD1871" s="27"/>
    </row>
    <row r="1872" ht="15.75" customHeight="1">
      <c r="A1872" s="27"/>
      <c r="B1872" s="27"/>
      <c r="C1872" s="27"/>
      <c r="D1872" s="27"/>
      <c r="E1872" s="27"/>
      <c r="F1872" s="27"/>
      <c r="G1872" s="27"/>
      <c r="H1872" s="27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  <c r="Z1872" s="17"/>
      <c r="AA1872" s="17"/>
      <c r="AB1872" s="17"/>
      <c r="AC1872" s="17"/>
      <c r="AD1872" s="27"/>
    </row>
    <row r="1873" ht="15.75" customHeight="1">
      <c r="A1873" s="27"/>
      <c r="B1873" s="27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7"/>
      <c r="X1873" s="27"/>
      <c r="Y1873" s="27"/>
      <c r="Z1873" s="17"/>
      <c r="AA1873" s="17"/>
      <c r="AB1873" s="17"/>
      <c r="AC1873" s="17"/>
      <c r="AD1873" s="27"/>
    </row>
    <row r="1874" ht="15.75" customHeight="1">
      <c r="A1874" s="27"/>
      <c r="B1874" s="27"/>
      <c r="C1874" s="27"/>
      <c r="D1874" s="27"/>
      <c r="E1874" s="27"/>
      <c r="F1874" s="27"/>
      <c r="G1874" s="27"/>
      <c r="H1874" s="27"/>
      <c r="I1874" s="27"/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7"/>
      <c r="X1874" s="27"/>
      <c r="Y1874" s="27"/>
      <c r="Z1874" s="17"/>
      <c r="AA1874" s="17"/>
      <c r="AB1874" s="17"/>
      <c r="AC1874" s="17"/>
      <c r="AD1874" s="27"/>
    </row>
    <row r="1875" ht="15.75" customHeight="1">
      <c r="A1875" s="27"/>
      <c r="B1875" s="27"/>
      <c r="C1875" s="27"/>
      <c r="D1875" s="27"/>
      <c r="E1875" s="27"/>
      <c r="F1875" s="27"/>
      <c r="G1875" s="27"/>
      <c r="H1875" s="27"/>
      <c r="I1875" s="27"/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  <c r="Z1875" s="17"/>
      <c r="AA1875" s="17"/>
      <c r="AB1875" s="17"/>
      <c r="AC1875" s="17"/>
      <c r="AD1875" s="27"/>
    </row>
    <row r="1876" ht="15.75" customHeight="1">
      <c r="A1876" s="27"/>
      <c r="B1876" s="27"/>
      <c r="C1876" s="27"/>
      <c r="D1876" s="27"/>
      <c r="E1876" s="27"/>
      <c r="F1876" s="27"/>
      <c r="G1876" s="27"/>
      <c r="H1876" s="27"/>
      <c r="I1876" s="27"/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7"/>
      <c r="X1876" s="27"/>
      <c r="Y1876" s="27"/>
      <c r="Z1876" s="17"/>
      <c r="AA1876" s="17"/>
      <c r="AB1876" s="17"/>
      <c r="AC1876" s="17"/>
      <c r="AD1876" s="27"/>
    </row>
    <row r="1877" ht="15.75" customHeight="1">
      <c r="A1877" s="27"/>
      <c r="B1877" s="27"/>
      <c r="C1877" s="27"/>
      <c r="D1877" s="27"/>
      <c r="E1877" s="27"/>
      <c r="F1877" s="27"/>
      <c r="G1877" s="27"/>
      <c r="H1877" s="27"/>
      <c r="I1877" s="27"/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  <c r="Z1877" s="17"/>
      <c r="AA1877" s="17"/>
      <c r="AB1877" s="17"/>
      <c r="AC1877" s="17"/>
      <c r="AD1877" s="27"/>
    </row>
    <row r="1878" ht="15.75" customHeight="1">
      <c r="A1878" s="27"/>
      <c r="B1878" s="27"/>
      <c r="C1878" s="27"/>
      <c r="D1878" s="27"/>
      <c r="E1878" s="27"/>
      <c r="F1878" s="27"/>
      <c r="G1878" s="27"/>
      <c r="H1878" s="27"/>
      <c r="I1878" s="27"/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  <c r="Z1878" s="17"/>
      <c r="AA1878" s="17"/>
      <c r="AB1878" s="17"/>
      <c r="AC1878" s="17"/>
      <c r="AD1878" s="27"/>
    </row>
    <row r="1879" ht="15.75" customHeight="1">
      <c r="A1879" s="27"/>
      <c r="B1879" s="27"/>
      <c r="C1879" s="27"/>
      <c r="D1879" s="27"/>
      <c r="E1879" s="27"/>
      <c r="F1879" s="27"/>
      <c r="G1879" s="27"/>
      <c r="H1879" s="27"/>
      <c r="I1879" s="27"/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  <c r="Z1879" s="17"/>
      <c r="AA1879" s="17"/>
      <c r="AB1879" s="17"/>
      <c r="AC1879" s="17"/>
      <c r="AD1879" s="27"/>
    </row>
    <row r="1880" ht="15.75" customHeight="1">
      <c r="A1880" s="27"/>
      <c r="B1880" s="27"/>
      <c r="C1880" s="27"/>
      <c r="D1880" s="27"/>
      <c r="E1880" s="27"/>
      <c r="F1880" s="27"/>
      <c r="G1880" s="27"/>
      <c r="H1880" s="27"/>
      <c r="I1880" s="27"/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7"/>
      <c r="X1880" s="27"/>
      <c r="Y1880" s="27"/>
      <c r="Z1880" s="17"/>
      <c r="AA1880" s="17"/>
      <c r="AB1880" s="17"/>
      <c r="AC1880" s="17"/>
      <c r="AD1880" s="27"/>
    </row>
    <row r="1881" ht="15.75" customHeight="1">
      <c r="A1881" s="27"/>
      <c r="B1881" s="27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7"/>
      <c r="X1881" s="27"/>
      <c r="Y1881" s="27"/>
      <c r="Z1881" s="17"/>
      <c r="AA1881" s="17"/>
      <c r="AB1881" s="17"/>
      <c r="AC1881" s="17"/>
      <c r="AD1881" s="27"/>
    </row>
    <row r="1882" ht="15.75" customHeight="1">
      <c r="A1882" s="27"/>
      <c r="B1882" s="27"/>
      <c r="C1882" s="27"/>
      <c r="D1882" s="27"/>
      <c r="E1882" s="27"/>
      <c r="F1882" s="27"/>
      <c r="G1882" s="27"/>
      <c r="H1882" s="27"/>
      <c r="I1882" s="27"/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  <c r="Z1882" s="17"/>
      <c r="AA1882" s="17"/>
      <c r="AB1882" s="17"/>
      <c r="AC1882" s="17"/>
      <c r="AD1882" s="27"/>
    </row>
    <row r="1883" ht="15.75" customHeight="1">
      <c r="A1883" s="27"/>
      <c r="B1883" s="27"/>
      <c r="C1883" s="27"/>
      <c r="D1883" s="27"/>
      <c r="E1883" s="27"/>
      <c r="F1883" s="27"/>
      <c r="G1883" s="27"/>
      <c r="H1883" s="27"/>
      <c r="I1883" s="27"/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  <c r="Z1883" s="17"/>
      <c r="AA1883" s="17"/>
      <c r="AB1883" s="17"/>
      <c r="AC1883" s="17"/>
      <c r="AD1883" s="27"/>
    </row>
    <row r="1884" ht="15.75" customHeight="1">
      <c r="A1884" s="27"/>
      <c r="B1884" s="27"/>
      <c r="C1884" s="27"/>
      <c r="D1884" s="27"/>
      <c r="E1884" s="27"/>
      <c r="F1884" s="27"/>
      <c r="G1884" s="27"/>
      <c r="H1884" s="27"/>
      <c r="I1884" s="27"/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7"/>
      <c r="X1884" s="27"/>
      <c r="Y1884" s="27"/>
      <c r="Z1884" s="17"/>
      <c r="AA1884" s="17"/>
      <c r="AB1884" s="17"/>
      <c r="AC1884" s="17"/>
      <c r="AD1884" s="27"/>
    </row>
    <row r="1885" ht="15.75" customHeight="1">
      <c r="A1885" s="27"/>
      <c r="B1885" s="27"/>
      <c r="C1885" s="27"/>
      <c r="D1885" s="27"/>
      <c r="E1885" s="27"/>
      <c r="F1885" s="27"/>
      <c r="G1885" s="27"/>
      <c r="H1885" s="27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17"/>
      <c r="AA1885" s="17"/>
      <c r="AB1885" s="17"/>
      <c r="AC1885" s="17"/>
      <c r="AD1885" s="27"/>
    </row>
    <row r="1886" ht="15.75" customHeight="1">
      <c r="A1886" s="27"/>
      <c r="B1886" s="27"/>
      <c r="C1886" s="27"/>
      <c r="D1886" s="27"/>
      <c r="E1886" s="27"/>
      <c r="F1886" s="27"/>
      <c r="G1886" s="27"/>
      <c r="H1886" s="27"/>
      <c r="I1886" s="27"/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  <c r="Z1886" s="17"/>
      <c r="AA1886" s="17"/>
      <c r="AB1886" s="17"/>
      <c r="AC1886" s="17"/>
      <c r="AD1886" s="27"/>
    </row>
    <row r="1887" ht="15.75" customHeight="1">
      <c r="A1887" s="27"/>
      <c r="B1887" s="27"/>
      <c r="C1887" s="27"/>
      <c r="D1887" s="27"/>
      <c r="E1887" s="27"/>
      <c r="F1887" s="27"/>
      <c r="G1887" s="27"/>
      <c r="H1887" s="27"/>
      <c r="I1887" s="27"/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  <c r="Z1887" s="17"/>
      <c r="AA1887" s="17"/>
      <c r="AB1887" s="17"/>
      <c r="AC1887" s="17"/>
      <c r="AD1887" s="27"/>
    </row>
    <row r="1888" ht="15.75" customHeight="1">
      <c r="A1888" s="27"/>
      <c r="B1888" s="27"/>
      <c r="C1888" s="27"/>
      <c r="D1888" s="27"/>
      <c r="E1888" s="27"/>
      <c r="F1888" s="27"/>
      <c r="G1888" s="27"/>
      <c r="H1888" s="27"/>
      <c r="I1888" s="27"/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17"/>
      <c r="AA1888" s="17"/>
      <c r="AB1888" s="17"/>
      <c r="AC1888" s="17"/>
      <c r="AD1888" s="27"/>
    </row>
    <row r="1889" ht="15.75" customHeight="1">
      <c r="A1889" s="27"/>
      <c r="B1889" s="27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7"/>
      <c r="X1889" s="27"/>
      <c r="Y1889" s="27"/>
      <c r="Z1889" s="17"/>
      <c r="AA1889" s="17"/>
      <c r="AB1889" s="17"/>
      <c r="AC1889" s="17"/>
      <c r="AD1889" s="27"/>
    </row>
    <row r="1890" ht="15.75" customHeight="1">
      <c r="A1890" s="27"/>
      <c r="B1890" s="27"/>
      <c r="C1890" s="27"/>
      <c r="D1890" s="27"/>
      <c r="E1890" s="27"/>
      <c r="F1890" s="27"/>
      <c r="G1890" s="27"/>
      <c r="H1890" s="27"/>
      <c r="I1890" s="27"/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  <c r="Z1890" s="17"/>
      <c r="AA1890" s="17"/>
      <c r="AB1890" s="17"/>
      <c r="AC1890" s="17"/>
      <c r="AD1890" s="27"/>
    </row>
    <row r="1891" ht="15.75" customHeight="1">
      <c r="A1891" s="27"/>
      <c r="B1891" s="27"/>
      <c r="C1891" s="27"/>
      <c r="D1891" s="27"/>
      <c r="E1891" s="27"/>
      <c r="F1891" s="27"/>
      <c r="G1891" s="27"/>
      <c r="H1891" s="27"/>
      <c r="I1891" s="27"/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  <c r="Z1891" s="17"/>
      <c r="AA1891" s="17"/>
      <c r="AB1891" s="17"/>
      <c r="AC1891" s="17"/>
      <c r="AD1891" s="27"/>
    </row>
    <row r="1892" ht="15.75" customHeight="1">
      <c r="A1892" s="27"/>
      <c r="B1892" s="27"/>
      <c r="C1892" s="27"/>
      <c r="D1892" s="27"/>
      <c r="E1892" s="27"/>
      <c r="F1892" s="27"/>
      <c r="G1892" s="27"/>
      <c r="H1892" s="27"/>
      <c r="I1892" s="27"/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  <c r="Z1892" s="17"/>
      <c r="AA1892" s="17"/>
      <c r="AB1892" s="17"/>
      <c r="AC1892" s="17"/>
      <c r="AD1892" s="27"/>
    </row>
    <row r="1893" ht="15.75" customHeight="1">
      <c r="A1893" s="27"/>
      <c r="B1893" s="27"/>
      <c r="C1893" s="27"/>
      <c r="D1893" s="27"/>
      <c r="E1893" s="27"/>
      <c r="F1893" s="27"/>
      <c r="G1893" s="27"/>
      <c r="H1893" s="27"/>
      <c r="I1893" s="27"/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7"/>
      <c r="X1893" s="27"/>
      <c r="Y1893" s="27"/>
      <c r="Z1893" s="17"/>
      <c r="AA1893" s="17"/>
      <c r="AB1893" s="17"/>
      <c r="AC1893" s="17"/>
      <c r="AD1893" s="27"/>
    </row>
    <row r="1894" ht="15.75" customHeight="1">
      <c r="A1894" s="27"/>
      <c r="B1894" s="27"/>
      <c r="C1894" s="27"/>
      <c r="D1894" s="27"/>
      <c r="E1894" s="27"/>
      <c r="F1894" s="27"/>
      <c r="G1894" s="27"/>
      <c r="H1894" s="27"/>
      <c r="I1894" s="27"/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  <c r="Z1894" s="17"/>
      <c r="AA1894" s="17"/>
      <c r="AB1894" s="17"/>
      <c r="AC1894" s="17"/>
      <c r="AD1894" s="27"/>
    </row>
    <row r="1895" ht="15.75" customHeight="1">
      <c r="A1895" s="27"/>
      <c r="B1895" s="27"/>
      <c r="C1895" s="27"/>
      <c r="D1895" s="27"/>
      <c r="E1895" s="27"/>
      <c r="F1895" s="27"/>
      <c r="G1895" s="27"/>
      <c r="H1895" s="27"/>
      <c r="I1895" s="27"/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  <c r="Z1895" s="17"/>
      <c r="AA1895" s="17"/>
      <c r="AB1895" s="17"/>
      <c r="AC1895" s="17"/>
      <c r="AD1895" s="27"/>
    </row>
    <row r="1896" ht="15.75" customHeight="1">
      <c r="A1896" s="27"/>
      <c r="B1896" s="27"/>
      <c r="C1896" s="27"/>
      <c r="D1896" s="27"/>
      <c r="E1896" s="27"/>
      <c r="F1896" s="27"/>
      <c r="G1896" s="27"/>
      <c r="H1896" s="27"/>
      <c r="I1896" s="27"/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  <c r="Z1896" s="17"/>
      <c r="AA1896" s="17"/>
      <c r="AB1896" s="17"/>
      <c r="AC1896" s="17"/>
      <c r="AD1896" s="27"/>
    </row>
    <row r="1897" ht="15.75" customHeight="1">
      <c r="A1897" s="27"/>
      <c r="B1897" s="27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17"/>
      <c r="AA1897" s="17"/>
      <c r="AB1897" s="17"/>
      <c r="AC1897" s="17"/>
      <c r="AD1897" s="27"/>
    </row>
    <row r="1898" ht="15.75" customHeight="1">
      <c r="A1898" s="27"/>
      <c r="B1898" s="27"/>
      <c r="C1898" s="27"/>
      <c r="D1898" s="27"/>
      <c r="E1898" s="27"/>
      <c r="F1898" s="27"/>
      <c r="G1898" s="27"/>
      <c r="H1898" s="27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17"/>
      <c r="AA1898" s="17"/>
      <c r="AB1898" s="17"/>
      <c r="AC1898" s="17"/>
      <c r="AD1898" s="27"/>
    </row>
    <row r="1899" ht="15.75" customHeight="1">
      <c r="A1899" s="27"/>
      <c r="B1899" s="27"/>
      <c r="C1899" s="27"/>
      <c r="D1899" s="27"/>
      <c r="E1899" s="27"/>
      <c r="F1899" s="27"/>
      <c r="G1899" s="27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17"/>
      <c r="AA1899" s="17"/>
      <c r="AB1899" s="17"/>
      <c r="AC1899" s="17"/>
      <c r="AD1899" s="27"/>
    </row>
    <row r="1900" ht="15.75" customHeight="1">
      <c r="A1900" s="27"/>
      <c r="B1900" s="27"/>
      <c r="C1900" s="27"/>
      <c r="D1900" s="27"/>
      <c r="E1900" s="27"/>
      <c r="F1900" s="27"/>
      <c r="G1900" s="27"/>
      <c r="H1900" s="27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17"/>
      <c r="AA1900" s="17"/>
      <c r="AB1900" s="17"/>
      <c r="AC1900" s="17"/>
      <c r="AD1900" s="27"/>
    </row>
    <row r="1901" ht="15.75" customHeight="1">
      <c r="A1901" s="27"/>
      <c r="B1901" s="27"/>
      <c r="C1901" s="27"/>
      <c r="D1901" s="27"/>
      <c r="E1901" s="27"/>
      <c r="F1901" s="27"/>
      <c r="G1901" s="27"/>
      <c r="H1901" s="27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17"/>
      <c r="AA1901" s="17"/>
      <c r="AB1901" s="17"/>
      <c r="AC1901" s="17"/>
      <c r="AD1901" s="27"/>
    </row>
    <row r="1902" ht="15.75" customHeight="1">
      <c r="A1902" s="27"/>
      <c r="B1902" s="27"/>
      <c r="C1902" s="27"/>
      <c r="D1902" s="27"/>
      <c r="E1902" s="27"/>
      <c r="F1902" s="27"/>
      <c r="G1902" s="27"/>
      <c r="H1902" s="27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  <c r="Z1902" s="17"/>
      <c r="AA1902" s="17"/>
      <c r="AB1902" s="17"/>
      <c r="AC1902" s="17"/>
      <c r="AD1902" s="27"/>
    </row>
    <row r="1903" ht="15.75" customHeight="1">
      <c r="A1903" s="27"/>
      <c r="B1903" s="27"/>
      <c r="C1903" s="27"/>
      <c r="D1903" s="27"/>
      <c r="E1903" s="27"/>
      <c r="F1903" s="27"/>
      <c r="G1903" s="27"/>
      <c r="H1903" s="27"/>
      <c r="I1903" s="27"/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17"/>
      <c r="AA1903" s="17"/>
      <c r="AB1903" s="17"/>
      <c r="AC1903" s="17"/>
      <c r="AD1903" s="27"/>
    </row>
    <row r="1904" ht="15.75" customHeight="1">
      <c r="A1904" s="27"/>
      <c r="B1904" s="27"/>
      <c r="C1904" s="27"/>
      <c r="D1904" s="27"/>
      <c r="E1904" s="27"/>
      <c r="F1904" s="27"/>
      <c r="G1904" s="27"/>
      <c r="H1904" s="27"/>
      <c r="I1904" s="27"/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7"/>
      <c r="X1904" s="27"/>
      <c r="Y1904" s="27"/>
      <c r="Z1904" s="17"/>
      <c r="AA1904" s="17"/>
      <c r="AB1904" s="17"/>
      <c r="AC1904" s="17"/>
      <c r="AD1904" s="27"/>
    </row>
    <row r="1905" ht="15.75" customHeight="1">
      <c r="A1905" s="27"/>
      <c r="B1905" s="27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7"/>
      <c r="X1905" s="27"/>
      <c r="Y1905" s="27"/>
      <c r="Z1905" s="17"/>
      <c r="AA1905" s="17"/>
      <c r="AB1905" s="17"/>
      <c r="AC1905" s="17"/>
      <c r="AD1905" s="27"/>
    </row>
    <row r="1906" ht="15.75" customHeight="1">
      <c r="A1906" s="27"/>
      <c r="B1906" s="27"/>
      <c r="C1906" s="27"/>
      <c r="D1906" s="27"/>
      <c r="E1906" s="27"/>
      <c r="F1906" s="27"/>
      <c r="G1906" s="27"/>
      <c r="H1906" s="27"/>
      <c r="I1906" s="27"/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17"/>
      <c r="AA1906" s="17"/>
      <c r="AB1906" s="17"/>
      <c r="AC1906" s="17"/>
      <c r="AD1906" s="27"/>
    </row>
    <row r="1907" ht="15.75" customHeight="1">
      <c r="A1907" s="27"/>
      <c r="B1907" s="27"/>
      <c r="C1907" s="27"/>
      <c r="D1907" s="27"/>
      <c r="E1907" s="27"/>
      <c r="F1907" s="27"/>
      <c r="G1907" s="27"/>
      <c r="H1907" s="27"/>
      <c r="I1907" s="27"/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  <c r="Z1907" s="17"/>
      <c r="AA1907" s="17"/>
      <c r="AB1907" s="17"/>
      <c r="AC1907" s="17"/>
      <c r="AD1907" s="27"/>
    </row>
    <row r="1908" ht="15.75" customHeight="1">
      <c r="A1908" s="27"/>
      <c r="B1908" s="27"/>
      <c r="C1908" s="27"/>
      <c r="D1908" s="27"/>
      <c r="E1908" s="27"/>
      <c r="F1908" s="27"/>
      <c r="G1908" s="27"/>
      <c r="H1908" s="27"/>
      <c r="I1908" s="27"/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  <c r="Z1908" s="17"/>
      <c r="AA1908" s="17"/>
      <c r="AB1908" s="17"/>
      <c r="AC1908" s="17"/>
      <c r="AD1908" s="27"/>
    </row>
    <row r="1909" ht="15.75" customHeight="1">
      <c r="A1909" s="27"/>
      <c r="B1909" s="27"/>
      <c r="C1909" s="27"/>
      <c r="D1909" s="27"/>
      <c r="E1909" s="27"/>
      <c r="F1909" s="27"/>
      <c r="G1909" s="27"/>
      <c r="H1909" s="27"/>
      <c r="I1909" s="27"/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  <c r="Z1909" s="17"/>
      <c r="AA1909" s="17"/>
      <c r="AB1909" s="17"/>
      <c r="AC1909" s="17"/>
      <c r="AD1909" s="27"/>
    </row>
    <row r="1910" ht="15.75" customHeight="1">
      <c r="A1910" s="27"/>
      <c r="B1910" s="27"/>
      <c r="C1910" s="27"/>
      <c r="D1910" s="27"/>
      <c r="E1910" s="27"/>
      <c r="F1910" s="27"/>
      <c r="G1910" s="27"/>
      <c r="H1910" s="27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  <c r="Z1910" s="17"/>
      <c r="AA1910" s="17"/>
      <c r="AB1910" s="17"/>
      <c r="AC1910" s="17"/>
      <c r="AD1910" s="27"/>
    </row>
    <row r="1911" ht="15.75" customHeight="1">
      <c r="A1911" s="27"/>
      <c r="B1911" s="27"/>
      <c r="C1911" s="27"/>
      <c r="D1911" s="27"/>
      <c r="E1911" s="27"/>
      <c r="F1911" s="27"/>
      <c r="G1911" s="27"/>
      <c r="H1911" s="27"/>
      <c r="I1911" s="27"/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7"/>
      <c r="X1911" s="27"/>
      <c r="Y1911" s="27"/>
      <c r="Z1911" s="17"/>
      <c r="AA1911" s="17"/>
      <c r="AB1911" s="17"/>
      <c r="AC1911" s="17"/>
      <c r="AD1911" s="27"/>
    </row>
    <row r="1912" ht="15.75" customHeight="1">
      <c r="A1912" s="27"/>
      <c r="B1912" s="27"/>
      <c r="C1912" s="27"/>
      <c r="D1912" s="27"/>
      <c r="E1912" s="27"/>
      <c r="F1912" s="27"/>
      <c r="G1912" s="27"/>
      <c r="H1912" s="27"/>
      <c r="I1912" s="27"/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7"/>
      <c r="X1912" s="27"/>
      <c r="Y1912" s="27"/>
      <c r="Z1912" s="17"/>
      <c r="AA1912" s="17"/>
      <c r="AB1912" s="17"/>
      <c r="AC1912" s="17"/>
      <c r="AD1912" s="27"/>
    </row>
    <row r="1913" ht="15.75" customHeight="1">
      <c r="A1913" s="27"/>
      <c r="B1913" s="27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7"/>
      <c r="X1913" s="27"/>
      <c r="Y1913" s="27"/>
      <c r="Z1913" s="17"/>
      <c r="AA1913" s="17"/>
      <c r="AB1913" s="17"/>
      <c r="AC1913" s="17"/>
      <c r="AD1913" s="27"/>
    </row>
    <row r="1914" ht="15.75" customHeight="1">
      <c r="A1914" s="27"/>
      <c r="B1914" s="27"/>
      <c r="C1914" s="27"/>
      <c r="D1914" s="27"/>
      <c r="E1914" s="27"/>
      <c r="F1914" s="27"/>
      <c r="G1914" s="27"/>
      <c r="H1914" s="27"/>
      <c r="I1914" s="27"/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  <c r="Z1914" s="17"/>
      <c r="AA1914" s="17"/>
      <c r="AB1914" s="17"/>
      <c r="AC1914" s="17"/>
      <c r="AD1914" s="27"/>
    </row>
    <row r="1915" ht="15.75" customHeight="1">
      <c r="A1915" s="27"/>
      <c r="B1915" s="27"/>
      <c r="C1915" s="27"/>
      <c r="D1915" s="27"/>
      <c r="E1915" s="27"/>
      <c r="F1915" s="27"/>
      <c r="G1915" s="27"/>
      <c r="H1915" s="27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17"/>
      <c r="AA1915" s="17"/>
      <c r="AB1915" s="17"/>
      <c r="AC1915" s="17"/>
      <c r="AD1915" s="27"/>
    </row>
    <row r="1916" ht="15.75" customHeight="1">
      <c r="A1916" s="27"/>
      <c r="B1916" s="27"/>
      <c r="C1916" s="27"/>
      <c r="D1916" s="27"/>
      <c r="E1916" s="27"/>
      <c r="F1916" s="27"/>
      <c r="G1916" s="27"/>
      <c r="H1916" s="27"/>
      <c r="I1916" s="27"/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  <c r="Z1916" s="17"/>
      <c r="AA1916" s="17"/>
      <c r="AB1916" s="17"/>
      <c r="AC1916" s="17"/>
      <c r="AD1916" s="27"/>
    </row>
    <row r="1917" ht="15.75" customHeight="1">
      <c r="A1917" s="27"/>
      <c r="B1917" s="27"/>
      <c r="C1917" s="27"/>
      <c r="D1917" s="27"/>
      <c r="E1917" s="27"/>
      <c r="F1917" s="27"/>
      <c r="G1917" s="27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17"/>
      <c r="AA1917" s="17"/>
      <c r="AB1917" s="17"/>
      <c r="AC1917" s="17"/>
      <c r="AD1917" s="27"/>
    </row>
    <row r="1918" ht="15.75" customHeight="1">
      <c r="A1918" s="27"/>
      <c r="B1918" s="27"/>
      <c r="C1918" s="27"/>
      <c r="D1918" s="27"/>
      <c r="E1918" s="27"/>
      <c r="F1918" s="27"/>
      <c r="G1918" s="27"/>
      <c r="H1918" s="27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17"/>
      <c r="AA1918" s="17"/>
      <c r="AB1918" s="17"/>
      <c r="AC1918" s="17"/>
      <c r="AD1918" s="27"/>
    </row>
    <row r="1919" ht="15.75" customHeight="1">
      <c r="A1919" s="27"/>
      <c r="B1919" s="27"/>
      <c r="C1919" s="27"/>
      <c r="D1919" s="27"/>
      <c r="E1919" s="27"/>
      <c r="F1919" s="27"/>
      <c r="G1919" s="27"/>
      <c r="H1919" s="27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17"/>
      <c r="AA1919" s="17"/>
      <c r="AB1919" s="17"/>
      <c r="AC1919" s="17"/>
      <c r="AD1919" s="27"/>
    </row>
    <row r="1920" ht="15.75" customHeight="1">
      <c r="A1920" s="27"/>
      <c r="B1920" s="27"/>
      <c r="C1920" s="27"/>
      <c r="D1920" s="27"/>
      <c r="E1920" s="27"/>
      <c r="F1920" s="27"/>
      <c r="G1920" s="27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17"/>
      <c r="AA1920" s="17"/>
      <c r="AB1920" s="17"/>
      <c r="AC1920" s="17"/>
      <c r="AD1920" s="27"/>
    </row>
    <row r="1921" ht="15.75" customHeight="1">
      <c r="A1921" s="27"/>
      <c r="B1921" s="27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  <c r="Z1921" s="17"/>
      <c r="AA1921" s="17"/>
      <c r="AB1921" s="17"/>
      <c r="AC1921" s="17"/>
      <c r="AD1921" s="27"/>
    </row>
    <row r="1922" ht="15.75" customHeight="1">
      <c r="A1922" s="27"/>
      <c r="B1922" s="27"/>
      <c r="C1922" s="27"/>
      <c r="D1922" s="27"/>
      <c r="E1922" s="27"/>
      <c r="F1922" s="27"/>
      <c r="G1922" s="27"/>
      <c r="H1922" s="27"/>
      <c r="I1922" s="27"/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  <c r="Z1922" s="17"/>
      <c r="AA1922" s="17"/>
      <c r="AB1922" s="17"/>
      <c r="AC1922" s="17"/>
      <c r="AD1922" s="27"/>
    </row>
    <row r="1923" ht="15.75" customHeight="1">
      <c r="A1923" s="27"/>
      <c r="B1923" s="27"/>
      <c r="C1923" s="27"/>
      <c r="D1923" s="27"/>
      <c r="E1923" s="27"/>
      <c r="F1923" s="27"/>
      <c r="G1923" s="27"/>
      <c r="H1923" s="27"/>
      <c r="I1923" s="27"/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17"/>
      <c r="AA1923" s="17"/>
      <c r="AB1923" s="17"/>
      <c r="AC1923" s="17"/>
      <c r="AD1923" s="27"/>
    </row>
    <row r="1924" ht="15.75" customHeight="1">
      <c r="A1924" s="27"/>
      <c r="B1924" s="27"/>
      <c r="C1924" s="27"/>
      <c r="D1924" s="27"/>
      <c r="E1924" s="27"/>
      <c r="F1924" s="27"/>
      <c r="G1924" s="27"/>
      <c r="H1924" s="27"/>
      <c r="I1924" s="27"/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  <c r="Z1924" s="17"/>
      <c r="AA1924" s="17"/>
      <c r="AB1924" s="17"/>
      <c r="AC1924" s="17"/>
      <c r="AD1924" s="27"/>
    </row>
    <row r="1925" ht="15.75" customHeight="1">
      <c r="A1925" s="27"/>
      <c r="B1925" s="27"/>
      <c r="C1925" s="27"/>
      <c r="D1925" s="27"/>
      <c r="E1925" s="27"/>
      <c r="F1925" s="27"/>
      <c r="G1925" s="27"/>
      <c r="H1925" s="27"/>
      <c r="I1925" s="27"/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7"/>
      <c r="X1925" s="27"/>
      <c r="Y1925" s="27"/>
      <c r="Z1925" s="17"/>
      <c r="AA1925" s="17"/>
      <c r="AB1925" s="17"/>
      <c r="AC1925" s="17"/>
      <c r="AD1925" s="27"/>
    </row>
    <row r="1926" ht="15.75" customHeight="1">
      <c r="A1926" s="27"/>
      <c r="B1926" s="27"/>
      <c r="C1926" s="27"/>
      <c r="D1926" s="27"/>
      <c r="E1926" s="27"/>
      <c r="F1926" s="27"/>
      <c r="G1926" s="27"/>
      <c r="H1926" s="27"/>
      <c r="I1926" s="27"/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17"/>
      <c r="AA1926" s="17"/>
      <c r="AB1926" s="17"/>
      <c r="AC1926" s="17"/>
      <c r="AD1926" s="27"/>
    </row>
    <row r="1927" ht="15.75" customHeight="1">
      <c r="A1927" s="27"/>
      <c r="B1927" s="27"/>
      <c r="C1927" s="27"/>
      <c r="D1927" s="27"/>
      <c r="E1927" s="27"/>
      <c r="F1927" s="27"/>
      <c r="G1927" s="27"/>
      <c r="H1927" s="27"/>
      <c r="I1927" s="27"/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7"/>
      <c r="X1927" s="27"/>
      <c r="Y1927" s="27"/>
      <c r="Z1927" s="17"/>
      <c r="AA1927" s="17"/>
      <c r="AB1927" s="17"/>
      <c r="AC1927" s="17"/>
      <c r="AD1927" s="27"/>
    </row>
    <row r="1928" ht="15.75" customHeight="1">
      <c r="A1928" s="27"/>
      <c r="B1928" s="27"/>
      <c r="C1928" s="27"/>
      <c r="D1928" s="27"/>
      <c r="E1928" s="27"/>
      <c r="F1928" s="27"/>
      <c r="G1928" s="27"/>
      <c r="H1928" s="27"/>
      <c r="I1928" s="27"/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  <c r="Z1928" s="17"/>
      <c r="AA1928" s="17"/>
      <c r="AB1928" s="17"/>
      <c r="AC1928" s="17"/>
      <c r="AD1928" s="27"/>
    </row>
    <row r="1929" ht="15.75" customHeight="1">
      <c r="A1929" s="27"/>
      <c r="B1929" s="27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7"/>
      <c r="X1929" s="27"/>
      <c r="Y1929" s="27"/>
      <c r="Z1929" s="17"/>
      <c r="AA1929" s="17"/>
      <c r="AB1929" s="17"/>
      <c r="AC1929" s="17"/>
      <c r="AD1929" s="27"/>
    </row>
    <row r="1930" ht="15.75" customHeight="1">
      <c r="A1930" s="27"/>
      <c r="B1930" s="27"/>
      <c r="C1930" s="27"/>
      <c r="D1930" s="27"/>
      <c r="E1930" s="27"/>
      <c r="F1930" s="27"/>
      <c r="G1930" s="27"/>
      <c r="H1930" s="27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  <c r="Z1930" s="17"/>
      <c r="AA1930" s="17"/>
      <c r="AB1930" s="17"/>
      <c r="AC1930" s="17"/>
      <c r="AD1930" s="27"/>
    </row>
    <row r="1931" ht="15.75" customHeight="1">
      <c r="A1931" s="27"/>
      <c r="B1931" s="27"/>
      <c r="C1931" s="27"/>
      <c r="D1931" s="27"/>
      <c r="E1931" s="27"/>
      <c r="F1931" s="27"/>
      <c r="G1931" s="27"/>
      <c r="H1931" s="27"/>
      <c r="I1931" s="27"/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  <c r="Z1931" s="17"/>
      <c r="AA1931" s="17"/>
      <c r="AB1931" s="17"/>
      <c r="AC1931" s="17"/>
      <c r="AD1931" s="27"/>
    </row>
    <row r="1932" ht="15.75" customHeight="1">
      <c r="A1932" s="27"/>
      <c r="B1932" s="27"/>
      <c r="C1932" s="27"/>
      <c r="D1932" s="27"/>
      <c r="E1932" s="27"/>
      <c r="F1932" s="27"/>
      <c r="G1932" s="27"/>
      <c r="H1932" s="27"/>
      <c r="I1932" s="27"/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7"/>
      <c r="X1932" s="27"/>
      <c r="Y1932" s="27"/>
      <c r="Z1932" s="17"/>
      <c r="AA1932" s="17"/>
      <c r="AB1932" s="17"/>
      <c r="AC1932" s="17"/>
      <c r="AD1932" s="27"/>
    </row>
    <row r="1933" ht="15.75" customHeight="1">
      <c r="A1933" s="27"/>
      <c r="B1933" s="27"/>
      <c r="C1933" s="27"/>
      <c r="D1933" s="27"/>
      <c r="E1933" s="27"/>
      <c r="F1933" s="27"/>
      <c r="G1933" s="27"/>
      <c r="H1933" s="27"/>
      <c r="I1933" s="27"/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7"/>
      <c r="X1933" s="27"/>
      <c r="Y1933" s="27"/>
      <c r="Z1933" s="17"/>
      <c r="AA1933" s="17"/>
      <c r="AB1933" s="17"/>
      <c r="AC1933" s="17"/>
      <c r="AD1933" s="27"/>
    </row>
    <row r="1934" ht="15.75" customHeight="1">
      <c r="A1934" s="27"/>
      <c r="B1934" s="27"/>
      <c r="C1934" s="27"/>
      <c r="D1934" s="27"/>
      <c r="E1934" s="27"/>
      <c r="F1934" s="27"/>
      <c r="G1934" s="27"/>
      <c r="H1934" s="27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  <c r="Z1934" s="17"/>
      <c r="AA1934" s="17"/>
      <c r="AB1934" s="17"/>
      <c r="AC1934" s="17"/>
      <c r="AD1934" s="27"/>
    </row>
    <row r="1935" ht="15.75" customHeight="1">
      <c r="A1935" s="27"/>
      <c r="B1935" s="27"/>
      <c r="C1935" s="27"/>
      <c r="D1935" s="27"/>
      <c r="E1935" s="27"/>
      <c r="F1935" s="27"/>
      <c r="G1935" s="27"/>
      <c r="H1935" s="27"/>
      <c r="I1935" s="27"/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  <c r="Z1935" s="17"/>
      <c r="AA1935" s="17"/>
      <c r="AB1935" s="17"/>
      <c r="AC1935" s="17"/>
      <c r="AD1935" s="27"/>
    </row>
    <row r="1936" ht="15.75" customHeight="1">
      <c r="A1936" s="27"/>
      <c r="B1936" s="27"/>
      <c r="C1936" s="27"/>
      <c r="D1936" s="27"/>
      <c r="E1936" s="27"/>
      <c r="F1936" s="27"/>
      <c r="G1936" s="27"/>
      <c r="H1936" s="27"/>
      <c r="I1936" s="27"/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17"/>
      <c r="AA1936" s="17"/>
      <c r="AB1936" s="17"/>
      <c r="AC1936" s="17"/>
      <c r="AD1936" s="27"/>
    </row>
    <row r="1937" ht="15.75" customHeight="1">
      <c r="A1937" s="27"/>
      <c r="B1937" s="27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  <c r="Z1937" s="17"/>
      <c r="AA1937" s="17"/>
      <c r="AB1937" s="17"/>
      <c r="AC1937" s="17"/>
      <c r="AD1937" s="27"/>
    </row>
    <row r="1938" ht="15.75" customHeight="1">
      <c r="A1938" s="27"/>
      <c r="B1938" s="27"/>
      <c r="C1938" s="27"/>
      <c r="D1938" s="27"/>
      <c r="E1938" s="27"/>
      <c r="F1938" s="27"/>
      <c r="G1938" s="27"/>
      <c r="H1938" s="27"/>
      <c r="I1938" s="27"/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  <c r="Z1938" s="17"/>
      <c r="AA1938" s="17"/>
      <c r="AB1938" s="17"/>
      <c r="AC1938" s="17"/>
      <c r="AD1938" s="27"/>
    </row>
    <row r="1939" ht="15.75" customHeight="1">
      <c r="A1939" s="27"/>
      <c r="B1939" s="27"/>
      <c r="C1939" s="27"/>
      <c r="D1939" s="27"/>
      <c r="E1939" s="27"/>
      <c r="F1939" s="27"/>
      <c r="G1939" s="27"/>
      <c r="H1939" s="27"/>
      <c r="I1939" s="27"/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7"/>
      <c r="X1939" s="27"/>
      <c r="Y1939" s="27"/>
      <c r="Z1939" s="17"/>
      <c r="AA1939" s="17"/>
      <c r="AB1939" s="17"/>
      <c r="AC1939" s="17"/>
      <c r="AD1939" s="27"/>
    </row>
    <row r="1940" ht="15.75" customHeight="1">
      <c r="A1940" s="27"/>
      <c r="B1940" s="27"/>
      <c r="C1940" s="27"/>
      <c r="D1940" s="27"/>
      <c r="E1940" s="27"/>
      <c r="F1940" s="27"/>
      <c r="G1940" s="27"/>
      <c r="H1940" s="27"/>
      <c r="I1940" s="27"/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  <c r="Z1940" s="17"/>
      <c r="AA1940" s="17"/>
      <c r="AB1940" s="17"/>
      <c r="AC1940" s="17"/>
      <c r="AD1940" s="27"/>
    </row>
    <row r="1941" ht="15.75" customHeight="1">
      <c r="A1941" s="27"/>
      <c r="B1941" s="27"/>
      <c r="C1941" s="27"/>
      <c r="D1941" s="27"/>
      <c r="E1941" s="27"/>
      <c r="F1941" s="27"/>
      <c r="G1941" s="27"/>
      <c r="H1941" s="27"/>
      <c r="I1941" s="27"/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  <c r="Z1941" s="17"/>
      <c r="AA1941" s="17"/>
      <c r="AB1941" s="17"/>
      <c r="AC1941" s="17"/>
      <c r="AD1941" s="27"/>
    </row>
    <row r="1942" ht="15.75" customHeight="1">
      <c r="A1942" s="27"/>
      <c r="B1942" s="27"/>
      <c r="C1942" s="27"/>
      <c r="D1942" s="27"/>
      <c r="E1942" s="27"/>
      <c r="F1942" s="27"/>
      <c r="G1942" s="27"/>
      <c r="H1942" s="27"/>
      <c r="I1942" s="27"/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  <c r="Z1942" s="17"/>
      <c r="AA1942" s="17"/>
      <c r="AB1942" s="17"/>
      <c r="AC1942" s="17"/>
      <c r="AD1942" s="27"/>
    </row>
    <row r="1943" ht="15.75" customHeight="1">
      <c r="A1943" s="27"/>
      <c r="B1943" s="27"/>
      <c r="C1943" s="27"/>
      <c r="D1943" s="27"/>
      <c r="E1943" s="27"/>
      <c r="F1943" s="27"/>
      <c r="G1943" s="27"/>
      <c r="H1943" s="27"/>
      <c r="I1943" s="27"/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17"/>
      <c r="AA1943" s="17"/>
      <c r="AB1943" s="17"/>
      <c r="AC1943" s="17"/>
      <c r="AD1943" s="27"/>
    </row>
    <row r="1944" ht="15.75" customHeight="1">
      <c r="A1944" s="27"/>
      <c r="B1944" s="27"/>
      <c r="C1944" s="27"/>
      <c r="D1944" s="27"/>
      <c r="E1944" s="27"/>
      <c r="F1944" s="27"/>
      <c r="G1944" s="27"/>
      <c r="H1944" s="27"/>
      <c r="I1944" s="27"/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7"/>
      <c r="X1944" s="27"/>
      <c r="Y1944" s="27"/>
      <c r="Z1944" s="17"/>
      <c r="AA1944" s="17"/>
      <c r="AB1944" s="17"/>
      <c r="AC1944" s="17"/>
      <c r="AD1944" s="27"/>
    </row>
    <row r="1945" ht="15.75" customHeight="1">
      <c r="A1945" s="27"/>
      <c r="B1945" s="27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17"/>
      <c r="AA1945" s="17"/>
      <c r="AB1945" s="17"/>
      <c r="AC1945" s="17"/>
      <c r="AD1945" s="27"/>
    </row>
    <row r="1946" ht="15.75" customHeight="1">
      <c r="A1946" s="27"/>
      <c r="B1946" s="27"/>
      <c r="C1946" s="27"/>
      <c r="D1946" s="27"/>
      <c r="E1946" s="27"/>
      <c r="F1946" s="27"/>
      <c r="G1946" s="27"/>
      <c r="H1946" s="27"/>
      <c r="I1946" s="27"/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17"/>
      <c r="AA1946" s="17"/>
      <c r="AB1946" s="17"/>
      <c r="AC1946" s="17"/>
      <c r="AD1946" s="27"/>
    </row>
    <row r="1947" ht="15.75" customHeight="1">
      <c r="A1947" s="27"/>
      <c r="B1947" s="27"/>
      <c r="C1947" s="27"/>
      <c r="D1947" s="27"/>
      <c r="E1947" s="27"/>
      <c r="F1947" s="27"/>
      <c r="G1947" s="27"/>
      <c r="H1947" s="27"/>
      <c r="I1947" s="27"/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  <c r="T1947" s="27"/>
      <c r="U1947" s="27"/>
      <c r="V1947" s="27"/>
      <c r="W1947" s="27"/>
      <c r="X1947" s="27"/>
      <c r="Y1947" s="27"/>
      <c r="Z1947" s="17"/>
      <c r="AA1947" s="17"/>
      <c r="AB1947" s="17"/>
      <c r="AC1947" s="17"/>
      <c r="AD1947" s="27"/>
    </row>
    <row r="1948" ht="15.75" customHeight="1">
      <c r="A1948" s="27"/>
      <c r="B1948" s="27"/>
      <c r="C1948" s="27"/>
      <c r="D1948" s="27"/>
      <c r="E1948" s="27"/>
      <c r="F1948" s="27"/>
      <c r="G1948" s="27"/>
      <c r="H1948" s="27"/>
      <c r="I1948" s="27"/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  <c r="T1948" s="27"/>
      <c r="U1948" s="27"/>
      <c r="V1948" s="27"/>
      <c r="W1948" s="27"/>
      <c r="X1948" s="27"/>
      <c r="Y1948" s="27"/>
      <c r="Z1948" s="17"/>
      <c r="AA1948" s="17"/>
      <c r="AB1948" s="17"/>
      <c r="AC1948" s="17"/>
      <c r="AD1948" s="27"/>
    </row>
    <row r="1949" ht="15.75" customHeight="1">
      <c r="A1949" s="27"/>
      <c r="B1949" s="27"/>
      <c r="C1949" s="27"/>
      <c r="D1949" s="27"/>
      <c r="E1949" s="27"/>
      <c r="F1949" s="27"/>
      <c r="G1949" s="27"/>
      <c r="H1949" s="27"/>
      <c r="I1949" s="27"/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7"/>
      <c r="X1949" s="27"/>
      <c r="Y1949" s="27"/>
      <c r="Z1949" s="17"/>
      <c r="AA1949" s="17"/>
      <c r="AB1949" s="17"/>
      <c r="AC1949" s="17"/>
      <c r="AD1949" s="27"/>
    </row>
    <row r="1950" ht="15.75" customHeight="1">
      <c r="A1950" s="27"/>
      <c r="B1950" s="27"/>
      <c r="C1950" s="27"/>
      <c r="D1950" s="27"/>
      <c r="E1950" s="27"/>
      <c r="F1950" s="27"/>
      <c r="G1950" s="27"/>
      <c r="H1950" s="27"/>
      <c r="I1950" s="27"/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  <c r="T1950" s="27"/>
      <c r="U1950" s="27"/>
      <c r="V1950" s="27"/>
      <c r="W1950" s="27"/>
      <c r="X1950" s="27"/>
      <c r="Y1950" s="27"/>
      <c r="Z1950" s="17"/>
      <c r="AA1950" s="17"/>
      <c r="AB1950" s="17"/>
      <c r="AC1950" s="17"/>
      <c r="AD1950" s="27"/>
    </row>
    <row r="1951" ht="15.75" customHeight="1">
      <c r="A1951" s="27"/>
      <c r="B1951" s="27"/>
      <c r="C1951" s="27"/>
      <c r="D1951" s="27"/>
      <c r="E1951" s="27"/>
      <c r="F1951" s="27"/>
      <c r="G1951" s="27"/>
      <c r="H1951" s="27"/>
      <c r="I1951" s="27"/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  <c r="T1951" s="27"/>
      <c r="U1951" s="27"/>
      <c r="V1951" s="27"/>
      <c r="W1951" s="27"/>
      <c r="X1951" s="27"/>
      <c r="Y1951" s="27"/>
      <c r="Z1951" s="17"/>
      <c r="AA1951" s="17"/>
      <c r="AB1951" s="17"/>
      <c r="AC1951" s="17"/>
      <c r="AD1951" s="27"/>
    </row>
    <row r="1952" ht="15.75" customHeight="1">
      <c r="A1952" s="27"/>
      <c r="B1952" s="27"/>
      <c r="C1952" s="27"/>
      <c r="D1952" s="27"/>
      <c r="E1952" s="27"/>
      <c r="F1952" s="27"/>
      <c r="G1952" s="27"/>
      <c r="H1952" s="27"/>
      <c r="I1952" s="27"/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  <c r="Z1952" s="17"/>
      <c r="AA1952" s="17"/>
      <c r="AB1952" s="17"/>
      <c r="AC1952" s="17"/>
      <c r="AD1952" s="27"/>
    </row>
    <row r="1953" ht="15.75" customHeight="1">
      <c r="A1953" s="27"/>
      <c r="B1953" s="27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7"/>
      <c r="X1953" s="27"/>
      <c r="Y1953" s="27"/>
      <c r="Z1953" s="17"/>
      <c r="AA1953" s="17"/>
      <c r="AB1953" s="17"/>
      <c r="AC1953" s="17"/>
      <c r="AD1953" s="27"/>
    </row>
    <row r="1954" ht="15.75" customHeight="1">
      <c r="A1954" s="27"/>
      <c r="B1954" s="27"/>
      <c r="C1954" s="27"/>
      <c r="D1954" s="27"/>
      <c r="E1954" s="27"/>
      <c r="F1954" s="27"/>
      <c r="G1954" s="27"/>
      <c r="H1954" s="27"/>
      <c r="I1954" s="27"/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  <c r="T1954" s="27"/>
      <c r="U1954" s="27"/>
      <c r="V1954" s="27"/>
      <c r="W1954" s="27"/>
      <c r="X1954" s="27"/>
      <c r="Y1954" s="27"/>
      <c r="Z1954" s="17"/>
      <c r="AA1954" s="17"/>
      <c r="AB1954" s="17"/>
      <c r="AC1954" s="17"/>
      <c r="AD1954" s="27"/>
    </row>
    <row r="1955" ht="15.75" customHeight="1">
      <c r="A1955" s="27"/>
      <c r="B1955" s="27"/>
      <c r="C1955" s="27"/>
      <c r="D1955" s="27"/>
      <c r="E1955" s="27"/>
      <c r="F1955" s="27"/>
      <c r="G1955" s="27"/>
      <c r="H1955" s="27"/>
      <c r="I1955" s="27"/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  <c r="T1955" s="27"/>
      <c r="U1955" s="27"/>
      <c r="V1955" s="27"/>
      <c r="W1955" s="27"/>
      <c r="X1955" s="27"/>
      <c r="Y1955" s="27"/>
      <c r="Z1955" s="17"/>
      <c r="AA1955" s="17"/>
      <c r="AB1955" s="17"/>
      <c r="AC1955" s="17"/>
      <c r="AD1955" s="27"/>
    </row>
    <row r="1956" ht="15.75" customHeight="1">
      <c r="A1956" s="27"/>
      <c r="B1956" s="27"/>
      <c r="C1956" s="27"/>
      <c r="D1956" s="27"/>
      <c r="E1956" s="27"/>
      <c r="F1956" s="27"/>
      <c r="G1956" s="27"/>
      <c r="H1956" s="27"/>
      <c r="I1956" s="27"/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  <c r="T1956" s="27"/>
      <c r="U1956" s="27"/>
      <c r="V1956" s="27"/>
      <c r="W1956" s="27"/>
      <c r="X1956" s="27"/>
      <c r="Y1956" s="27"/>
      <c r="Z1956" s="17"/>
      <c r="AA1956" s="17"/>
      <c r="AB1956" s="17"/>
      <c r="AC1956" s="17"/>
      <c r="AD1956" s="27"/>
    </row>
    <row r="1957" ht="15.75" customHeight="1">
      <c r="A1957" s="27"/>
      <c r="B1957" s="27"/>
      <c r="C1957" s="27"/>
      <c r="D1957" s="27"/>
      <c r="E1957" s="27"/>
      <c r="F1957" s="27"/>
      <c r="G1957" s="27"/>
      <c r="H1957" s="27"/>
      <c r="I1957" s="27"/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  <c r="T1957" s="27"/>
      <c r="U1957" s="27"/>
      <c r="V1957" s="27"/>
      <c r="W1957" s="27"/>
      <c r="X1957" s="27"/>
      <c r="Y1957" s="27"/>
      <c r="Z1957" s="17"/>
      <c r="AA1957" s="17"/>
      <c r="AB1957" s="17"/>
      <c r="AC1957" s="17"/>
      <c r="AD1957" s="27"/>
    </row>
    <row r="1958" ht="15.75" customHeight="1">
      <c r="A1958" s="27"/>
      <c r="B1958" s="27"/>
      <c r="C1958" s="27"/>
      <c r="D1958" s="27"/>
      <c r="E1958" s="27"/>
      <c r="F1958" s="27"/>
      <c r="G1958" s="27"/>
      <c r="H1958" s="27"/>
      <c r="I1958" s="27"/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7"/>
      <c r="X1958" s="27"/>
      <c r="Y1958" s="27"/>
      <c r="Z1958" s="17"/>
      <c r="AA1958" s="17"/>
      <c r="AB1958" s="17"/>
      <c r="AC1958" s="17"/>
      <c r="AD1958" s="27"/>
    </row>
    <row r="1959" ht="15.75" customHeight="1">
      <c r="A1959" s="27"/>
      <c r="B1959" s="27"/>
      <c r="C1959" s="27"/>
      <c r="D1959" s="27"/>
      <c r="E1959" s="27"/>
      <c r="F1959" s="27"/>
      <c r="G1959" s="27"/>
      <c r="H1959" s="27"/>
      <c r="I1959" s="27"/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  <c r="T1959" s="27"/>
      <c r="U1959" s="27"/>
      <c r="V1959" s="27"/>
      <c r="W1959" s="27"/>
      <c r="X1959" s="27"/>
      <c r="Y1959" s="27"/>
      <c r="Z1959" s="17"/>
      <c r="AA1959" s="17"/>
      <c r="AB1959" s="17"/>
      <c r="AC1959" s="17"/>
      <c r="AD1959" s="27"/>
    </row>
    <row r="1960" ht="15.75" customHeight="1">
      <c r="A1960" s="27"/>
      <c r="B1960" s="27"/>
      <c r="C1960" s="27"/>
      <c r="D1960" s="27"/>
      <c r="E1960" s="27"/>
      <c r="F1960" s="27"/>
      <c r="G1960" s="27"/>
      <c r="H1960" s="27"/>
      <c r="I1960" s="27"/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/>
      <c r="W1960" s="27"/>
      <c r="X1960" s="27"/>
      <c r="Y1960" s="27"/>
      <c r="Z1960" s="17"/>
      <c r="AA1960" s="17"/>
      <c r="AB1960" s="17"/>
      <c r="AC1960" s="17"/>
      <c r="AD1960" s="27"/>
    </row>
    <row r="1961" ht="15.75" customHeight="1">
      <c r="A1961" s="27"/>
      <c r="B1961" s="27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17"/>
      <c r="AA1961" s="17"/>
      <c r="AB1961" s="17"/>
      <c r="AC1961" s="17"/>
      <c r="AD1961" s="27"/>
    </row>
    <row r="1962" ht="15.75" customHeight="1">
      <c r="A1962" s="27"/>
      <c r="B1962" s="27"/>
      <c r="C1962" s="27"/>
      <c r="D1962" s="27"/>
      <c r="E1962" s="27"/>
      <c r="F1962" s="27"/>
      <c r="G1962" s="27"/>
      <c r="H1962" s="27"/>
      <c r="I1962" s="27"/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  <c r="T1962" s="27"/>
      <c r="U1962" s="27"/>
      <c r="V1962" s="27"/>
      <c r="W1962" s="27"/>
      <c r="X1962" s="27"/>
      <c r="Y1962" s="27"/>
      <c r="Z1962" s="17"/>
      <c r="AA1962" s="17"/>
      <c r="AB1962" s="17"/>
      <c r="AC1962" s="17"/>
      <c r="AD1962" s="27"/>
    </row>
    <row r="1963" ht="15.75" customHeight="1">
      <c r="A1963" s="27"/>
      <c r="B1963" s="27"/>
      <c r="C1963" s="27"/>
      <c r="D1963" s="27"/>
      <c r="E1963" s="27"/>
      <c r="F1963" s="27"/>
      <c r="G1963" s="27"/>
      <c r="H1963" s="27"/>
      <c r="I1963" s="27"/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  <c r="T1963" s="27"/>
      <c r="U1963" s="27"/>
      <c r="V1963" s="27"/>
      <c r="W1963" s="27"/>
      <c r="X1963" s="27"/>
      <c r="Y1963" s="27"/>
      <c r="Z1963" s="17"/>
      <c r="AA1963" s="17"/>
      <c r="AB1963" s="17"/>
      <c r="AC1963" s="17"/>
      <c r="AD1963" s="27"/>
    </row>
    <row r="1964" ht="15.75" customHeight="1">
      <c r="A1964" s="27"/>
      <c r="B1964" s="27"/>
      <c r="C1964" s="27"/>
      <c r="D1964" s="27"/>
      <c r="E1964" s="27"/>
      <c r="F1964" s="27"/>
      <c r="G1964" s="27"/>
      <c r="H1964" s="27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17"/>
      <c r="AA1964" s="17"/>
      <c r="AB1964" s="17"/>
      <c r="AC1964" s="17"/>
      <c r="AD1964" s="27"/>
    </row>
    <row r="1965" ht="15.75" customHeight="1">
      <c r="A1965" s="27"/>
      <c r="B1965" s="27"/>
      <c r="C1965" s="27"/>
      <c r="D1965" s="27"/>
      <c r="E1965" s="27"/>
      <c r="F1965" s="27"/>
      <c r="G1965" s="27"/>
      <c r="H1965" s="27"/>
      <c r="I1965" s="27"/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  <c r="Z1965" s="17"/>
      <c r="AA1965" s="17"/>
      <c r="AB1965" s="17"/>
      <c r="AC1965" s="17"/>
      <c r="AD1965" s="27"/>
    </row>
    <row r="1966" ht="15.75" customHeight="1">
      <c r="A1966" s="27"/>
      <c r="B1966" s="27"/>
      <c r="C1966" s="27"/>
      <c r="D1966" s="27"/>
      <c r="E1966" s="27"/>
      <c r="F1966" s="27"/>
      <c r="G1966" s="27"/>
      <c r="H1966" s="27"/>
      <c r="I1966" s="27"/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  <c r="T1966" s="27"/>
      <c r="U1966" s="27"/>
      <c r="V1966" s="27"/>
      <c r="W1966" s="27"/>
      <c r="X1966" s="27"/>
      <c r="Y1966" s="27"/>
      <c r="Z1966" s="17"/>
      <c r="AA1966" s="17"/>
      <c r="AB1966" s="17"/>
      <c r="AC1966" s="17"/>
      <c r="AD1966" s="27"/>
    </row>
    <row r="1967" ht="15.75" customHeight="1">
      <c r="A1967" s="27"/>
      <c r="B1967" s="27"/>
      <c r="C1967" s="27"/>
      <c r="D1967" s="27"/>
      <c r="E1967" s="27"/>
      <c r="F1967" s="27"/>
      <c r="G1967" s="27"/>
      <c r="H1967" s="27"/>
      <c r="I1967" s="27"/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  <c r="T1967" s="27"/>
      <c r="U1967" s="27"/>
      <c r="V1967" s="27"/>
      <c r="W1967" s="27"/>
      <c r="X1967" s="27"/>
      <c r="Y1967" s="27"/>
      <c r="Z1967" s="17"/>
      <c r="AA1967" s="17"/>
      <c r="AB1967" s="17"/>
      <c r="AC1967" s="17"/>
      <c r="AD1967" s="27"/>
    </row>
    <row r="1968" ht="15.75" customHeight="1">
      <c r="A1968" s="27"/>
      <c r="B1968" s="27"/>
      <c r="C1968" s="27"/>
      <c r="D1968" s="27"/>
      <c r="E1968" s="27"/>
      <c r="F1968" s="27"/>
      <c r="G1968" s="27"/>
      <c r="H1968" s="27"/>
      <c r="I1968" s="27"/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  <c r="Z1968" s="17"/>
      <c r="AA1968" s="17"/>
      <c r="AB1968" s="17"/>
      <c r="AC1968" s="17"/>
      <c r="AD1968" s="27"/>
    </row>
    <row r="1969" ht="15.75" customHeight="1">
      <c r="A1969" s="27"/>
      <c r="B1969" s="27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  <c r="T1969" s="27"/>
      <c r="U1969" s="27"/>
      <c r="V1969" s="27"/>
      <c r="W1969" s="27"/>
      <c r="X1969" s="27"/>
      <c r="Y1969" s="27"/>
      <c r="Z1969" s="17"/>
      <c r="AA1969" s="17"/>
      <c r="AB1969" s="17"/>
      <c r="AC1969" s="17"/>
      <c r="AD1969" s="27"/>
    </row>
    <row r="1970" ht="15.75" customHeight="1">
      <c r="A1970" s="27"/>
      <c r="B1970" s="27"/>
      <c r="C1970" s="27"/>
      <c r="D1970" s="27"/>
      <c r="E1970" s="27"/>
      <c r="F1970" s="27"/>
      <c r="G1970" s="27"/>
      <c r="H1970" s="27"/>
      <c r="I1970" s="27"/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27"/>
      <c r="U1970" s="27"/>
      <c r="V1970" s="27"/>
      <c r="W1970" s="27"/>
      <c r="X1970" s="27"/>
      <c r="Y1970" s="27"/>
      <c r="Z1970" s="17"/>
      <c r="AA1970" s="17"/>
      <c r="AB1970" s="17"/>
      <c r="AC1970" s="17"/>
      <c r="AD1970" s="27"/>
    </row>
    <row r="1971" ht="15.75" customHeight="1">
      <c r="A1971" s="27"/>
      <c r="B1971" s="27"/>
      <c r="C1971" s="27"/>
      <c r="D1971" s="27"/>
      <c r="E1971" s="27"/>
      <c r="F1971" s="27"/>
      <c r="G1971" s="27"/>
      <c r="H1971" s="27"/>
      <c r="I1971" s="27"/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  <c r="T1971" s="27"/>
      <c r="U1971" s="27"/>
      <c r="V1971" s="27"/>
      <c r="W1971" s="27"/>
      <c r="X1971" s="27"/>
      <c r="Y1971" s="27"/>
      <c r="Z1971" s="17"/>
      <c r="AA1971" s="17"/>
      <c r="AB1971" s="17"/>
      <c r="AC1971" s="17"/>
      <c r="AD1971" s="27"/>
    </row>
    <row r="1972" ht="15.75" customHeight="1">
      <c r="A1972" s="27"/>
      <c r="B1972" s="27"/>
      <c r="C1972" s="27"/>
      <c r="D1972" s="27"/>
      <c r="E1972" s="27"/>
      <c r="F1972" s="27"/>
      <c r="G1972" s="27"/>
      <c r="H1972" s="27"/>
      <c r="I1972" s="27"/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  <c r="Z1972" s="17"/>
      <c r="AA1972" s="17"/>
      <c r="AB1972" s="17"/>
      <c r="AC1972" s="17"/>
      <c r="AD1972" s="27"/>
    </row>
    <row r="1973" ht="15.75" customHeight="1">
      <c r="A1973" s="27"/>
      <c r="B1973" s="27"/>
      <c r="C1973" s="27"/>
      <c r="D1973" s="27"/>
      <c r="E1973" s="27"/>
      <c r="F1973" s="27"/>
      <c r="G1973" s="27"/>
      <c r="H1973" s="27"/>
      <c r="I1973" s="27"/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  <c r="T1973" s="27"/>
      <c r="U1973" s="27"/>
      <c r="V1973" s="27"/>
      <c r="W1973" s="27"/>
      <c r="X1973" s="27"/>
      <c r="Y1973" s="27"/>
      <c r="Z1973" s="17"/>
      <c r="AA1973" s="17"/>
      <c r="AB1973" s="17"/>
      <c r="AC1973" s="17"/>
      <c r="AD1973" s="27"/>
    </row>
    <row r="1974" ht="15.75" customHeight="1">
      <c r="A1974" s="27"/>
      <c r="B1974" s="27"/>
      <c r="C1974" s="27"/>
      <c r="D1974" s="27"/>
      <c r="E1974" s="27"/>
      <c r="F1974" s="27"/>
      <c r="G1974" s="27"/>
      <c r="H1974" s="27"/>
      <c r="I1974" s="27"/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  <c r="T1974" s="27"/>
      <c r="U1974" s="27"/>
      <c r="V1974" s="27"/>
      <c r="W1974" s="27"/>
      <c r="X1974" s="27"/>
      <c r="Y1974" s="27"/>
      <c r="Z1974" s="17"/>
      <c r="AA1974" s="17"/>
      <c r="AB1974" s="17"/>
      <c r="AC1974" s="17"/>
      <c r="AD1974" s="27"/>
    </row>
    <row r="1975" ht="15.75" customHeight="1">
      <c r="A1975" s="27"/>
      <c r="B1975" s="27"/>
      <c r="C1975" s="27"/>
      <c r="D1975" s="27"/>
      <c r="E1975" s="27"/>
      <c r="F1975" s="27"/>
      <c r="G1975" s="27"/>
      <c r="H1975" s="27"/>
      <c r="I1975" s="27"/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  <c r="Z1975" s="17"/>
      <c r="AA1975" s="17"/>
      <c r="AB1975" s="17"/>
      <c r="AC1975" s="17"/>
      <c r="AD1975" s="27"/>
    </row>
    <row r="1976" ht="15.75" customHeight="1">
      <c r="A1976" s="27"/>
      <c r="B1976" s="27"/>
      <c r="C1976" s="27"/>
      <c r="D1976" s="27"/>
      <c r="E1976" s="27"/>
      <c r="F1976" s="27"/>
      <c r="G1976" s="27"/>
      <c r="H1976" s="27"/>
      <c r="I1976" s="27"/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  <c r="T1976" s="27"/>
      <c r="U1976" s="27"/>
      <c r="V1976" s="27"/>
      <c r="W1976" s="27"/>
      <c r="X1976" s="27"/>
      <c r="Y1976" s="27"/>
      <c r="Z1976" s="17"/>
      <c r="AA1976" s="17"/>
      <c r="AB1976" s="17"/>
      <c r="AC1976" s="17"/>
      <c r="AD1976" s="27"/>
    </row>
    <row r="1977" ht="15.75" customHeight="1">
      <c r="A1977" s="27"/>
      <c r="B1977" s="27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  <c r="T1977" s="27"/>
      <c r="U1977" s="27"/>
      <c r="V1977" s="27"/>
      <c r="W1977" s="27"/>
      <c r="X1977" s="27"/>
      <c r="Y1977" s="27"/>
      <c r="Z1977" s="17"/>
      <c r="AA1977" s="17"/>
      <c r="AB1977" s="17"/>
      <c r="AC1977" s="17"/>
      <c r="AD1977" s="27"/>
    </row>
    <row r="1978" ht="15.75" customHeight="1">
      <c r="A1978" s="27"/>
      <c r="B1978" s="27"/>
      <c r="C1978" s="27"/>
      <c r="D1978" s="27"/>
      <c r="E1978" s="27"/>
      <c r="F1978" s="27"/>
      <c r="G1978" s="27"/>
      <c r="H1978" s="27"/>
      <c r="I1978" s="27"/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  <c r="T1978" s="27"/>
      <c r="U1978" s="27"/>
      <c r="V1978" s="27"/>
      <c r="W1978" s="27"/>
      <c r="X1978" s="27"/>
      <c r="Y1978" s="27"/>
      <c r="Z1978" s="17"/>
      <c r="AA1978" s="17"/>
      <c r="AB1978" s="17"/>
      <c r="AC1978" s="17"/>
      <c r="AD1978" s="27"/>
    </row>
    <row r="1979" ht="15.75" customHeight="1">
      <c r="A1979" s="27"/>
      <c r="B1979" s="27"/>
      <c r="C1979" s="27"/>
      <c r="D1979" s="27"/>
      <c r="E1979" s="27"/>
      <c r="F1979" s="27"/>
      <c r="G1979" s="27"/>
      <c r="H1979" s="27"/>
      <c r="I1979" s="27"/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7"/>
      <c r="X1979" s="27"/>
      <c r="Y1979" s="27"/>
      <c r="Z1979" s="17"/>
      <c r="AA1979" s="17"/>
      <c r="AB1979" s="17"/>
      <c r="AC1979" s="17"/>
      <c r="AD1979" s="27"/>
    </row>
    <row r="1980" ht="15.75" customHeight="1">
      <c r="A1980" s="27"/>
      <c r="B1980" s="27"/>
      <c r="C1980" s="27"/>
      <c r="D1980" s="27"/>
      <c r="E1980" s="27"/>
      <c r="F1980" s="27"/>
      <c r="G1980" s="27"/>
      <c r="H1980" s="27"/>
      <c r="I1980" s="27"/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  <c r="T1980" s="27"/>
      <c r="U1980" s="27"/>
      <c r="V1980" s="27"/>
      <c r="W1980" s="27"/>
      <c r="X1980" s="27"/>
      <c r="Y1980" s="27"/>
      <c r="Z1980" s="17"/>
      <c r="AA1980" s="17"/>
      <c r="AB1980" s="17"/>
      <c r="AC1980" s="17"/>
      <c r="AD1980" s="27"/>
    </row>
    <row r="1981" ht="15.75" customHeight="1">
      <c r="A1981" s="27"/>
      <c r="B1981" s="27"/>
      <c r="C1981" s="27"/>
      <c r="D1981" s="27"/>
      <c r="E1981" s="27"/>
      <c r="F1981" s="27"/>
      <c r="G1981" s="27"/>
      <c r="H1981" s="27"/>
      <c r="I1981" s="27"/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17"/>
      <c r="AA1981" s="17"/>
      <c r="AB1981" s="17"/>
      <c r="AC1981" s="17"/>
      <c r="AD1981" s="27"/>
    </row>
    <row r="1982" ht="15.75" customHeight="1">
      <c r="A1982" s="27"/>
      <c r="B1982" s="27"/>
      <c r="C1982" s="27"/>
      <c r="D1982" s="27"/>
      <c r="E1982" s="27"/>
      <c r="F1982" s="27"/>
      <c r="G1982" s="27"/>
      <c r="H1982" s="27"/>
      <c r="I1982" s="27"/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  <c r="T1982" s="27"/>
      <c r="U1982" s="27"/>
      <c r="V1982" s="27"/>
      <c r="W1982" s="27"/>
      <c r="X1982" s="27"/>
      <c r="Y1982" s="27"/>
      <c r="Z1982" s="17"/>
      <c r="AA1982" s="17"/>
      <c r="AB1982" s="17"/>
      <c r="AC1982" s="17"/>
      <c r="AD1982" s="27"/>
    </row>
    <row r="1983" ht="15.75" customHeight="1">
      <c r="A1983" s="27"/>
      <c r="B1983" s="27"/>
      <c r="C1983" s="27"/>
      <c r="D1983" s="27"/>
      <c r="E1983" s="27"/>
      <c r="F1983" s="27"/>
      <c r="G1983" s="27"/>
      <c r="H1983" s="27"/>
      <c r="I1983" s="27"/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  <c r="Z1983" s="17"/>
      <c r="AA1983" s="17"/>
      <c r="AB1983" s="17"/>
      <c r="AC1983" s="17"/>
      <c r="AD1983" s="27"/>
    </row>
    <row r="1984" ht="15.75" customHeight="1">
      <c r="A1984" s="27"/>
      <c r="B1984" s="27"/>
      <c r="C1984" s="27"/>
      <c r="D1984" s="27"/>
      <c r="E1984" s="27"/>
      <c r="F1984" s="27"/>
      <c r="G1984" s="27"/>
      <c r="H1984" s="27"/>
      <c r="I1984" s="27"/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  <c r="T1984" s="27"/>
      <c r="U1984" s="27"/>
      <c r="V1984" s="27"/>
      <c r="W1984" s="27"/>
      <c r="X1984" s="27"/>
      <c r="Y1984" s="27"/>
      <c r="Z1984" s="17"/>
      <c r="AA1984" s="17"/>
      <c r="AB1984" s="17"/>
      <c r="AC1984" s="17"/>
      <c r="AD1984" s="27"/>
    </row>
    <row r="1985" ht="15.75" customHeight="1">
      <c r="A1985" s="27"/>
      <c r="B1985" s="27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  <c r="T1985" s="27"/>
      <c r="U1985" s="27"/>
      <c r="V1985" s="27"/>
      <c r="W1985" s="27"/>
      <c r="X1985" s="27"/>
      <c r="Y1985" s="27"/>
      <c r="Z1985" s="17"/>
      <c r="AA1985" s="17"/>
      <c r="AB1985" s="17"/>
      <c r="AC1985" s="17"/>
      <c r="AD1985" s="27"/>
    </row>
    <row r="1986" ht="15.75" customHeight="1">
      <c r="A1986" s="27"/>
      <c r="B1986" s="27"/>
      <c r="C1986" s="27"/>
      <c r="D1986" s="27"/>
      <c r="E1986" s="27"/>
      <c r="F1986" s="27"/>
      <c r="G1986" s="27"/>
      <c r="H1986" s="27"/>
      <c r="I1986" s="27"/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17"/>
      <c r="AA1986" s="17"/>
      <c r="AB1986" s="17"/>
      <c r="AC1986" s="17"/>
      <c r="AD1986" s="27"/>
    </row>
    <row r="1987" ht="15.75" customHeight="1">
      <c r="A1987" s="27"/>
      <c r="B1987" s="27"/>
      <c r="C1987" s="27"/>
      <c r="D1987" s="27"/>
      <c r="E1987" s="27"/>
      <c r="F1987" s="27"/>
      <c r="G1987" s="27"/>
      <c r="H1987" s="27"/>
      <c r="I1987" s="27"/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7"/>
      <c r="X1987" s="27"/>
      <c r="Y1987" s="27"/>
      <c r="Z1987" s="17"/>
      <c r="AA1987" s="17"/>
      <c r="AB1987" s="17"/>
      <c r="AC1987" s="17"/>
      <c r="AD1987" s="27"/>
    </row>
    <row r="1988" ht="15.75" customHeight="1">
      <c r="A1988" s="27"/>
      <c r="B1988" s="27"/>
      <c r="C1988" s="27"/>
      <c r="D1988" s="27"/>
      <c r="E1988" s="27"/>
      <c r="F1988" s="27"/>
      <c r="G1988" s="27"/>
      <c r="H1988" s="27"/>
      <c r="I1988" s="27"/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  <c r="Z1988" s="17"/>
      <c r="AA1988" s="17"/>
      <c r="AB1988" s="17"/>
      <c r="AC1988" s="17"/>
      <c r="AD1988" s="27"/>
    </row>
    <row r="1989" ht="15.75" customHeight="1">
      <c r="A1989" s="27"/>
      <c r="B1989" s="27"/>
      <c r="C1989" s="27"/>
      <c r="D1989" s="27"/>
      <c r="E1989" s="27"/>
      <c r="F1989" s="27"/>
      <c r="G1989" s="27"/>
      <c r="H1989" s="27"/>
      <c r="I1989" s="27"/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  <c r="T1989" s="27"/>
      <c r="U1989" s="27"/>
      <c r="V1989" s="27"/>
      <c r="W1989" s="27"/>
      <c r="X1989" s="27"/>
      <c r="Y1989" s="27"/>
      <c r="Z1989" s="17"/>
      <c r="AA1989" s="17"/>
      <c r="AB1989" s="17"/>
      <c r="AC1989" s="17"/>
      <c r="AD1989" s="27"/>
    </row>
    <row r="1990" ht="15.75" customHeight="1">
      <c r="A1990" s="27"/>
      <c r="B1990" s="27"/>
      <c r="C1990" s="27"/>
      <c r="D1990" s="27"/>
      <c r="E1990" s="27"/>
      <c r="F1990" s="27"/>
      <c r="G1990" s="27"/>
      <c r="H1990" s="27"/>
      <c r="I1990" s="27"/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  <c r="T1990" s="27"/>
      <c r="U1990" s="27"/>
      <c r="V1990" s="27"/>
      <c r="W1990" s="27"/>
      <c r="X1990" s="27"/>
      <c r="Y1990" s="27"/>
      <c r="Z1990" s="17"/>
      <c r="AA1990" s="17"/>
      <c r="AB1990" s="17"/>
      <c r="AC1990" s="17"/>
      <c r="AD1990" s="27"/>
    </row>
    <row r="1991" ht="15.75" customHeight="1">
      <c r="A1991" s="27"/>
      <c r="B1991" s="27"/>
      <c r="C1991" s="27"/>
      <c r="D1991" s="27"/>
      <c r="E1991" s="27"/>
      <c r="F1991" s="27"/>
      <c r="G1991" s="27"/>
      <c r="H1991" s="27"/>
      <c r="I1991" s="27"/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  <c r="Z1991" s="17"/>
      <c r="AA1991" s="17"/>
      <c r="AB1991" s="17"/>
      <c r="AC1991" s="17"/>
      <c r="AD1991" s="27"/>
    </row>
    <row r="1992" ht="15.75" customHeight="1">
      <c r="A1992" s="27"/>
      <c r="B1992" s="27"/>
      <c r="C1992" s="27"/>
      <c r="D1992" s="27"/>
      <c r="E1992" s="27"/>
      <c r="F1992" s="27"/>
      <c r="G1992" s="27"/>
      <c r="H1992" s="27"/>
      <c r="I1992" s="27"/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  <c r="Z1992" s="17"/>
      <c r="AA1992" s="17"/>
      <c r="AB1992" s="17"/>
      <c r="AC1992" s="17"/>
      <c r="AD1992" s="27"/>
    </row>
    <row r="1993" ht="15.75" customHeight="1">
      <c r="A1993" s="27"/>
      <c r="B1993" s="27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  <c r="T1993" s="27"/>
      <c r="U1993" s="27"/>
      <c r="V1993" s="27"/>
      <c r="W1993" s="27"/>
      <c r="X1993" s="27"/>
      <c r="Y1993" s="27"/>
      <c r="Z1993" s="17"/>
      <c r="AA1993" s="17"/>
      <c r="AB1993" s="17"/>
      <c r="AC1993" s="17"/>
      <c r="AD1993" s="27"/>
    </row>
    <row r="1994" ht="15.75" customHeight="1">
      <c r="A1994" s="27"/>
      <c r="B1994" s="27"/>
      <c r="C1994" s="27"/>
      <c r="D1994" s="27"/>
      <c r="E1994" s="27"/>
      <c r="F1994" s="27"/>
      <c r="G1994" s="27"/>
      <c r="H1994" s="27"/>
      <c r="I1994" s="27"/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  <c r="Z1994" s="17"/>
      <c r="AA1994" s="17"/>
      <c r="AB1994" s="17"/>
      <c r="AC1994" s="17"/>
      <c r="AD1994" s="27"/>
    </row>
    <row r="1995" ht="15.75" customHeight="1">
      <c r="A1995" s="27"/>
      <c r="B1995" s="27"/>
      <c r="C1995" s="27"/>
      <c r="D1995" s="27"/>
      <c r="E1995" s="27"/>
      <c r="F1995" s="27"/>
      <c r="G1995" s="27"/>
      <c r="H1995" s="27"/>
      <c r="I1995" s="27"/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  <c r="Z1995" s="17"/>
      <c r="AA1995" s="17"/>
      <c r="AB1995" s="17"/>
      <c r="AC1995" s="17"/>
      <c r="AD1995" s="27"/>
    </row>
    <row r="1996" ht="15.75" customHeight="1">
      <c r="A1996" s="27"/>
      <c r="B1996" s="27"/>
      <c r="C1996" s="27"/>
      <c r="D1996" s="27"/>
      <c r="E1996" s="27"/>
      <c r="F1996" s="27"/>
      <c r="G1996" s="27"/>
      <c r="H1996" s="27"/>
      <c r="I1996" s="27"/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7"/>
      <c r="X1996" s="27"/>
      <c r="Y1996" s="27"/>
      <c r="Z1996" s="17"/>
      <c r="AA1996" s="17"/>
      <c r="AB1996" s="17"/>
      <c r="AC1996" s="17"/>
      <c r="AD1996" s="27"/>
    </row>
    <row r="1997" ht="15.75" customHeight="1">
      <c r="A1997" s="27"/>
      <c r="B1997" s="27"/>
      <c r="C1997" s="27"/>
      <c r="D1997" s="27"/>
      <c r="E1997" s="27"/>
      <c r="F1997" s="27"/>
      <c r="G1997" s="27"/>
      <c r="H1997" s="27"/>
      <c r="I1997" s="27"/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7"/>
      <c r="X1997" s="27"/>
      <c r="Y1997" s="27"/>
      <c r="Z1997" s="17"/>
      <c r="AA1997" s="17"/>
      <c r="AB1997" s="17"/>
      <c r="AC1997" s="17"/>
      <c r="AD1997" s="27"/>
    </row>
    <row r="1998" ht="15.75" customHeight="1">
      <c r="A1998" s="27"/>
      <c r="B1998" s="27"/>
      <c r="C1998" s="27"/>
      <c r="D1998" s="27"/>
      <c r="E1998" s="27"/>
      <c r="F1998" s="27"/>
      <c r="G1998" s="27"/>
      <c r="H1998" s="27"/>
      <c r="I1998" s="27"/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  <c r="Z1998" s="17"/>
      <c r="AA1998" s="17"/>
      <c r="AB1998" s="17"/>
      <c r="AC1998" s="17"/>
      <c r="AD1998" s="27"/>
    </row>
    <row r="1999" ht="15.75" customHeight="1">
      <c r="A1999" s="27"/>
      <c r="B1999" s="27"/>
      <c r="C1999" s="27"/>
      <c r="D1999" s="27"/>
      <c r="E1999" s="27"/>
      <c r="F1999" s="27"/>
      <c r="G1999" s="27"/>
      <c r="H1999" s="27"/>
      <c r="I1999" s="27"/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17"/>
      <c r="AA1999" s="17"/>
      <c r="AB1999" s="17"/>
      <c r="AC1999" s="17"/>
      <c r="AD1999" s="27"/>
    </row>
    <row r="2000" ht="15.75" customHeight="1">
      <c r="A2000" s="27"/>
      <c r="B2000" s="27"/>
      <c r="C2000" s="27"/>
      <c r="D2000" s="27"/>
      <c r="E2000" s="27"/>
      <c r="F2000" s="27"/>
      <c r="G2000" s="27"/>
      <c r="H2000" s="27"/>
      <c r="I2000" s="27"/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  <c r="Z2000" s="17"/>
      <c r="AA2000" s="17"/>
      <c r="AB2000" s="17"/>
      <c r="AC2000" s="17"/>
      <c r="AD2000" s="27"/>
    </row>
    <row r="2001" ht="15.75" customHeight="1">
      <c r="A2001" s="27"/>
      <c r="B2001" s="27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  <c r="Z2001" s="17"/>
      <c r="AA2001" s="17"/>
      <c r="AB2001" s="17"/>
      <c r="AC2001" s="17"/>
      <c r="AD2001" s="27"/>
    </row>
    <row r="2002" ht="15.75" customHeight="1">
      <c r="A2002" s="27"/>
      <c r="B2002" s="27"/>
      <c r="C2002" s="27"/>
      <c r="D2002" s="27"/>
      <c r="E2002" s="27"/>
      <c r="F2002" s="27"/>
      <c r="G2002" s="27"/>
      <c r="H2002" s="27"/>
      <c r="I2002" s="27"/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17"/>
      <c r="AA2002" s="17"/>
      <c r="AB2002" s="17"/>
      <c r="AC2002" s="17"/>
      <c r="AD2002" s="27"/>
    </row>
    <row r="2003" ht="15.75" customHeight="1">
      <c r="A2003" s="27"/>
      <c r="B2003" s="27"/>
      <c r="C2003" s="27"/>
      <c r="D2003" s="27"/>
      <c r="E2003" s="27"/>
      <c r="F2003" s="27"/>
      <c r="G2003" s="27"/>
      <c r="H2003" s="27"/>
      <c r="I2003" s="27"/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7"/>
      <c r="X2003" s="27"/>
      <c r="Y2003" s="27"/>
      <c r="Z2003" s="17"/>
      <c r="AA2003" s="17"/>
      <c r="AB2003" s="17"/>
      <c r="AC2003" s="17"/>
      <c r="AD2003" s="27"/>
    </row>
    <row r="2004" ht="15.75" customHeight="1">
      <c r="A2004" s="27"/>
      <c r="B2004" s="27"/>
      <c r="C2004" s="27"/>
      <c r="D2004" s="27"/>
      <c r="E2004" s="27"/>
      <c r="F2004" s="27"/>
      <c r="G2004" s="27"/>
      <c r="H2004" s="27"/>
      <c r="I2004" s="27"/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17"/>
      <c r="AA2004" s="17"/>
      <c r="AB2004" s="17"/>
      <c r="AC2004" s="17"/>
      <c r="AD2004" s="27"/>
    </row>
    <row r="2005" ht="15.75" customHeight="1">
      <c r="A2005" s="27"/>
      <c r="B2005" s="27"/>
      <c r="C2005" s="27"/>
      <c r="D2005" s="27"/>
      <c r="E2005" s="27"/>
      <c r="F2005" s="27"/>
      <c r="G2005" s="27"/>
      <c r="H2005" s="27"/>
      <c r="I2005" s="27"/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  <c r="T2005" s="27"/>
      <c r="U2005" s="27"/>
      <c r="V2005" s="27"/>
      <c r="W2005" s="27"/>
      <c r="X2005" s="27"/>
      <c r="Y2005" s="27"/>
      <c r="Z2005" s="17"/>
      <c r="AA2005" s="17"/>
      <c r="AB2005" s="17"/>
      <c r="AC2005" s="17"/>
      <c r="AD2005" s="27"/>
    </row>
    <row r="2006" ht="15.75" customHeight="1">
      <c r="A2006" s="27"/>
      <c r="B2006" s="27"/>
      <c r="C2006" s="27"/>
      <c r="D2006" s="27"/>
      <c r="E2006" s="27"/>
      <c r="F2006" s="27"/>
      <c r="G2006" s="27"/>
      <c r="H2006" s="27"/>
      <c r="I2006" s="27"/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7"/>
      <c r="X2006" s="27"/>
      <c r="Y2006" s="27"/>
      <c r="Z2006" s="17"/>
      <c r="AA2006" s="17"/>
      <c r="AB2006" s="17"/>
      <c r="AC2006" s="17"/>
      <c r="AD2006" s="27"/>
    </row>
    <row r="2007" ht="15.75" customHeight="1">
      <c r="A2007" s="27"/>
      <c r="B2007" s="27"/>
      <c r="C2007" s="27"/>
      <c r="D2007" s="27"/>
      <c r="E2007" s="27"/>
      <c r="F2007" s="27"/>
      <c r="G2007" s="27"/>
      <c r="H2007" s="27"/>
      <c r="I2007" s="27"/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  <c r="Z2007" s="17"/>
      <c r="AA2007" s="17"/>
      <c r="AB2007" s="17"/>
      <c r="AC2007" s="17"/>
      <c r="AD2007" s="27"/>
    </row>
    <row r="2008" ht="15.75" customHeight="1">
      <c r="A2008" s="27"/>
      <c r="B2008" s="27"/>
      <c r="C2008" s="27"/>
      <c r="D2008" s="27"/>
      <c r="E2008" s="27"/>
      <c r="F2008" s="27"/>
      <c r="G2008" s="27"/>
      <c r="H2008" s="27"/>
      <c r="I2008" s="27"/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  <c r="T2008" s="27"/>
      <c r="U2008" s="27"/>
      <c r="V2008" s="27"/>
      <c r="W2008" s="27"/>
      <c r="X2008" s="27"/>
      <c r="Y2008" s="27"/>
      <c r="Z2008" s="17"/>
      <c r="AA2008" s="17"/>
      <c r="AB2008" s="17"/>
      <c r="AC2008" s="17"/>
      <c r="AD2008" s="27"/>
    </row>
    <row r="2009" ht="15.75" customHeight="1">
      <c r="A2009" s="27"/>
      <c r="B2009" s="27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7"/>
      <c r="X2009" s="27"/>
      <c r="Y2009" s="27"/>
      <c r="Z2009" s="17"/>
      <c r="AA2009" s="17"/>
      <c r="AB2009" s="17"/>
      <c r="AC2009" s="17"/>
      <c r="AD2009" s="27"/>
    </row>
    <row r="2010" ht="15.75" customHeight="1">
      <c r="A2010" s="27"/>
      <c r="B2010" s="27"/>
      <c r="C2010" s="27"/>
      <c r="D2010" s="27"/>
      <c r="E2010" s="27"/>
      <c r="F2010" s="27"/>
      <c r="G2010" s="27"/>
      <c r="H2010" s="27"/>
      <c r="I2010" s="27"/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  <c r="Z2010" s="17"/>
      <c r="AA2010" s="17"/>
      <c r="AB2010" s="17"/>
      <c r="AC2010" s="17"/>
      <c r="AD2010" s="27"/>
    </row>
    <row r="2011" ht="15.75" customHeight="1">
      <c r="A2011" s="27"/>
      <c r="B2011" s="27"/>
      <c r="C2011" s="27"/>
      <c r="D2011" s="27"/>
      <c r="E2011" s="27"/>
      <c r="F2011" s="27"/>
      <c r="G2011" s="27"/>
      <c r="H2011" s="27"/>
      <c r="I2011" s="27"/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  <c r="T2011" s="27"/>
      <c r="U2011" s="27"/>
      <c r="V2011" s="27"/>
      <c r="W2011" s="27"/>
      <c r="X2011" s="27"/>
      <c r="Y2011" s="27"/>
      <c r="Z2011" s="17"/>
      <c r="AA2011" s="17"/>
      <c r="AB2011" s="17"/>
      <c r="AC2011" s="17"/>
      <c r="AD2011" s="27"/>
    </row>
    <row r="2012" ht="15.75" customHeight="1">
      <c r="A2012" s="27"/>
      <c r="B2012" s="27"/>
      <c r="C2012" s="27"/>
      <c r="D2012" s="27"/>
      <c r="E2012" s="27"/>
      <c r="F2012" s="27"/>
      <c r="G2012" s="27"/>
      <c r="H2012" s="27"/>
      <c r="I2012" s="27"/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17"/>
      <c r="AA2012" s="17"/>
      <c r="AB2012" s="17"/>
      <c r="AC2012" s="17"/>
      <c r="AD2012" s="27"/>
    </row>
    <row r="2013" ht="15.75" customHeight="1">
      <c r="A2013" s="27"/>
      <c r="B2013" s="27"/>
      <c r="C2013" s="27"/>
      <c r="D2013" s="27"/>
      <c r="E2013" s="27"/>
      <c r="F2013" s="27"/>
      <c r="G2013" s="27"/>
      <c r="H2013" s="27"/>
      <c r="I2013" s="27"/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7"/>
      <c r="X2013" s="27"/>
      <c r="Y2013" s="27"/>
      <c r="Z2013" s="17"/>
      <c r="AA2013" s="17"/>
      <c r="AB2013" s="17"/>
      <c r="AC2013" s="17"/>
      <c r="AD2013" s="27"/>
    </row>
    <row r="2014" ht="15.75" customHeight="1">
      <c r="A2014" s="27"/>
      <c r="B2014" s="27"/>
      <c r="C2014" s="27"/>
      <c r="D2014" s="27"/>
      <c r="E2014" s="27"/>
      <c r="F2014" s="27"/>
      <c r="G2014" s="27"/>
      <c r="H2014" s="27"/>
      <c r="I2014" s="27"/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  <c r="T2014" s="27"/>
      <c r="U2014" s="27"/>
      <c r="V2014" s="27"/>
      <c r="W2014" s="27"/>
      <c r="X2014" s="27"/>
      <c r="Y2014" s="27"/>
      <c r="Z2014" s="17"/>
      <c r="AA2014" s="17"/>
      <c r="AB2014" s="17"/>
      <c r="AC2014" s="17"/>
      <c r="AD2014" s="27"/>
    </row>
    <row r="2015" ht="15.75" customHeight="1">
      <c r="A2015" s="27"/>
      <c r="B2015" s="27"/>
      <c r="C2015" s="27"/>
      <c r="D2015" s="27"/>
      <c r="E2015" s="27"/>
      <c r="F2015" s="27"/>
      <c r="G2015" s="27"/>
      <c r="H2015" s="27"/>
      <c r="I2015" s="27"/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7"/>
      <c r="X2015" s="27"/>
      <c r="Y2015" s="27"/>
      <c r="Z2015" s="17"/>
      <c r="AA2015" s="17"/>
      <c r="AB2015" s="17"/>
      <c r="AC2015" s="17"/>
      <c r="AD2015" s="27"/>
    </row>
    <row r="2016" ht="15.75" customHeight="1">
      <c r="A2016" s="27"/>
      <c r="B2016" s="27"/>
      <c r="C2016" s="27"/>
      <c r="D2016" s="27"/>
      <c r="E2016" s="27"/>
      <c r="F2016" s="27"/>
      <c r="G2016" s="27"/>
      <c r="H2016" s="27"/>
      <c r="I2016" s="27"/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  <c r="T2016" s="27"/>
      <c r="U2016" s="27"/>
      <c r="V2016" s="27"/>
      <c r="W2016" s="27"/>
      <c r="X2016" s="27"/>
      <c r="Y2016" s="27"/>
      <c r="Z2016" s="17"/>
      <c r="AA2016" s="17"/>
      <c r="AB2016" s="17"/>
      <c r="AC2016" s="17"/>
      <c r="AD2016" s="27"/>
    </row>
    <row r="2017" ht="15.75" customHeight="1">
      <c r="A2017" s="27"/>
      <c r="B2017" s="27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  <c r="T2017" s="27"/>
      <c r="U2017" s="27"/>
      <c r="V2017" s="27"/>
      <c r="W2017" s="27"/>
      <c r="X2017" s="27"/>
      <c r="Y2017" s="27"/>
      <c r="Z2017" s="17"/>
      <c r="AA2017" s="17"/>
      <c r="AB2017" s="17"/>
      <c r="AC2017" s="17"/>
      <c r="AD2017" s="27"/>
    </row>
    <row r="2018" ht="15.75" customHeight="1">
      <c r="A2018" s="27"/>
      <c r="B2018" s="27"/>
      <c r="C2018" s="27"/>
      <c r="D2018" s="27"/>
      <c r="E2018" s="27"/>
      <c r="F2018" s="27"/>
      <c r="G2018" s="27"/>
      <c r="H2018" s="27"/>
      <c r="I2018" s="27"/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7"/>
      <c r="X2018" s="27"/>
      <c r="Y2018" s="27"/>
      <c r="Z2018" s="17"/>
      <c r="AA2018" s="17"/>
      <c r="AB2018" s="17"/>
      <c r="AC2018" s="17"/>
      <c r="AD2018" s="27"/>
    </row>
    <row r="2019" ht="15.75" customHeight="1">
      <c r="A2019" s="27"/>
      <c r="B2019" s="27"/>
      <c r="C2019" s="27"/>
      <c r="D2019" s="27"/>
      <c r="E2019" s="27"/>
      <c r="F2019" s="27"/>
      <c r="G2019" s="27"/>
      <c r="H2019" s="27"/>
      <c r="I2019" s="27"/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/>
      <c r="W2019" s="27"/>
      <c r="X2019" s="27"/>
      <c r="Y2019" s="27"/>
      <c r="Z2019" s="17"/>
      <c r="AA2019" s="17"/>
      <c r="AB2019" s="17"/>
      <c r="AC2019" s="17"/>
      <c r="AD2019" s="27"/>
    </row>
    <row r="2020" ht="15.75" customHeight="1">
      <c r="A2020" s="27"/>
      <c r="B2020" s="27"/>
      <c r="C2020" s="27"/>
      <c r="D2020" s="27"/>
      <c r="E2020" s="27"/>
      <c r="F2020" s="27"/>
      <c r="G2020" s="27"/>
      <c r="H2020" s="27"/>
      <c r="I2020" s="27"/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  <c r="Z2020" s="17"/>
      <c r="AA2020" s="17"/>
      <c r="AB2020" s="17"/>
      <c r="AC2020" s="17"/>
      <c r="AD2020" s="27"/>
    </row>
    <row r="2021" ht="15.75" customHeight="1">
      <c r="A2021" s="27"/>
      <c r="B2021" s="27"/>
      <c r="C2021" s="27"/>
      <c r="D2021" s="27"/>
      <c r="E2021" s="27"/>
      <c r="F2021" s="27"/>
      <c r="G2021" s="27"/>
      <c r="H2021" s="27"/>
      <c r="I2021" s="27"/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17"/>
      <c r="AA2021" s="17"/>
      <c r="AB2021" s="17"/>
      <c r="AC2021" s="17"/>
      <c r="AD2021" s="27"/>
    </row>
    <row r="2022" ht="15.75" customHeight="1">
      <c r="A2022" s="27"/>
      <c r="B2022" s="27"/>
      <c r="C2022" s="27"/>
      <c r="D2022" s="27"/>
      <c r="E2022" s="27"/>
      <c r="F2022" s="27"/>
      <c r="G2022" s="27"/>
      <c r="H2022" s="27"/>
      <c r="I2022" s="27"/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/>
      <c r="W2022" s="27"/>
      <c r="X2022" s="27"/>
      <c r="Y2022" s="27"/>
      <c r="Z2022" s="17"/>
      <c r="AA2022" s="17"/>
      <c r="AB2022" s="17"/>
      <c r="AC2022" s="17"/>
      <c r="AD2022" s="27"/>
    </row>
    <row r="2023" ht="15.75" customHeight="1">
      <c r="A2023" s="27"/>
      <c r="B2023" s="27"/>
      <c r="C2023" s="27"/>
      <c r="D2023" s="27"/>
      <c r="E2023" s="27"/>
      <c r="F2023" s="27"/>
      <c r="G2023" s="27"/>
      <c r="H2023" s="27"/>
      <c r="I2023" s="27"/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17"/>
      <c r="AA2023" s="17"/>
      <c r="AB2023" s="17"/>
      <c r="AC2023" s="17"/>
      <c r="AD2023" s="27"/>
    </row>
    <row r="2024" ht="15.75" customHeight="1">
      <c r="A2024" s="27"/>
      <c r="B2024" s="27"/>
      <c r="C2024" s="27"/>
      <c r="D2024" s="27"/>
      <c r="E2024" s="27"/>
      <c r="F2024" s="27"/>
      <c r="G2024" s="27"/>
      <c r="H2024" s="27"/>
      <c r="I2024" s="27"/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7"/>
      <c r="X2024" s="27"/>
      <c r="Y2024" s="27"/>
      <c r="Z2024" s="17"/>
      <c r="AA2024" s="17"/>
      <c r="AB2024" s="17"/>
      <c r="AC2024" s="17"/>
      <c r="AD2024" s="27"/>
    </row>
    <row r="2025" ht="15.75" customHeight="1">
      <c r="A2025" s="27"/>
      <c r="B2025" s="27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7"/>
      <c r="X2025" s="27"/>
      <c r="Y2025" s="27"/>
      <c r="Z2025" s="17"/>
      <c r="AA2025" s="17"/>
      <c r="AB2025" s="17"/>
      <c r="AC2025" s="17"/>
      <c r="AD2025" s="27"/>
    </row>
    <row r="2026" ht="15.75" customHeight="1">
      <c r="A2026" s="27"/>
      <c r="B2026" s="27"/>
      <c r="C2026" s="27"/>
      <c r="D2026" s="27"/>
      <c r="E2026" s="27"/>
      <c r="F2026" s="27"/>
      <c r="G2026" s="27"/>
      <c r="H2026" s="27"/>
      <c r="I2026" s="27"/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  <c r="Z2026" s="17"/>
      <c r="AA2026" s="17"/>
      <c r="AB2026" s="17"/>
      <c r="AC2026" s="17"/>
      <c r="AD2026" s="27"/>
    </row>
    <row r="2027" ht="15.75" customHeight="1">
      <c r="A2027" s="27"/>
      <c r="B2027" s="27"/>
      <c r="C2027" s="27"/>
      <c r="D2027" s="27"/>
      <c r="E2027" s="27"/>
      <c r="F2027" s="27"/>
      <c r="G2027" s="27"/>
      <c r="H2027" s="27"/>
      <c r="I2027" s="27"/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  <c r="T2027" s="27"/>
      <c r="U2027" s="27"/>
      <c r="V2027" s="27"/>
      <c r="W2027" s="27"/>
      <c r="X2027" s="27"/>
      <c r="Y2027" s="27"/>
      <c r="Z2027" s="17"/>
      <c r="AA2027" s="17"/>
      <c r="AB2027" s="17"/>
      <c r="AC2027" s="17"/>
      <c r="AD2027" s="27"/>
    </row>
    <row r="2028" ht="15.75" customHeight="1">
      <c r="A2028" s="27"/>
      <c r="B2028" s="27"/>
      <c r="C2028" s="27"/>
      <c r="D2028" s="27"/>
      <c r="E2028" s="27"/>
      <c r="F2028" s="27"/>
      <c r="G2028" s="27"/>
      <c r="H2028" s="27"/>
      <c r="I2028" s="27"/>
      <c r="J2028" s="27"/>
      <c r="K2028" s="27"/>
      <c r="L2028" s="27"/>
      <c r="M2028" s="27"/>
      <c r="N2028" s="27"/>
      <c r="O2028" s="27"/>
      <c r="P2028" s="27"/>
      <c r="Q2028" s="27"/>
      <c r="R2028" s="27"/>
      <c r="S2028" s="27"/>
      <c r="T2028" s="27"/>
      <c r="U2028" s="27"/>
      <c r="V2028" s="27"/>
      <c r="W2028" s="27"/>
      <c r="X2028" s="27"/>
      <c r="Y2028" s="27"/>
      <c r="Z2028" s="17"/>
      <c r="AA2028" s="17"/>
      <c r="AB2028" s="17"/>
      <c r="AC2028" s="17"/>
      <c r="AD2028" s="27"/>
    </row>
    <row r="2029" ht="15.75" customHeight="1">
      <c r="A2029" s="27"/>
      <c r="B2029" s="27"/>
      <c r="C2029" s="27"/>
      <c r="D2029" s="27"/>
      <c r="E2029" s="27"/>
      <c r="F2029" s="27"/>
      <c r="G2029" s="27"/>
      <c r="H2029" s="27"/>
      <c r="I2029" s="27"/>
      <c r="J2029" s="27"/>
      <c r="K2029" s="27"/>
      <c r="L2029" s="27"/>
      <c r="M2029" s="27"/>
      <c r="N2029" s="27"/>
      <c r="O2029" s="27"/>
      <c r="P2029" s="27"/>
      <c r="Q2029" s="27"/>
      <c r="R2029" s="27"/>
      <c r="S2029" s="27"/>
      <c r="T2029" s="27"/>
      <c r="U2029" s="27"/>
      <c r="V2029" s="27"/>
      <c r="W2029" s="27"/>
      <c r="X2029" s="27"/>
      <c r="Y2029" s="27"/>
      <c r="Z2029" s="17"/>
      <c r="AA2029" s="17"/>
      <c r="AB2029" s="17"/>
      <c r="AC2029" s="17"/>
      <c r="AD2029" s="27"/>
    </row>
    <row r="2030" ht="15.75" customHeight="1">
      <c r="A2030" s="27"/>
      <c r="B2030" s="27"/>
      <c r="C2030" s="27"/>
      <c r="D2030" s="27"/>
      <c r="E2030" s="27"/>
      <c r="F2030" s="27"/>
      <c r="G2030" s="27"/>
      <c r="H2030" s="27"/>
      <c r="I2030" s="27"/>
      <c r="J2030" s="27"/>
      <c r="K2030" s="27"/>
      <c r="L2030" s="27"/>
      <c r="M2030" s="27"/>
      <c r="N2030" s="27"/>
      <c r="O2030" s="27"/>
      <c r="P2030" s="27"/>
      <c r="Q2030" s="27"/>
      <c r="R2030" s="27"/>
      <c r="S2030" s="27"/>
      <c r="T2030" s="27"/>
      <c r="U2030" s="27"/>
      <c r="V2030" s="27"/>
      <c r="W2030" s="27"/>
      <c r="X2030" s="27"/>
      <c r="Y2030" s="27"/>
      <c r="Z2030" s="17"/>
      <c r="AA2030" s="17"/>
      <c r="AB2030" s="17"/>
      <c r="AC2030" s="17"/>
      <c r="AD2030" s="27"/>
    </row>
    <row r="2031" ht="15.75" customHeight="1">
      <c r="A2031" s="27"/>
      <c r="B2031" s="27"/>
      <c r="C2031" s="27"/>
      <c r="D2031" s="27"/>
      <c r="E2031" s="27"/>
      <c r="F2031" s="27"/>
      <c r="G2031" s="27"/>
      <c r="H2031" s="27"/>
      <c r="I2031" s="27"/>
      <c r="J2031" s="27"/>
      <c r="K2031" s="27"/>
      <c r="L2031" s="27"/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17"/>
      <c r="AA2031" s="17"/>
      <c r="AB2031" s="17"/>
      <c r="AC2031" s="17"/>
      <c r="AD2031" s="27"/>
    </row>
    <row r="2032" ht="15.75" customHeight="1">
      <c r="A2032" s="27"/>
      <c r="B2032" s="27"/>
      <c r="C2032" s="27"/>
      <c r="D2032" s="27"/>
      <c r="E2032" s="27"/>
      <c r="F2032" s="27"/>
      <c r="G2032" s="27"/>
      <c r="H2032" s="27"/>
      <c r="I2032" s="27"/>
      <c r="J2032" s="27"/>
      <c r="K2032" s="27"/>
      <c r="L2032" s="27"/>
      <c r="M2032" s="27"/>
      <c r="N2032" s="27"/>
      <c r="O2032" s="27"/>
      <c r="P2032" s="27"/>
      <c r="Q2032" s="27"/>
      <c r="R2032" s="27"/>
      <c r="S2032" s="27"/>
      <c r="T2032" s="27"/>
      <c r="U2032" s="27"/>
      <c r="V2032" s="27"/>
      <c r="W2032" s="27"/>
      <c r="X2032" s="27"/>
      <c r="Y2032" s="27"/>
      <c r="Z2032" s="17"/>
      <c r="AA2032" s="17"/>
      <c r="AB2032" s="17"/>
      <c r="AC2032" s="17"/>
      <c r="AD2032" s="27"/>
    </row>
    <row r="2033" ht="15.75" customHeight="1">
      <c r="A2033" s="27"/>
      <c r="B2033" s="27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7"/>
      <c r="X2033" s="27"/>
      <c r="Y2033" s="27"/>
      <c r="Z2033" s="17"/>
      <c r="AA2033" s="17"/>
      <c r="AB2033" s="17"/>
      <c r="AC2033" s="17"/>
      <c r="AD2033" s="27"/>
    </row>
    <row r="2034" ht="15.75" customHeight="1">
      <c r="A2034" s="27"/>
      <c r="B2034" s="27"/>
      <c r="C2034" s="27"/>
      <c r="D2034" s="27"/>
      <c r="E2034" s="27"/>
      <c r="F2034" s="27"/>
      <c r="G2034" s="27"/>
      <c r="H2034" s="27"/>
      <c r="I2034" s="27"/>
      <c r="J2034" s="27"/>
      <c r="K2034" s="27"/>
      <c r="L2034" s="27"/>
      <c r="M2034" s="27"/>
      <c r="N2034" s="27"/>
      <c r="O2034" s="27"/>
      <c r="P2034" s="27"/>
      <c r="Q2034" s="27"/>
      <c r="R2034" s="27"/>
      <c r="S2034" s="27"/>
      <c r="T2034" s="27"/>
      <c r="U2034" s="27"/>
      <c r="V2034" s="27"/>
      <c r="W2034" s="27"/>
      <c r="X2034" s="27"/>
      <c r="Y2034" s="27"/>
      <c r="Z2034" s="17"/>
      <c r="AA2034" s="17"/>
      <c r="AB2034" s="17"/>
      <c r="AC2034" s="17"/>
      <c r="AD2034" s="27"/>
    </row>
    <row r="2035" ht="15.75" customHeight="1">
      <c r="A2035" s="27"/>
      <c r="B2035" s="27"/>
      <c r="C2035" s="27"/>
      <c r="D2035" s="27"/>
      <c r="E2035" s="27"/>
      <c r="F2035" s="27"/>
      <c r="G2035" s="27"/>
      <c r="H2035" s="27"/>
      <c r="I2035" s="27"/>
      <c r="J2035" s="27"/>
      <c r="K2035" s="27"/>
      <c r="L2035" s="27"/>
      <c r="M2035" s="27"/>
      <c r="N2035" s="27"/>
      <c r="O2035" s="27"/>
      <c r="P2035" s="27"/>
      <c r="Q2035" s="27"/>
      <c r="R2035" s="27"/>
      <c r="S2035" s="27"/>
      <c r="T2035" s="27"/>
      <c r="U2035" s="27"/>
      <c r="V2035" s="27"/>
      <c r="W2035" s="27"/>
      <c r="X2035" s="27"/>
      <c r="Y2035" s="27"/>
      <c r="Z2035" s="17"/>
      <c r="AA2035" s="17"/>
      <c r="AB2035" s="17"/>
      <c r="AC2035" s="17"/>
      <c r="AD2035" s="27"/>
    </row>
    <row r="2036" ht="15.75" customHeight="1">
      <c r="A2036" s="27"/>
      <c r="B2036" s="27"/>
      <c r="C2036" s="27"/>
      <c r="D2036" s="27"/>
      <c r="E2036" s="27"/>
      <c r="F2036" s="27"/>
      <c r="G2036" s="27"/>
      <c r="H2036" s="27"/>
      <c r="I2036" s="27"/>
      <c r="J2036" s="27"/>
      <c r="K2036" s="27"/>
      <c r="L2036" s="27"/>
      <c r="M2036" s="27"/>
      <c r="N2036" s="27"/>
      <c r="O2036" s="27"/>
      <c r="P2036" s="27"/>
      <c r="Q2036" s="27"/>
      <c r="R2036" s="27"/>
      <c r="S2036" s="27"/>
      <c r="T2036" s="27"/>
      <c r="U2036" s="27"/>
      <c r="V2036" s="27"/>
      <c r="W2036" s="27"/>
      <c r="X2036" s="27"/>
      <c r="Y2036" s="27"/>
      <c r="Z2036" s="17"/>
      <c r="AA2036" s="17"/>
      <c r="AB2036" s="17"/>
      <c r="AC2036" s="17"/>
      <c r="AD2036" s="27"/>
    </row>
    <row r="2037" ht="15.75" customHeight="1">
      <c r="A2037" s="27"/>
      <c r="B2037" s="27"/>
      <c r="C2037" s="27"/>
      <c r="D2037" s="27"/>
      <c r="E2037" s="27"/>
      <c r="F2037" s="27"/>
      <c r="G2037" s="27"/>
      <c r="H2037" s="27"/>
      <c r="I2037" s="27"/>
      <c r="J2037" s="27"/>
      <c r="K2037" s="27"/>
      <c r="L2037" s="27"/>
      <c r="M2037" s="27"/>
      <c r="N2037" s="27"/>
      <c r="O2037" s="27"/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17"/>
      <c r="AA2037" s="17"/>
      <c r="AB2037" s="17"/>
      <c r="AC2037" s="17"/>
      <c r="AD2037" s="27"/>
    </row>
    <row r="2038" ht="15.75" customHeight="1">
      <c r="A2038" s="27"/>
      <c r="B2038" s="27"/>
      <c r="C2038" s="27"/>
      <c r="D2038" s="27"/>
      <c r="E2038" s="27"/>
      <c r="F2038" s="27"/>
      <c r="G2038" s="27"/>
      <c r="H2038" s="27"/>
      <c r="I2038" s="27"/>
      <c r="J2038" s="27"/>
      <c r="K2038" s="27"/>
      <c r="L2038" s="27"/>
      <c r="M2038" s="27"/>
      <c r="N2038" s="27"/>
      <c r="O2038" s="27"/>
      <c r="P2038" s="27"/>
      <c r="Q2038" s="27"/>
      <c r="R2038" s="27"/>
      <c r="S2038" s="27"/>
      <c r="T2038" s="27"/>
      <c r="U2038" s="27"/>
      <c r="V2038" s="27"/>
      <c r="W2038" s="27"/>
      <c r="X2038" s="27"/>
      <c r="Y2038" s="27"/>
      <c r="Z2038" s="17"/>
      <c r="AA2038" s="17"/>
      <c r="AB2038" s="17"/>
      <c r="AC2038" s="17"/>
      <c r="AD2038" s="27"/>
    </row>
    <row r="2039" ht="15.75" customHeight="1">
      <c r="A2039" s="27"/>
      <c r="B2039" s="27"/>
      <c r="C2039" s="27"/>
      <c r="D2039" s="27"/>
      <c r="E2039" s="27"/>
      <c r="F2039" s="27"/>
      <c r="G2039" s="27"/>
      <c r="H2039" s="27"/>
      <c r="I2039" s="27"/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  <c r="T2039" s="27"/>
      <c r="U2039" s="27"/>
      <c r="V2039" s="27"/>
      <c r="W2039" s="27"/>
      <c r="X2039" s="27"/>
      <c r="Y2039" s="27"/>
      <c r="Z2039" s="17"/>
      <c r="AA2039" s="17"/>
      <c r="AB2039" s="17"/>
      <c r="AC2039" s="17"/>
      <c r="AD2039" s="27"/>
    </row>
    <row r="2040" ht="15.75" customHeight="1">
      <c r="A2040" s="27"/>
      <c r="B2040" s="27"/>
      <c r="C2040" s="27"/>
      <c r="D2040" s="27"/>
      <c r="E2040" s="27"/>
      <c r="F2040" s="27"/>
      <c r="G2040" s="27"/>
      <c r="H2040" s="27"/>
      <c r="I2040" s="27"/>
      <c r="J2040" s="27"/>
      <c r="K2040" s="27"/>
      <c r="L2040" s="27"/>
      <c r="M2040" s="27"/>
      <c r="N2040" s="27"/>
      <c r="O2040" s="27"/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17"/>
      <c r="AA2040" s="17"/>
      <c r="AB2040" s="17"/>
      <c r="AC2040" s="17"/>
      <c r="AD2040" s="27"/>
    </row>
    <row r="2041" ht="15.75" customHeight="1">
      <c r="A2041" s="27"/>
      <c r="B2041" s="27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27"/>
      <c r="R2041" s="27"/>
      <c r="S2041" s="27"/>
      <c r="T2041" s="27"/>
      <c r="U2041" s="27"/>
      <c r="V2041" s="27"/>
      <c r="W2041" s="27"/>
      <c r="X2041" s="27"/>
      <c r="Y2041" s="27"/>
      <c r="Z2041" s="17"/>
      <c r="AA2041" s="17"/>
      <c r="AB2041" s="17"/>
      <c r="AC2041" s="17"/>
      <c r="AD2041" s="27"/>
    </row>
    <row r="2042" ht="15.75" customHeight="1">
      <c r="A2042" s="27"/>
      <c r="B2042" s="27"/>
      <c r="C2042" s="27"/>
      <c r="D2042" s="27"/>
      <c r="E2042" s="27"/>
      <c r="F2042" s="27"/>
      <c r="G2042" s="27"/>
      <c r="H2042" s="27"/>
      <c r="I2042" s="27"/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  <c r="T2042" s="27"/>
      <c r="U2042" s="27"/>
      <c r="V2042" s="27"/>
      <c r="W2042" s="27"/>
      <c r="X2042" s="27"/>
      <c r="Y2042" s="27"/>
      <c r="Z2042" s="17"/>
      <c r="AA2042" s="17"/>
      <c r="AB2042" s="17"/>
      <c r="AC2042" s="17"/>
      <c r="AD2042" s="27"/>
    </row>
    <row r="2043" ht="15.75" customHeight="1">
      <c r="A2043" s="27"/>
      <c r="B2043" s="27"/>
      <c r="C2043" s="27"/>
      <c r="D2043" s="27"/>
      <c r="E2043" s="27"/>
      <c r="F2043" s="27"/>
      <c r="G2043" s="27"/>
      <c r="H2043" s="27"/>
      <c r="I2043" s="27"/>
      <c r="J2043" s="27"/>
      <c r="K2043" s="27"/>
      <c r="L2043" s="27"/>
      <c r="M2043" s="27"/>
      <c r="N2043" s="27"/>
      <c r="O2043" s="27"/>
      <c r="P2043" s="27"/>
      <c r="Q2043" s="27"/>
      <c r="R2043" s="27"/>
      <c r="S2043" s="27"/>
      <c r="T2043" s="27"/>
      <c r="U2043" s="27"/>
      <c r="V2043" s="27"/>
      <c r="W2043" s="27"/>
      <c r="X2043" s="27"/>
      <c r="Y2043" s="27"/>
      <c r="Z2043" s="17"/>
      <c r="AA2043" s="17"/>
      <c r="AB2043" s="17"/>
      <c r="AC2043" s="17"/>
      <c r="AD2043" s="27"/>
    </row>
    <row r="2044" ht="15.75" customHeight="1">
      <c r="A2044" s="27"/>
      <c r="B2044" s="27"/>
      <c r="C2044" s="27"/>
      <c r="D2044" s="27"/>
      <c r="E2044" s="27"/>
      <c r="F2044" s="27"/>
      <c r="G2044" s="27"/>
      <c r="H2044" s="27"/>
      <c r="I2044" s="27"/>
      <c r="J2044" s="27"/>
      <c r="K2044" s="27"/>
      <c r="L2044" s="27"/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17"/>
      <c r="AA2044" s="17"/>
      <c r="AB2044" s="17"/>
      <c r="AC2044" s="17"/>
      <c r="AD2044" s="27"/>
    </row>
    <row r="2045" ht="15.75" customHeight="1">
      <c r="A2045" s="27"/>
      <c r="B2045" s="27"/>
      <c r="C2045" s="27"/>
      <c r="D2045" s="27"/>
      <c r="E2045" s="27"/>
      <c r="F2045" s="27"/>
      <c r="G2045" s="27"/>
      <c r="H2045" s="27"/>
      <c r="I2045" s="27"/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  <c r="T2045" s="27"/>
      <c r="U2045" s="27"/>
      <c r="V2045" s="27"/>
      <c r="W2045" s="27"/>
      <c r="X2045" s="27"/>
      <c r="Y2045" s="27"/>
      <c r="Z2045" s="17"/>
      <c r="AA2045" s="17"/>
      <c r="AB2045" s="17"/>
      <c r="AC2045" s="17"/>
      <c r="AD2045" s="27"/>
    </row>
    <row r="2046" ht="15.75" customHeight="1">
      <c r="A2046" s="27"/>
      <c r="B2046" s="27"/>
      <c r="C2046" s="27"/>
      <c r="D2046" s="27"/>
      <c r="E2046" s="27"/>
      <c r="F2046" s="27"/>
      <c r="G2046" s="27"/>
      <c r="H2046" s="27"/>
      <c r="I2046" s="27"/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  <c r="T2046" s="27"/>
      <c r="U2046" s="27"/>
      <c r="V2046" s="27"/>
      <c r="W2046" s="27"/>
      <c r="X2046" s="27"/>
      <c r="Y2046" s="27"/>
      <c r="Z2046" s="17"/>
      <c r="AA2046" s="17"/>
      <c r="AB2046" s="17"/>
      <c r="AC2046" s="17"/>
      <c r="AD2046" s="27"/>
    </row>
    <row r="2047" ht="15.75" customHeight="1">
      <c r="A2047" s="27"/>
      <c r="B2047" s="27"/>
      <c r="C2047" s="27"/>
      <c r="D2047" s="27"/>
      <c r="E2047" s="27"/>
      <c r="F2047" s="27"/>
      <c r="G2047" s="27"/>
      <c r="H2047" s="27"/>
      <c r="I2047" s="27"/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  <c r="Z2047" s="17"/>
      <c r="AA2047" s="17"/>
      <c r="AB2047" s="17"/>
      <c r="AC2047" s="17"/>
      <c r="AD2047" s="27"/>
    </row>
    <row r="2048" ht="15.75" customHeight="1">
      <c r="A2048" s="27"/>
      <c r="B2048" s="27"/>
      <c r="C2048" s="27"/>
      <c r="D2048" s="27"/>
      <c r="E2048" s="27"/>
      <c r="F2048" s="27"/>
      <c r="G2048" s="27"/>
      <c r="H2048" s="27"/>
      <c r="I2048" s="27"/>
      <c r="J2048" s="27"/>
      <c r="K2048" s="27"/>
      <c r="L2048" s="27"/>
      <c r="M2048" s="27"/>
      <c r="N2048" s="27"/>
      <c r="O2048" s="27"/>
      <c r="P2048" s="27"/>
      <c r="Q2048" s="27"/>
      <c r="R2048" s="27"/>
      <c r="S2048" s="27"/>
      <c r="T2048" s="27"/>
      <c r="U2048" s="27"/>
      <c r="V2048" s="27"/>
      <c r="W2048" s="27"/>
      <c r="X2048" s="27"/>
      <c r="Y2048" s="27"/>
      <c r="Z2048" s="17"/>
      <c r="AA2048" s="17"/>
      <c r="AB2048" s="17"/>
      <c r="AC2048" s="17"/>
      <c r="AD2048" s="27"/>
    </row>
    <row r="2049" ht="15.75" customHeight="1">
      <c r="A2049" s="27"/>
      <c r="B2049" s="27"/>
      <c r="C2049" s="27"/>
      <c r="D2049" s="27"/>
      <c r="E2049" s="27"/>
      <c r="F2049" s="27"/>
      <c r="G2049" s="27"/>
      <c r="H2049" s="27"/>
      <c r="I2049" s="27"/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7"/>
      <c r="X2049" s="27"/>
      <c r="Y2049" s="27"/>
      <c r="Z2049" s="17"/>
      <c r="AA2049" s="17"/>
      <c r="AB2049" s="17"/>
      <c r="AC2049" s="17"/>
      <c r="AD2049" s="27"/>
    </row>
    <row r="2050" ht="15.75" customHeight="1">
      <c r="A2050" s="27"/>
      <c r="B2050" s="27"/>
      <c r="C2050" s="27"/>
      <c r="D2050" s="27"/>
      <c r="E2050" s="27"/>
      <c r="F2050" s="27"/>
      <c r="G2050" s="27"/>
      <c r="H2050" s="27"/>
      <c r="I2050" s="27"/>
      <c r="J2050" s="27"/>
      <c r="K2050" s="27"/>
      <c r="L2050" s="27"/>
      <c r="M2050" s="27"/>
      <c r="N2050" s="27"/>
      <c r="O2050" s="27"/>
      <c r="P2050" s="27"/>
      <c r="Q2050" s="27"/>
      <c r="R2050" s="27"/>
      <c r="S2050" s="27"/>
      <c r="T2050" s="27"/>
      <c r="U2050" s="27"/>
      <c r="V2050" s="27"/>
      <c r="W2050" s="27"/>
      <c r="X2050" s="27"/>
      <c r="Y2050" s="27"/>
      <c r="Z2050" s="17"/>
      <c r="AA2050" s="17"/>
      <c r="AB2050" s="17"/>
      <c r="AC2050" s="17"/>
      <c r="AD2050" s="27"/>
    </row>
    <row r="2051" ht="15.75" customHeight="1">
      <c r="A2051" s="27"/>
      <c r="B2051" s="27"/>
      <c r="C2051" s="27"/>
      <c r="D2051" s="27"/>
      <c r="E2051" s="27"/>
      <c r="F2051" s="27"/>
      <c r="G2051" s="27"/>
      <c r="H2051" s="27"/>
      <c r="I2051" s="27"/>
      <c r="J2051" s="27"/>
      <c r="K2051" s="27"/>
      <c r="L2051" s="27"/>
      <c r="M2051" s="27"/>
      <c r="N2051" s="27"/>
      <c r="O2051" s="27"/>
      <c r="P2051" s="27"/>
      <c r="Q2051" s="27"/>
      <c r="R2051" s="27"/>
      <c r="S2051" s="27"/>
      <c r="T2051" s="27"/>
      <c r="U2051" s="27"/>
      <c r="V2051" s="27"/>
      <c r="W2051" s="27"/>
      <c r="X2051" s="27"/>
      <c r="Y2051" s="27"/>
      <c r="Z2051" s="17"/>
      <c r="AA2051" s="17"/>
      <c r="AB2051" s="17"/>
      <c r="AC2051" s="17"/>
      <c r="AD2051" s="27"/>
    </row>
    <row r="2052" ht="15.75" customHeight="1">
      <c r="A2052" s="27"/>
      <c r="B2052" s="27"/>
      <c r="C2052" s="27"/>
      <c r="D2052" s="27"/>
      <c r="E2052" s="27"/>
      <c r="F2052" s="27"/>
      <c r="G2052" s="27"/>
      <c r="H2052" s="27"/>
      <c r="I2052" s="27"/>
      <c r="J2052" s="27"/>
      <c r="K2052" s="27"/>
      <c r="L2052" s="27"/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17"/>
      <c r="AA2052" s="17"/>
      <c r="AB2052" s="17"/>
      <c r="AC2052" s="17"/>
      <c r="AD2052" s="27"/>
    </row>
    <row r="2053" ht="15.75" customHeight="1">
      <c r="A2053" s="27"/>
      <c r="B2053" s="27"/>
      <c r="C2053" s="27"/>
      <c r="D2053" s="27"/>
      <c r="E2053" s="27"/>
      <c r="F2053" s="27"/>
      <c r="G2053" s="27"/>
      <c r="H2053" s="27"/>
      <c r="I2053" s="27"/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17"/>
      <c r="AA2053" s="17"/>
      <c r="AB2053" s="17"/>
      <c r="AC2053" s="17"/>
      <c r="AD2053" s="27"/>
    </row>
    <row r="2054" ht="15.75" customHeight="1">
      <c r="A2054" s="27"/>
      <c r="B2054" s="27"/>
      <c r="C2054" s="27"/>
      <c r="D2054" s="27"/>
      <c r="E2054" s="27"/>
      <c r="F2054" s="27"/>
      <c r="G2054" s="27"/>
      <c r="H2054" s="27"/>
      <c r="I2054" s="27"/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17"/>
      <c r="AA2054" s="17"/>
      <c r="AB2054" s="17"/>
      <c r="AC2054" s="17"/>
      <c r="AD2054" s="27"/>
    </row>
    <row r="2055" ht="15.75" customHeight="1">
      <c r="A2055" s="27"/>
      <c r="B2055" s="27"/>
      <c r="C2055" s="27"/>
      <c r="D2055" s="27"/>
      <c r="E2055" s="27"/>
      <c r="F2055" s="27"/>
      <c r="G2055" s="27"/>
      <c r="H2055" s="27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17"/>
      <c r="AA2055" s="17"/>
      <c r="AB2055" s="17"/>
      <c r="AC2055" s="17"/>
      <c r="AD2055" s="27"/>
    </row>
    <row r="2056" ht="15.75" customHeight="1">
      <c r="A2056" s="27"/>
      <c r="B2056" s="27"/>
      <c r="C2056" s="27"/>
      <c r="D2056" s="27"/>
      <c r="E2056" s="27"/>
      <c r="F2056" s="27"/>
      <c r="G2056" s="27"/>
      <c r="H2056" s="27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17"/>
      <c r="AA2056" s="17"/>
      <c r="AB2056" s="17"/>
      <c r="AC2056" s="17"/>
      <c r="AD2056" s="27"/>
    </row>
    <row r="2057" ht="15.75" customHeight="1">
      <c r="A2057" s="27"/>
      <c r="B2057" s="27"/>
      <c r="C2057" s="27"/>
      <c r="D2057" s="27"/>
      <c r="E2057" s="27"/>
      <c r="F2057" s="27"/>
      <c r="G2057" s="27"/>
      <c r="H2057" s="27"/>
      <c r="I2057" s="27"/>
      <c r="J2057" s="27"/>
      <c r="K2057" s="27"/>
      <c r="L2057" s="27"/>
      <c r="M2057" s="27"/>
      <c r="N2057" s="27"/>
      <c r="O2057" s="27"/>
      <c r="P2057" s="27"/>
      <c r="Q2057" s="27"/>
      <c r="R2057" s="27"/>
      <c r="S2057" s="27"/>
      <c r="T2057" s="27"/>
      <c r="U2057" s="27"/>
      <c r="V2057" s="27"/>
      <c r="W2057" s="27"/>
      <c r="X2057" s="27"/>
      <c r="Y2057" s="27"/>
      <c r="Z2057" s="17"/>
      <c r="AA2057" s="17"/>
      <c r="AB2057" s="17"/>
      <c r="AC2057" s="17"/>
      <c r="AD2057" s="27"/>
    </row>
    <row r="2058" ht="15.75" customHeight="1">
      <c r="A2058" s="27"/>
      <c r="B2058" s="27"/>
      <c r="C2058" s="27"/>
      <c r="D2058" s="27"/>
      <c r="E2058" s="27"/>
      <c r="F2058" s="27"/>
      <c r="G2058" s="27"/>
      <c r="H2058" s="27"/>
      <c r="I2058" s="27"/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  <c r="T2058" s="27"/>
      <c r="U2058" s="27"/>
      <c r="V2058" s="27"/>
      <c r="W2058" s="27"/>
      <c r="X2058" s="27"/>
      <c r="Y2058" s="27"/>
      <c r="Z2058" s="17"/>
      <c r="AA2058" s="17"/>
      <c r="AB2058" s="17"/>
      <c r="AC2058" s="17"/>
      <c r="AD2058" s="27"/>
    </row>
    <row r="2059" ht="15.75" customHeight="1">
      <c r="A2059" s="27"/>
      <c r="B2059" s="27"/>
      <c r="C2059" s="27"/>
      <c r="D2059" s="27"/>
      <c r="E2059" s="27"/>
      <c r="F2059" s="27"/>
      <c r="G2059" s="27"/>
      <c r="H2059" s="27"/>
      <c r="I2059" s="27"/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  <c r="Z2059" s="17"/>
      <c r="AA2059" s="17"/>
      <c r="AB2059" s="17"/>
      <c r="AC2059" s="17"/>
      <c r="AD2059" s="27"/>
    </row>
    <row r="2060" ht="15.75" customHeight="1">
      <c r="A2060" s="27"/>
      <c r="B2060" s="27"/>
      <c r="C2060" s="27"/>
      <c r="D2060" s="27"/>
      <c r="E2060" s="27"/>
      <c r="F2060" s="27"/>
      <c r="G2060" s="27"/>
      <c r="H2060" s="27"/>
      <c r="I2060" s="27"/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  <c r="Z2060" s="17"/>
      <c r="AA2060" s="17"/>
      <c r="AB2060" s="17"/>
      <c r="AC2060" s="17"/>
      <c r="AD2060" s="27"/>
    </row>
    <row r="2061" ht="15.75" customHeight="1">
      <c r="A2061" s="27"/>
      <c r="B2061" s="27"/>
      <c r="C2061" s="27"/>
      <c r="D2061" s="27"/>
      <c r="E2061" s="27"/>
      <c r="F2061" s="27"/>
      <c r="G2061" s="27"/>
      <c r="H2061" s="27"/>
      <c r="I2061" s="27"/>
      <c r="J2061" s="27"/>
      <c r="K2061" s="27"/>
      <c r="L2061" s="27"/>
      <c r="M2061" s="27"/>
      <c r="N2061" s="27"/>
      <c r="O2061" s="27"/>
      <c r="P2061" s="27"/>
      <c r="Q2061" s="27"/>
      <c r="R2061" s="27"/>
      <c r="S2061" s="27"/>
      <c r="T2061" s="27"/>
      <c r="U2061" s="27"/>
      <c r="V2061" s="27"/>
      <c r="W2061" s="27"/>
      <c r="X2061" s="27"/>
      <c r="Y2061" s="27"/>
      <c r="Z2061" s="17"/>
      <c r="AA2061" s="17"/>
      <c r="AB2061" s="17"/>
      <c r="AC2061" s="17"/>
      <c r="AD2061" s="27"/>
    </row>
    <row r="2062" ht="15.75" customHeight="1">
      <c r="A2062" s="27"/>
      <c r="B2062" s="27"/>
      <c r="C2062" s="27"/>
      <c r="D2062" s="27"/>
      <c r="E2062" s="27"/>
      <c r="F2062" s="27"/>
      <c r="G2062" s="27"/>
      <c r="H2062" s="27"/>
      <c r="I2062" s="27"/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17"/>
      <c r="AA2062" s="17"/>
      <c r="AB2062" s="17"/>
      <c r="AC2062" s="17"/>
      <c r="AD2062" s="27"/>
    </row>
    <row r="2063" ht="15.75" customHeight="1">
      <c r="A2063" s="27"/>
      <c r="B2063" s="27"/>
      <c r="C2063" s="27"/>
      <c r="D2063" s="27"/>
      <c r="E2063" s="27"/>
      <c r="F2063" s="27"/>
      <c r="G2063" s="27"/>
      <c r="H2063" s="27"/>
      <c r="I2063" s="27"/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17"/>
      <c r="AA2063" s="17"/>
      <c r="AB2063" s="17"/>
      <c r="AC2063" s="17"/>
      <c r="AD2063" s="27"/>
    </row>
    <row r="2064" ht="15.75" customHeight="1">
      <c r="A2064" s="27"/>
      <c r="B2064" s="27"/>
      <c r="C2064" s="27"/>
      <c r="D2064" s="27"/>
      <c r="E2064" s="27"/>
      <c r="F2064" s="27"/>
      <c r="G2064" s="27"/>
      <c r="H2064" s="27"/>
      <c r="I2064" s="27"/>
      <c r="J2064" s="27"/>
      <c r="K2064" s="27"/>
      <c r="L2064" s="27"/>
      <c r="M2064" s="27"/>
      <c r="N2064" s="27"/>
      <c r="O2064" s="27"/>
      <c r="P2064" s="27"/>
      <c r="Q2064" s="27"/>
      <c r="R2064" s="27"/>
      <c r="S2064" s="27"/>
      <c r="T2064" s="27"/>
      <c r="U2064" s="27"/>
      <c r="V2064" s="27"/>
      <c r="W2064" s="27"/>
      <c r="X2064" s="27"/>
      <c r="Y2064" s="27"/>
      <c r="Z2064" s="17"/>
      <c r="AA2064" s="17"/>
      <c r="AB2064" s="17"/>
      <c r="AC2064" s="17"/>
      <c r="AD2064" s="27"/>
    </row>
    <row r="2065" ht="15.75" customHeight="1">
      <c r="A2065" s="27"/>
      <c r="B2065" s="27"/>
      <c r="C2065" s="27"/>
      <c r="D2065" s="27"/>
      <c r="E2065" s="27"/>
      <c r="F2065" s="27"/>
      <c r="G2065" s="27"/>
      <c r="H2065" s="27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17"/>
      <c r="AA2065" s="17"/>
      <c r="AB2065" s="17"/>
      <c r="AC2065" s="17"/>
      <c r="AD2065" s="27"/>
    </row>
    <row r="2066" ht="15.75" customHeight="1">
      <c r="A2066" s="27"/>
      <c r="B2066" s="27"/>
      <c r="C2066" s="27"/>
      <c r="D2066" s="27"/>
      <c r="E2066" s="27"/>
      <c r="F2066" s="27"/>
      <c r="G2066" s="27"/>
      <c r="H2066" s="27"/>
      <c r="I2066" s="27"/>
      <c r="J2066" s="27"/>
      <c r="K2066" s="27"/>
      <c r="L2066" s="27"/>
      <c r="M2066" s="27"/>
      <c r="N2066" s="27"/>
      <c r="O2066" s="27"/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  <c r="Z2066" s="17"/>
      <c r="AA2066" s="17"/>
      <c r="AB2066" s="17"/>
      <c r="AC2066" s="17"/>
      <c r="AD2066" s="27"/>
    </row>
    <row r="2067" ht="15.75" customHeight="1">
      <c r="A2067" s="27"/>
      <c r="B2067" s="27"/>
      <c r="C2067" s="27"/>
      <c r="D2067" s="27"/>
      <c r="E2067" s="27"/>
      <c r="F2067" s="27"/>
      <c r="G2067" s="27"/>
      <c r="H2067" s="27"/>
      <c r="I2067" s="27"/>
      <c r="J2067" s="27"/>
      <c r="K2067" s="27"/>
      <c r="L2067" s="27"/>
      <c r="M2067" s="27"/>
      <c r="N2067" s="27"/>
      <c r="O2067" s="27"/>
      <c r="P2067" s="27"/>
      <c r="Q2067" s="27"/>
      <c r="R2067" s="27"/>
      <c r="S2067" s="27"/>
      <c r="T2067" s="27"/>
      <c r="U2067" s="27"/>
      <c r="V2067" s="27"/>
      <c r="W2067" s="27"/>
      <c r="X2067" s="27"/>
      <c r="Y2067" s="27"/>
      <c r="Z2067" s="17"/>
      <c r="AA2067" s="17"/>
      <c r="AB2067" s="17"/>
      <c r="AC2067" s="17"/>
      <c r="AD2067" s="27"/>
    </row>
    <row r="2068" ht="15.75" customHeight="1">
      <c r="A2068" s="27"/>
      <c r="B2068" s="27"/>
      <c r="C2068" s="27"/>
      <c r="D2068" s="27"/>
      <c r="E2068" s="27"/>
      <c r="F2068" s="27"/>
      <c r="G2068" s="27"/>
      <c r="H2068" s="27"/>
      <c r="I2068" s="27"/>
      <c r="J2068" s="27"/>
      <c r="K2068" s="27"/>
      <c r="L2068" s="27"/>
      <c r="M2068" s="27"/>
      <c r="N2068" s="27"/>
      <c r="O2068" s="27"/>
      <c r="P2068" s="27"/>
      <c r="Q2068" s="27"/>
      <c r="R2068" s="27"/>
      <c r="S2068" s="27"/>
      <c r="T2068" s="27"/>
      <c r="U2068" s="27"/>
      <c r="V2068" s="27"/>
      <c r="W2068" s="27"/>
      <c r="X2068" s="27"/>
      <c r="Y2068" s="27"/>
      <c r="Z2068" s="17"/>
      <c r="AA2068" s="17"/>
      <c r="AB2068" s="17"/>
      <c r="AC2068" s="17"/>
      <c r="AD2068" s="27"/>
    </row>
    <row r="2069" ht="15.75" customHeight="1">
      <c r="A2069" s="27"/>
      <c r="B2069" s="27"/>
      <c r="C2069" s="27"/>
      <c r="D2069" s="27"/>
      <c r="E2069" s="27"/>
      <c r="F2069" s="27"/>
      <c r="G2069" s="27"/>
      <c r="H2069" s="27"/>
      <c r="I2069" s="27"/>
      <c r="J2069" s="27"/>
      <c r="K2069" s="27"/>
      <c r="L2069" s="27"/>
      <c r="M2069" s="27"/>
      <c r="N2069" s="27"/>
      <c r="O2069" s="27"/>
      <c r="P2069" s="27"/>
      <c r="Q2069" s="27"/>
      <c r="R2069" s="27"/>
      <c r="S2069" s="27"/>
      <c r="T2069" s="27"/>
      <c r="U2069" s="27"/>
      <c r="V2069" s="27"/>
      <c r="W2069" s="27"/>
      <c r="X2069" s="27"/>
      <c r="Y2069" s="27"/>
      <c r="Z2069" s="17"/>
      <c r="AA2069" s="17"/>
      <c r="AB2069" s="17"/>
      <c r="AC2069" s="17"/>
      <c r="AD2069" s="27"/>
    </row>
    <row r="2070" ht="15.75" customHeight="1">
      <c r="A2070" s="27"/>
      <c r="B2070" s="27"/>
      <c r="C2070" s="27"/>
      <c r="D2070" s="27"/>
      <c r="E2070" s="27"/>
      <c r="F2070" s="27"/>
      <c r="G2070" s="27"/>
      <c r="H2070" s="27"/>
      <c r="I2070" s="27"/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17"/>
      <c r="AA2070" s="17"/>
      <c r="AB2070" s="17"/>
      <c r="AC2070" s="17"/>
      <c r="AD2070" s="27"/>
    </row>
    <row r="2071" ht="15.75" customHeight="1">
      <c r="A2071" s="27"/>
      <c r="B2071" s="27"/>
      <c r="C2071" s="27"/>
      <c r="D2071" s="27"/>
      <c r="E2071" s="27"/>
      <c r="F2071" s="27"/>
      <c r="G2071" s="27"/>
      <c r="H2071" s="27"/>
      <c r="I2071" s="27"/>
      <c r="J2071" s="27"/>
      <c r="K2071" s="27"/>
      <c r="L2071" s="27"/>
      <c r="M2071" s="27"/>
      <c r="N2071" s="27"/>
      <c r="O2071" s="27"/>
      <c r="P2071" s="27"/>
      <c r="Q2071" s="27"/>
      <c r="R2071" s="27"/>
      <c r="S2071" s="27"/>
      <c r="T2071" s="27"/>
      <c r="U2071" s="27"/>
      <c r="V2071" s="27"/>
      <c r="W2071" s="27"/>
      <c r="X2071" s="27"/>
      <c r="Y2071" s="27"/>
      <c r="Z2071" s="17"/>
      <c r="AA2071" s="17"/>
      <c r="AB2071" s="17"/>
      <c r="AC2071" s="17"/>
      <c r="AD2071" s="27"/>
    </row>
    <row r="2072" ht="15.75" customHeight="1">
      <c r="A2072" s="27"/>
      <c r="B2072" s="27"/>
      <c r="C2072" s="27"/>
      <c r="D2072" s="27"/>
      <c r="E2072" s="27"/>
      <c r="F2072" s="27"/>
      <c r="G2072" s="27"/>
      <c r="H2072" s="27"/>
      <c r="I2072" s="27"/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7"/>
      <c r="X2072" s="27"/>
      <c r="Y2072" s="27"/>
      <c r="Z2072" s="17"/>
      <c r="AA2072" s="17"/>
      <c r="AB2072" s="17"/>
      <c r="AC2072" s="17"/>
      <c r="AD2072" s="27"/>
    </row>
    <row r="2073" ht="15.75" customHeight="1">
      <c r="A2073" s="27"/>
      <c r="B2073" s="27"/>
      <c r="C2073" s="27"/>
      <c r="D2073" s="27"/>
      <c r="E2073" s="27"/>
      <c r="F2073" s="27"/>
      <c r="G2073" s="27"/>
      <c r="H2073" s="27"/>
      <c r="I2073" s="27"/>
      <c r="J2073" s="27"/>
      <c r="K2073" s="27"/>
      <c r="L2073" s="27"/>
      <c r="M2073" s="27"/>
      <c r="N2073" s="27"/>
      <c r="O2073" s="27"/>
      <c r="P2073" s="27"/>
      <c r="Q2073" s="27"/>
      <c r="R2073" s="27"/>
      <c r="S2073" s="27"/>
      <c r="T2073" s="27"/>
      <c r="U2073" s="27"/>
      <c r="V2073" s="27"/>
      <c r="W2073" s="27"/>
      <c r="X2073" s="27"/>
      <c r="Y2073" s="27"/>
      <c r="Z2073" s="17"/>
      <c r="AA2073" s="17"/>
      <c r="AB2073" s="17"/>
      <c r="AC2073" s="17"/>
      <c r="AD2073" s="27"/>
    </row>
    <row r="2074" ht="15.75" customHeight="1">
      <c r="A2074" s="27"/>
      <c r="B2074" s="27"/>
      <c r="C2074" s="27"/>
      <c r="D2074" s="27"/>
      <c r="E2074" s="27"/>
      <c r="F2074" s="27"/>
      <c r="G2074" s="27"/>
      <c r="H2074" s="27"/>
      <c r="I2074" s="27"/>
      <c r="J2074" s="27"/>
      <c r="K2074" s="27"/>
      <c r="L2074" s="27"/>
      <c r="M2074" s="27"/>
      <c r="N2074" s="27"/>
      <c r="O2074" s="27"/>
      <c r="P2074" s="27"/>
      <c r="Q2074" s="27"/>
      <c r="R2074" s="27"/>
      <c r="S2074" s="27"/>
      <c r="T2074" s="27"/>
      <c r="U2074" s="27"/>
      <c r="V2074" s="27"/>
      <c r="W2074" s="27"/>
      <c r="X2074" s="27"/>
      <c r="Y2074" s="27"/>
      <c r="Z2074" s="17"/>
      <c r="AA2074" s="17"/>
      <c r="AB2074" s="17"/>
      <c r="AC2074" s="17"/>
      <c r="AD2074" s="27"/>
    </row>
    <row r="2075" ht="15.75" customHeight="1">
      <c r="A2075" s="27"/>
      <c r="B2075" s="27"/>
      <c r="C2075" s="27"/>
      <c r="D2075" s="27"/>
      <c r="E2075" s="27"/>
      <c r="F2075" s="27"/>
      <c r="G2075" s="27"/>
      <c r="H2075" s="27"/>
      <c r="I2075" s="27"/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17"/>
      <c r="AA2075" s="17"/>
      <c r="AB2075" s="17"/>
      <c r="AC2075" s="17"/>
      <c r="AD2075" s="27"/>
    </row>
    <row r="2076" ht="15.75" customHeight="1">
      <c r="A2076" s="27"/>
      <c r="B2076" s="27"/>
      <c r="C2076" s="27"/>
      <c r="D2076" s="27"/>
      <c r="E2076" s="27"/>
      <c r="F2076" s="27"/>
      <c r="G2076" s="27"/>
      <c r="H2076" s="27"/>
      <c r="I2076" s="27"/>
      <c r="J2076" s="27"/>
      <c r="K2076" s="27"/>
      <c r="L2076" s="27"/>
      <c r="M2076" s="27"/>
      <c r="N2076" s="27"/>
      <c r="O2076" s="27"/>
      <c r="P2076" s="27"/>
      <c r="Q2076" s="27"/>
      <c r="R2076" s="27"/>
      <c r="S2076" s="27"/>
      <c r="T2076" s="27"/>
      <c r="U2076" s="27"/>
      <c r="V2076" s="27"/>
      <c r="W2076" s="27"/>
      <c r="X2076" s="27"/>
      <c r="Y2076" s="27"/>
      <c r="Z2076" s="17"/>
      <c r="AA2076" s="17"/>
      <c r="AB2076" s="17"/>
      <c r="AC2076" s="17"/>
      <c r="AD2076" s="27"/>
    </row>
    <row r="2077" ht="15.75" customHeight="1">
      <c r="A2077" s="27"/>
      <c r="B2077" s="27"/>
      <c r="C2077" s="27"/>
      <c r="D2077" s="27"/>
      <c r="E2077" s="27"/>
      <c r="F2077" s="27"/>
      <c r="G2077" s="27"/>
      <c r="H2077" s="27"/>
      <c r="I2077" s="27"/>
      <c r="J2077" s="27"/>
      <c r="K2077" s="27"/>
      <c r="L2077" s="27"/>
      <c r="M2077" s="27"/>
      <c r="N2077" s="27"/>
      <c r="O2077" s="27"/>
      <c r="P2077" s="27"/>
      <c r="Q2077" s="27"/>
      <c r="R2077" s="27"/>
      <c r="S2077" s="27"/>
      <c r="T2077" s="27"/>
      <c r="U2077" s="27"/>
      <c r="V2077" s="27"/>
      <c r="W2077" s="27"/>
      <c r="X2077" s="27"/>
      <c r="Y2077" s="27"/>
      <c r="Z2077" s="17"/>
      <c r="AA2077" s="17"/>
      <c r="AB2077" s="17"/>
      <c r="AC2077" s="17"/>
      <c r="AD2077" s="27"/>
    </row>
    <row r="2078" ht="15.75" customHeight="1">
      <c r="A2078" s="27"/>
      <c r="B2078" s="27"/>
      <c r="C2078" s="27"/>
      <c r="D2078" s="27"/>
      <c r="E2078" s="27"/>
      <c r="F2078" s="27"/>
      <c r="G2078" s="27"/>
      <c r="H2078" s="27"/>
      <c r="I2078" s="27"/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17"/>
      <c r="AA2078" s="17"/>
      <c r="AB2078" s="17"/>
      <c r="AC2078" s="17"/>
      <c r="AD2078" s="27"/>
    </row>
    <row r="2079" ht="15.75" customHeight="1">
      <c r="A2079" s="27"/>
      <c r="B2079" s="27"/>
      <c r="C2079" s="27"/>
      <c r="D2079" s="27"/>
      <c r="E2079" s="27"/>
      <c r="F2079" s="27"/>
      <c r="G2079" s="27"/>
      <c r="H2079" s="27"/>
      <c r="I2079" s="27"/>
      <c r="J2079" s="27"/>
      <c r="K2079" s="27"/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7"/>
      <c r="X2079" s="27"/>
      <c r="Y2079" s="27"/>
      <c r="Z2079" s="17"/>
      <c r="AA2079" s="17"/>
      <c r="AB2079" s="17"/>
      <c r="AC2079" s="17"/>
      <c r="AD2079" s="27"/>
    </row>
    <row r="2080" ht="15.75" customHeight="1">
      <c r="A2080" s="27"/>
      <c r="B2080" s="27"/>
      <c r="C2080" s="27"/>
      <c r="D2080" s="27"/>
      <c r="E2080" s="27"/>
      <c r="F2080" s="27"/>
      <c r="G2080" s="27"/>
      <c r="H2080" s="27"/>
      <c r="I2080" s="27"/>
      <c r="J2080" s="27"/>
      <c r="K2080" s="27"/>
      <c r="L2080" s="27"/>
      <c r="M2080" s="27"/>
      <c r="N2080" s="27"/>
      <c r="O2080" s="27"/>
      <c r="P2080" s="27"/>
      <c r="Q2080" s="27"/>
      <c r="R2080" s="27"/>
      <c r="S2080" s="27"/>
      <c r="T2080" s="27"/>
      <c r="U2080" s="27"/>
      <c r="V2080" s="27"/>
      <c r="W2080" s="27"/>
      <c r="X2080" s="27"/>
      <c r="Y2080" s="27"/>
      <c r="Z2080" s="17"/>
      <c r="AA2080" s="17"/>
      <c r="AB2080" s="17"/>
      <c r="AC2080" s="17"/>
      <c r="AD2080" s="27"/>
    </row>
    <row r="2081" ht="15.75" customHeight="1">
      <c r="A2081" s="27"/>
      <c r="B2081" s="27"/>
      <c r="C2081" s="27"/>
      <c r="D2081" s="27"/>
      <c r="E2081" s="27"/>
      <c r="F2081" s="27"/>
      <c r="G2081" s="27"/>
      <c r="H2081" s="27"/>
      <c r="I2081" s="27"/>
      <c r="J2081" s="27"/>
      <c r="K2081" s="27"/>
      <c r="L2081" s="27"/>
      <c r="M2081" s="27"/>
      <c r="N2081" s="27"/>
      <c r="O2081" s="27"/>
      <c r="P2081" s="27"/>
      <c r="Q2081" s="27"/>
      <c r="R2081" s="27"/>
      <c r="S2081" s="27"/>
      <c r="T2081" s="27"/>
      <c r="U2081" s="27"/>
      <c r="V2081" s="27"/>
      <c r="W2081" s="27"/>
      <c r="X2081" s="27"/>
      <c r="Y2081" s="27"/>
      <c r="Z2081" s="17"/>
      <c r="AA2081" s="17"/>
      <c r="AB2081" s="17"/>
      <c r="AC2081" s="17"/>
      <c r="AD2081" s="27"/>
    </row>
    <row r="2082" ht="15.75" customHeight="1">
      <c r="A2082" s="27"/>
      <c r="B2082" s="27"/>
      <c r="C2082" s="27"/>
      <c r="D2082" s="27"/>
      <c r="E2082" s="27"/>
      <c r="F2082" s="27"/>
      <c r="G2082" s="27"/>
      <c r="H2082" s="27"/>
      <c r="I2082" s="27"/>
      <c r="J2082" s="27"/>
      <c r="K2082" s="27"/>
      <c r="L2082" s="27"/>
      <c r="M2082" s="27"/>
      <c r="N2082" s="27"/>
      <c r="O2082" s="27"/>
      <c r="P2082" s="27"/>
      <c r="Q2082" s="27"/>
      <c r="R2082" s="27"/>
      <c r="S2082" s="27"/>
      <c r="T2082" s="27"/>
      <c r="U2082" s="27"/>
      <c r="V2082" s="27"/>
      <c r="W2082" s="27"/>
      <c r="X2082" s="27"/>
      <c r="Y2082" s="27"/>
      <c r="Z2082" s="17"/>
      <c r="AA2082" s="17"/>
      <c r="AB2082" s="17"/>
      <c r="AC2082" s="17"/>
      <c r="AD2082" s="27"/>
    </row>
    <row r="2083" ht="15.75" customHeight="1">
      <c r="A2083" s="27"/>
      <c r="B2083" s="27"/>
      <c r="C2083" s="27"/>
      <c r="D2083" s="27"/>
      <c r="E2083" s="27"/>
      <c r="F2083" s="27"/>
      <c r="G2083" s="27"/>
      <c r="H2083" s="27"/>
      <c r="I2083" s="27"/>
      <c r="J2083" s="27"/>
      <c r="K2083" s="27"/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7"/>
      <c r="X2083" s="27"/>
      <c r="Y2083" s="27"/>
      <c r="Z2083" s="17"/>
      <c r="AA2083" s="17"/>
      <c r="AB2083" s="17"/>
      <c r="AC2083" s="17"/>
      <c r="AD2083" s="27"/>
    </row>
    <row r="2084" ht="15.75" customHeight="1">
      <c r="A2084" s="27"/>
      <c r="B2084" s="27"/>
      <c r="C2084" s="27"/>
      <c r="D2084" s="27"/>
      <c r="E2084" s="27"/>
      <c r="F2084" s="27"/>
      <c r="G2084" s="27"/>
      <c r="H2084" s="27"/>
      <c r="I2084" s="27"/>
      <c r="J2084" s="27"/>
      <c r="K2084" s="27"/>
      <c r="L2084" s="27"/>
      <c r="M2084" s="27"/>
      <c r="N2084" s="27"/>
      <c r="O2084" s="27"/>
      <c r="P2084" s="27"/>
      <c r="Q2084" s="27"/>
      <c r="R2084" s="27"/>
      <c r="S2084" s="27"/>
      <c r="T2084" s="27"/>
      <c r="U2084" s="27"/>
      <c r="V2084" s="27"/>
      <c r="W2084" s="27"/>
      <c r="X2084" s="27"/>
      <c r="Y2084" s="27"/>
      <c r="Z2084" s="17"/>
      <c r="AA2084" s="17"/>
      <c r="AB2084" s="17"/>
      <c r="AC2084" s="17"/>
      <c r="AD2084" s="27"/>
    </row>
    <row r="2085" ht="15.75" customHeight="1">
      <c r="A2085" s="27"/>
      <c r="B2085" s="27"/>
      <c r="C2085" s="27"/>
      <c r="D2085" s="27"/>
      <c r="E2085" s="27"/>
      <c r="F2085" s="27"/>
      <c r="G2085" s="27"/>
      <c r="H2085" s="27"/>
      <c r="I2085" s="27"/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  <c r="T2085" s="27"/>
      <c r="U2085" s="27"/>
      <c r="V2085" s="27"/>
      <c r="W2085" s="27"/>
      <c r="X2085" s="27"/>
      <c r="Y2085" s="27"/>
      <c r="Z2085" s="17"/>
      <c r="AA2085" s="17"/>
      <c r="AB2085" s="17"/>
      <c r="AC2085" s="17"/>
      <c r="AD2085" s="27"/>
    </row>
    <row r="2086" ht="15.75" customHeight="1">
      <c r="A2086" s="27"/>
      <c r="B2086" s="27"/>
      <c r="C2086" s="27"/>
      <c r="D2086" s="27"/>
      <c r="E2086" s="27"/>
      <c r="F2086" s="27"/>
      <c r="G2086" s="27"/>
      <c r="H2086" s="27"/>
      <c r="I2086" s="27"/>
      <c r="J2086" s="27"/>
      <c r="K2086" s="27"/>
      <c r="L2086" s="27"/>
      <c r="M2086" s="27"/>
      <c r="N2086" s="27"/>
      <c r="O2086" s="27"/>
      <c r="P2086" s="27"/>
      <c r="Q2086" s="27"/>
      <c r="R2086" s="27"/>
      <c r="S2086" s="27"/>
      <c r="T2086" s="27"/>
      <c r="U2086" s="27"/>
      <c r="V2086" s="27"/>
      <c r="W2086" s="27"/>
      <c r="X2086" s="27"/>
      <c r="Y2086" s="27"/>
      <c r="Z2086" s="17"/>
      <c r="AA2086" s="17"/>
      <c r="AB2086" s="17"/>
      <c r="AC2086" s="17"/>
      <c r="AD2086" s="27"/>
    </row>
    <row r="2087" ht="15.75" customHeight="1">
      <c r="A2087" s="27"/>
      <c r="B2087" s="27"/>
      <c r="C2087" s="27"/>
      <c r="D2087" s="27"/>
      <c r="E2087" s="27"/>
      <c r="F2087" s="27"/>
      <c r="G2087" s="27"/>
      <c r="H2087" s="27"/>
      <c r="I2087" s="27"/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  <c r="T2087" s="27"/>
      <c r="U2087" s="27"/>
      <c r="V2087" s="27"/>
      <c r="W2087" s="27"/>
      <c r="X2087" s="27"/>
      <c r="Y2087" s="27"/>
      <c r="Z2087" s="17"/>
      <c r="AA2087" s="17"/>
      <c r="AB2087" s="17"/>
      <c r="AC2087" s="17"/>
      <c r="AD2087" s="27"/>
    </row>
    <row r="2088" ht="15.75" customHeight="1">
      <c r="A2088" s="27"/>
      <c r="B2088" s="27"/>
      <c r="C2088" s="27"/>
      <c r="D2088" s="27"/>
      <c r="E2088" s="27"/>
      <c r="F2088" s="27"/>
      <c r="G2088" s="27"/>
      <c r="H2088" s="27"/>
      <c r="I2088" s="27"/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  <c r="T2088" s="27"/>
      <c r="U2088" s="27"/>
      <c r="V2088" s="27"/>
      <c r="W2088" s="27"/>
      <c r="X2088" s="27"/>
      <c r="Y2088" s="27"/>
      <c r="Z2088" s="17"/>
      <c r="AA2088" s="17"/>
      <c r="AB2088" s="17"/>
      <c r="AC2088" s="17"/>
      <c r="AD2088" s="27"/>
    </row>
    <row r="2089" ht="15.75" customHeight="1">
      <c r="A2089" s="27"/>
      <c r="B2089" s="27"/>
      <c r="C2089" s="27"/>
      <c r="D2089" s="27"/>
      <c r="E2089" s="27"/>
      <c r="F2089" s="27"/>
      <c r="G2089" s="27"/>
      <c r="H2089" s="27"/>
      <c r="I2089" s="27"/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  <c r="Z2089" s="17"/>
      <c r="AA2089" s="17"/>
      <c r="AB2089" s="17"/>
      <c r="AC2089" s="17"/>
      <c r="AD2089" s="27"/>
    </row>
    <row r="2090" ht="15.75" customHeight="1">
      <c r="A2090" s="27"/>
      <c r="B2090" s="27"/>
      <c r="C2090" s="27"/>
      <c r="D2090" s="27"/>
      <c r="E2090" s="27"/>
      <c r="F2090" s="27"/>
      <c r="G2090" s="27"/>
      <c r="H2090" s="27"/>
      <c r="I2090" s="27"/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  <c r="T2090" s="27"/>
      <c r="U2090" s="27"/>
      <c r="V2090" s="27"/>
      <c r="W2090" s="27"/>
      <c r="X2090" s="27"/>
      <c r="Y2090" s="27"/>
      <c r="Z2090" s="17"/>
      <c r="AA2090" s="17"/>
      <c r="AB2090" s="17"/>
      <c r="AC2090" s="17"/>
      <c r="AD2090" s="27"/>
    </row>
    <row r="2091" ht="15.75" customHeight="1">
      <c r="A2091" s="27"/>
      <c r="B2091" s="27"/>
      <c r="C2091" s="27"/>
      <c r="D2091" s="27"/>
      <c r="E2091" s="27"/>
      <c r="F2091" s="27"/>
      <c r="G2091" s="27"/>
      <c r="H2091" s="27"/>
      <c r="I2091" s="27"/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  <c r="T2091" s="27"/>
      <c r="U2091" s="27"/>
      <c r="V2091" s="27"/>
      <c r="W2091" s="27"/>
      <c r="X2091" s="27"/>
      <c r="Y2091" s="27"/>
      <c r="Z2091" s="17"/>
      <c r="AA2091" s="17"/>
      <c r="AB2091" s="17"/>
      <c r="AC2091" s="17"/>
      <c r="AD2091" s="27"/>
    </row>
    <row r="2092" ht="15.75" customHeight="1">
      <c r="A2092" s="27"/>
      <c r="B2092" s="27"/>
      <c r="C2092" s="27"/>
      <c r="D2092" s="27"/>
      <c r="E2092" s="27"/>
      <c r="F2092" s="27"/>
      <c r="G2092" s="27"/>
      <c r="H2092" s="27"/>
      <c r="I2092" s="27"/>
      <c r="J2092" s="27"/>
      <c r="K2092" s="27"/>
      <c r="L2092" s="27"/>
      <c r="M2092" s="27"/>
      <c r="N2092" s="27"/>
      <c r="O2092" s="27"/>
      <c r="P2092" s="27"/>
      <c r="Q2092" s="27"/>
      <c r="R2092" s="27"/>
      <c r="S2092" s="27"/>
      <c r="T2092" s="27"/>
      <c r="U2092" s="27"/>
      <c r="V2092" s="27"/>
      <c r="W2092" s="27"/>
      <c r="X2092" s="27"/>
      <c r="Y2092" s="27"/>
      <c r="Z2092" s="17"/>
      <c r="AA2092" s="17"/>
      <c r="AB2092" s="17"/>
      <c r="AC2092" s="17"/>
      <c r="AD2092" s="27"/>
    </row>
    <row r="2093" ht="15.75" customHeight="1">
      <c r="A2093" s="27"/>
      <c r="B2093" s="27"/>
      <c r="C2093" s="27"/>
      <c r="D2093" s="27"/>
      <c r="E2093" s="27"/>
      <c r="F2093" s="27"/>
      <c r="G2093" s="27"/>
      <c r="H2093" s="27"/>
      <c r="I2093" s="27"/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7"/>
      <c r="X2093" s="27"/>
      <c r="Y2093" s="27"/>
      <c r="Z2093" s="17"/>
      <c r="AA2093" s="17"/>
      <c r="AB2093" s="17"/>
      <c r="AC2093" s="17"/>
      <c r="AD2093" s="27"/>
    </row>
    <row r="2094" ht="15.75" customHeight="1">
      <c r="A2094" s="27"/>
      <c r="B2094" s="27"/>
      <c r="C2094" s="27"/>
      <c r="D2094" s="27"/>
      <c r="E2094" s="27"/>
      <c r="F2094" s="27"/>
      <c r="G2094" s="27"/>
      <c r="H2094" s="27"/>
      <c r="I2094" s="27"/>
      <c r="J2094" s="27"/>
      <c r="K2094" s="27"/>
      <c r="L2094" s="27"/>
      <c r="M2094" s="27"/>
      <c r="N2094" s="27"/>
      <c r="O2094" s="27"/>
      <c r="P2094" s="27"/>
      <c r="Q2094" s="27"/>
      <c r="R2094" s="27"/>
      <c r="S2094" s="27"/>
      <c r="T2094" s="27"/>
      <c r="U2094" s="27"/>
      <c r="V2094" s="27"/>
      <c r="W2094" s="27"/>
      <c r="X2094" s="27"/>
      <c r="Y2094" s="27"/>
      <c r="Z2094" s="17"/>
      <c r="AA2094" s="17"/>
      <c r="AB2094" s="17"/>
      <c r="AC2094" s="17"/>
      <c r="AD2094" s="27"/>
    </row>
    <row r="2095" ht="15.75" customHeight="1">
      <c r="A2095" s="27"/>
      <c r="B2095" s="27"/>
      <c r="C2095" s="27"/>
      <c r="D2095" s="27"/>
      <c r="E2095" s="27"/>
      <c r="F2095" s="27"/>
      <c r="G2095" s="27"/>
      <c r="H2095" s="27"/>
      <c r="I2095" s="27"/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17"/>
      <c r="AA2095" s="17"/>
      <c r="AB2095" s="17"/>
      <c r="AC2095" s="17"/>
      <c r="AD2095" s="27"/>
    </row>
    <row r="2096" ht="15.75" customHeight="1">
      <c r="A2096" s="27"/>
      <c r="B2096" s="27"/>
      <c r="C2096" s="27"/>
      <c r="D2096" s="27"/>
      <c r="E2096" s="27"/>
      <c r="F2096" s="27"/>
      <c r="G2096" s="27"/>
      <c r="H2096" s="27"/>
      <c r="I2096" s="27"/>
      <c r="J2096" s="27"/>
      <c r="K2096" s="27"/>
      <c r="L2096" s="27"/>
      <c r="M2096" s="27"/>
      <c r="N2096" s="27"/>
      <c r="O2096" s="27"/>
      <c r="P2096" s="27"/>
      <c r="Q2096" s="27"/>
      <c r="R2096" s="27"/>
      <c r="S2096" s="27"/>
      <c r="T2096" s="27"/>
      <c r="U2096" s="27"/>
      <c r="V2096" s="27"/>
      <c r="W2096" s="27"/>
      <c r="X2096" s="27"/>
      <c r="Y2096" s="27"/>
      <c r="Z2096" s="17"/>
      <c r="AA2096" s="17"/>
      <c r="AB2096" s="17"/>
      <c r="AC2096" s="17"/>
      <c r="AD2096" s="27"/>
    </row>
    <row r="2097" ht="15.75" customHeight="1">
      <c r="A2097" s="27"/>
      <c r="B2097" s="27"/>
      <c r="C2097" s="27"/>
      <c r="D2097" s="27"/>
      <c r="E2097" s="27"/>
      <c r="F2097" s="27"/>
      <c r="G2097" s="27"/>
      <c r="H2097" s="27"/>
      <c r="I2097" s="27"/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  <c r="T2097" s="27"/>
      <c r="U2097" s="27"/>
      <c r="V2097" s="27"/>
      <c r="W2097" s="27"/>
      <c r="X2097" s="27"/>
      <c r="Y2097" s="27"/>
      <c r="Z2097" s="17"/>
      <c r="AA2097" s="17"/>
      <c r="AB2097" s="17"/>
      <c r="AC2097" s="17"/>
      <c r="AD2097" s="27"/>
    </row>
    <row r="2098" ht="15.75" customHeight="1">
      <c r="A2098" s="27"/>
      <c r="B2098" s="27"/>
      <c r="C2098" s="27"/>
      <c r="D2098" s="27"/>
      <c r="E2098" s="27"/>
      <c r="F2098" s="27"/>
      <c r="G2098" s="27"/>
      <c r="H2098" s="27"/>
      <c r="I2098" s="27"/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  <c r="T2098" s="27"/>
      <c r="U2098" s="27"/>
      <c r="V2098" s="27"/>
      <c r="W2098" s="27"/>
      <c r="X2098" s="27"/>
      <c r="Y2098" s="27"/>
      <c r="Z2098" s="17"/>
      <c r="AA2098" s="17"/>
      <c r="AB2098" s="17"/>
      <c r="AC2098" s="17"/>
      <c r="AD2098" s="27"/>
    </row>
    <row r="2099" ht="15.75" customHeight="1">
      <c r="A2099" s="27"/>
      <c r="B2099" s="27"/>
      <c r="C2099" s="27"/>
      <c r="D2099" s="27"/>
      <c r="E2099" s="27"/>
      <c r="F2099" s="27"/>
      <c r="G2099" s="27"/>
      <c r="H2099" s="27"/>
      <c r="I2099" s="27"/>
      <c r="J2099" s="27"/>
      <c r="K2099" s="27"/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7"/>
      <c r="X2099" s="27"/>
      <c r="Y2099" s="27"/>
      <c r="Z2099" s="17"/>
      <c r="AA2099" s="17"/>
      <c r="AB2099" s="17"/>
      <c r="AC2099" s="17"/>
      <c r="AD2099" s="27"/>
    </row>
    <row r="2100" ht="15.75" customHeight="1">
      <c r="A2100" s="27"/>
      <c r="B2100" s="27"/>
      <c r="C2100" s="27"/>
      <c r="D2100" s="27"/>
      <c r="E2100" s="27"/>
      <c r="F2100" s="27"/>
      <c r="G2100" s="27"/>
      <c r="H2100" s="27"/>
      <c r="I2100" s="27"/>
      <c r="J2100" s="27"/>
      <c r="K2100" s="27"/>
      <c r="L2100" s="27"/>
      <c r="M2100" s="27"/>
      <c r="N2100" s="27"/>
      <c r="O2100" s="27"/>
      <c r="P2100" s="27"/>
      <c r="Q2100" s="27"/>
      <c r="R2100" s="27"/>
      <c r="S2100" s="27"/>
      <c r="T2100" s="27"/>
      <c r="U2100" s="27"/>
      <c r="V2100" s="27"/>
      <c r="W2100" s="27"/>
      <c r="X2100" s="27"/>
      <c r="Y2100" s="27"/>
      <c r="Z2100" s="17"/>
      <c r="AA2100" s="17"/>
      <c r="AB2100" s="17"/>
      <c r="AC2100" s="17"/>
      <c r="AD2100" s="27"/>
    </row>
    <row r="2101" ht="15.75" customHeight="1">
      <c r="A2101" s="27"/>
      <c r="B2101" s="27"/>
      <c r="C2101" s="27"/>
      <c r="D2101" s="27"/>
      <c r="E2101" s="27"/>
      <c r="F2101" s="27"/>
      <c r="G2101" s="27"/>
      <c r="H2101" s="27"/>
      <c r="I2101" s="27"/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/>
      <c r="Z2101" s="17"/>
      <c r="AA2101" s="17"/>
      <c r="AB2101" s="17"/>
      <c r="AC2101" s="17"/>
      <c r="AD2101" s="27"/>
    </row>
    <row r="2102" ht="15.75" customHeight="1">
      <c r="A2102" s="27"/>
      <c r="B2102" s="27"/>
      <c r="C2102" s="27"/>
      <c r="D2102" s="27"/>
      <c r="E2102" s="27"/>
      <c r="F2102" s="27"/>
      <c r="G2102" s="27"/>
      <c r="H2102" s="27"/>
      <c r="I2102" s="27"/>
      <c r="J2102" s="27"/>
      <c r="K2102" s="27"/>
      <c r="L2102" s="27"/>
      <c r="M2102" s="27"/>
      <c r="N2102" s="27"/>
      <c r="O2102" s="27"/>
      <c r="P2102" s="27"/>
      <c r="Q2102" s="27"/>
      <c r="R2102" s="27"/>
      <c r="S2102" s="27"/>
      <c r="T2102" s="27"/>
      <c r="U2102" s="27"/>
      <c r="V2102" s="27"/>
      <c r="W2102" s="27"/>
      <c r="X2102" s="27"/>
      <c r="Y2102" s="27"/>
      <c r="Z2102" s="17"/>
      <c r="AA2102" s="17"/>
      <c r="AB2102" s="17"/>
      <c r="AC2102" s="17"/>
      <c r="AD2102" s="27"/>
    </row>
    <row r="2103" ht="15.75" customHeight="1">
      <c r="A2103" s="27"/>
      <c r="B2103" s="27"/>
      <c r="C2103" s="27"/>
      <c r="D2103" s="27"/>
      <c r="E2103" s="27"/>
      <c r="F2103" s="27"/>
      <c r="G2103" s="27"/>
      <c r="H2103" s="27"/>
      <c r="I2103" s="27"/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17"/>
      <c r="AA2103" s="17"/>
      <c r="AB2103" s="17"/>
      <c r="AC2103" s="17"/>
      <c r="AD2103" s="27"/>
    </row>
    <row r="2104" ht="15.75" customHeight="1">
      <c r="A2104" s="27"/>
      <c r="B2104" s="27"/>
      <c r="C2104" s="27"/>
      <c r="D2104" s="27"/>
      <c r="E2104" s="27"/>
      <c r="F2104" s="27"/>
      <c r="G2104" s="27"/>
      <c r="H2104" s="27"/>
      <c r="I2104" s="27"/>
      <c r="J2104" s="27"/>
      <c r="K2104" s="27"/>
      <c r="L2104" s="27"/>
      <c r="M2104" s="27"/>
      <c r="N2104" s="27"/>
      <c r="O2104" s="27"/>
      <c r="P2104" s="27"/>
      <c r="Q2104" s="27"/>
      <c r="R2104" s="27"/>
      <c r="S2104" s="27"/>
      <c r="T2104" s="27"/>
      <c r="U2104" s="27"/>
      <c r="V2104" s="27"/>
      <c r="W2104" s="27"/>
      <c r="X2104" s="27"/>
      <c r="Y2104" s="27"/>
      <c r="Z2104" s="17"/>
      <c r="AA2104" s="17"/>
      <c r="AB2104" s="17"/>
      <c r="AC2104" s="17"/>
      <c r="AD2104" s="27"/>
    </row>
    <row r="2105" ht="15.75" customHeight="1">
      <c r="A2105" s="27"/>
      <c r="B2105" s="27"/>
      <c r="C2105" s="27"/>
      <c r="D2105" s="27"/>
      <c r="E2105" s="27"/>
      <c r="F2105" s="27"/>
      <c r="G2105" s="27"/>
      <c r="H2105" s="27"/>
      <c r="I2105" s="27"/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  <c r="Z2105" s="17"/>
      <c r="AA2105" s="17"/>
      <c r="AB2105" s="17"/>
      <c r="AC2105" s="17"/>
      <c r="AD2105" s="27"/>
    </row>
    <row r="2106" ht="15.75" customHeight="1">
      <c r="A2106" s="27"/>
      <c r="B2106" s="27"/>
      <c r="C2106" s="27"/>
      <c r="D2106" s="27"/>
      <c r="E2106" s="27"/>
      <c r="F2106" s="27"/>
      <c r="G2106" s="27"/>
      <c r="H2106" s="27"/>
      <c r="I2106" s="27"/>
      <c r="J2106" s="27"/>
      <c r="K2106" s="27"/>
      <c r="L2106" s="27"/>
      <c r="M2106" s="27"/>
      <c r="N2106" s="27"/>
      <c r="O2106" s="27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17"/>
      <c r="AA2106" s="17"/>
      <c r="AB2106" s="17"/>
      <c r="AC2106" s="17"/>
      <c r="AD2106" s="27"/>
    </row>
    <row r="2107" ht="15.75" customHeight="1">
      <c r="A2107" s="27"/>
      <c r="B2107" s="27"/>
      <c r="C2107" s="27"/>
      <c r="D2107" s="27"/>
      <c r="E2107" s="27"/>
      <c r="F2107" s="27"/>
      <c r="G2107" s="27"/>
      <c r="H2107" s="27"/>
      <c r="I2107" s="27"/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7"/>
      <c r="X2107" s="27"/>
      <c r="Y2107" s="27"/>
      <c r="Z2107" s="17"/>
      <c r="AA2107" s="17"/>
      <c r="AB2107" s="17"/>
      <c r="AC2107" s="17"/>
      <c r="AD2107" s="27"/>
    </row>
    <row r="2108" ht="15.75" customHeight="1">
      <c r="A2108" s="27"/>
      <c r="B2108" s="27"/>
      <c r="C2108" s="27"/>
      <c r="D2108" s="27"/>
      <c r="E2108" s="27"/>
      <c r="F2108" s="27"/>
      <c r="G2108" s="27"/>
      <c r="H2108" s="27"/>
      <c r="I2108" s="27"/>
      <c r="J2108" s="27"/>
      <c r="K2108" s="27"/>
      <c r="L2108" s="27"/>
      <c r="M2108" s="27"/>
      <c r="N2108" s="27"/>
      <c r="O2108" s="27"/>
      <c r="P2108" s="27"/>
      <c r="Q2108" s="27"/>
      <c r="R2108" s="27"/>
      <c r="S2108" s="27"/>
      <c r="T2108" s="27"/>
      <c r="U2108" s="27"/>
      <c r="V2108" s="27"/>
      <c r="W2108" s="27"/>
      <c r="X2108" s="27"/>
      <c r="Y2108" s="27"/>
      <c r="Z2108" s="17"/>
      <c r="AA2108" s="17"/>
      <c r="AB2108" s="17"/>
      <c r="AC2108" s="17"/>
      <c r="AD2108" s="27"/>
    </row>
    <row r="2109" ht="15.75" customHeight="1">
      <c r="A2109" s="27"/>
      <c r="B2109" s="27"/>
      <c r="C2109" s="27"/>
      <c r="D2109" s="27"/>
      <c r="E2109" s="27"/>
      <c r="F2109" s="27"/>
      <c r="G2109" s="27"/>
      <c r="H2109" s="27"/>
      <c r="I2109" s="27"/>
      <c r="J2109" s="27"/>
      <c r="K2109" s="27"/>
      <c r="L2109" s="27"/>
      <c r="M2109" s="27"/>
      <c r="N2109" s="27"/>
      <c r="O2109" s="27"/>
      <c r="P2109" s="27"/>
      <c r="Q2109" s="27"/>
      <c r="R2109" s="27"/>
      <c r="S2109" s="27"/>
      <c r="T2109" s="27"/>
      <c r="U2109" s="27"/>
      <c r="V2109" s="27"/>
      <c r="W2109" s="27"/>
      <c r="X2109" s="27"/>
      <c r="Y2109" s="27"/>
      <c r="Z2109" s="17"/>
      <c r="AA2109" s="17"/>
      <c r="AB2109" s="17"/>
      <c r="AC2109" s="17"/>
      <c r="AD2109" s="27"/>
    </row>
    <row r="2110" ht="15.75" customHeight="1">
      <c r="A2110" s="27"/>
      <c r="B2110" s="27"/>
      <c r="C2110" s="27"/>
      <c r="D2110" s="27"/>
      <c r="E2110" s="27"/>
      <c r="F2110" s="27"/>
      <c r="G2110" s="27"/>
      <c r="H2110" s="27"/>
      <c r="I2110" s="27"/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7"/>
      <c r="X2110" s="27"/>
      <c r="Y2110" s="27"/>
      <c r="Z2110" s="17"/>
      <c r="AA2110" s="17"/>
      <c r="AB2110" s="17"/>
      <c r="AC2110" s="17"/>
      <c r="AD2110" s="27"/>
    </row>
    <row r="2111" ht="15.75" customHeight="1">
      <c r="A2111" s="27"/>
      <c r="B2111" s="27"/>
      <c r="C2111" s="27"/>
      <c r="D2111" s="27"/>
      <c r="E2111" s="27"/>
      <c r="F2111" s="27"/>
      <c r="G2111" s="27"/>
      <c r="H2111" s="27"/>
      <c r="I2111" s="27"/>
      <c r="J2111" s="27"/>
      <c r="K2111" s="27"/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17"/>
      <c r="AA2111" s="17"/>
      <c r="AB2111" s="17"/>
      <c r="AC2111" s="17"/>
      <c r="AD2111" s="27"/>
    </row>
    <row r="2112" ht="15.75" customHeight="1">
      <c r="A2112" s="27"/>
      <c r="B2112" s="27"/>
      <c r="C2112" s="27"/>
      <c r="D2112" s="27"/>
      <c r="E2112" s="27"/>
      <c r="F2112" s="27"/>
      <c r="G2112" s="27"/>
      <c r="H2112" s="27"/>
      <c r="I2112" s="27"/>
      <c r="J2112" s="27"/>
      <c r="K2112" s="27"/>
      <c r="L2112" s="27"/>
      <c r="M2112" s="27"/>
      <c r="N2112" s="27"/>
      <c r="O2112" s="27"/>
      <c r="P2112" s="27"/>
      <c r="Q2112" s="27"/>
      <c r="R2112" s="27"/>
      <c r="S2112" s="27"/>
      <c r="T2112" s="27"/>
      <c r="U2112" s="27"/>
      <c r="V2112" s="27"/>
      <c r="W2112" s="27"/>
      <c r="X2112" s="27"/>
      <c r="Y2112" s="27"/>
      <c r="Z2112" s="17"/>
      <c r="AA2112" s="17"/>
      <c r="AB2112" s="17"/>
      <c r="AC2112" s="17"/>
      <c r="AD2112" s="27"/>
    </row>
    <row r="2113" ht="15.75" customHeight="1">
      <c r="A2113" s="27"/>
      <c r="B2113" s="27"/>
      <c r="C2113" s="27"/>
      <c r="D2113" s="27"/>
      <c r="E2113" s="27"/>
      <c r="F2113" s="27"/>
      <c r="G2113" s="27"/>
      <c r="H2113" s="27"/>
      <c r="I2113" s="27"/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17"/>
      <c r="AA2113" s="17"/>
      <c r="AB2113" s="17"/>
      <c r="AC2113" s="17"/>
      <c r="AD2113" s="27"/>
    </row>
    <row r="2114" ht="15.75" customHeight="1">
      <c r="A2114" s="27"/>
      <c r="B2114" s="27"/>
      <c r="C2114" s="27"/>
      <c r="D2114" s="27"/>
      <c r="E2114" s="27"/>
      <c r="F2114" s="27"/>
      <c r="G2114" s="27"/>
      <c r="H2114" s="27"/>
      <c r="I2114" s="27"/>
      <c r="J2114" s="27"/>
      <c r="K2114" s="27"/>
      <c r="L2114" s="27"/>
      <c r="M2114" s="27"/>
      <c r="N2114" s="27"/>
      <c r="O2114" s="27"/>
      <c r="P2114" s="27"/>
      <c r="Q2114" s="27"/>
      <c r="R2114" s="27"/>
      <c r="S2114" s="27"/>
      <c r="T2114" s="27"/>
      <c r="U2114" s="27"/>
      <c r="V2114" s="27"/>
      <c r="W2114" s="27"/>
      <c r="X2114" s="27"/>
      <c r="Y2114" s="27"/>
      <c r="Z2114" s="17"/>
      <c r="AA2114" s="17"/>
      <c r="AB2114" s="17"/>
      <c r="AC2114" s="17"/>
      <c r="AD2114" s="27"/>
    </row>
    <row r="2115" ht="15.75" customHeight="1">
      <c r="A2115" s="27"/>
      <c r="B2115" s="27"/>
      <c r="C2115" s="27"/>
      <c r="D2115" s="27"/>
      <c r="E2115" s="27"/>
      <c r="F2115" s="27"/>
      <c r="G2115" s="27"/>
      <c r="H2115" s="27"/>
      <c r="I2115" s="27"/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  <c r="T2115" s="27"/>
      <c r="U2115" s="27"/>
      <c r="V2115" s="27"/>
      <c r="W2115" s="27"/>
      <c r="X2115" s="27"/>
      <c r="Y2115" s="27"/>
      <c r="Z2115" s="17"/>
      <c r="AA2115" s="17"/>
      <c r="AB2115" s="17"/>
      <c r="AC2115" s="17"/>
      <c r="AD2115" s="27"/>
    </row>
    <row r="2116" ht="15.75" customHeight="1">
      <c r="A2116" s="27"/>
      <c r="B2116" s="27"/>
      <c r="C2116" s="27"/>
      <c r="D2116" s="27"/>
      <c r="E2116" s="27"/>
      <c r="F2116" s="27"/>
      <c r="G2116" s="27"/>
      <c r="H2116" s="27"/>
      <c r="I2116" s="27"/>
      <c r="J2116" s="27"/>
      <c r="K2116" s="27"/>
      <c r="L2116" s="27"/>
      <c r="M2116" s="27"/>
      <c r="N2116" s="27"/>
      <c r="O2116" s="27"/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17"/>
      <c r="AA2116" s="17"/>
      <c r="AB2116" s="17"/>
      <c r="AC2116" s="17"/>
      <c r="AD2116" s="27"/>
    </row>
    <row r="2117" ht="15.75" customHeight="1">
      <c r="A2117" s="27"/>
      <c r="B2117" s="27"/>
      <c r="C2117" s="27"/>
      <c r="D2117" s="27"/>
      <c r="E2117" s="27"/>
      <c r="F2117" s="27"/>
      <c r="G2117" s="27"/>
      <c r="H2117" s="27"/>
      <c r="I2117" s="27"/>
      <c r="J2117" s="27"/>
      <c r="K2117" s="27"/>
      <c r="L2117" s="27"/>
      <c r="M2117" s="27"/>
      <c r="N2117" s="27"/>
      <c r="O2117" s="27"/>
      <c r="P2117" s="27"/>
      <c r="Q2117" s="27"/>
      <c r="R2117" s="27"/>
      <c r="S2117" s="27"/>
      <c r="T2117" s="27"/>
      <c r="U2117" s="27"/>
      <c r="V2117" s="27"/>
      <c r="W2117" s="27"/>
      <c r="X2117" s="27"/>
      <c r="Y2117" s="27"/>
      <c r="Z2117" s="17"/>
      <c r="AA2117" s="17"/>
      <c r="AB2117" s="17"/>
      <c r="AC2117" s="17"/>
      <c r="AD2117" s="27"/>
    </row>
    <row r="2118" ht="15.75" customHeight="1">
      <c r="A2118" s="27"/>
      <c r="B2118" s="27"/>
      <c r="C2118" s="27"/>
      <c r="D2118" s="27"/>
      <c r="E2118" s="27"/>
      <c r="F2118" s="27"/>
      <c r="G2118" s="27"/>
      <c r="H2118" s="27"/>
      <c r="I2118" s="27"/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  <c r="Z2118" s="17"/>
      <c r="AA2118" s="17"/>
      <c r="AB2118" s="17"/>
      <c r="AC2118" s="17"/>
      <c r="AD2118" s="27"/>
    </row>
    <row r="2119" ht="15.75" customHeight="1">
      <c r="A2119" s="27"/>
      <c r="B2119" s="27"/>
      <c r="C2119" s="27"/>
      <c r="D2119" s="27"/>
      <c r="E2119" s="27"/>
      <c r="F2119" s="27"/>
      <c r="G2119" s="27"/>
      <c r="H2119" s="27"/>
      <c r="I2119" s="27"/>
      <c r="J2119" s="27"/>
      <c r="K2119" s="27"/>
      <c r="L2119" s="27"/>
      <c r="M2119" s="27"/>
      <c r="N2119" s="27"/>
      <c r="O2119" s="27"/>
      <c r="P2119" s="27"/>
      <c r="Q2119" s="27"/>
      <c r="R2119" s="27"/>
      <c r="S2119" s="27"/>
      <c r="T2119" s="27"/>
      <c r="U2119" s="27"/>
      <c r="V2119" s="27"/>
      <c r="W2119" s="27"/>
      <c r="X2119" s="27"/>
      <c r="Y2119" s="27"/>
      <c r="Z2119" s="17"/>
      <c r="AA2119" s="17"/>
      <c r="AB2119" s="17"/>
      <c r="AC2119" s="17"/>
      <c r="AD2119" s="27"/>
    </row>
    <row r="2120" ht="15.75" customHeight="1">
      <c r="A2120" s="27"/>
      <c r="B2120" s="27"/>
      <c r="C2120" s="27"/>
      <c r="D2120" s="27"/>
      <c r="E2120" s="27"/>
      <c r="F2120" s="27"/>
      <c r="G2120" s="27"/>
      <c r="H2120" s="27"/>
      <c r="I2120" s="27"/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  <c r="Z2120" s="17"/>
      <c r="AA2120" s="17"/>
      <c r="AB2120" s="17"/>
      <c r="AC2120" s="17"/>
      <c r="AD2120" s="27"/>
    </row>
    <row r="2121" ht="15.75" customHeight="1">
      <c r="A2121" s="27"/>
      <c r="B2121" s="27"/>
      <c r="C2121" s="27"/>
      <c r="D2121" s="27"/>
      <c r="E2121" s="27"/>
      <c r="F2121" s="27"/>
      <c r="G2121" s="27"/>
      <c r="H2121" s="27"/>
      <c r="I2121" s="27"/>
      <c r="J2121" s="27"/>
      <c r="K2121" s="27"/>
      <c r="L2121" s="27"/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  <c r="Z2121" s="17"/>
      <c r="AA2121" s="17"/>
      <c r="AB2121" s="17"/>
      <c r="AC2121" s="17"/>
      <c r="AD2121" s="27"/>
    </row>
    <row r="2122" ht="15.75" customHeight="1">
      <c r="A2122" s="27"/>
      <c r="B2122" s="27"/>
      <c r="C2122" s="27"/>
      <c r="D2122" s="27"/>
      <c r="E2122" s="27"/>
      <c r="F2122" s="27"/>
      <c r="G2122" s="27"/>
      <c r="H2122" s="27"/>
      <c r="I2122" s="27"/>
      <c r="J2122" s="27"/>
      <c r="K2122" s="27"/>
      <c r="L2122" s="27"/>
      <c r="M2122" s="27"/>
      <c r="N2122" s="27"/>
      <c r="O2122" s="27"/>
      <c r="P2122" s="27"/>
      <c r="Q2122" s="27"/>
      <c r="R2122" s="27"/>
      <c r="S2122" s="27"/>
      <c r="T2122" s="27"/>
      <c r="U2122" s="27"/>
      <c r="V2122" s="27"/>
      <c r="W2122" s="27"/>
      <c r="X2122" s="27"/>
      <c r="Y2122" s="27"/>
      <c r="Z2122" s="17"/>
      <c r="AA2122" s="17"/>
      <c r="AB2122" s="17"/>
      <c r="AC2122" s="17"/>
      <c r="AD2122" s="27"/>
    </row>
    <row r="2123" ht="15.75" customHeight="1">
      <c r="A2123" s="27"/>
      <c r="B2123" s="27"/>
      <c r="C2123" s="27"/>
      <c r="D2123" s="27"/>
      <c r="E2123" s="27"/>
      <c r="F2123" s="27"/>
      <c r="G2123" s="27"/>
      <c r="H2123" s="27"/>
      <c r="I2123" s="27"/>
      <c r="J2123" s="27"/>
      <c r="K2123" s="27"/>
      <c r="L2123" s="27"/>
      <c r="M2123" s="27"/>
      <c r="N2123" s="27"/>
      <c r="O2123" s="27"/>
      <c r="P2123" s="27"/>
      <c r="Q2123" s="27"/>
      <c r="R2123" s="27"/>
      <c r="S2123" s="27"/>
      <c r="T2123" s="27"/>
      <c r="U2123" s="27"/>
      <c r="V2123" s="27"/>
      <c r="W2123" s="27"/>
      <c r="X2123" s="27"/>
      <c r="Y2123" s="27"/>
      <c r="Z2123" s="17"/>
      <c r="AA2123" s="17"/>
      <c r="AB2123" s="17"/>
      <c r="AC2123" s="17"/>
      <c r="AD2123" s="27"/>
    </row>
    <row r="2124" ht="15.75" customHeight="1">
      <c r="A2124" s="27"/>
      <c r="B2124" s="27"/>
      <c r="C2124" s="27"/>
      <c r="D2124" s="27"/>
      <c r="E2124" s="27"/>
      <c r="F2124" s="27"/>
      <c r="G2124" s="27"/>
      <c r="H2124" s="27"/>
      <c r="I2124" s="27"/>
      <c r="J2124" s="27"/>
      <c r="K2124" s="27"/>
      <c r="L2124" s="27"/>
      <c r="M2124" s="27"/>
      <c r="N2124" s="27"/>
      <c r="O2124" s="27"/>
      <c r="P2124" s="27"/>
      <c r="Q2124" s="27"/>
      <c r="R2124" s="27"/>
      <c r="S2124" s="27"/>
      <c r="T2124" s="27"/>
      <c r="U2124" s="27"/>
      <c r="V2124" s="27"/>
      <c r="W2124" s="27"/>
      <c r="X2124" s="27"/>
      <c r="Y2124" s="27"/>
      <c r="Z2124" s="17"/>
      <c r="AA2124" s="17"/>
      <c r="AB2124" s="17"/>
      <c r="AC2124" s="17"/>
      <c r="AD2124" s="27"/>
    </row>
    <row r="2125" ht="15.75" customHeight="1">
      <c r="A2125" s="27"/>
      <c r="B2125" s="27"/>
      <c r="C2125" s="27"/>
      <c r="D2125" s="27"/>
      <c r="E2125" s="27"/>
      <c r="F2125" s="27"/>
      <c r="G2125" s="27"/>
      <c r="H2125" s="27"/>
      <c r="I2125" s="27"/>
      <c r="J2125" s="27"/>
      <c r="K2125" s="27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7"/>
      <c r="X2125" s="27"/>
      <c r="Y2125" s="27"/>
      <c r="Z2125" s="17"/>
      <c r="AA2125" s="17"/>
      <c r="AB2125" s="17"/>
      <c r="AC2125" s="17"/>
      <c r="AD2125" s="27"/>
    </row>
    <row r="2126" ht="15.75" customHeight="1">
      <c r="A2126" s="27"/>
      <c r="B2126" s="27"/>
      <c r="C2126" s="27"/>
      <c r="D2126" s="27"/>
      <c r="E2126" s="27"/>
      <c r="F2126" s="27"/>
      <c r="G2126" s="27"/>
      <c r="H2126" s="27"/>
      <c r="I2126" s="27"/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7"/>
      <c r="X2126" s="27"/>
      <c r="Y2126" s="27"/>
      <c r="Z2126" s="17"/>
      <c r="AA2126" s="17"/>
      <c r="AB2126" s="17"/>
      <c r="AC2126" s="17"/>
      <c r="AD2126" s="27"/>
    </row>
    <row r="2127" ht="15.75" customHeight="1">
      <c r="A2127" s="27"/>
      <c r="B2127" s="27"/>
      <c r="C2127" s="27"/>
      <c r="D2127" s="27"/>
      <c r="E2127" s="27"/>
      <c r="F2127" s="27"/>
      <c r="G2127" s="27"/>
      <c r="H2127" s="27"/>
      <c r="I2127" s="27"/>
      <c r="J2127" s="27"/>
      <c r="K2127" s="27"/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7"/>
      <c r="X2127" s="27"/>
      <c r="Y2127" s="27"/>
      <c r="Z2127" s="17"/>
      <c r="AA2127" s="17"/>
      <c r="AB2127" s="17"/>
      <c r="AC2127" s="17"/>
      <c r="AD2127" s="27"/>
    </row>
    <row r="2128" ht="15.75" customHeight="1">
      <c r="A2128" s="27"/>
      <c r="B2128" s="27"/>
      <c r="C2128" s="27"/>
      <c r="D2128" s="27"/>
      <c r="E2128" s="27"/>
      <c r="F2128" s="27"/>
      <c r="G2128" s="27"/>
      <c r="H2128" s="27"/>
      <c r="I2128" s="27"/>
      <c r="J2128" s="27"/>
      <c r="K2128" s="27"/>
      <c r="L2128" s="27"/>
      <c r="M2128" s="27"/>
      <c r="N2128" s="27"/>
      <c r="O2128" s="27"/>
      <c r="P2128" s="27"/>
      <c r="Q2128" s="27"/>
      <c r="R2128" s="27"/>
      <c r="S2128" s="27"/>
      <c r="T2128" s="27"/>
      <c r="U2128" s="27"/>
      <c r="V2128" s="27"/>
      <c r="W2128" s="27"/>
      <c r="X2128" s="27"/>
      <c r="Y2128" s="27"/>
      <c r="Z2128" s="17"/>
      <c r="AA2128" s="17"/>
      <c r="AB2128" s="17"/>
      <c r="AC2128" s="17"/>
      <c r="AD2128" s="27"/>
    </row>
    <row r="2129" ht="15.75" customHeight="1">
      <c r="A2129" s="27"/>
      <c r="B2129" s="27"/>
      <c r="C2129" s="27"/>
      <c r="D2129" s="27"/>
      <c r="E2129" s="27"/>
      <c r="F2129" s="27"/>
      <c r="G2129" s="27"/>
      <c r="H2129" s="27"/>
      <c r="I2129" s="27"/>
      <c r="J2129" s="27"/>
      <c r="K2129" s="27"/>
      <c r="L2129" s="27"/>
      <c r="M2129" s="27"/>
      <c r="N2129" s="27"/>
      <c r="O2129" s="27"/>
      <c r="P2129" s="27"/>
      <c r="Q2129" s="27"/>
      <c r="R2129" s="27"/>
      <c r="S2129" s="27"/>
      <c r="T2129" s="27"/>
      <c r="U2129" s="27"/>
      <c r="V2129" s="27"/>
      <c r="W2129" s="27"/>
      <c r="X2129" s="27"/>
      <c r="Y2129" s="27"/>
      <c r="Z2129" s="17"/>
      <c r="AA2129" s="17"/>
      <c r="AB2129" s="17"/>
      <c r="AC2129" s="17"/>
      <c r="AD2129" s="27"/>
    </row>
    <row r="2130" ht="15.75" customHeight="1">
      <c r="A2130" s="27"/>
      <c r="B2130" s="27"/>
      <c r="C2130" s="27"/>
      <c r="D2130" s="27"/>
      <c r="E2130" s="27"/>
      <c r="F2130" s="27"/>
      <c r="G2130" s="27"/>
      <c r="H2130" s="27"/>
      <c r="I2130" s="27"/>
      <c r="J2130" s="27"/>
      <c r="K2130" s="27"/>
      <c r="L2130" s="27"/>
      <c r="M2130" s="27"/>
      <c r="N2130" s="27"/>
      <c r="O2130" s="27"/>
      <c r="P2130" s="27"/>
      <c r="Q2130" s="27"/>
      <c r="R2130" s="27"/>
      <c r="S2130" s="27"/>
      <c r="T2130" s="27"/>
      <c r="U2130" s="27"/>
      <c r="V2130" s="27"/>
      <c r="W2130" s="27"/>
      <c r="X2130" s="27"/>
      <c r="Y2130" s="27"/>
      <c r="Z2130" s="17"/>
      <c r="AA2130" s="17"/>
      <c r="AB2130" s="17"/>
      <c r="AC2130" s="17"/>
      <c r="AD2130" s="27"/>
    </row>
    <row r="2131" ht="15.75" customHeight="1">
      <c r="A2131" s="27"/>
      <c r="B2131" s="27"/>
      <c r="C2131" s="27"/>
      <c r="D2131" s="27"/>
      <c r="E2131" s="27"/>
      <c r="F2131" s="27"/>
      <c r="G2131" s="27"/>
      <c r="H2131" s="27"/>
      <c r="I2131" s="27"/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7"/>
      <c r="X2131" s="27"/>
      <c r="Y2131" s="27"/>
      <c r="Z2131" s="17"/>
      <c r="AA2131" s="17"/>
      <c r="AB2131" s="17"/>
      <c r="AC2131" s="17"/>
      <c r="AD2131" s="27"/>
    </row>
    <row r="2132" ht="15.75" customHeight="1">
      <c r="A2132" s="27"/>
      <c r="B2132" s="27"/>
      <c r="C2132" s="27"/>
      <c r="D2132" s="27"/>
      <c r="E2132" s="27"/>
      <c r="F2132" s="27"/>
      <c r="G2132" s="27"/>
      <c r="H2132" s="27"/>
      <c r="I2132" s="27"/>
      <c r="J2132" s="27"/>
      <c r="K2132" s="27"/>
      <c r="L2132" s="27"/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7"/>
      <c r="X2132" s="27"/>
      <c r="Y2132" s="27"/>
      <c r="Z2132" s="17"/>
      <c r="AA2132" s="17"/>
      <c r="AB2132" s="17"/>
      <c r="AC2132" s="17"/>
      <c r="AD2132" s="27"/>
    </row>
    <row r="2133" ht="15.75" customHeight="1">
      <c r="A2133" s="27"/>
      <c r="B2133" s="27"/>
      <c r="C2133" s="27"/>
      <c r="D2133" s="27"/>
      <c r="E2133" s="27"/>
      <c r="F2133" s="27"/>
      <c r="G2133" s="27"/>
      <c r="H2133" s="27"/>
      <c r="I2133" s="27"/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/>
      <c r="Z2133" s="17"/>
      <c r="AA2133" s="17"/>
      <c r="AB2133" s="17"/>
      <c r="AC2133" s="17"/>
      <c r="AD2133" s="27"/>
    </row>
    <row r="2134" ht="15.75" customHeight="1">
      <c r="A2134" s="27"/>
      <c r="B2134" s="27"/>
      <c r="C2134" s="27"/>
      <c r="D2134" s="27"/>
      <c r="E2134" s="27"/>
      <c r="F2134" s="27"/>
      <c r="G2134" s="27"/>
      <c r="H2134" s="27"/>
      <c r="I2134" s="27"/>
      <c r="J2134" s="27"/>
      <c r="K2134" s="27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7"/>
      <c r="X2134" s="27"/>
      <c r="Y2134" s="27"/>
      <c r="Z2134" s="17"/>
      <c r="AA2134" s="17"/>
      <c r="AB2134" s="17"/>
      <c r="AC2134" s="17"/>
      <c r="AD2134" s="27"/>
    </row>
    <row r="2135" ht="15.75" customHeight="1">
      <c r="A2135" s="27"/>
      <c r="B2135" s="27"/>
      <c r="C2135" s="27"/>
      <c r="D2135" s="27"/>
      <c r="E2135" s="27"/>
      <c r="F2135" s="27"/>
      <c r="G2135" s="27"/>
      <c r="H2135" s="27"/>
      <c r="I2135" s="27"/>
      <c r="J2135" s="27"/>
      <c r="K2135" s="27"/>
      <c r="L2135" s="27"/>
      <c r="M2135" s="27"/>
      <c r="N2135" s="27"/>
      <c r="O2135" s="27"/>
      <c r="P2135" s="27"/>
      <c r="Q2135" s="27"/>
      <c r="R2135" s="27"/>
      <c r="S2135" s="27"/>
      <c r="T2135" s="27"/>
      <c r="U2135" s="27"/>
      <c r="V2135" s="27"/>
      <c r="W2135" s="27"/>
      <c r="X2135" s="27"/>
      <c r="Y2135" s="27"/>
      <c r="Z2135" s="17"/>
      <c r="AA2135" s="17"/>
      <c r="AB2135" s="17"/>
      <c r="AC2135" s="17"/>
      <c r="AD2135" s="27"/>
    </row>
    <row r="2136" ht="15.75" customHeight="1">
      <c r="A2136" s="27"/>
      <c r="B2136" s="27"/>
      <c r="C2136" s="27"/>
      <c r="D2136" s="27"/>
      <c r="E2136" s="27"/>
      <c r="F2136" s="27"/>
      <c r="G2136" s="27"/>
      <c r="H2136" s="27"/>
      <c r="I2136" s="27"/>
      <c r="J2136" s="27"/>
      <c r="K2136" s="27"/>
      <c r="L2136" s="27"/>
      <c r="M2136" s="27"/>
      <c r="N2136" s="27"/>
      <c r="O2136" s="27"/>
      <c r="P2136" s="27"/>
      <c r="Q2136" s="27"/>
      <c r="R2136" s="27"/>
      <c r="S2136" s="27"/>
      <c r="T2136" s="27"/>
      <c r="U2136" s="27"/>
      <c r="V2136" s="27"/>
      <c r="W2136" s="27"/>
      <c r="X2136" s="27"/>
      <c r="Y2136" s="27"/>
      <c r="Z2136" s="17"/>
      <c r="AA2136" s="17"/>
      <c r="AB2136" s="17"/>
      <c r="AC2136" s="17"/>
      <c r="AD2136" s="27"/>
    </row>
    <row r="2137" ht="15.75" customHeight="1">
      <c r="A2137" s="27"/>
      <c r="B2137" s="27"/>
      <c r="C2137" s="27"/>
      <c r="D2137" s="27"/>
      <c r="E2137" s="27"/>
      <c r="F2137" s="27"/>
      <c r="G2137" s="27"/>
      <c r="H2137" s="27"/>
      <c r="I2137" s="27"/>
      <c r="J2137" s="27"/>
      <c r="K2137" s="27"/>
      <c r="L2137" s="27"/>
      <c r="M2137" s="27"/>
      <c r="N2137" s="27"/>
      <c r="O2137" s="27"/>
      <c r="P2137" s="27"/>
      <c r="Q2137" s="27"/>
      <c r="R2137" s="27"/>
      <c r="S2137" s="27"/>
      <c r="T2137" s="27"/>
      <c r="U2137" s="27"/>
      <c r="V2137" s="27"/>
      <c r="W2137" s="27"/>
      <c r="X2137" s="27"/>
      <c r="Y2137" s="27"/>
      <c r="Z2137" s="17"/>
      <c r="AA2137" s="17"/>
      <c r="AB2137" s="17"/>
      <c r="AC2137" s="17"/>
      <c r="AD2137" s="27"/>
    </row>
    <row r="2138" ht="15.75" customHeight="1">
      <c r="A2138" s="27"/>
      <c r="B2138" s="27"/>
      <c r="C2138" s="27"/>
      <c r="D2138" s="27"/>
      <c r="E2138" s="27"/>
      <c r="F2138" s="27"/>
      <c r="G2138" s="27"/>
      <c r="H2138" s="27"/>
      <c r="I2138" s="27"/>
      <c r="J2138" s="27"/>
      <c r="K2138" s="27"/>
      <c r="L2138" s="27"/>
      <c r="M2138" s="27"/>
      <c r="N2138" s="27"/>
      <c r="O2138" s="27"/>
      <c r="P2138" s="27"/>
      <c r="Q2138" s="27"/>
      <c r="R2138" s="27"/>
      <c r="S2138" s="27"/>
      <c r="T2138" s="27"/>
      <c r="U2138" s="27"/>
      <c r="V2138" s="27"/>
      <c r="W2138" s="27"/>
      <c r="X2138" s="27"/>
      <c r="Y2138" s="27"/>
      <c r="Z2138" s="17"/>
      <c r="AA2138" s="17"/>
      <c r="AB2138" s="17"/>
      <c r="AC2138" s="17"/>
      <c r="AD2138" s="27"/>
    </row>
    <row r="2139" ht="15.75" customHeight="1">
      <c r="A2139" s="27"/>
      <c r="B2139" s="27"/>
      <c r="C2139" s="27"/>
      <c r="D2139" s="27"/>
      <c r="E2139" s="27"/>
      <c r="F2139" s="27"/>
      <c r="G2139" s="27"/>
      <c r="H2139" s="27"/>
      <c r="I2139" s="27"/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  <c r="T2139" s="27"/>
      <c r="U2139" s="27"/>
      <c r="V2139" s="27"/>
      <c r="W2139" s="27"/>
      <c r="X2139" s="27"/>
      <c r="Y2139" s="27"/>
      <c r="Z2139" s="17"/>
      <c r="AA2139" s="17"/>
      <c r="AB2139" s="17"/>
      <c r="AC2139" s="17"/>
      <c r="AD2139" s="27"/>
    </row>
    <row r="2140" ht="15.75" customHeight="1">
      <c r="A2140" s="27"/>
      <c r="B2140" s="27"/>
      <c r="C2140" s="27"/>
      <c r="D2140" s="27"/>
      <c r="E2140" s="27"/>
      <c r="F2140" s="27"/>
      <c r="G2140" s="27"/>
      <c r="H2140" s="27"/>
      <c r="I2140" s="27"/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  <c r="T2140" s="27"/>
      <c r="U2140" s="27"/>
      <c r="V2140" s="27"/>
      <c r="W2140" s="27"/>
      <c r="X2140" s="27"/>
      <c r="Y2140" s="27"/>
      <c r="Z2140" s="17"/>
      <c r="AA2140" s="17"/>
      <c r="AB2140" s="17"/>
      <c r="AC2140" s="17"/>
      <c r="AD2140" s="27"/>
    </row>
    <row r="2141" ht="15.75" customHeight="1">
      <c r="A2141" s="27"/>
      <c r="B2141" s="27"/>
      <c r="C2141" s="27"/>
      <c r="D2141" s="27"/>
      <c r="E2141" s="27"/>
      <c r="F2141" s="27"/>
      <c r="G2141" s="27"/>
      <c r="H2141" s="27"/>
      <c r="I2141" s="27"/>
      <c r="J2141" s="27"/>
      <c r="K2141" s="27"/>
      <c r="L2141" s="27"/>
      <c r="M2141" s="27"/>
      <c r="N2141" s="27"/>
      <c r="O2141" s="27"/>
      <c r="P2141" s="27"/>
      <c r="Q2141" s="27"/>
      <c r="R2141" s="27"/>
      <c r="S2141" s="27"/>
      <c r="T2141" s="27"/>
      <c r="U2141" s="27"/>
      <c r="V2141" s="27"/>
      <c r="W2141" s="27"/>
      <c r="X2141" s="27"/>
      <c r="Y2141" s="27"/>
      <c r="Z2141" s="17"/>
      <c r="AA2141" s="17"/>
      <c r="AB2141" s="17"/>
      <c r="AC2141" s="17"/>
      <c r="AD2141" s="27"/>
    </row>
    <row r="2142" ht="15.75" customHeight="1">
      <c r="A2142" s="27"/>
      <c r="B2142" s="27"/>
      <c r="C2142" s="27"/>
      <c r="D2142" s="27"/>
      <c r="E2142" s="27"/>
      <c r="F2142" s="27"/>
      <c r="G2142" s="27"/>
      <c r="H2142" s="27"/>
      <c r="I2142" s="27"/>
      <c r="J2142" s="27"/>
      <c r="K2142" s="27"/>
      <c r="L2142" s="27"/>
      <c r="M2142" s="27"/>
      <c r="N2142" s="27"/>
      <c r="O2142" s="27"/>
      <c r="P2142" s="27"/>
      <c r="Q2142" s="27"/>
      <c r="R2142" s="27"/>
      <c r="S2142" s="27"/>
      <c r="T2142" s="27"/>
      <c r="U2142" s="27"/>
      <c r="V2142" s="27"/>
      <c r="W2142" s="27"/>
      <c r="X2142" s="27"/>
      <c r="Y2142" s="27"/>
      <c r="Z2142" s="17"/>
      <c r="AA2142" s="17"/>
      <c r="AB2142" s="17"/>
      <c r="AC2142" s="17"/>
      <c r="AD2142" s="27"/>
    </row>
    <row r="2143" ht="15.75" customHeight="1">
      <c r="A2143" s="27"/>
      <c r="B2143" s="27"/>
      <c r="C2143" s="27"/>
      <c r="D2143" s="27"/>
      <c r="E2143" s="27"/>
      <c r="F2143" s="27"/>
      <c r="G2143" s="27"/>
      <c r="H2143" s="27"/>
      <c r="I2143" s="27"/>
      <c r="J2143" s="27"/>
      <c r="K2143" s="27"/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  <c r="Z2143" s="17"/>
      <c r="AA2143" s="17"/>
      <c r="AB2143" s="17"/>
      <c r="AC2143" s="17"/>
      <c r="AD2143" s="27"/>
    </row>
    <row r="2144" ht="15.75" customHeight="1">
      <c r="A2144" s="27"/>
      <c r="B2144" s="27"/>
      <c r="C2144" s="27"/>
      <c r="D2144" s="27"/>
      <c r="E2144" s="27"/>
      <c r="F2144" s="27"/>
      <c r="G2144" s="27"/>
      <c r="H2144" s="27"/>
      <c r="I2144" s="27"/>
      <c r="J2144" s="27"/>
      <c r="K2144" s="27"/>
      <c r="L2144" s="27"/>
      <c r="M2144" s="27"/>
      <c r="N2144" s="27"/>
      <c r="O2144" s="27"/>
      <c r="P2144" s="27"/>
      <c r="Q2144" s="27"/>
      <c r="R2144" s="27"/>
      <c r="S2144" s="27"/>
      <c r="T2144" s="27"/>
      <c r="U2144" s="27"/>
      <c r="V2144" s="27"/>
      <c r="W2144" s="27"/>
      <c r="X2144" s="27"/>
      <c r="Y2144" s="27"/>
      <c r="Z2144" s="17"/>
      <c r="AA2144" s="17"/>
      <c r="AB2144" s="17"/>
      <c r="AC2144" s="17"/>
      <c r="AD2144" s="27"/>
    </row>
    <row r="2145" ht="15.75" customHeight="1">
      <c r="A2145" s="27"/>
      <c r="B2145" s="27"/>
      <c r="C2145" s="27"/>
      <c r="D2145" s="27"/>
      <c r="E2145" s="27"/>
      <c r="F2145" s="27"/>
      <c r="G2145" s="27"/>
      <c r="H2145" s="27"/>
      <c r="I2145" s="27"/>
      <c r="J2145" s="27"/>
      <c r="K2145" s="27"/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  <c r="Z2145" s="17"/>
      <c r="AA2145" s="17"/>
      <c r="AB2145" s="17"/>
      <c r="AC2145" s="17"/>
      <c r="AD2145" s="27"/>
    </row>
    <row r="2146" ht="15.75" customHeight="1">
      <c r="A2146" s="27"/>
      <c r="B2146" s="27"/>
      <c r="C2146" s="27"/>
      <c r="D2146" s="27"/>
      <c r="E2146" s="27"/>
      <c r="F2146" s="27"/>
      <c r="G2146" s="27"/>
      <c r="H2146" s="27"/>
      <c r="I2146" s="27"/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17"/>
      <c r="AA2146" s="17"/>
      <c r="AB2146" s="17"/>
      <c r="AC2146" s="17"/>
      <c r="AD2146" s="27"/>
    </row>
    <row r="2147" ht="15.75" customHeight="1">
      <c r="A2147" s="27"/>
      <c r="B2147" s="27"/>
      <c r="C2147" s="27"/>
      <c r="D2147" s="27"/>
      <c r="E2147" s="27"/>
      <c r="F2147" s="27"/>
      <c r="G2147" s="27"/>
      <c r="H2147" s="27"/>
      <c r="I2147" s="27"/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7"/>
      <c r="X2147" s="27"/>
      <c r="Y2147" s="27"/>
      <c r="Z2147" s="17"/>
      <c r="AA2147" s="17"/>
      <c r="AB2147" s="17"/>
      <c r="AC2147" s="17"/>
      <c r="AD2147" s="27"/>
    </row>
    <row r="2148" ht="15.75" customHeight="1">
      <c r="A2148" s="27"/>
      <c r="B2148" s="27"/>
      <c r="C2148" s="27"/>
      <c r="D2148" s="27"/>
      <c r="E2148" s="27"/>
      <c r="F2148" s="27"/>
      <c r="G2148" s="27"/>
      <c r="H2148" s="27"/>
      <c r="I2148" s="27"/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  <c r="Z2148" s="17"/>
      <c r="AA2148" s="17"/>
      <c r="AB2148" s="17"/>
      <c r="AC2148" s="17"/>
      <c r="AD2148" s="27"/>
    </row>
    <row r="2149" ht="15.75" customHeight="1">
      <c r="A2149" s="27"/>
      <c r="B2149" s="27"/>
      <c r="C2149" s="27"/>
      <c r="D2149" s="27"/>
      <c r="E2149" s="27"/>
      <c r="F2149" s="27"/>
      <c r="G2149" s="27"/>
      <c r="H2149" s="27"/>
      <c r="I2149" s="27"/>
      <c r="J2149" s="27"/>
      <c r="K2149" s="27"/>
      <c r="L2149" s="27"/>
      <c r="M2149" s="27"/>
      <c r="N2149" s="27"/>
      <c r="O2149" s="27"/>
      <c r="P2149" s="27"/>
      <c r="Q2149" s="27"/>
      <c r="R2149" s="27"/>
      <c r="S2149" s="27"/>
      <c r="T2149" s="27"/>
      <c r="U2149" s="27"/>
      <c r="V2149" s="27"/>
      <c r="W2149" s="27"/>
      <c r="X2149" s="27"/>
      <c r="Y2149" s="27"/>
      <c r="Z2149" s="17"/>
      <c r="AA2149" s="17"/>
      <c r="AB2149" s="17"/>
      <c r="AC2149" s="17"/>
      <c r="AD2149" s="27"/>
    </row>
    <row r="2150" ht="15.75" customHeight="1">
      <c r="A2150" s="27"/>
      <c r="B2150" s="27"/>
      <c r="C2150" s="27"/>
      <c r="D2150" s="27"/>
      <c r="E2150" s="27"/>
      <c r="F2150" s="27"/>
      <c r="G2150" s="27"/>
      <c r="H2150" s="27"/>
      <c r="I2150" s="27"/>
      <c r="J2150" s="27"/>
      <c r="K2150" s="27"/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/>
      <c r="W2150" s="27"/>
      <c r="X2150" s="27"/>
      <c r="Y2150" s="27"/>
      <c r="Z2150" s="17"/>
      <c r="AA2150" s="17"/>
      <c r="AB2150" s="17"/>
      <c r="AC2150" s="17"/>
      <c r="AD2150" s="27"/>
    </row>
    <row r="2151" ht="15.75" customHeight="1">
      <c r="A2151" s="27"/>
      <c r="B2151" s="27"/>
      <c r="C2151" s="27"/>
      <c r="D2151" s="27"/>
      <c r="E2151" s="27"/>
      <c r="F2151" s="27"/>
      <c r="G2151" s="27"/>
      <c r="H2151" s="27"/>
      <c r="I2151" s="27"/>
      <c r="J2151" s="27"/>
      <c r="K2151" s="27"/>
      <c r="L2151" s="27"/>
      <c r="M2151" s="27"/>
      <c r="N2151" s="27"/>
      <c r="O2151" s="27"/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17"/>
      <c r="AA2151" s="17"/>
      <c r="AB2151" s="17"/>
      <c r="AC2151" s="17"/>
      <c r="AD2151" s="27"/>
    </row>
    <row r="2152" ht="15.75" customHeight="1">
      <c r="A2152" s="27"/>
      <c r="B2152" s="27"/>
      <c r="C2152" s="27"/>
      <c r="D2152" s="27"/>
      <c r="E2152" s="27"/>
      <c r="F2152" s="27"/>
      <c r="G2152" s="27"/>
      <c r="H2152" s="27"/>
      <c r="I2152" s="27"/>
      <c r="J2152" s="27"/>
      <c r="K2152" s="27"/>
      <c r="L2152" s="27"/>
      <c r="M2152" s="27"/>
      <c r="N2152" s="27"/>
      <c r="O2152" s="27"/>
      <c r="P2152" s="27"/>
      <c r="Q2152" s="27"/>
      <c r="R2152" s="27"/>
      <c r="S2152" s="27"/>
      <c r="T2152" s="27"/>
      <c r="U2152" s="27"/>
      <c r="V2152" s="27"/>
      <c r="W2152" s="27"/>
      <c r="X2152" s="27"/>
      <c r="Y2152" s="27"/>
      <c r="Z2152" s="17"/>
      <c r="AA2152" s="17"/>
      <c r="AB2152" s="17"/>
      <c r="AC2152" s="17"/>
      <c r="AD2152" s="27"/>
    </row>
    <row r="2153" ht="15.75" customHeight="1">
      <c r="A2153" s="27"/>
      <c r="B2153" s="27"/>
      <c r="C2153" s="27"/>
      <c r="D2153" s="27"/>
      <c r="E2153" s="27"/>
      <c r="F2153" s="27"/>
      <c r="G2153" s="27"/>
      <c r="H2153" s="27"/>
      <c r="I2153" s="27"/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7"/>
      <c r="X2153" s="27"/>
      <c r="Y2153" s="27"/>
      <c r="Z2153" s="17"/>
      <c r="AA2153" s="17"/>
      <c r="AB2153" s="17"/>
      <c r="AC2153" s="17"/>
      <c r="AD2153" s="27"/>
    </row>
    <row r="2154" ht="15.75" customHeight="1">
      <c r="A2154" s="27"/>
      <c r="B2154" s="27"/>
      <c r="C2154" s="27"/>
      <c r="D2154" s="27"/>
      <c r="E2154" s="27"/>
      <c r="F2154" s="27"/>
      <c r="G2154" s="27"/>
      <c r="H2154" s="27"/>
      <c r="I2154" s="27"/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17"/>
      <c r="AA2154" s="17"/>
      <c r="AB2154" s="17"/>
      <c r="AC2154" s="17"/>
      <c r="AD2154" s="27"/>
    </row>
    <row r="2155" ht="15.75" customHeight="1">
      <c r="A2155" s="27"/>
      <c r="B2155" s="27"/>
      <c r="C2155" s="27"/>
      <c r="D2155" s="27"/>
      <c r="E2155" s="27"/>
      <c r="F2155" s="27"/>
      <c r="G2155" s="27"/>
      <c r="H2155" s="27"/>
      <c r="I2155" s="27"/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7"/>
      <c r="X2155" s="27"/>
      <c r="Y2155" s="27"/>
      <c r="Z2155" s="17"/>
      <c r="AA2155" s="17"/>
      <c r="AB2155" s="17"/>
      <c r="AC2155" s="17"/>
      <c r="AD2155" s="27"/>
    </row>
    <row r="2156" ht="15.75" customHeight="1">
      <c r="A2156" s="27"/>
      <c r="B2156" s="27"/>
      <c r="C2156" s="27"/>
      <c r="D2156" s="27"/>
      <c r="E2156" s="27"/>
      <c r="F2156" s="27"/>
      <c r="G2156" s="27"/>
      <c r="H2156" s="27"/>
      <c r="I2156" s="27"/>
      <c r="J2156" s="27"/>
      <c r="K2156" s="27"/>
      <c r="L2156" s="27"/>
      <c r="M2156" s="27"/>
      <c r="N2156" s="27"/>
      <c r="O2156" s="27"/>
      <c r="P2156" s="27"/>
      <c r="Q2156" s="27"/>
      <c r="R2156" s="27"/>
      <c r="S2156" s="27"/>
      <c r="T2156" s="27"/>
      <c r="U2156" s="27"/>
      <c r="V2156" s="27"/>
      <c r="W2156" s="27"/>
      <c r="X2156" s="27"/>
      <c r="Y2156" s="27"/>
      <c r="Z2156" s="17"/>
      <c r="AA2156" s="17"/>
      <c r="AB2156" s="17"/>
      <c r="AC2156" s="17"/>
      <c r="AD2156" s="27"/>
    </row>
    <row r="2157" ht="15.75" customHeight="1">
      <c r="A2157" s="27"/>
      <c r="B2157" s="27"/>
      <c r="C2157" s="27"/>
      <c r="D2157" s="27"/>
      <c r="E2157" s="27"/>
      <c r="F2157" s="27"/>
      <c r="G2157" s="27"/>
      <c r="H2157" s="27"/>
      <c r="I2157" s="27"/>
      <c r="J2157" s="27"/>
      <c r="K2157" s="27"/>
      <c r="L2157" s="27"/>
      <c r="M2157" s="27"/>
      <c r="N2157" s="27"/>
      <c r="O2157" s="27"/>
      <c r="P2157" s="27"/>
      <c r="Q2157" s="27"/>
      <c r="R2157" s="27"/>
      <c r="S2157" s="27"/>
      <c r="T2157" s="27"/>
      <c r="U2157" s="27"/>
      <c r="V2157" s="27"/>
      <c r="W2157" s="27"/>
      <c r="X2157" s="27"/>
      <c r="Y2157" s="27"/>
      <c r="Z2157" s="17"/>
      <c r="AA2157" s="17"/>
      <c r="AB2157" s="17"/>
      <c r="AC2157" s="17"/>
      <c r="AD2157" s="27"/>
    </row>
    <row r="2158" ht="15.75" customHeight="1">
      <c r="A2158" s="27"/>
      <c r="B2158" s="27"/>
      <c r="C2158" s="27"/>
      <c r="D2158" s="27"/>
      <c r="E2158" s="27"/>
      <c r="F2158" s="27"/>
      <c r="G2158" s="27"/>
      <c r="H2158" s="27"/>
      <c r="I2158" s="27"/>
      <c r="J2158" s="27"/>
      <c r="K2158" s="27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7"/>
      <c r="X2158" s="27"/>
      <c r="Y2158" s="27"/>
      <c r="Z2158" s="17"/>
      <c r="AA2158" s="17"/>
      <c r="AB2158" s="17"/>
      <c r="AC2158" s="17"/>
      <c r="AD2158" s="27"/>
    </row>
    <row r="2159" ht="15.75" customHeight="1">
      <c r="A2159" s="27"/>
      <c r="B2159" s="27"/>
      <c r="C2159" s="27"/>
      <c r="D2159" s="27"/>
      <c r="E2159" s="27"/>
      <c r="F2159" s="27"/>
      <c r="G2159" s="27"/>
      <c r="H2159" s="27"/>
      <c r="I2159" s="27"/>
      <c r="J2159" s="27"/>
      <c r="K2159" s="27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7"/>
      <c r="X2159" s="27"/>
      <c r="Y2159" s="27"/>
      <c r="Z2159" s="17"/>
      <c r="AA2159" s="17"/>
      <c r="AB2159" s="17"/>
      <c r="AC2159" s="17"/>
      <c r="AD2159" s="27"/>
    </row>
    <row r="2160" ht="15.75" customHeight="1">
      <c r="A2160" s="27"/>
      <c r="B2160" s="27"/>
      <c r="C2160" s="27"/>
      <c r="D2160" s="27"/>
      <c r="E2160" s="27"/>
      <c r="F2160" s="27"/>
      <c r="G2160" s="27"/>
      <c r="H2160" s="27"/>
      <c r="I2160" s="27"/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  <c r="Z2160" s="17"/>
      <c r="AA2160" s="17"/>
      <c r="AB2160" s="17"/>
      <c r="AC2160" s="17"/>
      <c r="AD2160" s="27"/>
    </row>
    <row r="2161" ht="15.75" customHeight="1">
      <c r="A2161" s="27"/>
      <c r="B2161" s="27"/>
      <c r="C2161" s="27"/>
      <c r="D2161" s="27"/>
      <c r="E2161" s="27"/>
      <c r="F2161" s="27"/>
      <c r="G2161" s="27"/>
      <c r="H2161" s="27"/>
      <c r="I2161" s="27"/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7"/>
      <c r="X2161" s="27"/>
      <c r="Y2161" s="27"/>
      <c r="Z2161" s="17"/>
      <c r="AA2161" s="17"/>
      <c r="AB2161" s="17"/>
      <c r="AC2161" s="17"/>
      <c r="AD2161" s="27"/>
    </row>
    <row r="2162" ht="15.75" customHeight="1">
      <c r="A2162" s="27"/>
      <c r="B2162" s="27"/>
      <c r="C2162" s="27"/>
      <c r="D2162" s="27"/>
      <c r="E2162" s="27"/>
      <c r="F2162" s="27"/>
      <c r="G2162" s="27"/>
      <c r="H2162" s="27"/>
      <c r="I2162" s="27"/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  <c r="Z2162" s="17"/>
      <c r="AA2162" s="17"/>
      <c r="AB2162" s="17"/>
      <c r="AC2162" s="17"/>
      <c r="AD2162" s="27"/>
    </row>
    <row r="2163" ht="15.75" customHeight="1">
      <c r="A2163" s="27"/>
      <c r="B2163" s="27"/>
      <c r="C2163" s="27"/>
      <c r="D2163" s="27"/>
      <c r="E2163" s="27"/>
      <c r="F2163" s="27"/>
      <c r="G2163" s="27"/>
      <c r="H2163" s="27"/>
      <c r="I2163" s="27"/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7"/>
      <c r="X2163" s="27"/>
      <c r="Y2163" s="27"/>
      <c r="Z2163" s="17"/>
      <c r="AA2163" s="17"/>
      <c r="AB2163" s="17"/>
      <c r="AC2163" s="17"/>
      <c r="AD2163" s="27"/>
    </row>
    <row r="2164" ht="15.75" customHeight="1">
      <c r="A2164" s="27"/>
      <c r="B2164" s="27"/>
      <c r="C2164" s="27"/>
      <c r="D2164" s="27"/>
      <c r="E2164" s="27"/>
      <c r="F2164" s="27"/>
      <c r="G2164" s="27"/>
      <c r="H2164" s="27"/>
      <c r="I2164" s="27"/>
      <c r="J2164" s="27"/>
      <c r="K2164" s="27"/>
      <c r="L2164" s="27"/>
      <c r="M2164" s="27"/>
      <c r="N2164" s="27"/>
      <c r="O2164" s="27"/>
      <c r="P2164" s="27"/>
      <c r="Q2164" s="27"/>
      <c r="R2164" s="27"/>
      <c r="S2164" s="27"/>
      <c r="T2164" s="27"/>
      <c r="U2164" s="27"/>
      <c r="V2164" s="27"/>
      <c r="W2164" s="27"/>
      <c r="X2164" s="27"/>
      <c r="Y2164" s="27"/>
      <c r="Z2164" s="17"/>
      <c r="AA2164" s="17"/>
      <c r="AB2164" s="17"/>
      <c r="AC2164" s="17"/>
      <c r="AD2164" s="27"/>
    </row>
    <row r="2165" ht="15.75" customHeight="1">
      <c r="A2165" s="27"/>
      <c r="B2165" s="27"/>
      <c r="C2165" s="27"/>
      <c r="D2165" s="27"/>
      <c r="E2165" s="27"/>
      <c r="F2165" s="27"/>
      <c r="G2165" s="27"/>
      <c r="H2165" s="27"/>
      <c r="I2165" s="27"/>
      <c r="J2165" s="27"/>
      <c r="K2165" s="27"/>
      <c r="L2165" s="27"/>
      <c r="M2165" s="27"/>
      <c r="N2165" s="27"/>
      <c r="O2165" s="27"/>
      <c r="P2165" s="27"/>
      <c r="Q2165" s="27"/>
      <c r="R2165" s="27"/>
      <c r="S2165" s="27"/>
      <c r="T2165" s="27"/>
      <c r="U2165" s="27"/>
      <c r="V2165" s="27"/>
      <c r="W2165" s="27"/>
      <c r="X2165" s="27"/>
      <c r="Y2165" s="27"/>
      <c r="Z2165" s="17"/>
      <c r="AA2165" s="17"/>
      <c r="AB2165" s="17"/>
      <c r="AC2165" s="17"/>
      <c r="AD2165" s="27"/>
    </row>
    <row r="2166" ht="15.75" customHeight="1">
      <c r="A2166" s="27"/>
      <c r="B2166" s="27"/>
      <c r="C2166" s="27"/>
      <c r="D2166" s="27"/>
      <c r="E2166" s="27"/>
      <c r="F2166" s="27"/>
      <c r="G2166" s="27"/>
      <c r="H2166" s="27"/>
      <c r="I2166" s="27"/>
      <c r="J2166" s="27"/>
      <c r="K2166" s="27"/>
      <c r="L2166" s="27"/>
      <c r="M2166" s="27"/>
      <c r="N2166" s="27"/>
      <c r="O2166" s="27"/>
      <c r="P2166" s="27"/>
      <c r="Q2166" s="27"/>
      <c r="R2166" s="27"/>
      <c r="S2166" s="27"/>
      <c r="T2166" s="27"/>
      <c r="U2166" s="27"/>
      <c r="V2166" s="27"/>
      <c r="W2166" s="27"/>
      <c r="X2166" s="27"/>
      <c r="Y2166" s="27"/>
      <c r="Z2166" s="17"/>
      <c r="AA2166" s="17"/>
      <c r="AB2166" s="17"/>
      <c r="AC2166" s="17"/>
      <c r="AD2166" s="27"/>
    </row>
    <row r="2167" ht="15.75" customHeight="1">
      <c r="A2167" s="27"/>
      <c r="B2167" s="27"/>
      <c r="C2167" s="27"/>
      <c r="D2167" s="27"/>
      <c r="E2167" s="27"/>
      <c r="F2167" s="27"/>
      <c r="G2167" s="27"/>
      <c r="H2167" s="27"/>
      <c r="I2167" s="27"/>
      <c r="J2167" s="27"/>
      <c r="K2167" s="27"/>
      <c r="L2167" s="27"/>
      <c r="M2167" s="27"/>
      <c r="N2167" s="27"/>
      <c r="O2167" s="27"/>
      <c r="P2167" s="27"/>
      <c r="Q2167" s="27"/>
      <c r="R2167" s="27"/>
      <c r="S2167" s="27"/>
      <c r="T2167" s="27"/>
      <c r="U2167" s="27"/>
      <c r="V2167" s="27"/>
      <c r="W2167" s="27"/>
      <c r="X2167" s="27"/>
      <c r="Y2167" s="27"/>
      <c r="Z2167" s="17"/>
      <c r="AA2167" s="17"/>
      <c r="AB2167" s="17"/>
      <c r="AC2167" s="17"/>
      <c r="AD2167" s="27"/>
    </row>
    <row r="2168" ht="15.75" customHeight="1">
      <c r="A2168" s="27"/>
      <c r="B2168" s="27"/>
      <c r="C2168" s="27"/>
      <c r="D2168" s="27"/>
      <c r="E2168" s="27"/>
      <c r="F2168" s="27"/>
      <c r="G2168" s="27"/>
      <c r="H2168" s="27"/>
      <c r="I2168" s="27"/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  <c r="Z2168" s="17"/>
      <c r="AA2168" s="17"/>
      <c r="AB2168" s="17"/>
      <c r="AC2168" s="17"/>
      <c r="AD2168" s="27"/>
    </row>
    <row r="2169" ht="15.75" customHeight="1">
      <c r="A2169" s="27"/>
      <c r="B2169" s="27"/>
      <c r="C2169" s="27"/>
      <c r="D2169" s="27"/>
      <c r="E2169" s="27"/>
      <c r="F2169" s="27"/>
      <c r="G2169" s="27"/>
      <c r="H2169" s="27"/>
      <c r="I2169" s="27"/>
      <c r="J2169" s="27"/>
      <c r="K2169" s="27"/>
      <c r="L2169" s="27"/>
      <c r="M2169" s="27"/>
      <c r="N2169" s="27"/>
      <c r="O2169" s="27"/>
      <c r="P2169" s="27"/>
      <c r="Q2169" s="27"/>
      <c r="R2169" s="27"/>
      <c r="S2169" s="27"/>
      <c r="T2169" s="27"/>
      <c r="U2169" s="27"/>
      <c r="V2169" s="27"/>
      <c r="W2169" s="27"/>
      <c r="X2169" s="27"/>
      <c r="Y2169" s="27"/>
      <c r="Z2169" s="17"/>
      <c r="AA2169" s="17"/>
      <c r="AB2169" s="17"/>
      <c r="AC2169" s="17"/>
      <c r="AD2169" s="27"/>
    </row>
    <row r="2170" ht="15.75" customHeight="1">
      <c r="A2170" s="27"/>
      <c r="B2170" s="27"/>
      <c r="C2170" s="27"/>
      <c r="D2170" s="27"/>
      <c r="E2170" s="27"/>
      <c r="F2170" s="27"/>
      <c r="G2170" s="27"/>
      <c r="H2170" s="27"/>
      <c r="I2170" s="27"/>
      <c r="J2170" s="27"/>
      <c r="K2170" s="27"/>
      <c r="L2170" s="27"/>
      <c r="M2170" s="27"/>
      <c r="N2170" s="27"/>
      <c r="O2170" s="27"/>
      <c r="P2170" s="27"/>
      <c r="Q2170" s="27"/>
      <c r="R2170" s="27"/>
      <c r="S2170" s="27"/>
      <c r="T2170" s="27"/>
      <c r="U2170" s="27"/>
      <c r="V2170" s="27"/>
      <c r="W2170" s="27"/>
      <c r="X2170" s="27"/>
      <c r="Y2170" s="27"/>
      <c r="Z2170" s="17"/>
      <c r="AA2170" s="17"/>
      <c r="AB2170" s="17"/>
      <c r="AC2170" s="17"/>
      <c r="AD2170" s="27"/>
    </row>
    <row r="2171" ht="15.75" customHeight="1">
      <c r="A2171" s="27"/>
      <c r="B2171" s="27"/>
      <c r="C2171" s="27"/>
      <c r="D2171" s="27"/>
      <c r="E2171" s="27"/>
      <c r="F2171" s="27"/>
      <c r="G2171" s="27"/>
      <c r="H2171" s="27"/>
      <c r="I2171" s="27"/>
      <c r="J2171" s="27"/>
      <c r="K2171" s="27"/>
      <c r="L2171" s="27"/>
      <c r="M2171" s="27"/>
      <c r="N2171" s="27"/>
      <c r="O2171" s="27"/>
      <c r="P2171" s="27"/>
      <c r="Q2171" s="27"/>
      <c r="R2171" s="27"/>
      <c r="S2171" s="27"/>
      <c r="T2171" s="27"/>
      <c r="U2171" s="27"/>
      <c r="V2171" s="27"/>
      <c r="W2171" s="27"/>
      <c r="X2171" s="27"/>
      <c r="Y2171" s="27"/>
      <c r="Z2171" s="17"/>
      <c r="AA2171" s="17"/>
      <c r="AB2171" s="17"/>
      <c r="AC2171" s="17"/>
      <c r="AD2171" s="27"/>
    </row>
    <row r="2172" ht="15.75" customHeight="1">
      <c r="A2172" s="27"/>
      <c r="B2172" s="27"/>
      <c r="C2172" s="27"/>
      <c r="D2172" s="27"/>
      <c r="E2172" s="27"/>
      <c r="F2172" s="27"/>
      <c r="G2172" s="27"/>
      <c r="H2172" s="27"/>
      <c r="I2172" s="27"/>
      <c r="J2172" s="27"/>
      <c r="K2172" s="27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7"/>
      <c r="X2172" s="27"/>
      <c r="Y2172" s="27"/>
      <c r="Z2172" s="17"/>
      <c r="AA2172" s="17"/>
      <c r="AB2172" s="17"/>
      <c r="AC2172" s="17"/>
      <c r="AD2172" s="27"/>
    </row>
    <row r="2173" ht="15.75" customHeight="1">
      <c r="A2173" s="27"/>
      <c r="B2173" s="27"/>
      <c r="C2173" s="27"/>
      <c r="D2173" s="27"/>
      <c r="E2173" s="27"/>
      <c r="F2173" s="27"/>
      <c r="G2173" s="27"/>
      <c r="H2173" s="27"/>
      <c r="I2173" s="27"/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  <c r="Z2173" s="17"/>
      <c r="AA2173" s="17"/>
      <c r="AB2173" s="17"/>
      <c r="AC2173" s="17"/>
      <c r="AD2173" s="27"/>
    </row>
    <row r="2174" ht="15.75" customHeight="1">
      <c r="A2174" s="27"/>
      <c r="B2174" s="27"/>
      <c r="C2174" s="27"/>
      <c r="D2174" s="27"/>
      <c r="E2174" s="27"/>
      <c r="F2174" s="27"/>
      <c r="G2174" s="27"/>
      <c r="H2174" s="27"/>
      <c r="I2174" s="27"/>
      <c r="J2174" s="27"/>
      <c r="K2174" s="27"/>
      <c r="L2174" s="27"/>
      <c r="M2174" s="27"/>
      <c r="N2174" s="27"/>
      <c r="O2174" s="27"/>
      <c r="P2174" s="27"/>
      <c r="Q2174" s="27"/>
      <c r="R2174" s="27"/>
      <c r="S2174" s="27"/>
      <c r="T2174" s="27"/>
      <c r="U2174" s="27"/>
      <c r="V2174" s="27"/>
      <c r="W2174" s="27"/>
      <c r="X2174" s="27"/>
      <c r="Y2174" s="27"/>
      <c r="Z2174" s="17"/>
      <c r="AA2174" s="17"/>
      <c r="AB2174" s="17"/>
      <c r="AC2174" s="17"/>
      <c r="AD2174" s="27"/>
    </row>
    <row r="2175" ht="15.75" customHeight="1">
      <c r="A2175" s="27"/>
      <c r="B2175" s="27"/>
      <c r="C2175" s="27"/>
      <c r="D2175" s="27"/>
      <c r="E2175" s="27"/>
      <c r="F2175" s="27"/>
      <c r="G2175" s="27"/>
      <c r="H2175" s="27"/>
      <c r="I2175" s="27"/>
      <c r="J2175" s="27"/>
      <c r="K2175" s="27"/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7"/>
      <c r="X2175" s="27"/>
      <c r="Y2175" s="27"/>
      <c r="Z2175" s="17"/>
      <c r="AA2175" s="17"/>
      <c r="AB2175" s="17"/>
      <c r="AC2175" s="17"/>
      <c r="AD2175" s="27"/>
    </row>
    <row r="2176" ht="15.75" customHeight="1">
      <c r="A2176" s="27"/>
      <c r="B2176" s="27"/>
      <c r="C2176" s="27"/>
      <c r="D2176" s="27"/>
      <c r="E2176" s="27"/>
      <c r="F2176" s="27"/>
      <c r="G2176" s="27"/>
      <c r="H2176" s="27"/>
      <c r="I2176" s="27"/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7"/>
      <c r="X2176" s="27"/>
      <c r="Y2176" s="27"/>
      <c r="Z2176" s="17"/>
      <c r="AA2176" s="17"/>
      <c r="AB2176" s="17"/>
      <c r="AC2176" s="17"/>
      <c r="AD2176" s="27"/>
    </row>
    <row r="2177" ht="15.75" customHeight="1">
      <c r="A2177" s="27"/>
      <c r="B2177" s="27"/>
      <c r="C2177" s="27"/>
      <c r="D2177" s="27"/>
      <c r="E2177" s="27"/>
      <c r="F2177" s="27"/>
      <c r="G2177" s="27"/>
      <c r="H2177" s="27"/>
      <c r="I2177" s="27"/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  <c r="T2177" s="27"/>
      <c r="U2177" s="27"/>
      <c r="V2177" s="27"/>
      <c r="W2177" s="27"/>
      <c r="X2177" s="27"/>
      <c r="Y2177" s="27"/>
      <c r="Z2177" s="17"/>
      <c r="AA2177" s="17"/>
      <c r="AB2177" s="17"/>
      <c r="AC2177" s="17"/>
      <c r="AD2177" s="27"/>
    </row>
    <row r="2178" ht="15.75" customHeight="1">
      <c r="A2178" s="27"/>
      <c r="B2178" s="27"/>
      <c r="C2178" s="27"/>
      <c r="D2178" s="27"/>
      <c r="E2178" s="27"/>
      <c r="F2178" s="27"/>
      <c r="G2178" s="27"/>
      <c r="H2178" s="27"/>
      <c r="I2178" s="27"/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7"/>
      <c r="X2178" s="27"/>
      <c r="Y2178" s="27"/>
      <c r="Z2178" s="17"/>
      <c r="AA2178" s="17"/>
      <c r="AB2178" s="17"/>
      <c r="AC2178" s="17"/>
      <c r="AD2178" s="27"/>
    </row>
    <row r="2179" ht="15.75" customHeight="1">
      <c r="A2179" s="27"/>
      <c r="B2179" s="27"/>
      <c r="C2179" s="27"/>
      <c r="D2179" s="27"/>
      <c r="E2179" s="27"/>
      <c r="F2179" s="27"/>
      <c r="G2179" s="27"/>
      <c r="H2179" s="27"/>
      <c r="I2179" s="27"/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  <c r="T2179" s="27"/>
      <c r="U2179" s="27"/>
      <c r="V2179" s="27"/>
      <c r="W2179" s="27"/>
      <c r="X2179" s="27"/>
      <c r="Y2179" s="27"/>
      <c r="Z2179" s="17"/>
      <c r="AA2179" s="17"/>
      <c r="AB2179" s="17"/>
      <c r="AC2179" s="17"/>
      <c r="AD2179" s="27"/>
    </row>
    <row r="2180" ht="15.75" customHeight="1">
      <c r="A2180" s="27"/>
      <c r="B2180" s="27"/>
      <c r="C2180" s="27"/>
      <c r="D2180" s="27"/>
      <c r="E2180" s="27"/>
      <c r="F2180" s="27"/>
      <c r="G2180" s="27"/>
      <c r="H2180" s="27"/>
      <c r="I2180" s="27"/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  <c r="Z2180" s="17"/>
      <c r="AA2180" s="17"/>
      <c r="AB2180" s="17"/>
      <c r="AC2180" s="17"/>
      <c r="AD2180" s="27"/>
    </row>
    <row r="2181" ht="15.75" customHeight="1">
      <c r="A2181" s="27"/>
      <c r="B2181" s="27"/>
      <c r="C2181" s="27"/>
      <c r="D2181" s="27"/>
      <c r="E2181" s="27"/>
      <c r="F2181" s="27"/>
      <c r="G2181" s="27"/>
      <c r="H2181" s="27"/>
      <c r="I2181" s="27"/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7"/>
      <c r="X2181" s="27"/>
      <c r="Y2181" s="27"/>
      <c r="Z2181" s="17"/>
      <c r="AA2181" s="17"/>
      <c r="AB2181" s="17"/>
      <c r="AC2181" s="17"/>
      <c r="AD2181" s="27"/>
    </row>
    <row r="2182" ht="15.75" customHeight="1">
      <c r="A2182" s="27"/>
      <c r="B2182" s="27"/>
      <c r="C2182" s="27"/>
      <c r="D2182" s="27"/>
      <c r="E2182" s="27"/>
      <c r="F2182" s="27"/>
      <c r="G2182" s="27"/>
      <c r="H2182" s="27"/>
      <c r="I2182" s="27"/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  <c r="T2182" s="27"/>
      <c r="U2182" s="27"/>
      <c r="V2182" s="27"/>
      <c r="W2182" s="27"/>
      <c r="X2182" s="27"/>
      <c r="Y2182" s="27"/>
      <c r="Z2182" s="17"/>
      <c r="AA2182" s="17"/>
      <c r="AB2182" s="17"/>
      <c r="AC2182" s="17"/>
      <c r="AD2182" s="27"/>
    </row>
    <row r="2183" ht="15.75" customHeight="1">
      <c r="A2183" s="27"/>
      <c r="B2183" s="27"/>
      <c r="C2183" s="27"/>
      <c r="D2183" s="27"/>
      <c r="E2183" s="27"/>
      <c r="F2183" s="27"/>
      <c r="G2183" s="27"/>
      <c r="H2183" s="27"/>
      <c r="I2183" s="27"/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17"/>
      <c r="AA2183" s="17"/>
      <c r="AB2183" s="17"/>
      <c r="AC2183" s="17"/>
      <c r="AD2183" s="27"/>
    </row>
    <row r="2184" ht="15.75" customHeight="1">
      <c r="A2184" s="27"/>
      <c r="B2184" s="27"/>
      <c r="C2184" s="27"/>
      <c r="D2184" s="27"/>
      <c r="E2184" s="27"/>
      <c r="F2184" s="27"/>
      <c r="G2184" s="27"/>
      <c r="H2184" s="27"/>
      <c r="I2184" s="27"/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  <c r="T2184" s="27"/>
      <c r="U2184" s="27"/>
      <c r="V2184" s="27"/>
      <c r="W2184" s="27"/>
      <c r="X2184" s="27"/>
      <c r="Y2184" s="27"/>
      <c r="Z2184" s="17"/>
      <c r="AA2184" s="17"/>
      <c r="AB2184" s="17"/>
      <c r="AC2184" s="17"/>
      <c r="AD2184" s="27"/>
    </row>
    <row r="2185" ht="15.75" customHeight="1">
      <c r="A2185" s="27"/>
      <c r="B2185" s="27"/>
      <c r="C2185" s="27"/>
      <c r="D2185" s="27"/>
      <c r="E2185" s="27"/>
      <c r="F2185" s="27"/>
      <c r="G2185" s="27"/>
      <c r="H2185" s="27"/>
      <c r="I2185" s="27"/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  <c r="Z2185" s="17"/>
      <c r="AA2185" s="17"/>
      <c r="AB2185" s="17"/>
      <c r="AC2185" s="17"/>
      <c r="AD2185" s="27"/>
    </row>
    <row r="2186" ht="15.75" customHeight="1">
      <c r="A2186" s="27"/>
      <c r="B2186" s="27"/>
      <c r="C2186" s="27"/>
      <c r="D2186" s="27"/>
      <c r="E2186" s="27"/>
      <c r="F2186" s="27"/>
      <c r="G2186" s="27"/>
      <c r="H2186" s="27"/>
      <c r="I2186" s="27"/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  <c r="Z2186" s="17"/>
      <c r="AA2186" s="17"/>
      <c r="AB2186" s="17"/>
      <c r="AC2186" s="17"/>
      <c r="AD2186" s="27"/>
    </row>
    <row r="2187" ht="15.75" customHeight="1">
      <c r="A2187" s="27"/>
      <c r="B2187" s="27"/>
      <c r="C2187" s="27"/>
      <c r="D2187" s="27"/>
      <c r="E2187" s="27"/>
      <c r="F2187" s="27"/>
      <c r="G2187" s="27"/>
      <c r="H2187" s="27"/>
      <c r="I2187" s="27"/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  <c r="Z2187" s="17"/>
      <c r="AA2187" s="17"/>
      <c r="AB2187" s="17"/>
      <c r="AC2187" s="17"/>
      <c r="AD2187" s="27"/>
    </row>
    <row r="2188" ht="15.75" customHeight="1">
      <c r="A2188" s="27"/>
      <c r="B2188" s="27"/>
      <c r="C2188" s="27"/>
      <c r="D2188" s="27"/>
      <c r="E2188" s="27"/>
      <c r="F2188" s="27"/>
      <c r="G2188" s="27"/>
      <c r="H2188" s="27"/>
      <c r="I2188" s="27"/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7"/>
      <c r="X2188" s="27"/>
      <c r="Y2188" s="27"/>
      <c r="Z2188" s="17"/>
      <c r="AA2188" s="17"/>
      <c r="AB2188" s="17"/>
      <c r="AC2188" s="17"/>
      <c r="AD2188" s="27"/>
    </row>
    <row r="2189" ht="15.75" customHeight="1">
      <c r="A2189" s="27"/>
      <c r="B2189" s="27"/>
      <c r="C2189" s="27"/>
      <c r="D2189" s="27"/>
      <c r="E2189" s="27"/>
      <c r="F2189" s="27"/>
      <c r="G2189" s="27"/>
      <c r="H2189" s="27"/>
      <c r="I2189" s="27"/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17"/>
      <c r="AA2189" s="17"/>
      <c r="AB2189" s="17"/>
      <c r="AC2189" s="17"/>
      <c r="AD2189" s="27"/>
    </row>
    <row r="2190" ht="15.75" customHeight="1">
      <c r="A2190" s="27"/>
      <c r="B2190" s="27"/>
      <c r="C2190" s="27"/>
      <c r="D2190" s="27"/>
      <c r="E2190" s="27"/>
      <c r="F2190" s="27"/>
      <c r="G2190" s="27"/>
      <c r="H2190" s="27"/>
      <c r="I2190" s="27"/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  <c r="T2190" s="27"/>
      <c r="U2190" s="27"/>
      <c r="V2190" s="27"/>
      <c r="W2190" s="27"/>
      <c r="X2190" s="27"/>
      <c r="Y2190" s="27"/>
      <c r="Z2190" s="17"/>
      <c r="AA2190" s="17"/>
      <c r="AB2190" s="17"/>
      <c r="AC2190" s="17"/>
      <c r="AD2190" s="27"/>
    </row>
    <row r="2191" ht="15.75" customHeight="1">
      <c r="A2191" s="27"/>
      <c r="B2191" s="27"/>
      <c r="C2191" s="27"/>
      <c r="D2191" s="27"/>
      <c r="E2191" s="27"/>
      <c r="F2191" s="27"/>
      <c r="G2191" s="27"/>
      <c r="H2191" s="27"/>
      <c r="I2191" s="27"/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  <c r="T2191" s="27"/>
      <c r="U2191" s="27"/>
      <c r="V2191" s="27"/>
      <c r="W2191" s="27"/>
      <c r="X2191" s="27"/>
      <c r="Y2191" s="27"/>
      <c r="Z2191" s="17"/>
      <c r="AA2191" s="17"/>
      <c r="AB2191" s="17"/>
      <c r="AC2191" s="17"/>
      <c r="AD2191" s="27"/>
    </row>
    <row r="2192" ht="15.75" customHeight="1">
      <c r="A2192" s="27"/>
      <c r="B2192" s="27"/>
      <c r="C2192" s="27"/>
      <c r="D2192" s="27"/>
      <c r="E2192" s="27"/>
      <c r="F2192" s="27"/>
      <c r="G2192" s="27"/>
      <c r="H2192" s="27"/>
      <c r="I2192" s="27"/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17"/>
      <c r="AA2192" s="17"/>
      <c r="AB2192" s="17"/>
      <c r="AC2192" s="17"/>
      <c r="AD2192" s="27"/>
    </row>
    <row r="2193" ht="15.75" customHeight="1">
      <c r="A2193" s="27"/>
      <c r="B2193" s="27"/>
      <c r="C2193" s="27"/>
      <c r="D2193" s="27"/>
      <c r="E2193" s="27"/>
      <c r="F2193" s="27"/>
      <c r="G2193" s="27"/>
      <c r="H2193" s="27"/>
      <c r="I2193" s="27"/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  <c r="T2193" s="27"/>
      <c r="U2193" s="27"/>
      <c r="V2193" s="27"/>
      <c r="W2193" s="27"/>
      <c r="X2193" s="27"/>
      <c r="Y2193" s="27"/>
      <c r="Z2193" s="17"/>
      <c r="AA2193" s="17"/>
      <c r="AB2193" s="17"/>
      <c r="AC2193" s="17"/>
      <c r="AD2193" s="27"/>
    </row>
    <row r="2194" ht="15.75" customHeight="1">
      <c r="A2194" s="27"/>
      <c r="B2194" s="27"/>
      <c r="C2194" s="27"/>
      <c r="D2194" s="27"/>
      <c r="E2194" s="27"/>
      <c r="F2194" s="27"/>
      <c r="G2194" s="27"/>
      <c r="H2194" s="27"/>
      <c r="I2194" s="27"/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7"/>
      <c r="X2194" s="27"/>
      <c r="Y2194" s="27"/>
      <c r="Z2194" s="17"/>
      <c r="AA2194" s="17"/>
      <c r="AB2194" s="17"/>
      <c r="AC2194" s="17"/>
      <c r="AD2194" s="27"/>
    </row>
    <row r="2195" ht="15.75" customHeight="1">
      <c r="A2195" s="27"/>
      <c r="B2195" s="27"/>
      <c r="C2195" s="27"/>
      <c r="D2195" s="27"/>
      <c r="E2195" s="27"/>
      <c r="F2195" s="27"/>
      <c r="G2195" s="27"/>
      <c r="H2195" s="27"/>
      <c r="I2195" s="27"/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  <c r="T2195" s="27"/>
      <c r="U2195" s="27"/>
      <c r="V2195" s="27"/>
      <c r="W2195" s="27"/>
      <c r="X2195" s="27"/>
      <c r="Y2195" s="27"/>
      <c r="Z2195" s="17"/>
      <c r="AA2195" s="17"/>
      <c r="AB2195" s="17"/>
      <c r="AC2195" s="17"/>
      <c r="AD2195" s="27"/>
    </row>
    <row r="2196" ht="15.75" customHeight="1">
      <c r="A2196" s="27"/>
      <c r="B2196" s="27"/>
      <c r="C2196" s="27"/>
      <c r="D2196" s="27"/>
      <c r="E2196" s="27"/>
      <c r="F2196" s="27"/>
      <c r="G2196" s="27"/>
      <c r="H2196" s="27"/>
      <c r="I2196" s="27"/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  <c r="T2196" s="27"/>
      <c r="U2196" s="27"/>
      <c r="V2196" s="27"/>
      <c r="W2196" s="27"/>
      <c r="X2196" s="27"/>
      <c r="Y2196" s="27"/>
      <c r="Z2196" s="17"/>
      <c r="AA2196" s="17"/>
      <c r="AB2196" s="17"/>
      <c r="AC2196" s="17"/>
      <c r="AD2196" s="27"/>
    </row>
    <row r="2197" ht="15.75" customHeight="1">
      <c r="A2197" s="27"/>
      <c r="B2197" s="27"/>
      <c r="C2197" s="27"/>
      <c r="D2197" s="27"/>
      <c r="E2197" s="27"/>
      <c r="F2197" s="27"/>
      <c r="G2197" s="27"/>
      <c r="H2197" s="27"/>
      <c r="I2197" s="27"/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  <c r="Z2197" s="17"/>
      <c r="AA2197" s="17"/>
      <c r="AB2197" s="17"/>
      <c r="AC2197" s="17"/>
      <c r="AD2197" s="27"/>
    </row>
    <row r="2198" ht="15.75" customHeight="1">
      <c r="A2198" s="27"/>
      <c r="B2198" s="27"/>
      <c r="C2198" s="27"/>
      <c r="D2198" s="27"/>
      <c r="E2198" s="27"/>
      <c r="F2198" s="27"/>
      <c r="G2198" s="27"/>
      <c r="H2198" s="27"/>
      <c r="I2198" s="27"/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  <c r="T2198" s="27"/>
      <c r="U2198" s="27"/>
      <c r="V2198" s="27"/>
      <c r="W2198" s="27"/>
      <c r="X2198" s="27"/>
      <c r="Y2198" s="27"/>
      <c r="Z2198" s="17"/>
      <c r="AA2198" s="17"/>
      <c r="AB2198" s="17"/>
      <c r="AC2198" s="17"/>
      <c r="AD2198" s="27"/>
    </row>
    <row r="2199" ht="15.75" customHeight="1">
      <c r="A2199" s="27"/>
      <c r="B2199" s="27"/>
      <c r="C2199" s="27"/>
      <c r="D2199" s="27"/>
      <c r="E2199" s="27"/>
      <c r="F2199" s="27"/>
      <c r="G2199" s="27"/>
      <c r="H2199" s="27"/>
      <c r="I2199" s="27"/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7"/>
      <c r="X2199" s="27"/>
      <c r="Y2199" s="27"/>
      <c r="Z2199" s="17"/>
      <c r="AA2199" s="17"/>
      <c r="AB2199" s="17"/>
      <c r="AC2199" s="17"/>
      <c r="AD2199" s="27"/>
    </row>
    <row r="2200" ht="15.75" customHeight="1">
      <c r="A2200" s="27"/>
      <c r="B2200" s="27"/>
      <c r="C2200" s="27"/>
      <c r="D2200" s="27"/>
      <c r="E2200" s="27"/>
      <c r="F2200" s="27"/>
      <c r="G2200" s="27"/>
      <c r="H2200" s="27"/>
      <c r="I2200" s="27"/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7"/>
      <c r="X2200" s="27"/>
      <c r="Y2200" s="27"/>
      <c r="Z2200" s="17"/>
      <c r="AA2200" s="17"/>
      <c r="AB2200" s="17"/>
      <c r="AC2200" s="17"/>
      <c r="AD2200" s="27"/>
    </row>
    <row r="2201" ht="15.75" customHeight="1">
      <c r="A2201" s="27"/>
      <c r="B2201" s="27"/>
      <c r="C2201" s="27"/>
      <c r="D2201" s="27"/>
      <c r="E2201" s="27"/>
      <c r="F2201" s="27"/>
      <c r="G2201" s="27"/>
      <c r="H2201" s="27"/>
      <c r="I2201" s="27"/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7"/>
      <c r="X2201" s="27"/>
      <c r="Y2201" s="27"/>
      <c r="Z2201" s="17"/>
      <c r="AA2201" s="17"/>
      <c r="AB2201" s="17"/>
      <c r="AC2201" s="17"/>
      <c r="AD2201" s="27"/>
    </row>
    <row r="2202" ht="15.75" customHeight="1">
      <c r="A2202" s="27"/>
      <c r="B2202" s="27"/>
      <c r="C2202" s="27"/>
      <c r="D2202" s="27"/>
      <c r="E2202" s="27"/>
      <c r="F2202" s="27"/>
      <c r="G2202" s="27"/>
      <c r="H2202" s="27"/>
      <c r="I2202" s="27"/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  <c r="T2202" s="27"/>
      <c r="U2202" s="27"/>
      <c r="V2202" s="27"/>
      <c r="W2202" s="27"/>
      <c r="X2202" s="27"/>
      <c r="Y2202" s="27"/>
      <c r="Z2202" s="17"/>
      <c r="AA2202" s="17"/>
      <c r="AB2202" s="17"/>
      <c r="AC2202" s="17"/>
      <c r="AD2202" s="27"/>
    </row>
    <row r="2203" ht="15.75" customHeight="1">
      <c r="A2203" s="27"/>
      <c r="B2203" s="27"/>
      <c r="C2203" s="27"/>
      <c r="D2203" s="27"/>
      <c r="E2203" s="27"/>
      <c r="F2203" s="27"/>
      <c r="G2203" s="27"/>
      <c r="H2203" s="27"/>
      <c r="I2203" s="27"/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  <c r="Z2203" s="17"/>
      <c r="AA2203" s="17"/>
      <c r="AB2203" s="17"/>
      <c r="AC2203" s="17"/>
      <c r="AD2203" s="27"/>
    </row>
    <row r="2204" ht="15.75" customHeight="1">
      <c r="A2204" s="27"/>
      <c r="B2204" s="27"/>
      <c r="C2204" s="27"/>
      <c r="D2204" s="27"/>
      <c r="E2204" s="27"/>
      <c r="F2204" s="27"/>
      <c r="G2204" s="27"/>
      <c r="H2204" s="27"/>
      <c r="I2204" s="27"/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  <c r="T2204" s="27"/>
      <c r="U2204" s="27"/>
      <c r="V2204" s="27"/>
      <c r="W2204" s="27"/>
      <c r="X2204" s="27"/>
      <c r="Y2204" s="27"/>
      <c r="Z2204" s="17"/>
      <c r="AA2204" s="17"/>
      <c r="AB2204" s="17"/>
      <c r="AC2204" s="17"/>
      <c r="AD2204" s="27"/>
    </row>
    <row r="2205" ht="15.75" customHeight="1">
      <c r="A2205" s="27"/>
      <c r="B2205" s="27"/>
      <c r="C2205" s="27"/>
      <c r="D2205" s="27"/>
      <c r="E2205" s="27"/>
      <c r="F2205" s="27"/>
      <c r="G2205" s="27"/>
      <c r="H2205" s="27"/>
      <c r="I2205" s="27"/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  <c r="T2205" s="27"/>
      <c r="U2205" s="27"/>
      <c r="V2205" s="27"/>
      <c r="W2205" s="27"/>
      <c r="X2205" s="27"/>
      <c r="Y2205" s="27"/>
      <c r="Z2205" s="17"/>
      <c r="AA2205" s="17"/>
      <c r="AB2205" s="17"/>
      <c r="AC2205" s="17"/>
      <c r="AD2205" s="27"/>
    </row>
    <row r="2206" ht="15.75" customHeight="1">
      <c r="A2206" s="27"/>
      <c r="B2206" s="27"/>
      <c r="C2206" s="27"/>
      <c r="D2206" s="27"/>
      <c r="E2206" s="27"/>
      <c r="F2206" s="27"/>
      <c r="G2206" s="27"/>
      <c r="H2206" s="27"/>
      <c r="I2206" s="27"/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  <c r="T2206" s="27"/>
      <c r="U2206" s="27"/>
      <c r="V2206" s="27"/>
      <c r="W2206" s="27"/>
      <c r="X2206" s="27"/>
      <c r="Y2206" s="27"/>
      <c r="Z2206" s="17"/>
      <c r="AA2206" s="17"/>
      <c r="AB2206" s="17"/>
      <c r="AC2206" s="17"/>
      <c r="AD2206" s="27"/>
    </row>
    <row r="2207" ht="15.75" customHeight="1">
      <c r="A2207" s="27"/>
      <c r="B2207" s="27"/>
      <c r="C2207" s="27"/>
      <c r="D2207" s="27"/>
      <c r="E2207" s="27"/>
      <c r="F2207" s="27"/>
      <c r="G2207" s="27"/>
      <c r="H2207" s="27"/>
      <c r="I2207" s="27"/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7"/>
      <c r="X2207" s="27"/>
      <c r="Y2207" s="27"/>
      <c r="Z2207" s="17"/>
      <c r="AA2207" s="17"/>
      <c r="AB2207" s="17"/>
      <c r="AC2207" s="17"/>
      <c r="AD2207" s="27"/>
    </row>
    <row r="2208" ht="15.75" customHeight="1">
      <c r="A2208" s="27"/>
      <c r="B2208" s="27"/>
      <c r="C2208" s="27"/>
      <c r="D2208" s="27"/>
      <c r="E2208" s="27"/>
      <c r="F2208" s="27"/>
      <c r="G2208" s="27"/>
      <c r="H2208" s="27"/>
      <c r="I2208" s="27"/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7"/>
      <c r="X2208" s="27"/>
      <c r="Y2208" s="27"/>
      <c r="Z2208" s="17"/>
      <c r="AA2208" s="17"/>
      <c r="AB2208" s="17"/>
      <c r="AC2208" s="17"/>
      <c r="AD2208" s="27"/>
    </row>
    <row r="2209" ht="15.75" customHeight="1">
      <c r="A2209" s="27"/>
      <c r="B2209" s="27"/>
      <c r="C2209" s="27"/>
      <c r="D2209" s="27"/>
      <c r="E2209" s="27"/>
      <c r="F2209" s="27"/>
      <c r="G2209" s="27"/>
      <c r="H2209" s="27"/>
      <c r="I2209" s="27"/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  <c r="T2209" s="27"/>
      <c r="U2209" s="27"/>
      <c r="V2209" s="27"/>
      <c r="W2209" s="27"/>
      <c r="X2209" s="27"/>
      <c r="Y2209" s="27"/>
      <c r="Z2209" s="17"/>
      <c r="AA2209" s="17"/>
      <c r="AB2209" s="17"/>
      <c r="AC2209" s="17"/>
      <c r="AD2209" s="27"/>
    </row>
    <row r="2210" ht="15.75" customHeight="1">
      <c r="A2210" s="27"/>
      <c r="B2210" s="27"/>
      <c r="C2210" s="27"/>
      <c r="D2210" s="27"/>
      <c r="E2210" s="27"/>
      <c r="F2210" s="27"/>
      <c r="G2210" s="27"/>
      <c r="H2210" s="27"/>
      <c r="I2210" s="27"/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  <c r="T2210" s="27"/>
      <c r="U2210" s="27"/>
      <c r="V2210" s="27"/>
      <c r="W2210" s="27"/>
      <c r="X2210" s="27"/>
      <c r="Y2210" s="27"/>
      <c r="Z2210" s="17"/>
      <c r="AA2210" s="17"/>
      <c r="AB2210" s="17"/>
      <c r="AC2210" s="17"/>
      <c r="AD2210" s="27"/>
    </row>
    <row r="2211" ht="15.75" customHeight="1">
      <c r="A2211" s="27"/>
      <c r="B2211" s="27"/>
      <c r="C2211" s="27"/>
      <c r="D2211" s="27"/>
      <c r="E2211" s="27"/>
      <c r="F2211" s="27"/>
      <c r="G2211" s="27"/>
      <c r="H2211" s="27"/>
      <c r="I2211" s="27"/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  <c r="T2211" s="27"/>
      <c r="U2211" s="27"/>
      <c r="V2211" s="27"/>
      <c r="W2211" s="27"/>
      <c r="X2211" s="27"/>
      <c r="Y2211" s="27"/>
      <c r="Z2211" s="17"/>
      <c r="AA2211" s="17"/>
      <c r="AB2211" s="17"/>
      <c r="AC2211" s="17"/>
      <c r="AD2211" s="27"/>
    </row>
    <row r="2212" ht="15.75" customHeight="1">
      <c r="A2212" s="27"/>
      <c r="B2212" s="27"/>
      <c r="C2212" s="27"/>
      <c r="D2212" s="27"/>
      <c r="E2212" s="27"/>
      <c r="F2212" s="27"/>
      <c r="G2212" s="27"/>
      <c r="H2212" s="27"/>
      <c r="I2212" s="27"/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  <c r="Z2212" s="17"/>
      <c r="AA2212" s="17"/>
      <c r="AB2212" s="17"/>
      <c r="AC2212" s="17"/>
      <c r="AD2212" s="27"/>
    </row>
    <row r="2213" ht="15.75" customHeight="1">
      <c r="A2213" s="27"/>
      <c r="B2213" s="27"/>
      <c r="C2213" s="27"/>
      <c r="D2213" s="27"/>
      <c r="E2213" s="27"/>
      <c r="F2213" s="27"/>
      <c r="G2213" s="27"/>
      <c r="H2213" s="27"/>
      <c r="I2213" s="27"/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7"/>
      <c r="X2213" s="27"/>
      <c r="Y2213" s="27"/>
      <c r="Z2213" s="17"/>
      <c r="AA2213" s="17"/>
      <c r="AB2213" s="17"/>
      <c r="AC2213" s="17"/>
      <c r="AD2213" s="27"/>
    </row>
    <row r="2214" ht="15.75" customHeight="1">
      <c r="A2214" s="27"/>
      <c r="B2214" s="27"/>
      <c r="C2214" s="27"/>
      <c r="D2214" s="27"/>
      <c r="E2214" s="27"/>
      <c r="F2214" s="27"/>
      <c r="G2214" s="27"/>
      <c r="H2214" s="27"/>
      <c r="I2214" s="27"/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7"/>
      <c r="X2214" s="27"/>
      <c r="Y2214" s="27"/>
      <c r="Z2214" s="17"/>
      <c r="AA2214" s="17"/>
      <c r="AB2214" s="17"/>
      <c r="AC2214" s="17"/>
      <c r="AD2214" s="27"/>
    </row>
    <row r="2215" ht="15.75" customHeight="1">
      <c r="A2215" s="27"/>
      <c r="B2215" s="27"/>
      <c r="C2215" s="27"/>
      <c r="D2215" s="27"/>
      <c r="E2215" s="27"/>
      <c r="F2215" s="27"/>
      <c r="G2215" s="27"/>
      <c r="H2215" s="27"/>
      <c r="I2215" s="27"/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  <c r="Z2215" s="17"/>
      <c r="AA2215" s="17"/>
      <c r="AB2215" s="17"/>
      <c r="AC2215" s="17"/>
      <c r="AD2215" s="27"/>
    </row>
    <row r="2216" ht="15.75" customHeight="1">
      <c r="A2216" s="27"/>
      <c r="B2216" s="27"/>
      <c r="C2216" s="27"/>
      <c r="D2216" s="27"/>
      <c r="E2216" s="27"/>
      <c r="F2216" s="27"/>
      <c r="G2216" s="27"/>
      <c r="H2216" s="27"/>
      <c r="I2216" s="27"/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  <c r="T2216" s="27"/>
      <c r="U2216" s="27"/>
      <c r="V2216" s="27"/>
      <c r="W2216" s="27"/>
      <c r="X2216" s="27"/>
      <c r="Y2216" s="27"/>
      <c r="Z2216" s="17"/>
      <c r="AA2216" s="17"/>
      <c r="AB2216" s="17"/>
      <c r="AC2216" s="17"/>
      <c r="AD2216" s="27"/>
    </row>
    <row r="2217" ht="15.75" customHeight="1">
      <c r="A2217" s="27"/>
      <c r="B2217" s="27"/>
      <c r="C2217" s="27"/>
      <c r="D2217" s="27"/>
      <c r="E2217" s="27"/>
      <c r="F2217" s="27"/>
      <c r="G2217" s="27"/>
      <c r="H2217" s="27"/>
      <c r="I2217" s="27"/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  <c r="T2217" s="27"/>
      <c r="U2217" s="27"/>
      <c r="V2217" s="27"/>
      <c r="W2217" s="27"/>
      <c r="X2217" s="27"/>
      <c r="Y2217" s="27"/>
      <c r="Z2217" s="17"/>
      <c r="AA2217" s="17"/>
      <c r="AB2217" s="17"/>
      <c r="AC2217" s="17"/>
      <c r="AD2217" s="27"/>
    </row>
    <row r="2218" ht="15.75" customHeight="1">
      <c r="A2218" s="27"/>
      <c r="B2218" s="27"/>
      <c r="C2218" s="27"/>
      <c r="D2218" s="27"/>
      <c r="E2218" s="27"/>
      <c r="F2218" s="27"/>
      <c r="G2218" s="27"/>
      <c r="H2218" s="27"/>
      <c r="I2218" s="27"/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/>
      <c r="W2218" s="27"/>
      <c r="X2218" s="27"/>
      <c r="Y2218" s="27"/>
      <c r="Z2218" s="17"/>
      <c r="AA2218" s="17"/>
      <c r="AB2218" s="17"/>
      <c r="AC2218" s="17"/>
      <c r="AD2218" s="27"/>
    </row>
    <row r="2219" ht="15.75" customHeight="1">
      <c r="A2219" s="27"/>
      <c r="B2219" s="27"/>
      <c r="C2219" s="27"/>
      <c r="D2219" s="27"/>
      <c r="E2219" s="27"/>
      <c r="F2219" s="27"/>
      <c r="G2219" s="27"/>
      <c r="H2219" s="27"/>
      <c r="I2219" s="27"/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7"/>
      <c r="X2219" s="27"/>
      <c r="Y2219" s="27"/>
      <c r="Z2219" s="17"/>
      <c r="AA2219" s="17"/>
      <c r="AB2219" s="17"/>
      <c r="AC2219" s="17"/>
      <c r="AD2219" s="27"/>
    </row>
    <row r="2220" ht="15.75" customHeight="1">
      <c r="A2220" s="27"/>
      <c r="B2220" s="27"/>
      <c r="C2220" s="27"/>
      <c r="D2220" s="27"/>
      <c r="E2220" s="27"/>
      <c r="F2220" s="27"/>
      <c r="G2220" s="27"/>
      <c r="H2220" s="27"/>
      <c r="I2220" s="27"/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  <c r="Z2220" s="17"/>
      <c r="AA2220" s="17"/>
      <c r="AB2220" s="17"/>
      <c r="AC2220" s="17"/>
      <c r="AD2220" s="27"/>
    </row>
    <row r="2221" ht="15.75" customHeight="1">
      <c r="A2221" s="27"/>
      <c r="B2221" s="27"/>
      <c r="C2221" s="27"/>
      <c r="D2221" s="27"/>
      <c r="E2221" s="27"/>
      <c r="F2221" s="27"/>
      <c r="G2221" s="27"/>
      <c r="H2221" s="27"/>
      <c r="I2221" s="27"/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  <c r="Z2221" s="17"/>
      <c r="AA2221" s="17"/>
      <c r="AB2221" s="17"/>
      <c r="AC2221" s="17"/>
      <c r="AD2221" s="27"/>
    </row>
    <row r="2222" ht="15.75" customHeight="1">
      <c r="A2222" s="27"/>
      <c r="B2222" s="27"/>
      <c r="C2222" s="27"/>
      <c r="D2222" s="27"/>
      <c r="E2222" s="27"/>
      <c r="F2222" s="27"/>
      <c r="G2222" s="27"/>
      <c r="H2222" s="27"/>
      <c r="I2222" s="27"/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  <c r="Z2222" s="17"/>
      <c r="AA2222" s="17"/>
      <c r="AB2222" s="17"/>
      <c r="AC2222" s="17"/>
      <c r="AD2222" s="27"/>
    </row>
    <row r="2223" ht="15.75" customHeight="1">
      <c r="A2223" s="27"/>
      <c r="B2223" s="27"/>
      <c r="C2223" s="27"/>
      <c r="D2223" s="27"/>
      <c r="E2223" s="27"/>
      <c r="F2223" s="27"/>
      <c r="G2223" s="27"/>
      <c r="H2223" s="27"/>
      <c r="I2223" s="27"/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  <c r="Z2223" s="17"/>
      <c r="AA2223" s="17"/>
      <c r="AB2223" s="17"/>
      <c r="AC2223" s="17"/>
      <c r="AD2223" s="27"/>
    </row>
    <row r="2224" ht="15.75" customHeight="1">
      <c r="A2224" s="27"/>
      <c r="B2224" s="27"/>
      <c r="C2224" s="27"/>
      <c r="D2224" s="27"/>
      <c r="E2224" s="27"/>
      <c r="F2224" s="27"/>
      <c r="G2224" s="27"/>
      <c r="H2224" s="27"/>
      <c r="I2224" s="27"/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  <c r="T2224" s="27"/>
      <c r="U2224" s="27"/>
      <c r="V2224" s="27"/>
      <c r="W2224" s="27"/>
      <c r="X2224" s="27"/>
      <c r="Y2224" s="27"/>
      <c r="Z2224" s="17"/>
      <c r="AA2224" s="17"/>
      <c r="AB2224" s="17"/>
      <c r="AC2224" s="17"/>
      <c r="AD2224" s="27"/>
    </row>
    <row r="2225" ht="15.75" customHeight="1">
      <c r="A2225" s="27"/>
      <c r="B2225" s="27"/>
      <c r="C2225" s="27"/>
      <c r="D2225" s="27"/>
      <c r="E2225" s="27"/>
      <c r="F2225" s="27"/>
      <c r="G2225" s="27"/>
      <c r="H2225" s="27"/>
      <c r="I2225" s="27"/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  <c r="T2225" s="27"/>
      <c r="U2225" s="27"/>
      <c r="V2225" s="27"/>
      <c r="W2225" s="27"/>
      <c r="X2225" s="27"/>
      <c r="Y2225" s="27"/>
      <c r="Z2225" s="17"/>
      <c r="AA2225" s="17"/>
      <c r="AB2225" s="17"/>
      <c r="AC2225" s="17"/>
      <c r="AD2225" s="27"/>
    </row>
    <row r="2226" ht="15.75" customHeight="1">
      <c r="A2226" s="27"/>
      <c r="B2226" s="27"/>
      <c r="C2226" s="27"/>
      <c r="D2226" s="27"/>
      <c r="E2226" s="27"/>
      <c r="F2226" s="27"/>
      <c r="G2226" s="27"/>
      <c r="H2226" s="27"/>
      <c r="I2226" s="27"/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17"/>
      <c r="AA2226" s="17"/>
      <c r="AB2226" s="17"/>
      <c r="AC2226" s="17"/>
      <c r="AD2226" s="27"/>
    </row>
    <row r="2227" ht="15.75" customHeight="1">
      <c r="A2227" s="27"/>
      <c r="B2227" s="27"/>
      <c r="C2227" s="27"/>
      <c r="D2227" s="27"/>
      <c r="E2227" s="27"/>
      <c r="F2227" s="27"/>
      <c r="G2227" s="27"/>
      <c r="H2227" s="27"/>
      <c r="I2227" s="27"/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17"/>
      <c r="AA2227" s="17"/>
      <c r="AB2227" s="17"/>
      <c r="AC2227" s="17"/>
      <c r="AD2227" s="27"/>
    </row>
    <row r="2228" ht="15.75" customHeight="1">
      <c r="A2228" s="27"/>
      <c r="B2228" s="27"/>
      <c r="C2228" s="27"/>
      <c r="D2228" s="27"/>
      <c r="E2228" s="27"/>
      <c r="F2228" s="27"/>
      <c r="G2228" s="27"/>
      <c r="H2228" s="27"/>
      <c r="I2228" s="27"/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17"/>
      <c r="AA2228" s="17"/>
      <c r="AB2228" s="17"/>
      <c r="AC2228" s="17"/>
      <c r="AD2228" s="27"/>
    </row>
    <row r="2229" ht="15.75" customHeight="1">
      <c r="A2229" s="27"/>
      <c r="B2229" s="27"/>
      <c r="C2229" s="27"/>
      <c r="D2229" s="27"/>
      <c r="E2229" s="27"/>
      <c r="F2229" s="27"/>
      <c r="G2229" s="27"/>
      <c r="H2229" s="27"/>
      <c r="I2229" s="27"/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7"/>
      <c r="X2229" s="27"/>
      <c r="Y2229" s="27"/>
      <c r="Z2229" s="17"/>
      <c r="AA2229" s="17"/>
      <c r="AB2229" s="17"/>
      <c r="AC2229" s="17"/>
      <c r="AD2229" s="27"/>
    </row>
    <row r="2230" ht="15.75" customHeight="1">
      <c r="A2230" s="27"/>
      <c r="B2230" s="27"/>
      <c r="C2230" s="27"/>
      <c r="D2230" s="27"/>
      <c r="E2230" s="27"/>
      <c r="F2230" s="27"/>
      <c r="G2230" s="27"/>
      <c r="H2230" s="27"/>
      <c r="I2230" s="27"/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17"/>
      <c r="AA2230" s="17"/>
      <c r="AB2230" s="17"/>
      <c r="AC2230" s="17"/>
      <c r="AD2230" s="27"/>
    </row>
    <row r="2231" ht="15.75" customHeight="1">
      <c r="A2231" s="27"/>
      <c r="B2231" s="27"/>
      <c r="C2231" s="27"/>
      <c r="D2231" s="27"/>
      <c r="E2231" s="27"/>
      <c r="F2231" s="27"/>
      <c r="G2231" s="27"/>
      <c r="H2231" s="27"/>
      <c r="I2231" s="27"/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  <c r="T2231" s="27"/>
      <c r="U2231" s="27"/>
      <c r="V2231" s="27"/>
      <c r="W2231" s="27"/>
      <c r="X2231" s="27"/>
      <c r="Y2231" s="27"/>
      <c r="Z2231" s="17"/>
      <c r="AA2231" s="17"/>
      <c r="AB2231" s="17"/>
      <c r="AC2231" s="17"/>
      <c r="AD2231" s="27"/>
    </row>
    <row r="2232" ht="15.75" customHeight="1">
      <c r="A2232" s="27"/>
      <c r="B2232" s="27"/>
      <c r="C2232" s="27"/>
      <c r="D2232" s="27"/>
      <c r="E2232" s="27"/>
      <c r="F2232" s="27"/>
      <c r="G2232" s="27"/>
      <c r="H2232" s="27"/>
      <c r="I2232" s="27"/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7"/>
      <c r="X2232" s="27"/>
      <c r="Y2232" s="27"/>
      <c r="Z2232" s="17"/>
      <c r="AA2232" s="17"/>
      <c r="AB2232" s="17"/>
      <c r="AC2232" s="17"/>
      <c r="AD2232" s="27"/>
    </row>
    <row r="2233" ht="15.75" customHeight="1">
      <c r="A2233" s="27"/>
      <c r="B2233" s="27"/>
      <c r="C2233" s="27"/>
      <c r="D2233" s="27"/>
      <c r="E2233" s="27"/>
      <c r="F2233" s="27"/>
      <c r="G2233" s="27"/>
      <c r="H2233" s="27"/>
      <c r="I2233" s="27"/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  <c r="T2233" s="27"/>
      <c r="U2233" s="27"/>
      <c r="V2233" s="27"/>
      <c r="W2233" s="27"/>
      <c r="X2233" s="27"/>
      <c r="Y2233" s="27"/>
      <c r="Z2233" s="17"/>
      <c r="AA2233" s="17"/>
      <c r="AB2233" s="17"/>
      <c r="AC2233" s="17"/>
      <c r="AD2233" s="27"/>
    </row>
    <row r="2234" ht="15.75" customHeight="1">
      <c r="A2234" s="27"/>
      <c r="B2234" s="27"/>
      <c r="C2234" s="27"/>
      <c r="D2234" s="27"/>
      <c r="E2234" s="27"/>
      <c r="F2234" s="27"/>
      <c r="G2234" s="27"/>
      <c r="H2234" s="27"/>
      <c r="I2234" s="27"/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  <c r="T2234" s="27"/>
      <c r="U2234" s="27"/>
      <c r="V2234" s="27"/>
      <c r="W2234" s="27"/>
      <c r="X2234" s="27"/>
      <c r="Y2234" s="27"/>
      <c r="Z2234" s="17"/>
      <c r="AA2234" s="17"/>
      <c r="AB2234" s="17"/>
      <c r="AC2234" s="17"/>
      <c r="AD2234" s="27"/>
    </row>
    <row r="2235" ht="15.75" customHeight="1">
      <c r="A2235" s="27"/>
      <c r="B2235" s="27"/>
      <c r="C2235" s="27"/>
      <c r="D2235" s="27"/>
      <c r="E2235" s="27"/>
      <c r="F2235" s="27"/>
      <c r="G2235" s="27"/>
      <c r="H2235" s="27"/>
      <c r="I2235" s="27"/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  <c r="T2235" s="27"/>
      <c r="U2235" s="27"/>
      <c r="V2235" s="27"/>
      <c r="W2235" s="27"/>
      <c r="X2235" s="27"/>
      <c r="Y2235" s="27"/>
      <c r="Z2235" s="17"/>
      <c r="AA2235" s="17"/>
      <c r="AB2235" s="17"/>
      <c r="AC2235" s="17"/>
      <c r="AD2235" s="27"/>
    </row>
    <row r="2236" ht="15.75" customHeight="1">
      <c r="A2236" s="27"/>
      <c r="B2236" s="27"/>
      <c r="C2236" s="27"/>
      <c r="D2236" s="27"/>
      <c r="E2236" s="27"/>
      <c r="F2236" s="27"/>
      <c r="G2236" s="27"/>
      <c r="H2236" s="27"/>
      <c r="I2236" s="27"/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  <c r="T2236" s="27"/>
      <c r="U2236" s="27"/>
      <c r="V2236" s="27"/>
      <c r="W2236" s="27"/>
      <c r="X2236" s="27"/>
      <c r="Y2236" s="27"/>
      <c r="Z2236" s="17"/>
      <c r="AA2236" s="17"/>
      <c r="AB2236" s="17"/>
      <c r="AC2236" s="17"/>
      <c r="AD2236" s="27"/>
    </row>
    <row r="2237" ht="15.75" customHeight="1">
      <c r="A2237" s="27"/>
      <c r="B2237" s="27"/>
      <c r="C2237" s="27"/>
      <c r="D2237" s="27"/>
      <c r="E2237" s="27"/>
      <c r="F2237" s="27"/>
      <c r="G2237" s="27"/>
      <c r="H2237" s="27"/>
      <c r="I2237" s="27"/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  <c r="T2237" s="27"/>
      <c r="U2237" s="27"/>
      <c r="V2237" s="27"/>
      <c r="W2237" s="27"/>
      <c r="X2237" s="27"/>
      <c r="Y2237" s="27"/>
      <c r="Z2237" s="17"/>
      <c r="AA2237" s="17"/>
      <c r="AB2237" s="17"/>
      <c r="AC2237" s="17"/>
      <c r="AD2237" s="27"/>
    </row>
    <row r="2238" ht="15.75" customHeight="1">
      <c r="A2238" s="27"/>
      <c r="B2238" s="27"/>
      <c r="C2238" s="27"/>
      <c r="D2238" s="27"/>
      <c r="E2238" s="27"/>
      <c r="F2238" s="27"/>
      <c r="G2238" s="27"/>
      <c r="H2238" s="27"/>
      <c r="I2238" s="27"/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  <c r="T2238" s="27"/>
      <c r="U2238" s="27"/>
      <c r="V2238" s="27"/>
      <c r="W2238" s="27"/>
      <c r="X2238" s="27"/>
      <c r="Y2238" s="27"/>
      <c r="Z2238" s="17"/>
      <c r="AA2238" s="17"/>
      <c r="AB2238" s="17"/>
      <c r="AC2238" s="17"/>
      <c r="AD2238" s="27"/>
    </row>
    <row r="2239" ht="15.75" customHeight="1">
      <c r="A2239" s="27"/>
      <c r="B2239" s="27"/>
      <c r="C2239" s="27"/>
      <c r="D2239" s="27"/>
      <c r="E2239" s="27"/>
      <c r="F2239" s="27"/>
      <c r="G2239" s="27"/>
      <c r="H2239" s="27"/>
      <c r="I2239" s="27"/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/>
      <c r="W2239" s="27"/>
      <c r="X2239" s="27"/>
      <c r="Y2239" s="27"/>
      <c r="Z2239" s="17"/>
      <c r="AA2239" s="17"/>
      <c r="AB2239" s="17"/>
      <c r="AC2239" s="17"/>
      <c r="AD2239" s="27"/>
    </row>
    <row r="2240" ht="15.75" customHeight="1">
      <c r="A2240" s="27"/>
      <c r="B2240" s="27"/>
      <c r="C2240" s="27"/>
      <c r="D2240" s="27"/>
      <c r="E2240" s="27"/>
      <c r="F2240" s="27"/>
      <c r="G2240" s="27"/>
      <c r="H2240" s="27"/>
      <c r="I2240" s="27"/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7"/>
      <c r="X2240" s="27"/>
      <c r="Y2240" s="27"/>
      <c r="Z2240" s="17"/>
      <c r="AA2240" s="17"/>
      <c r="AB2240" s="17"/>
      <c r="AC2240" s="17"/>
      <c r="AD2240" s="27"/>
    </row>
    <row r="2241" ht="15.75" customHeight="1">
      <c r="A2241" s="27"/>
      <c r="B2241" s="27"/>
      <c r="C2241" s="27"/>
      <c r="D2241" s="27"/>
      <c r="E2241" s="27"/>
      <c r="F2241" s="27"/>
      <c r="G2241" s="27"/>
      <c r="H2241" s="27"/>
      <c r="I2241" s="27"/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7"/>
      <c r="X2241" s="27"/>
      <c r="Y2241" s="27"/>
      <c r="Z2241" s="17"/>
      <c r="AA2241" s="17"/>
      <c r="AB2241" s="17"/>
      <c r="AC2241" s="17"/>
      <c r="AD2241" s="27"/>
    </row>
    <row r="2242" ht="15.75" customHeight="1">
      <c r="A2242" s="27"/>
      <c r="B2242" s="27"/>
      <c r="C2242" s="27"/>
      <c r="D2242" s="27"/>
      <c r="E2242" s="27"/>
      <c r="F2242" s="27"/>
      <c r="G2242" s="27"/>
      <c r="H2242" s="27"/>
      <c r="I2242" s="27"/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  <c r="Z2242" s="17"/>
      <c r="AA2242" s="17"/>
      <c r="AB2242" s="17"/>
      <c r="AC2242" s="17"/>
      <c r="AD2242" s="27"/>
    </row>
    <row r="2243" ht="15.75" customHeight="1">
      <c r="A2243" s="27"/>
      <c r="B2243" s="27"/>
      <c r="C2243" s="27"/>
      <c r="D2243" s="27"/>
      <c r="E2243" s="27"/>
      <c r="F2243" s="27"/>
      <c r="G2243" s="27"/>
      <c r="H2243" s="27"/>
      <c r="I2243" s="27"/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  <c r="T2243" s="27"/>
      <c r="U2243" s="27"/>
      <c r="V2243" s="27"/>
      <c r="W2243" s="27"/>
      <c r="X2243" s="27"/>
      <c r="Y2243" s="27"/>
      <c r="Z2243" s="17"/>
      <c r="AA2243" s="17"/>
      <c r="AB2243" s="17"/>
      <c r="AC2243" s="17"/>
      <c r="AD2243" s="27"/>
    </row>
    <row r="2244" ht="15.75" customHeight="1">
      <c r="A2244" s="27"/>
      <c r="B2244" s="27"/>
      <c r="C2244" s="27"/>
      <c r="D2244" s="27"/>
      <c r="E2244" s="27"/>
      <c r="F2244" s="27"/>
      <c r="G2244" s="27"/>
      <c r="H2244" s="27"/>
      <c r="I2244" s="27"/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  <c r="T2244" s="27"/>
      <c r="U2244" s="27"/>
      <c r="V2244" s="27"/>
      <c r="W2244" s="27"/>
      <c r="X2244" s="27"/>
      <c r="Y2244" s="27"/>
      <c r="Z2244" s="17"/>
      <c r="AA2244" s="17"/>
      <c r="AB2244" s="17"/>
      <c r="AC2244" s="17"/>
      <c r="AD2244" s="27"/>
    </row>
    <row r="2245" ht="15.75" customHeight="1">
      <c r="A2245" s="27"/>
      <c r="B2245" s="27"/>
      <c r="C2245" s="27"/>
      <c r="D2245" s="27"/>
      <c r="E2245" s="27"/>
      <c r="F2245" s="27"/>
      <c r="G2245" s="27"/>
      <c r="H2245" s="27"/>
      <c r="I2245" s="27"/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  <c r="T2245" s="27"/>
      <c r="U2245" s="27"/>
      <c r="V2245" s="27"/>
      <c r="W2245" s="27"/>
      <c r="X2245" s="27"/>
      <c r="Y2245" s="27"/>
      <c r="Z2245" s="17"/>
      <c r="AA2245" s="17"/>
      <c r="AB2245" s="17"/>
      <c r="AC2245" s="17"/>
      <c r="AD2245" s="27"/>
    </row>
    <row r="2246" ht="15.75" customHeight="1">
      <c r="A2246" s="27"/>
      <c r="B2246" s="27"/>
      <c r="C2246" s="27"/>
      <c r="D2246" s="27"/>
      <c r="E2246" s="27"/>
      <c r="F2246" s="27"/>
      <c r="G2246" s="27"/>
      <c r="H2246" s="27"/>
      <c r="I2246" s="27"/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7"/>
      <c r="X2246" s="27"/>
      <c r="Y2246" s="27"/>
      <c r="Z2246" s="17"/>
      <c r="AA2246" s="17"/>
      <c r="AB2246" s="17"/>
      <c r="AC2246" s="17"/>
      <c r="AD2246" s="27"/>
    </row>
    <row r="2247" ht="15.75" customHeight="1">
      <c r="A2247" s="27"/>
      <c r="B2247" s="27"/>
      <c r="C2247" s="27"/>
      <c r="D2247" s="27"/>
      <c r="E2247" s="27"/>
      <c r="F2247" s="27"/>
      <c r="G2247" s="27"/>
      <c r="H2247" s="27"/>
      <c r="I2247" s="27"/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7"/>
      <c r="X2247" s="27"/>
      <c r="Y2247" s="27"/>
      <c r="Z2247" s="17"/>
      <c r="AA2247" s="17"/>
      <c r="AB2247" s="17"/>
      <c r="AC2247" s="17"/>
      <c r="AD2247" s="27"/>
    </row>
    <row r="2248" ht="15.75" customHeight="1">
      <c r="A2248" s="27"/>
      <c r="B2248" s="27"/>
      <c r="C2248" s="27"/>
      <c r="D2248" s="27"/>
      <c r="E2248" s="27"/>
      <c r="F2248" s="27"/>
      <c r="G2248" s="27"/>
      <c r="H2248" s="27"/>
      <c r="I2248" s="27"/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  <c r="T2248" s="27"/>
      <c r="U2248" s="27"/>
      <c r="V2248" s="27"/>
      <c r="W2248" s="27"/>
      <c r="X2248" s="27"/>
      <c r="Y2248" s="27"/>
      <c r="Z2248" s="17"/>
      <c r="AA2248" s="17"/>
      <c r="AB2248" s="17"/>
      <c r="AC2248" s="17"/>
      <c r="AD2248" s="27"/>
    </row>
    <row r="2249" ht="15.75" customHeight="1">
      <c r="A2249" s="27"/>
      <c r="B2249" s="27"/>
      <c r="C2249" s="27"/>
      <c r="D2249" s="27"/>
      <c r="E2249" s="27"/>
      <c r="F2249" s="27"/>
      <c r="G2249" s="27"/>
      <c r="H2249" s="27"/>
      <c r="I2249" s="27"/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7"/>
      <c r="X2249" s="27"/>
      <c r="Y2249" s="27"/>
      <c r="Z2249" s="17"/>
      <c r="AA2249" s="17"/>
      <c r="AB2249" s="17"/>
      <c r="AC2249" s="17"/>
      <c r="AD2249" s="27"/>
    </row>
    <row r="2250" ht="15.75" customHeight="1">
      <c r="A2250" s="27"/>
      <c r="B2250" s="27"/>
      <c r="C2250" s="27"/>
      <c r="D2250" s="27"/>
      <c r="E2250" s="27"/>
      <c r="F2250" s="27"/>
      <c r="G2250" s="27"/>
      <c r="H2250" s="27"/>
      <c r="I2250" s="27"/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/>
      <c r="W2250" s="27"/>
      <c r="X2250" s="27"/>
      <c r="Y2250" s="27"/>
      <c r="Z2250" s="17"/>
      <c r="AA2250" s="17"/>
      <c r="AB2250" s="17"/>
      <c r="AC2250" s="17"/>
      <c r="AD2250" s="27"/>
    </row>
    <row r="2251" ht="15.75" customHeight="1">
      <c r="A2251" s="27"/>
      <c r="B2251" s="27"/>
      <c r="C2251" s="27"/>
      <c r="D2251" s="27"/>
      <c r="E2251" s="27"/>
      <c r="F2251" s="27"/>
      <c r="G2251" s="27"/>
      <c r="H2251" s="27"/>
      <c r="I2251" s="27"/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  <c r="Z2251" s="17"/>
      <c r="AA2251" s="17"/>
      <c r="AB2251" s="17"/>
      <c r="AC2251" s="17"/>
      <c r="AD2251" s="27"/>
    </row>
    <row r="2252" ht="15.75" customHeight="1">
      <c r="A2252" s="27"/>
      <c r="B2252" s="27"/>
      <c r="C2252" s="27"/>
      <c r="D2252" s="27"/>
      <c r="E2252" s="27"/>
      <c r="F2252" s="27"/>
      <c r="G2252" s="27"/>
      <c r="H2252" s="27"/>
      <c r="I2252" s="27"/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7"/>
      <c r="X2252" s="27"/>
      <c r="Y2252" s="27"/>
      <c r="Z2252" s="17"/>
      <c r="AA2252" s="17"/>
      <c r="AB2252" s="17"/>
      <c r="AC2252" s="17"/>
      <c r="AD2252" s="27"/>
    </row>
    <row r="2253" ht="15.75" customHeight="1">
      <c r="A2253" s="27"/>
      <c r="B2253" s="27"/>
      <c r="C2253" s="27"/>
      <c r="D2253" s="27"/>
      <c r="E2253" s="27"/>
      <c r="F2253" s="27"/>
      <c r="G2253" s="27"/>
      <c r="H2253" s="27"/>
      <c r="I2253" s="27"/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7"/>
      <c r="X2253" s="27"/>
      <c r="Y2253" s="27"/>
      <c r="Z2253" s="17"/>
      <c r="AA2253" s="17"/>
      <c r="AB2253" s="17"/>
      <c r="AC2253" s="17"/>
      <c r="AD2253" s="27"/>
    </row>
    <row r="2254" ht="15.75" customHeight="1">
      <c r="A2254" s="27"/>
      <c r="B2254" s="27"/>
      <c r="C2254" s="27"/>
      <c r="D2254" s="27"/>
      <c r="E2254" s="27"/>
      <c r="F2254" s="27"/>
      <c r="G2254" s="27"/>
      <c r="H2254" s="27"/>
      <c r="I2254" s="27"/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7"/>
      <c r="X2254" s="27"/>
      <c r="Y2254" s="27"/>
      <c r="Z2254" s="17"/>
      <c r="AA2254" s="17"/>
      <c r="AB2254" s="17"/>
      <c r="AC2254" s="17"/>
      <c r="AD2254" s="27"/>
    </row>
    <row r="2255" ht="15.75" customHeight="1">
      <c r="A2255" s="27"/>
      <c r="B2255" s="27"/>
      <c r="C2255" s="27"/>
      <c r="D2255" s="27"/>
      <c r="E2255" s="27"/>
      <c r="F2255" s="27"/>
      <c r="G2255" s="27"/>
      <c r="H2255" s="27"/>
      <c r="I2255" s="27"/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17"/>
      <c r="AA2255" s="17"/>
      <c r="AB2255" s="17"/>
      <c r="AC2255" s="17"/>
      <c r="AD2255" s="27"/>
    </row>
    <row r="2256" ht="15.75" customHeight="1">
      <c r="A2256" s="27"/>
      <c r="B2256" s="27"/>
      <c r="C2256" s="27"/>
      <c r="D2256" s="27"/>
      <c r="E2256" s="27"/>
      <c r="F2256" s="27"/>
      <c r="G2256" s="27"/>
      <c r="H2256" s="27"/>
      <c r="I2256" s="27"/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  <c r="Z2256" s="17"/>
      <c r="AA2256" s="17"/>
      <c r="AB2256" s="17"/>
      <c r="AC2256" s="17"/>
      <c r="AD2256" s="27"/>
    </row>
    <row r="2257" ht="15.75" customHeight="1">
      <c r="A2257" s="27"/>
      <c r="B2257" s="27"/>
      <c r="C2257" s="27"/>
      <c r="D2257" s="27"/>
      <c r="E2257" s="27"/>
      <c r="F2257" s="27"/>
      <c r="G2257" s="27"/>
      <c r="H2257" s="27"/>
      <c r="I2257" s="27"/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  <c r="T2257" s="27"/>
      <c r="U2257" s="27"/>
      <c r="V2257" s="27"/>
      <c r="W2257" s="27"/>
      <c r="X2257" s="27"/>
      <c r="Y2257" s="27"/>
      <c r="Z2257" s="17"/>
      <c r="AA2257" s="17"/>
      <c r="AB2257" s="17"/>
      <c r="AC2257" s="17"/>
      <c r="AD2257" s="27"/>
    </row>
    <row r="2258" ht="15.75" customHeight="1">
      <c r="A2258" s="27"/>
      <c r="B2258" s="27"/>
      <c r="C2258" s="27"/>
      <c r="D2258" s="27"/>
      <c r="E2258" s="27"/>
      <c r="F2258" s="27"/>
      <c r="G2258" s="27"/>
      <c r="H2258" s="27"/>
      <c r="I2258" s="27"/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  <c r="T2258" s="27"/>
      <c r="U2258" s="27"/>
      <c r="V2258" s="27"/>
      <c r="W2258" s="27"/>
      <c r="X2258" s="27"/>
      <c r="Y2258" s="27"/>
      <c r="Z2258" s="17"/>
      <c r="AA2258" s="17"/>
      <c r="AB2258" s="17"/>
      <c r="AC2258" s="17"/>
      <c r="AD2258" s="27"/>
    </row>
    <row r="2259" ht="15.75" customHeight="1">
      <c r="A2259" s="27"/>
      <c r="B2259" s="27"/>
      <c r="C2259" s="27"/>
      <c r="D2259" s="27"/>
      <c r="E2259" s="27"/>
      <c r="F2259" s="27"/>
      <c r="G2259" s="27"/>
      <c r="H2259" s="27"/>
      <c r="I2259" s="27"/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  <c r="T2259" s="27"/>
      <c r="U2259" s="27"/>
      <c r="V2259" s="27"/>
      <c r="W2259" s="27"/>
      <c r="X2259" s="27"/>
      <c r="Y2259" s="27"/>
      <c r="Z2259" s="17"/>
      <c r="AA2259" s="17"/>
      <c r="AB2259" s="17"/>
      <c r="AC2259" s="17"/>
      <c r="AD2259" s="27"/>
    </row>
    <row r="2260" ht="15.75" customHeight="1">
      <c r="A2260" s="27"/>
      <c r="B2260" s="27"/>
      <c r="C2260" s="27"/>
      <c r="D2260" s="27"/>
      <c r="E2260" s="27"/>
      <c r="F2260" s="27"/>
      <c r="G2260" s="27"/>
      <c r="H2260" s="27"/>
      <c r="I2260" s="27"/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/>
      <c r="W2260" s="27"/>
      <c r="X2260" s="27"/>
      <c r="Y2260" s="27"/>
      <c r="Z2260" s="17"/>
      <c r="AA2260" s="17"/>
      <c r="AB2260" s="17"/>
      <c r="AC2260" s="17"/>
      <c r="AD2260" s="27"/>
    </row>
    <row r="2261" ht="15.75" customHeight="1">
      <c r="A2261" s="27"/>
      <c r="B2261" s="27"/>
      <c r="C2261" s="27"/>
      <c r="D2261" s="27"/>
      <c r="E2261" s="27"/>
      <c r="F2261" s="27"/>
      <c r="G2261" s="27"/>
      <c r="H2261" s="27"/>
      <c r="I2261" s="27"/>
      <c r="J2261" s="27"/>
      <c r="K2261" s="27"/>
      <c r="L2261" s="27"/>
      <c r="M2261" s="27"/>
      <c r="N2261" s="27"/>
      <c r="O2261" s="27"/>
      <c r="P2261" s="27"/>
      <c r="Q2261" s="27"/>
      <c r="R2261" s="27"/>
      <c r="S2261" s="27"/>
      <c r="T2261" s="27"/>
      <c r="U2261" s="27"/>
      <c r="V2261" s="27"/>
      <c r="W2261" s="27"/>
      <c r="X2261" s="27"/>
      <c r="Y2261" s="27"/>
      <c r="Z2261" s="17"/>
      <c r="AA2261" s="17"/>
      <c r="AB2261" s="17"/>
      <c r="AC2261" s="17"/>
      <c r="AD2261" s="27"/>
    </row>
    <row r="2262" ht="15.75" customHeight="1">
      <c r="A2262" s="27"/>
      <c r="B2262" s="27"/>
      <c r="C2262" s="27"/>
      <c r="D2262" s="27"/>
      <c r="E2262" s="27"/>
      <c r="F2262" s="27"/>
      <c r="G2262" s="27"/>
      <c r="H2262" s="27"/>
      <c r="I2262" s="27"/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  <c r="Z2262" s="17"/>
      <c r="AA2262" s="17"/>
      <c r="AB2262" s="17"/>
      <c r="AC2262" s="17"/>
      <c r="AD2262" s="27"/>
    </row>
    <row r="2263" ht="15.75" customHeight="1">
      <c r="A2263" s="27"/>
      <c r="B2263" s="27"/>
      <c r="C2263" s="27"/>
      <c r="D2263" s="27"/>
      <c r="E2263" s="27"/>
      <c r="F2263" s="27"/>
      <c r="G2263" s="27"/>
      <c r="H2263" s="27"/>
      <c r="I2263" s="27"/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17"/>
      <c r="AA2263" s="17"/>
      <c r="AB2263" s="17"/>
      <c r="AC2263" s="17"/>
      <c r="AD2263" s="27"/>
    </row>
    <row r="2264" ht="15.75" customHeight="1">
      <c r="A2264" s="27"/>
      <c r="B2264" s="27"/>
      <c r="C2264" s="27"/>
      <c r="D2264" s="27"/>
      <c r="E2264" s="27"/>
      <c r="F2264" s="27"/>
      <c r="G2264" s="27"/>
      <c r="H2264" s="27"/>
      <c r="I2264" s="27"/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7"/>
      <c r="X2264" s="27"/>
      <c r="Y2264" s="27"/>
      <c r="Z2264" s="17"/>
      <c r="AA2264" s="17"/>
      <c r="AB2264" s="17"/>
      <c r="AC2264" s="17"/>
      <c r="AD2264" s="27"/>
    </row>
    <row r="2265" ht="15.75" customHeight="1">
      <c r="A2265" s="27"/>
      <c r="B2265" s="27"/>
      <c r="C2265" s="27"/>
      <c r="D2265" s="27"/>
      <c r="E2265" s="27"/>
      <c r="F2265" s="27"/>
      <c r="G2265" s="27"/>
      <c r="H2265" s="27"/>
      <c r="I2265" s="27"/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17"/>
      <c r="AA2265" s="17"/>
      <c r="AB2265" s="17"/>
      <c r="AC2265" s="17"/>
      <c r="AD2265" s="27"/>
    </row>
    <row r="2266" ht="15.75" customHeight="1">
      <c r="A2266" s="27"/>
      <c r="B2266" s="27"/>
      <c r="C2266" s="27"/>
      <c r="D2266" s="27"/>
      <c r="E2266" s="27"/>
      <c r="F2266" s="27"/>
      <c r="G2266" s="27"/>
      <c r="H2266" s="27"/>
      <c r="I2266" s="27"/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17"/>
      <c r="AA2266" s="17"/>
      <c r="AB2266" s="17"/>
      <c r="AC2266" s="17"/>
      <c r="AD2266" s="27"/>
    </row>
    <row r="2267" ht="15.75" customHeight="1">
      <c r="A2267" s="27"/>
      <c r="B2267" s="27"/>
      <c r="C2267" s="27"/>
      <c r="D2267" s="27"/>
      <c r="E2267" s="27"/>
      <c r="F2267" s="27"/>
      <c r="G2267" s="27"/>
      <c r="H2267" s="27"/>
      <c r="I2267" s="27"/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  <c r="T2267" s="27"/>
      <c r="U2267" s="27"/>
      <c r="V2267" s="27"/>
      <c r="W2267" s="27"/>
      <c r="X2267" s="27"/>
      <c r="Y2267" s="27"/>
      <c r="Z2267" s="17"/>
      <c r="AA2267" s="17"/>
      <c r="AB2267" s="17"/>
      <c r="AC2267" s="17"/>
      <c r="AD2267" s="27"/>
    </row>
    <row r="2268" ht="15.75" customHeight="1">
      <c r="A2268" s="27"/>
      <c r="B2268" s="27"/>
      <c r="C2268" s="27"/>
      <c r="D2268" s="27"/>
      <c r="E2268" s="27"/>
      <c r="F2268" s="27"/>
      <c r="G2268" s="27"/>
      <c r="H2268" s="27"/>
      <c r="I2268" s="27"/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17"/>
      <c r="AA2268" s="17"/>
      <c r="AB2268" s="17"/>
      <c r="AC2268" s="17"/>
      <c r="AD2268" s="27"/>
    </row>
    <row r="2269" ht="15.75" customHeight="1">
      <c r="A2269" s="27"/>
      <c r="B2269" s="27"/>
      <c r="C2269" s="27"/>
      <c r="D2269" s="27"/>
      <c r="E2269" s="27"/>
      <c r="F2269" s="27"/>
      <c r="G2269" s="27"/>
      <c r="H2269" s="27"/>
      <c r="I2269" s="27"/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7"/>
      <c r="X2269" s="27"/>
      <c r="Y2269" s="27"/>
      <c r="Z2269" s="17"/>
      <c r="AA2269" s="17"/>
      <c r="AB2269" s="17"/>
      <c r="AC2269" s="17"/>
      <c r="AD2269" s="27"/>
    </row>
    <row r="2270" ht="15.75" customHeight="1">
      <c r="A2270" s="27"/>
      <c r="B2270" s="27"/>
      <c r="C2270" s="27"/>
      <c r="D2270" s="27"/>
      <c r="E2270" s="27"/>
      <c r="F2270" s="27"/>
      <c r="G2270" s="27"/>
      <c r="H2270" s="27"/>
      <c r="I2270" s="27"/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  <c r="Z2270" s="17"/>
      <c r="AA2270" s="17"/>
      <c r="AB2270" s="17"/>
      <c r="AC2270" s="17"/>
      <c r="AD2270" s="27"/>
    </row>
    <row r="2271" ht="15.75" customHeight="1">
      <c r="A2271" s="27"/>
      <c r="B2271" s="27"/>
      <c r="C2271" s="27"/>
      <c r="D2271" s="27"/>
      <c r="E2271" s="27"/>
      <c r="F2271" s="27"/>
      <c r="G2271" s="27"/>
      <c r="H2271" s="27"/>
      <c r="I2271" s="27"/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17"/>
      <c r="AA2271" s="17"/>
      <c r="AB2271" s="17"/>
      <c r="AC2271" s="17"/>
      <c r="AD2271" s="27"/>
    </row>
    <row r="2272" ht="15.75" customHeight="1">
      <c r="A2272" s="27"/>
      <c r="B2272" s="27"/>
      <c r="C2272" s="27"/>
      <c r="D2272" s="27"/>
      <c r="E2272" s="27"/>
      <c r="F2272" s="27"/>
      <c r="G2272" s="27"/>
      <c r="H2272" s="27"/>
      <c r="I2272" s="27"/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7"/>
      <c r="X2272" s="27"/>
      <c r="Y2272" s="27"/>
      <c r="Z2272" s="17"/>
      <c r="AA2272" s="17"/>
      <c r="AB2272" s="17"/>
      <c r="AC2272" s="17"/>
      <c r="AD2272" s="27"/>
    </row>
    <row r="2273" ht="15.75" customHeight="1">
      <c r="A2273" s="27"/>
      <c r="B2273" s="27"/>
      <c r="C2273" s="27"/>
      <c r="D2273" s="27"/>
      <c r="E2273" s="27"/>
      <c r="F2273" s="27"/>
      <c r="G2273" s="27"/>
      <c r="H2273" s="27"/>
      <c r="I2273" s="27"/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  <c r="T2273" s="27"/>
      <c r="U2273" s="27"/>
      <c r="V2273" s="27"/>
      <c r="W2273" s="27"/>
      <c r="X2273" s="27"/>
      <c r="Y2273" s="27"/>
      <c r="Z2273" s="17"/>
      <c r="AA2273" s="17"/>
      <c r="AB2273" s="17"/>
      <c r="AC2273" s="17"/>
      <c r="AD2273" s="27"/>
    </row>
    <row r="2274" ht="15.75" customHeight="1">
      <c r="A2274" s="27"/>
      <c r="B2274" s="27"/>
      <c r="C2274" s="27"/>
      <c r="D2274" s="27"/>
      <c r="E2274" s="27"/>
      <c r="F2274" s="27"/>
      <c r="G2274" s="27"/>
      <c r="H2274" s="27"/>
      <c r="I2274" s="27"/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7"/>
      <c r="X2274" s="27"/>
      <c r="Y2274" s="27"/>
      <c r="Z2274" s="17"/>
      <c r="AA2274" s="17"/>
      <c r="AB2274" s="17"/>
      <c r="AC2274" s="17"/>
      <c r="AD2274" s="27"/>
    </row>
    <row r="2275" ht="15.75" customHeight="1">
      <c r="A2275" s="27"/>
      <c r="B2275" s="27"/>
      <c r="C2275" s="27"/>
      <c r="D2275" s="27"/>
      <c r="E2275" s="27"/>
      <c r="F2275" s="27"/>
      <c r="G2275" s="27"/>
      <c r="H2275" s="27"/>
      <c r="I2275" s="27"/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7"/>
      <c r="X2275" s="27"/>
      <c r="Y2275" s="27"/>
      <c r="Z2275" s="17"/>
      <c r="AA2275" s="17"/>
      <c r="AB2275" s="17"/>
      <c r="AC2275" s="17"/>
      <c r="AD2275" s="27"/>
    </row>
    <row r="2276" ht="15.75" customHeight="1">
      <c r="A2276" s="27"/>
      <c r="B2276" s="27"/>
      <c r="C2276" s="27"/>
      <c r="D2276" s="27"/>
      <c r="E2276" s="27"/>
      <c r="F2276" s="27"/>
      <c r="G2276" s="27"/>
      <c r="H2276" s="27"/>
      <c r="I2276" s="27"/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  <c r="Z2276" s="17"/>
      <c r="AA2276" s="17"/>
      <c r="AB2276" s="17"/>
      <c r="AC2276" s="17"/>
      <c r="AD2276" s="27"/>
    </row>
    <row r="2277" ht="15.75" customHeight="1">
      <c r="A2277" s="27"/>
      <c r="B2277" s="27"/>
      <c r="C2277" s="27"/>
      <c r="D2277" s="27"/>
      <c r="E2277" s="27"/>
      <c r="F2277" s="27"/>
      <c r="G2277" s="27"/>
      <c r="H2277" s="27"/>
      <c r="I2277" s="27"/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  <c r="Z2277" s="17"/>
      <c r="AA2277" s="17"/>
      <c r="AB2277" s="17"/>
      <c r="AC2277" s="17"/>
      <c r="AD2277" s="27"/>
    </row>
    <row r="2278" ht="15.75" customHeight="1">
      <c r="A2278" s="27"/>
      <c r="B2278" s="27"/>
      <c r="C2278" s="27"/>
      <c r="D2278" s="27"/>
      <c r="E2278" s="27"/>
      <c r="F2278" s="27"/>
      <c r="G2278" s="27"/>
      <c r="H2278" s="27"/>
      <c r="I2278" s="27"/>
      <c r="J2278" s="27"/>
      <c r="K2278" s="27"/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7"/>
      <c r="X2278" s="27"/>
      <c r="Y2278" s="27"/>
      <c r="Z2278" s="17"/>
      <c r="AA2278" s="17"/>
      <c r="AB2278" s="17"/>
      <c r="AC2278" s="17"/>
      <c r="AD2278" s="27"/>
    </row>
    <row r="2279" ht="15.75" customHeight="1">
      <c r="A2279" s="27"/>
      <c r="B2279" s="27"/>
      <c r="C2279" s="27"/>
      <c r="D2279" s="27"/>
      <c r="E2279" s="27"/>
      <c r="F2279" s="27"/>
      <c r="G2279" s="27"/>
      <c r="H2279" s="27"/>
      <c r="I2279" s="27"/>
      <c r="J2279" s="27"/>
      <c r="K2279" s="27"/>
      <c r="L2279" s="27"/>
      <c r="M2279" s="27"/>
      <c r="N2279" s="27"/>
      <c r="O2279" s="27"/>
      <c r="P2279" s="27"/>
      <c r="Q2279" s="27"/>
      <c r="R2279" s="27"/>
      <c r="S2279" s="27"/>
      <c r="T2279" s="27"/>
      <c r="U2279" s="27"/>
      <c r="V2279" s="27"/>
      <c r="W2279" s="27"/>
      <c r="X2279" s="27"/>
      <c r="Y2279" s="27"/>
      <c r="Z2279" s="17"/>
      <c r="AA2279" s="17"/>
      <c r="AB2279" s="17"/>
      <c r="AC2279" s="17"/>
      <c r="AD2279" s="27"/>
    </row>
    <row r="2280" ht="15.75" customHeight="1">
      <c r="A2280" s="27"/>
      <c r="B2280" s="27"/>
      <c r="C2280" s="27"/>
      <c r="D2280" s="27"/>
      <c r="E2280" s="27"/>
      <c r="F2280" s="27"/>
      <c r="G2280" s="27"/>
      <c r="H2280" s="27"/>
      <c r="I2280" s="27"/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7"/>
      <c r="X2280" s="27"/>
      <c r="Y2280" s="27"/>
      <c r="Z2280" s="17"/>
      <c r="AA2280" s="17"/>
      <c r="AB2280" s="17"/>
      <c r="AC2280" s="17"/>
      <c r="AD2280" s="27"/>
    </row>
    <row r="2281" ht="15.75" customHeight="1">
      <c r="A2281" s="27"/>
      <c r="B2281" s="27"/>
      <c r="C2281" s="27"/>
      <c r="D2281" s="27"/>
      <c r="E2281" s="27"/>
      <c r="F2281" s="27"/>
      <c r="G2281" s="27"/>
      <c r="H2281" s="27"/>
      <c r="I2281" s="27"/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7"/>
      <c r="X2281" s="27"/>
      <c r="Y2281" s="27"/>
      <c r="Z2281" s="17"/>
      <c r="AA2281" s="17"/>
      <c r="AB2281" s="17"/>
      <c r="AC2281" s="17"/>
      <c r="AD2281" s="27"/>
    </row>
    <row r="2282" ht="15.75" customHeight="1">
      <c r="A2282" s="27"/>
      <c r="B2282" s="27"/>
      <c r="C2282" s="27"/>
      <c r="D2282" s="27"/>
      <c r="E2282" s="27"/>
      <c r="F2282" s="27"/>
      <c r="G2282" s="27"/>
      <c r="H2282" s="27"/>
      <c r="I2282" s="27"/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7"/>
      <c r="X2282" s="27"/>
      <c r="Y2282" s="27"/>
      <c r="Z2282" s="17"/>
      <c r="AA2282" s="17"/>
      <c r="AB2282" s="17"/>
      <c r="AC2282" s="17"/>
      <c r="AD2282" s="27"/>
    </row>
    <row r="2283" ht="15.75" customHeight="1">
      <c r="A2283" s="27"/>
      <c r="B2283" s="27"/>
      <c r="C2283" s="27"/>
      <c r="D2283" s="27"/>
      <c r="E2283" s="27"/>
      <c r="F2283" s="27"/>
      <c r="G2283" s="27"/>
      <c r="H2283" s="27"/>
      <c r="I2283" s="27"/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7"/>
      <c r="X2283" s="27"/>
      <c r="Y2283" s="27"/>
      <c r="Z2283" s="17"/>
      <c r="AA2283" s="17"/>
      <c r="AB2283" s="17"/>
      <c r="AC2283" s="17"/>
      <c r="AD2283" s="27"/>
    </row>
    <row r="2284" ht="15.75" customHeight="1">
      <c r="A2284" s="27"/>
      <c r="B2284" s="27"/>
      <c r="C2284" s="27"/>
      <c r="D2284" s="27"/>
      <c r="E2284" s="27"/>
      <c r="F2284" s="27"/>
      <c r="G2284" s="27"/>
      <c r="H2284" s="27"/>
      <c r="I2284" s="27"/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  <c r="Z2284" s="17"/>
      <c r="AA2284" s="17"/>
      <c r="AB2284" s="17"/>
      <c r="AC2284" s="17"/>
      <c r="AD2284" s="27"/>
    </row>
    <row r="2285" ht="15.75" customHeight="1">
      <c r="A2285" s="27"/>
      <c r="B2285" s="27"/>
      <c r="C2285" s="27"/>
      <c r="D2285" s="27"/>
      <c r="E2285" s="27"/>
      <c r="F2285" s="27"/>
      <c r="G2285" s="27"/>
      <c r="H2285" s="27"/>
      <c r="I2285" s="27"/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  <c r="T2285" s="27"/>
      <c r="U2285" s="27"/>
      <c r="V2285" s="27"/>
      <c r="W2285" s="27"/>
      <c r="X2285" s="27"/>
      <c r="Y2285" s="27"/>
      <c r="Z2285" s="17"/>
      <c r="AA2285" s="17"/>
      <c r="AB2285" s="17"/>
      <c r="AC2285" s="17"/>
      <c r="AD2285" s="27"/>
    </row>
    <row r="2286" ht="15.75" customHeight="1">
      <c r="A2286" s="27"/>
      <c r="B2286" s="27"/>
      <c r="C2286" s="27"/>
      <c r="D2286" s="27"/>
      <c r="E2286" s="27"/>
      <c r="F2286" s="27"/>
      <c r="G2286" s="27"/>
      <c r="H2286" s="27"/>
      <c r="I2286" s="27"/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  <c r="Z2286" s="17"/>
      <c r="AA2286" s="17"/>
      <c r="AB2286" s="17"/>
      <c r="AC2286" s="17"/>
      <c r="AD2286" s="27"/>
    </row>
    <row r="2287" ht="15.75" customHeight="1">
      <c r="A2287" s="27"/>
      <c r="B2287" s="27"/>
      <c r="C2287" s="27"/>
      <c r="D2287" s="27"/>
      <c r="E2287" s="27"/>
      <c r="F2287" s="27"/>
      <c r="G2287" s="27"/>
      <c r="H2287" s="27"/>
      <c r="I2287" s="27"/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17"/>
      <c r="AA2287" s="17"/>
      <c r="AB2287" s="17"/>
      <c r="AC2287" s="17"/>
      <c r="AD2287" s="27"/>
    </row>
    <row r="2288" ht="15.75" customHeight="1">
      <c r="A2288" s="27"/>
      <c r="B2288" s="27"/>
      <c r="C2288" s="27"/>
      <c r="D2288" s="27"/>
      <c r="E2288" s="27"/>
      <c r="F2288" s="27"/>
      <c r="G2288" s="27"/>
      <c r="H2288" s="27"/>
      <c r="I2288" s="27"/>
      <c r="J2288" s="27"/>
      <c r="K2288" s="27"/>
      <c r="L2288" s="27"/>
      <c r="M2288" s="27"/>
      <c r="N2288" s="27"/>
      <c r="O2288" s="27"/>
      <c r="P2288" s="27"/>
      <c r="Q2288" s="27"/>
      <c r="R2288" s="27"/>
      <c r="S2288" s="27"/>
      <c r="T2288" s="27"/>
      <c r="U2288" s="27"/>
      <c r="V2288" s="27"/>
      <c r="W2288" s="27"/>
      <c r="X2288" s="27"/>
      <c r="Y2288" s="27"/>
      <c r="Z2288" s="17"/>
      <c r="AA2288" s="17"/>
      <c r="AB2288" s="17"/>
      <c r="AC2288" s="17"/>
      <c r="AD2288" s="27"/>
    </row>
    <row r="2289" ht="15.75" customHeight="1">
      <c r="A2289" s="27"/>
      <c r="B2289" s="27"/>
      <c r="C2289" s="27"/>
      <c r="D2289" s="27"/>
      <c r="E2289" s="27"/>
      <c r="F2289" s="27"/>
      <c r="G2289" s="27"/>
      <c r="H2289" s="27"/>
      <c r="I2289" s="27"/>
      <c r="J2289" s="27"/>
      <c r="K2289" s="27"/>
      <c r="L2289" s="27"/>
      <c r="M2289" s="27"/>
      <c r="N2289" s="27"/>
      <c r="O2289" s="27"/>
      <c r="P2289" s="27"/>
      <c r="Q2289" s="27"/>
      <c r="R2289" s="27"/>
      <c r="S2289" s="27"/>
      <c r="T2289" s="27"/>
      <c r="U2289" s="27"/>
      <c r="V2289" s="27"/>
      <c r="W2289" s="27"/>
      <c r="X2289" s="27"/>
      <c r="Y2289" s="27"/>
      <c r="Z2289" s="17"/>
      <c r="AA2289" s="17"/>
      <c r="AB2289" s="17"/>
      <c r="AC2289" s="17"/>
      <c r="AD2289" s="27"/>
    </row>
    <row r="2290" ht="15.75" customHeight="1">
      <c r="A2290" s="27"/>
      <c r="B2290" s="27"/>
      <c r="C2290" s="27"/>
      <c r="D2290" s="27"/>
      <c r="E2290" s="27"/>
      <c r="F2290" s="27"/>
      <c r="G2290" s="27"/>
      <c r="H2290" s="27"/>
      <c r="I2290" s="27"/>
      <c r="J2290" s="27"/>
      <c r="K2290" s="27"/>
      <c r="L2290" s="27"/>
      <c r="M2290" s="27"/>
      <c r="N2290" s="27"/>
      <c r="O2290" s="27"/>
      <c r="P2290" s="27"/>
      <c r="Q2290" s="27"/>
      <c r="R2290" s="27"/>
      <c r="S2290" s="27"/>
      <c r="T2290" s="27"/>
      <c r="U2290" s="27"/>
      <c r="V2290" s="27"/>
      <c r="W2290" s="27"/>
      <c r="X2290" s="27"/>
      <c r="Y2290" s="27"/>
      <c r="Z2290" s="17"/>
      <c r="AA2290" s="17"/>
      <c r="AB2290" s="17"/>
      <c r="AC2290" s="17"/>
      <c r="AD2290" s="27"/>
    </row>
    <row r="2291" ht="15.75" customHeight="1">
      <c r="A2291" s="27"/>
      <c r="B2291" s="27"/>
      <c r="C2291" s="27"/>
      <c r="D2291" s="27"/>
      <c r="E2291" s="27"/>
      <c r="F2291" s="27"/>
      <c r="G2291" s="27"/>
      <c r="H2291" s="27"/>
      <c r="I2291" s="27"/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7"/>
      <c r="X2291" s="27"/>
      <c r="Y2291" s="27"/>
      <c r="Z2291" s="17"/>
      <c r="AA2291" s="17"/>
      <c r="AB2291" s="17"/>
      <c r="AC2291" s="17"/>
      <c r="AD2291" s="27"/>
    </row>
    <row r="2292" ht="15.75" customHeight="1">
      <c r="A2292" s="27"/>
      <c r="B2292" s="27"/>
      <c r="C2292" s="27"/>
      <c r="D2292" s="27"/>
      <c r="E2292" s="27"/>
      <c r="F2292" s="27"/>
      <c r="G2292" s="27"/>
      <c r="H2292" s="27"/>
      <c r="I2292" s="27"/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7"/>
      <c r="X2292" s="27"/>
      <c r="Y2292" s="27"/>
      <c r="Z2292" s="17"/>
      <c r="AA2292" s="17"/>
      <c r="AB2292" s="17"/>
      <c r="AC2292" s="17"/>
      <c r="AD2292" s="27"/>
    </row>
    <row r="2293" ht="15.75" customHeight="1">
      <c r="A2293" s="27"/>
      <c r="B2293" s="27"/>
      <c r="C2293" s="27"/>
      <c r="D2293" s="27"/>
      <c r="E2293" s="27"/>
      <c r="F2293" s="27"/>
      <c r="G2293" s="27"/>
      <c r="H2293" s="27"/>
      <c r="I2293" s="27"/>
      <c r="J2293" s="27"/>
      <c r="K2293" s="27"/>
      <c r="L2293" s="27"/>
      <c r="M2293" s="27"/>
      <c r="N2293" s="27"/>
      <c r="O2293" s="27"/>
      <c r="P2293" s="27"/>
      <c r="Q2293" s="27"/>
      <c r="R2293" s="27"/>
      <c r="S2293" s="27"/>
      <c r="T2293" s="27"/>
      <c r="U2293" s="27"/>
      <c r="V2293" s="27"/>
      <c r="W2293" s="27"/>
      <c r="X2293" s="27"/>
      <c r="Y2293" s="27"/>
      <c r="Z2293" s="17"/>
      <c r="AA2293" s="17"/>
      <c r="AB2293" s="17"/>
      <c r="AC2293" s="17"/>
      <c r="AD2293" s="27"/>
    </row>
    <row r="2294" ht="15.75" customHeight="1">
      <c r="A2294" s="27"/>
      <c r="B2294" s="27"/>
      <c r="C2294" s="27"/>
      <c r="D2294" s="27"/>
      <c r="E2294" s="27"/>
      <c r="F2294" s="27"/>
      <c r="G2294" s="27"/>
      <c r="H2294" s="27"/>
      <c r="I2294" s="27"/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17"/>
      <c r="AA2294" s="17"/>
      <c r="AB2294" s="17"/>
      <c r="AC2294" s="17"/>
      <c r="AD2294" s="27"/>
    </row>
    <row r="2295" ht="15.75" customHeight="1">
      <c r="A2295" s="27"/>
      <c r="B2295" s="27"/>
      <c r="C2295" s="27"/>
      <c r="D2295" s="27"/>
      <c r="E2295" s="27"/>
      <c r="F2295" s="27"/>
      <c r="G2295" s="27"/>
      <c r="H2295" s="27"/>
      <c r="I2295" s="27"/>
      <c r="J2295" s="27"/>
      <c r="K2295" s="27"/>
      <c r="L2295" s="27"/>
      <c r="M2295" s="27"/>
      <c r="N2295" s="27"/>
      <c r="O2295" s="27"/>
      <c r="P2295" s="27"/>
      <c r="Q2295" s="27"/>
      <c r="R2295" s="27"/>
      <c r="S2295" s="27"/>
      <c r="T2295" s="27"/>
      <c r="U2295" s="27"/>
      <c r="V2295" s="27"/>
      <c r="W2295" s="27"/>
      <c r="X2295" s="27"/>
      <c r="Y2295" s="27"/>
      <c r="Z2295" s="17"/>
      <c r="AA2295" s="17"/>
      <c r="AB2295" s="17"/>
      <c r="AC2295" s="17"/>
      <c r="AD2295" s="27"/>
    </row>
    <row r="2296" ht="15.75" customHeight="1">
      <c r="A2296" s="27"/>
      <c r="B2296" s="27"/>
      <c r="C2296" s="27"/>
      <c r="D2296" s="27"/>
      <c r="E2296" s="27"/>
      <c r="F2296" s="27"/>
      <c r="G2296" s="27"/>
      <c r="H2296" s="27"/>
      <c r="I2296" s="27"/>
      <c r="J2296" s="27"/>
      <c r="K2296" s="27"/>
      <c r="L2296" s="27"/>
      <c r="M2296" s="27"/>
      <c r="N2296" s="27"/>
      <c r="O2296" s="27"/>
      <c r="P2296" s="27"/>
      <c r="Q2296" s="27"/>
      <c r="R2296" s="27"/>
      <c r="S2296" s="27"/>
      <c r="T2296" s="27"/>
      <c r="U2296" s="27"/>
      <c r="V2296" s="27"/>
      <c r="W2296" s="27"/>
      <c r="X2296" s="27"/>
      <c r="Y2296" s="27"/>
      <c r="Z2296" s="17"/>
      <c r="AA2296" s="17"/>
      <c r="AB2296" s="17"/>
      <c r="AC2296" s="17"/>
      <c r="AD2296" s="27"/>
    </row>
    <row r="2297" ht="15.75" customHeight="1">
      <c r="A2297" s="27"/>
      <c r="B2297" s="27"/>
      <c r="C2297" s="27"/>
      <c r="D2297" s="27"/>
      <c r="E2297" s="27"/>
      <c r="F2297" s="27"/>
      <c r="G2297" s="27"/>
      <c r="H2297" s="27"/>
      <c r="I2297" s="27"/>
      <c r="J2297" s="27"/>
      <c r="K2297" s="27"/>
      <c r="L2297" s="27"/>
      <c r="M2297" s="27"/>
      <c r="N2297" s="27"/>
      <c r="O2297" s="27"/>
      <c r="P2297" s="27"/>
      <c r="Q2297" s="27"/>
      <c r="R2297" s="27"/>
      <c r="S2297" s="27"/>
      <c r="T2297" s="27"/>
      <c r="U2297" s="27"/>
      <c r="V2297" s="27"/>
      <c r="W2297" s="27"/>
      <c r="X2297" s="27"/>
      <c r="Y2297" s="27"/>
      <c r="Z2297" s="17"/>
      <c r="AA2297" s="17"/>
      <c r="AB2297" s="17"/>
      <c r="AC2297" s="17"/>
      <c r="AD2297" s="27"/>
    </row>
    <row r="2298" ht="15.75" customHeight="1">
      <c r="A2298" s="27"/>
      <c r="B2298" s="27"/>
      <c r="C2298" s="27"/>
      <c r="D2298" s="27"/>
      <c r="E2298" s="27"/>
      <c r="F2298" s="27"/>
      <c r="G2298" s="27"/>
      <c r="H2298" s="27"/>
      <c r="I2298" s="27"/>
      <c r="J2298" s="27"/>
      <c r="K2298" s="27"/>
      <c r="L2298" s="27"/>
      <c r="M2298" s="27"/>
      <c r="N2298" s="27"/>
      <c r="O2298" s="27"/>
      <c r="P2298" s="27"/>
      <c r="Q2298" s="27"/>
      <c r="R2298" s="27"/>
      <c r="S2298" s="27"/>
      <c r="T2298" s="27"/>
      <c r="U2298" s="27"/>
      <c r="V2298" s="27"/>
      <c r="W2298" s="27"/>
      <c r="X2298" s="27"/>
      <c r="Y2298" s="27"/>
      <c r="Z2298" s="17"/>
      <c r="AA2298" s="17"/>
      <c r="AB2298" s="17"/>
      <c r="AC2298" s="17"/>
      <c r="AD2298" s="27"/>
    </row>
    <row r="2299" ht="15.75" customHeight="1">
      <c r="A2299" s="27"/>
      <c r="B2299" s="27"/>
      <c r="C2299" s="27"/>
      <c r="D2299" s="27"/>
      <c r="E2299" s="27"/>
      <c r="F2299" s="27"/>
      <c r="G2299" s="27"/>
      <c r="H2299" s="27"/>
      <c r="I2299" s="27"/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7"/>
      <c r="X2299" s="27"/>
      <c r="Y2299" s="27"/>
      <c r="Z2299" s="17"/>
      <c r="AA2299" s="17"/>
      <c r="AB2299" s="17"/>
      <c r="AC2299" s="17"/>
      <c r="AD2299" s="27"/>
    </row>
    <row r="2300" ht="15.75" customHeight="1">
      <c r="A2300" s="27"/>
      <c r="B2300" s="27"/>
      <c r="C2300" s="27"/>
      <c r="D2300" s="27"/>
      <c r="E2300" s="27"/>
      <c r="F2300" s="27"/>
      <c r="G2300" s="27"/>
      <c r="H2300" s="27"/>
      <c r="I2300" s="27"/>
      <c r="J2300" s="27"/>
      <c r="K2300" s="27"/>
      <c r="L2300" s="27"/>
      <c r="M2300" s="27"/>
      <c r="N2300" s="27"/>
      <c r="O2300" s="27"/>
      <c r="P2300" s="27"/>
      <c r="Q2300" s="27"/>
      <c r="R2300" s="27"/>
      <c r="S2300" s="27"/>
      <c r="T2300" s="27"/>
      <c r="U2300" s="27"/>
      <c r="V2300" s="27"/>
      <c r="W2300" s="27"/>
      <c r="X2300" s="27"/>
      <c r="Y2300" s="27"/>
      <c r="Z2300" s="17"/>
      <c r="AA2300" s="17"/>
      <c r="AB2300" s="17"/>
      <c r="AC2300" s="17"/>
      <c r="AD2300" s="27"/>
    </row>
    <row r="2301" ht="15.75" customHeight="1">
      <c r="A2301" s="27"/>
      <c r="B2301" s="27"/>
      <c r="C2301" s="27"/>
      <c r="D2301" s="27"/>
      <c r="E2301" s="27"/>
      <c r="F2301" s="27"/>
      <c r="G2301" s="27"/>
      <c r="H2301" s="27"/>
      <c r="I2301" s="27"/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  <c r="Z2301" s="17"/>
      <c r="AA2301" s="17"/>
      <c r="AB2301" s="17"/>
      <c r="AC2301" s="17"/>
      <c r="AD2301" s="27"/>
    </row>
    <row r="2302" ht="15.75" customHeight="1">
      <c r="A2302" s="27"/>
      <c r="B2302" s="27"/>
      <c r="C2302" s="27"/>
      <c r="D2302" s="27"/>
      <c r="E2302" s="27"/>
      <c r="F2302" s="27"/>
      <c r="G2302" s="27"/>
      <c r="H2302" s="27"/>
      <c r="I2302" s="27"/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  <c r="T2302" s="27"/>
      <c r="U2302" s="27"/>
      <c r="V2302" s="27"/>
      <c r="W2302" s="27"/>
      <c r="X2302" s="27"/>
      <c r="Y2302" s="27"/>
      <c r="Z2302" s="17"/>
      <c r="AA2302" s="17"/>
      <c r="AB2302" s="17"/>
      <c r="AC2302" s="17"/>
      <c r="AD2302" s="27"/>
    </row>
    <row r="2303" ht="15.75" customHeight="1">
      <c r="A2303" s="27"/>
      <c r="B2303" s="27"/>
      <c r="C2303" s="27"/>
      <c r="D2303" s="27"/>
      <c r="E2303" s="27"/>
      <c r="F2303" s="27"/>
      <c r="G2303" s="27"/>
      <c r="H2303" s="27"/>
      <c r="I2303" s="27"/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17"/>
      <c r="AA2303" s="17"/>
      <c r="AB2303" s="17"/>
      <c r="AC2303" s="17"/>
      <c r="AD2303" s="27"/>
    </row>
    <row r="2304" ht="15.75" customHeight="1">
      <c r="A2304" s="27"/>
      <c r="B2304" s="27"/>
      <c r="C2304" s="27"/>
      <c r="D2304" s="27"/>
      <c r="E2304" s="27"/>
      <c r="F2304" s="27"/>
      <c r="G2304" s="27"/>
      <c r="H2304" s="27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17"/>
      <c r="AA2304" s="17"/>
      <c r="AB2304" s="17"/>
      <c r="AC2304" s="17"/>
      <c r="AD2304" s="27"/>
    </row>
    <row r="2305" ht="15.75" customHeight="1">
      <c r="A2305" s="27"/>
      <c r="B2305" s="27"/>
      <c r="C2305" s="27"/>
      <c r="D2305" s="27"/>
      <c r="E2305" s="27"/>
      <c r="F2305" s="27"/>
      <c r="G2305" s="27"/>
      <c r="H2305" s="27"/>
      <c r="I2305" s="27"/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  <c r="Z2305" s="17"/>
      <c r="AA2305" s="17"/>
      <c r="AB2305" s="17"/>
      <c r="AC2305" s="17"/>
      <c r="AD2305" s="27"/>
    </row>
    <row r="2306" ht="15.75" customHeight="1">
      <c r="A2306" s="27"/>
      <c r="B2306" s="27"/>
      <c r="C2306" s="27"/>
      <c r="D2306" s="27"/>
      <c r="E2306" s="27"/>
      <c r="F2306" s="27"/>
      <c r="G2306" s="27"/>
      <c r="H2306" s="27"/>
      <c r="I2306" s="27"/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17"/>
      <c r="AA2306" s="17"/>
      <c r="AB2306" s="17"/>
      <c r="AC2306" s="17"/>
      <c r="AD2306" s="27"/>
    </row>
    <row r="2307" ht="15.75" customHeight="1">
      <c r="A2307" s="27"/>
      <c r="B2307" s="27"/>
      <c r="C2307" s="27"/>
      <c r="D2307" s="27"/>
      <c r="E2307" s="27"/>
      <c r="F2307" s="27"/>
      <c r="G2307" s="27"/>
      <c r="H2307" s="27"/>
      <c r="I2307" s="27"/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  <c r="Z2307" s="17"/>
      <c r="AA2307" s="17"/>
      <c r="AB2307" s="17"/>
      <c r="AC2307" s="17"/>
      <c r="AD2307" s="27"/>
    </row>
    <row r="2308" ht="15.75" customHeight="1">
      <c r="A2308" s="27"/>
      <c r="B2308" s="27"/>
      <c r="C2308" s="27"/>
      <c r="D2308" s="27"/>
      <c r="E2308" s="27"/>
      <c r="F2308" s="27"/>
      <c r="G2308" s="27"/>
      <c r="H2308" s="27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17"/>
      <c r="AA2308" s="17"/>
      <c r="AB2308" s="17"/>
      <c r="AC2308" s="17"/>
      <c r="AD2308" s="27"/>
    </row>
    <row r="2309" ht="15.75" customHeight="1">
      <c r="A2309" s="27"/>
      <c r="B2309" s="27"/>
      <c r="C2309" s="27"/>
      <c r="D2309" s="27"/>
      <c r="E2309" s="27"/>
      <c r="F2309" s="27"/>
      <c r="G2309" s="27"/>
      <c r="H2309" s="27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  <c r="Z2309" s="17"/>
      <c r="AA2309" s="17"/>
      <c r="AB2309" s="17"/>
      <c r="AC2309" s="17"/>
      <c r="AD2309" s="27"/>
    </row>
    <row r="2310" ht="15.75" customHeight="1">
      <c r="A2310" s="27"/>
      <c r="B2310" s="27"/>
      <c r="C2310" s="27"/>
      <c r="D2310" s="27"/>
      <c r="E2310" s="27"/>
      <c r="F2310" s="27"/>
      <c r="G2310" s="27"/>
      <c r="H2310" s="27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  <c r="Z2310" s="17"/>
      <c r="AA2310" s="17"/>
      <c r="AB2310" s="17"/>
      <c r="AC2310" s="17"/>
      <c r="AD2310" s="27"/>
    </row>
    <row r="2311" ht="15.75" customHeight="1">
      <c r="A2311" s="27"/>
      <c r="B2311" s="27"/>
      <c r="C2311" s="27"/>
      <c r="D2311" s="27"/>
      <c r="E2311" s="27"/>
      <c r="F2311" s="27"/>
      <c r="G2311" s="27"/>
      <c r="H2311" s="27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  <c r="Z2311" s="17"/>
      <c r="AA2311" s="17"/>
      <c r="AB2311" s="17"/>
      <c r="AC2311" s="17"/>
      <c r="AD2311" s="27"/>
    </row>
    <row r="2312" ht="15.75" customHeight="1">
      <c r="A2312" s="27"/>
      <c r="B2312" s="27"/>
      <c r="C2312" s="27"/>
      <c r="D2312" s="27"/>
      <c r="E2312" s="27"/>
      <c r="F2312" s="27"/>
      <c r="G2312" s="27"/>
      <c r="H2312" s="27"/>
      <c r="I2312" s="27"/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  <c r="T2312" s="27"/>
      <c r="U2312" s="27"/>
      <c r="V2312" s="27"/>
      <c r="W2312" s="27"/>
      <c r="X2312" s="27"/>
      <c r="Y2312" s="27"/>
      <c r="Z2312" s="17"/>
      <c r="AA2312" s="17"/>
      <c r="AB2312" s="17"/>
      <c r="AC2312" s="17"/>
      <c r="AD2312" s="27"/>
    </row>
    <row r="2313" ht="15.75" customHeight="1">
      <c r="A2313" s="27"/>
      <c r="B2313" s="27"/>
      <c r="C2313" s="27"/>
      <c r="D2313" s="27"/>
      <c r="E2313" s="27"/>
      <c r="F2313" s="27"/>
      <c r="G2313" s="27"/>
      <c r="H2313" s="27"/>
      <c r="I2313" s="27"/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  <c r="T2313" s="27"/>
      <c r="U2313" s="27"/>
      <c r="V2313" s="27"/>
      <c r="W2313" s="27"/>
      <c r="X2313" s="27"/>
      <c r="Y2313" s="27"/>
      <c r="Z2313" s="17"/>
      <c r="AA2313" s="17"/>
      <c r="AB2313" s="17"/>
      <c r="AC2313" s="17"/>
      <c r="AD2313" s="27"/>
    </row>
    <row r="2314" ht="15.75" customHeight="1">
      <c r="A2314" s="27"/>
      <c r="B2314" s="27"/>
      <c r="C2314" s="27"/>
      <c r="D2314" s="27"/>
      <c r="E2314" s="27"/>
      <c r="F2314" s="27"/>
      <c r="G2314" s="27"/>
      <c r="H2314" s="27"/>
      <c r="I2314" s="27"/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  <c r="Z2314" s="17"/>
      <c r="AA2314" s="17"/>
      <c r="AB2314" s="17"/>
      <c r="AC2314" s="17"/>
      <c r="AD2314" s="27"/>
    </row>
    <row r="2315" ht="15.75" customHeight="1">
      <c r="A2315" s="27"/>
      <c r="B2315" s="27"/>
      <c r="C2315" s="27"/>
      <c r="D2315" s="27"/>
      <c r="E2315" s="27"/>
      <c r="F2315" s="27"/>
      <c r="G2315" s="27"/>
      <c r="H2315" s="27"/>
      <c r="I2315" s="27"/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  <c r="T2315" s="27"/>
      <c r="U2315" s="27"/>
      <c r="V2315" s="27"/>
      <c r="W2315" s="27"/>
      <c r="X2315" s="27"/>
      <c r="Y2315" s="27"/>
      <c r="Z2315" s="17"/>
      <c r="AA2315" s="17"/>
      <c r="AB2315" s="17"/>
      <c r="AC2315" s="17"/>
      <c r="AD2315" s="27"/>
    </row>
    <row r="2316" ht="15.75" customHeight="1">
      <c r="A2316" s="27"/>
      <c r="B2316" s="27"/>
      <c r="C2316" s="27"/>
      <c r="D2316" s="27"/>
      <c r="E2316" s="27"/>
      <c r="F2316" s="27"/>
      <c r="G2316" s="27"/>
      <c r="H2316" s="27"/>
      <c r="I2316" s="27"/>
      <c r="J2316" s="27"/>
      <c r="K2316" s="27"/>
      <c r="L2316" s="27"/>
      <c r="M2316" s="27"/>
      <c r="N2316" s="27"/>
      <c r="O2316" s="27"/>
      <c r="P2316" s="27"/>
      <c r="Q2316" s="27"/>
      <c r="R2316" s="27"/>
      <c r="S2316" s="27"/>
      <c r="T2316" s="27"/>
      <c r="U2316" s="27"/>
      <c r="V2316" s="27"/>
      <c r="W2316" s="27"/>
      <c r="X2316" s="27"/>
      <c r="Y2316" s="27"/>
      <c r="Z2316" s="17"/>
      <c r="AA2316" s="17"/>
      <c r="AB2316" s="17"/>
      <c r="AC2316" s="17"/>
      <c r="AD2316" s="27"/>
    </row>
    <row r="2317" ht="15.75" customHeight="1">
      <c r="A2317" s="27"/>
      <c r="B2317" s="27"/>
      <c r="C2317" s="27"/>
      <c r="D2317" s="27"/>
      <c r="E2317" s="27"/>
      <c r="F2317" s="27"/>
      <c r="G2317" s="27"/>
      <c r="H2317" s="27"/>
      <c r="I2317" s="27"/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  <c r="Z2317" s="17"/>
      <c r="AA2317" s="17"/>
      <c r="AB2317" s="17"/>
      <c r="AC2317" s="17"/>
      <c r="AD2317" s="27"/>
    </row>
    <row r="2318" ht="15.75" customHeight="1">
      <c r="A2318" s="27"/>
      <c r="B2318" s="27"/>
      <c r="C2318" s="27"/>
      <c r="D2318" s="27"/>
      <c r="E2318" s="27"/>
      <c r="F2318" s="27"/>
      <c r="G2318" s="27"/>
      <c r="H2318" s="27"/>
      <c r="I2318" s="27"/>
      <c r="J2318" s="27"/>
      <c r="K2318" s="27"/>
      <c r="L2318" s="27"/>
      <c r="M2318" s="27"/>
      <c r="N2318" s="27"/>
      <c r="O2318" s="27"/>
      <c r="P2318" s="27"/>
      <c r="Q2318" s="27"/>
      <c r="R2318" s="27"/>
      <c r="S2318" s="27"/>
      <c r="T2318" s="27"/>
      <c r="U2318" s="27"/>
      <c r="V2318" s="27"/>
      <c r="W2318" s="27"/>
      <c r="X2318" s="27"/>
      <c r="Y2318" s="27"/>
      <c r="Z2318" s="17"/>
      <c r="AA2318" s="17"/>
      <c r="AB2318" s="17"/>
      <c r="AC2318" s="17"/>
      <c r="AD2318" s="27"/>
    </row>
    <row r="2319" ht="15.75" customHeight="1">
      <c r="A2319" s="27"/>
      <c r="B2319" s="27"/>
      <c r="C2319" s="27"/>
      <c r="D2319" s="27"/>
      <c r="E2319" s="27"/>
      <c r="F2319" s="27"/>
      <c r="G2319" s="27"/>
      <c r="H2319" s="27"/>
      <c r="I2319" s="27"/>
      <c r="J2319" s="27"/>
      <c r="K2319" s="27"/>
      <c r="L2319" s="27"/>
      <c r="M2319" s="27"/>
      <c r="N2319" s="27"/>
      <c r="O2319" s="27"/>
      <c r="P2319" s="27"/>
      <c r="Q2319" s="27"/>
      <c r="R2319" s="27"/>
      <c r="S2319" s="27"/>
      <c r="T2319" s="27"/>
      <c r="U2319" s="27"/>
      <c r="V2319" s="27"/>
      <c r="W2319" s="27"/>
      <c r="X2319" s="27"/>
      <c r="Y2319" s="27"/>
      <c r="Z2319" s="17"/>
      <c r="AA2319" s="17"/>
      <c r="AB2319" s="17"/>
      <c r="AC2319" s="17"/>
      <c r="AD2319" s="27"/>
    </row>
    <row r="2320" ht="15.75" customHeight="1">
      <c r="A2320" s="27"/>
      <c r="B2320" s="27"/>
      <c r="C2320" s="27"/>
      <c r="D2320" s="27"/>
      <c r="E2320" s="27"/>
      <c r="F2320" s="27"/>
      <c r="G2320" s="27"/>
      <c r="H2320" s="27"/>
      <c r="I2320" s="27"/>
      <c r="J2320" s="27"/>
      <c r="K2320" s="27"/>
      <c r="L2320" s="27"/>
      <c r="M2320" s="27"/>
      <c r="N2320" s="27"/>
      <c r="O2320" s="27"/>
      <c r="P2320" s="27"/>
      <c r="Q2320" s="27"/>
      <c r="R2320" s="27"/>
      <c r="S2320" s="27"/>
      <c r="T2320" s="27"/>
      <c r="U2320" s="27"/>
      <c r="V2320" s="27"/>
      <c r="W2320" s="27"/>
      <c r="X2320" s="27"/>
      <c r="Y2320" s="27"/>
      <c r="Z2320" s="17"/>
      <c r="AA2320" s="17"/>
      <c r="AB2320" s="17"/>
      <c r="AC2320" s="17"/>
      <c r="AD2320" s="27"/>
    </row>
    <row r="2321" ht="15.75" customHeight="1">
      <c r="A2321" s="27"/>
      <c r="B2321" s="27"/>
      <c r="C2321" s="27"/>
      <c r="D2321" s="27"/>
      <c r="E2321" s="27"/>
      <c r="F2321" s="27"/>
      <c r="G2321" s="27"/>
      <c r="H2321" s="27"/>
      <c r="I2321" s="27"/>
      <c r="J2321" s="27"/>
      <c r="K2321" s="27"/>
      <c r="L2321" s="27"/>
      <c r="M2321" s="27"/>
      <c r="N2321" s="27"/>
      <c r="O2321" s="27"/>
      <c r="P2321" s="27"/>
      <c r="Q2321" s="27"/>
      <c r="R2321" s="27"/>
      <c r="S2321" s="27"/>
      <c r="T2321" s="27"/>
      <c r="U2321" s="27"/>
      <c r="V2321" s="27"/>
      <c r="W2321" s="27"/>
      <c r="X2321" s="27"/>
      <c r="Y2321" s="27"/>
      <c r="Z2321" s="17"/>
      <c r="AA2321" s="17"/>
      <c r="AB2321" s="17"/>
      <c r="AC2321" s="17"/>
      <c r="AD2321" s="27"/>
    </row>
    <row r="2322" ht="15.75" customHeight="1">
      <c r="A2322" s="27"/>
      <c r="B2322" s="27"/>
      <c r="C2322" s="27"/>
      <c r="D2322" s="27"/>
      <c r="E2322" s="27"/>
      <c r="F2322" s="27"/>
      <c r="G2322" s="27"/>
      <c r="H2322" s="27"/>
      <c r="I2322" s="27"/>
      <c r="J2322" s="27"/>
      <c r="K2322" s="27"/>
      <c r="L2322" s="27"/>
      <c r="M2322" s="27"/>
      <c r="N2322" s="27"/>
      <c r="O2322" s="27"/>
      <c r="P2322" s="27"/>
      <c r="Q2322" s="27"/>
      <c r="R2322" s="27"/>
      <c r="S2322" s="27"/>
      <c r="T2322" s="27"/>
      <c r="U2322" s="27"/>
      <c r="V2322" s="27"/>
      <c r="W2322" s="27"/>
      <c r="X2322" s="27"/>
      <c r="Y2322" s="27"/>
      <c r="Z2322" s="17"/>
      <c r="AA2322" s="17"/>
      <c r="AB2322" s="17"/>
      <c r="AC2322" s="17"/>
      <c r="AD2322" s="27"/>
    </row>
    <row r="2323" ht="15.75" customHeight="1">
      <c r="A2323" s="27"/>
      <c r="B2323" s="27"/>
      <c r="C2323" s="27"/>
      <c r="D2323" s="27"/>
      <c r="E2323" s="27"/>
      <c r="F2323" s="27"/>
      <c r="G2323" s="27"/>
      <c r="H2323" s="27"/>
      <c r="I2323" s="27"/>
      <c r="J2323" s="27"/>
      <c r="K2323" s="27"/>
      <c r="L2323" s="27"/>
      <c r="M2323" s="27"/>
      <c r="N2323" s="27"/>
      <c r="O2323" s="27"/>
      <c r="P2323" s="27"/>
      <c r="Q2323" s="27"/>
      <c r="R2323" s="27"/>
      <c r="S2323" s="27"/>
      <c r="T2323" s="27"/>
      <c r="U2323" s="27"/>
      <c r="V2323" s="27"/>
      <c r="W2323" s="27"/>
      <c r="X2323" s="27"/>
      <c r="Y2323" s="27"/>
      <c r="Z2323" s="17"/>
      <c r="AA2323" s="17"/>
      <c r="AB2323" s="17"/>
      <c r="AC2323" s="17"/>
      <c r="AD2323" s="27"/>
    </row>
    <row r="2324" ht="15.75" customHeight="1">
      <c r="A2324" s="27"/>
      <c r="B2324" s="27"/>
      <c r="C2324" s="27"/>
      <c r="D2324" s="27"/>
      <c r="E2324" s="27"/>
      <c r="F2324" s="27"/>
      <c r="G2324" s="27"/>
      <c r="H2324" s="27"/>
      <c r="I2324" s="27"/>
      <c r="J2324" s="27"/>
      <c r="K2324" s="27"/>
      <c r="L2324" s="27"/>
      <c r="M2324" s="27"/>
      <c r="N2324" s="27"/>
      <c r="O2324" s="27"/>
      <c r="P2324" s="27"/>
      <c r="Q2324" s="27"/>
      <c r="R2324" s="27"/>
      <c r="S2324" s="27"/>
      <c r="T2324" s="27"/>
      <c r="U2324" s="27"/>
      <c r="V2324" s="27"/>
      <c r="W2324" s="27"/>
      <c r="X2324" s="27"/>
      <c r="Y2324" s="27"/>
      <c r="Z2324" s="17"/>
      <c r="AA2324" s="17"/>
      <c r="AB2324" s="17"/>
      <c r="AC2324" s="17"/>
      <c r="AD2324" s="27"/>
    </row>
    <row r="2325" ht="15.75" customHeight="1">
      <c r="A2325" s="27"/>
      <c r="B2325" s="27"/>
      <c r="C2325" s="27"/>
      <c r="D2325" s="27"/>
      <c r="E2325" s="27"/>
      <c r="F2325" s="27"/>
      <c r="G2325" s="27"/>
      <c r="H2325" s="27"/>
      <c r="I2325" s="27"/>
      <c r="J2325" s="27"/>
      <c r="K2325" s="27"/>
      <c r="L2325" s="27"/>
      <c r="M2325" s="27"/>
      <c r="N2325" s="27"/>
      <c r="O2325" s="27"/>
      <c r="P2325" s="27"/>
      <c r="Q2325" s="27"/>
      <c r="R2325" s="27"/>
      <c r="S2325" s="27"/>
      <c r="T2325" s="27"/>
      <c r="U2325" s="27"/>
      <c r="V2325" s="27"/>
      <c r="W2325" s="27"/>
      <c r="X2325" s="27"/>
      <c r="Y2325" s="27"/>
      <c r="Z2325" s="17"/>
      <c r="AA2325" s="17"/>
      <c r="AB2325" s="17"/>
      <c r="AC2325" s="17"/>
      <c r="AD2325" s="27"/>
    </row>
    <row r="2326" ht="15.75" customHeight="1">
      <c r="A2326" s="27"/>
      <c r="B2326" s="27"/>
      <c r="C2326" s="27"/>
      <c r="D2326" s="27"/>
      <c r="E2326" s="27"/>
      <c r="F2326" s="27"/>
      <c r="G2326" s="27"/>
      <c r="H2326" s="27"/>
      <c r="I2326" s="27"/>
      <c r="J2326" s="27"/>
      <c r="K2326" s="27"/>
      <c r="L2326" s="27"/>
      <c r="M2326" s="27"/>
      <c r="N2326" s="27"/>
      <c r="O2326" s="27"/>
      <c r="P2326" s="27"/>
      <c r="Q2326" s="27"/>
      <c r="R2326" s="27"/>
      <c r="S2326" s="27"/>
      <c r="T2326" s="27"/>
      <c r="U2326" s="27"/>
      <c r="V2326" s="27"/>
      <c r="W2326" s="27"/>
      <c r="X2326" s="27"/>
      <c r="Y2326" s="27"/>
      <c r="Z2326" s="17"/>
      <c r="AA2326" s="17"/>
      <c r="AB2326" s="17"/>
      <c r="AC2326" s="17"/>
      <c r="AD2326" s="27"/>
    </row>
    <row r="2327" ht="15.75" customHeight="1">
      <c r="A2327" s="27"/>
      <c r="B2327" s="27"/>
      <c r="C2327" s="27"/>
      <c r="D2327" s="27"/>
      <c r="E2327" s="27"/>
      <c r="F2327" s="27"/>
      <c r="G2327" s="27"/>
      <c r="H2327" s="27"/>
      <c r="I2327" s="27"/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  <c r="T2327" s="27"/>
      <c r="U2327" s="27"/>
      <c r="V2327" s="27"/>
      <c r="W2327" s="27"/>
      <c r="X2327" s="27"/>
      <c r="Y2327" s="27"/>
      <c r="Z2327" s="17"/>
      <c r="AA2327" s="17"/>
      <c r="AB2327" s="17"/>
      <c r="AC2327" s="17"/>
      <c r="AD2327" s="27"/>
    </row>
    <row r="2328" ht="15.75" customHeight="1">
      <c r="A2328" s="27"/>
      <c r="B2328" s="27"/>
      <c r="C2328" s="27"/>
      <c r="D2328" s="27"/>
      <c r="E2328" s="27"/>
      <c r="F2328" s="27"/>
      <c r="G2328" s="27"/>
      <c r="H2328" s="27"/>
      <c r="I2328" s="27"/>
      <c r="J2328" s="27"/>
      <c r="K2328" s="27"/>
      <c r="L2328" s="27"/>
      <c r="M2328" s="27"/>
      <c r="N2328" s="27"/>
      <c r="O2328" s="27"/>
      <c r="P2328" s="27"/>
      <c r="Q2328" s="27"/>
      <c r="R2328" s="27"/>
      <c r="S2328" s="27"/>
      <c r="T2328" s="27"/>
      <c r="U2328" s="27"/>
      <c r="V2328" s="27"/>
      <c r="W2328" s="27"/>
      <c r="X2328" s="27"/>
      <c r="Y2328" s="27"/>
      <c r="Z2328" s="17"/>
      <c r="AA2328" s="17"/>
      <c r="AB2328" s="17"/>
      <c r="AC2328" s="17"/>
      <c r="AD2328" s="27"/>
    </row>
    <row r="2329" ht="15.75" customHeight="1">
      <c r="A2329" s="27"/>
      <c r="B2329" s="27"/>
      <c r="C2329" s="27"/>
      <c r="D2329" s="27"/>
      <c r="E2329" s="27"/>
      <c r="F2329" s="27"/>
      <c r="G2329" s="27"/>
      <c r="H2329" s="27"/>
      <c r="I2329" s="27"/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  <c r="Z2329" s="17"/>
      <c r="AA2329" s="17"/>
      <c r="AB2329" s="17"/>
      <c r="AC2329" s="17"/>
      <c r="AD2329" s="27"/>
    </row>
    <row r="2330" ht="15.75" customHeight="1">
      <c r="A2330" s="27"/>
      <c r="B2330" s="27"/>
      <c r="C2330" s="27"/>
      <c r="D2330" s="27"/>
      <c r="E2330" s="27"/>
      <c r="F2330" s="27"/>
      <c r="G2330" s="27"/>
      <c r="H2330" s="27"/>
      <c r="I2330" s="27"/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  <c r="Z2330" s="17"/>
      <c r="AA2330" s="17"/>
      <c r="AB2330" s="17"/>
      <c r="AC2330" s="17"/>
      <c r="AD2330" s="27"/>
    </row>
    <row r="2331" ht="15.75" customHeight="1">
      <c r="A2331" s="27"/>
      <c r="B2331" s="27"/>
      <c r="C2331" s="27"/>
      <c r="D2331" s="27"/>
      <c r="E2331" s="27"/>
      <c r="F2331" s="27"/>
      <c r="G2331" s="27"/>
      <c r="H2331" s="27"/>
      <c r="I2331" s="27"/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  <c r="Z2331" s="17"/>
      <c r="AA2331" s="17"/>
      <c r="AB2331" s="17"/>
      <c r="AC2331" s="17"/>
      <c r="AD2331" s="27"/>
    </row>
    <row r="2332" ht="15.75" customHeight="1">
      <c r="A2332" s="27"/>
      <c r="B2332" s="27"/>
      <c r="C2332" s="27"/>
      <c r="D2332" s="27"/>
      <c r="E2332" s="27"/>
      <c r="F2332" s="27"/>
      <c r="G2332" s="27"/>
      <c r="H2332" s="27"/>
      <c r="I2332" s="27"/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  <c r="Z2332" s="17"/>
      <c r="AA2332" s="17"/>
      <c r="AB2332" s="17"/>
      <c r="AC2332" s="17"/>
      <c r="AD2332" s="27"/>
    </row>
    <row r="2333" ht="15.75" customHeight="1">
      <c r="A2333" s="27"/>
      <c r="B2333" s="27"/>
      <c r="C2333" s="27"/>
      <c r="D2333" s="27"/>
      <c r="E2333" s="27"/>
      <c r="F2333" s="27"/>
      <c r="G2333" s="27"/>
      <c r="H2333" s="27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  <c r="Z2333" s="17"/>
      <c r="AA2333" s="17"/>
      <c r="AB2333" s="17"/>
      <c r="AC2333" s="17"/>
      <c r="AD2333" s="27"/>
    </row>
    <row r="2334" ht="15.75" customHeight="1">
      <c r="A2334" s="27"/>
      <c r="B2334" s="27"/>
      <c r="C2334" s="27"/>
      <c r="D2334" s="27"/>
      <c r="E2334" s="27"/>
      <c r="F2334" s="27"/>
      <c r="G2334" s="27"/>
      <c r="H2334" s="27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  <c r="Z2334" s="17"/>
      <c r="AA2334" s="17"/>
      <c r="AB2334" s="17"/>
      <c r="AC2334" s="17"/>
      <c r="AD2334" s="27"/>
    </row>
    <row r="2335" ht="15.75" customHeight="1">
      <c r="A2335" s="27"/>
      <c r="B2335" s="27"/>
      <c r="C2335" s="27"/>
      <c r="D2335" s="27"/>
      <c r="E2335" s="27"/>
      <c r="F2335" s="27"/>
      <c r="G2335" s="27"/>
      <c r="H2335" s="27"/>
      <c r="I2335" s="27"/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  <c r="Z2335" s="17"/>
      <c r="AA2335" s="17"/>
      <c r="AB2335" s="17"/>
      <c r="AC2335" s="17"/>
      <c r="AD2335" s="27"/>
    </row>
    <row r="2336" ht="15.75" customHeight="1">
      <c r="A2336" s="27"/>
      <c r="B2336" s="27"/>
      <c r="C2336" s="27"/>
      <c r="D2336" s="27"/>
      <c r="E2336" s="27"/>
      <c r="F2336" s="27"/>
      <c r="G2336" s="27"/>
      <c r="H2336" s="27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17"/>
      <c r="AA2336" s="17"/>
      <c r="AB2336" s="17"/>
      <c r="AC2336" s="17"/>
      <c r="AD2336" s="27"/>
    </row>
    <row r="2337" ht="15.75" customHeight="1">
      <c r="A2337" s="27"/>
      <c r="B2337" s="27"/>
      <c r="C2337" s="27"/>
      <c r="D2337" s="27"/>
      <c r="E2337" s="27"/>
      <c r="F2337" s="27"/>
      <c r="G2337" s="27"/>
      <c r="H2337" s="27"/>
      <c r="I2337" s="27"/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17"/>
      <c r="AA2337" s="17"/>
      <c r="AB2337" s="17"/>
      <c r="AC2337" s="17"/>
      <c r="AD2337" s="27"/>
    </row>
    <row r="2338" ht="15.75" customHeight="1">
      <c r="A2338" s="27"/>
      <c r="B2338" s="27"/>
      <c r="C2338" s="27"/>
      <c r="D2338" s="27"/>
      <c r="E2338" s="27"/>
      <c r="F2338" s="27"/>
      <c r="G2338" s="27"/>
      <c r="H2338" s="27"/>
      <c r="I2338" s="27"/>
      <c r="J2338" s="27"/>
      <c r="K2338" s="27"/>
      <c r="L2338" s="27"/>
      <c r="M2338" s="27"/>
      <c r="N2338" s="27"/>
      <c r="O2338" s="27"/>
      <c r="P2338" s="27"/>
      <c r="Q2338" s="27"/>
      <c r="R2338" s="27"/>
      <c r="S2338" s="27"/>
      <c r="T2338" s="27"/>
      <c r="U2338" s="27"/>
      <c r="V2338" s="27"/>
      <c r="W2338" s="27"/>
      <c r="X2338" s="27"/>
      <c r="Y2338" s="27"/>
      <c r="Z2338" s="17"/>
      <c r="AA2338" s="17"/>
      <c r="AB2338" s="17"/>
      <c r="AC2338" s="17"/>
      <c r="AD2338" s="27"/>
    </row>
    <row r="2339" ht="15.75" customHeight="1">
      <c r="A2339" s="27"/>
      <c r="B2339" s="27"/>
      <c r="C2339" s="27"/>
      <c r="D2339" s="27"/>
      <c r="E2339" s="27"/>
      <c r="F2339" s="27"/>
      <c r="G2339" s="27"/>
      <c r="H2339" s="27"/>
      <c r="I2339" s="27"/>
      <c r="J2339" s="27"/>
      <c r="K2339" s="27"/>
      <c r="L2339" s="27"/>
      <c r="M2339" s="27"/>
      <c r="N2339" s="27"/>
      <c r="O2339" s="27"/>
      <c r="P2339" s="27"/>
      <c r="Q2339" s="27"/>
      <c r="R2339" s="27"/>
      <c r="S2339" s="27"/>
      <c r="T2339" s="27"/>
      <c r="U2339" s="27"/>
      <c r="V2339" s="27"/>
      <c r="W2339" s="27"/>
      <c r="X2339" s="27"/>
      <c r="Y2339" s="27"/>
      <c r="Z2339" s="17"/>
      <c r="AA2339" s="17"/>
      <c r="AB2339" s="17"/>
      <c r="AC2339" s="17"/>
      <c r="AD2339" s="27"/>
    </row>
    <row r="2340" ht="15.75" customHeight="1">
      <c r="A2340" s="27"/>
      <c r="B2340" s="27"/>
      <c r="C2340" s="27"/>
      <c r="D2340" s="27"/>
      <c r="E2340" s="27"/>
      <c r="F2340" s="27"/>
      <c r="G2340" s="27"/>
      <c r="H2340" s="27"/>
      <c r="I2340" s="27"/>
      <c r="J2340" s="27"/>
      <c r="K2340" s="27"/>
      <c r="L2340" s="27"/>
      <c r="M2340" s="27"/>
      <c r="N2340" s="27"/>
      <c r="O2340" s="27"/>
      <c r="P2340" s="27"/>
      <c r="Q2340" s="27"/>
      <c r="R2340" s="27"/>
      <c r="S2340" s="27"/>
      <c r="T2340" s="27"/>
      <c r="U2340" s="27"/>
      <c r="V2340" s="27"/>
      <c r="W2340" s="27"/>
      <c r="X2340" s="27"/>
      <c r="Y2340" s="27"/>
      <c r="Z2340" s="17"/>
      <c r="AA2340" s="17"/>
      <c r="AB2340" s="17"/>
      <c r="AC2340" s="17"/>
      <c r="AD2340" s="27"/>
    </row>
    <row r="2341" ht="15.75" customHeight="1">
      <c r="A2341" s="27"/>
      <c r="B2341" s="27"/>
      <c r="C2341" s="27"/>
      <c r="D2341" s="27"/>
      <c r="E2341" s="27"/>
      <c r="F2341" s="27"/>
      <c r="G2341" s="27"/>
      <c r="H2341" s="27"/>
      <c r="I2341" s="27"/>
      <c r="J2341" s="27"/>
      <c r="K2341" s="27"/>
      <c r="L2341" s="27"/>
      <c r="M2341" s="27"/>
      <c r="N2341" s="27"/>
      <c r="O2341" s="27"/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17"/>
      <c r="AA2341" s="17"/>
      <c r="AB2341" s="17"/>
      <c r="AC2341" s="17"/>
      <c r="AD2341" s="27"/>
    </row>
    <row r="2342" ht="15.75" customHeight="1">
      <c r="A2342" s="27"/>
      <c r="B2342" s="27"/>
      <c r="C2342" s="27"/>
      <c r="D2342" s="27"/>
      <c r="E2342" s="27"/>
      <c r="F2342" s="27"/>
      <c r="G2342" s="27"/>
      <c r="H2342" s="27"/>
      <c r="I2342" s="27"/>
      <c r="J2342" s="27"/>
      <c r="K2342" s="27"/>
      <c r="L2342" s="27"/>
      <c r="M2342" s="27"/>
      <c r="N2342" s="27"/>
      <c r="O2342" s="27"/>
      <c r="P2342" s="27"/>
      <c r="Q2342" s="27"/>
      <c r="R2342" s="27"/>
      <c r="S2342" s="27"/>
      <c r="T2342" s="27"/>
      <c r="U2342" s="27"/>
      <c r="V2342" s="27"/>
      <c r="W2342" s="27"/>
      <c r="X2342" s="27"/>
      <c r="Y2342" s="27"/>
      <c r="Z2342" s="17"/>
      <c r="AA2342" s="17"/>
      <c r="AB2342" s="17"/>
      <c r="AC2342" s="17"/>
      <c r="AD2342" s="27"/>
    </row>
    <row r="2343" ht="15.75" customHeight="1">
      <c r="A2343" s="27"/>
      <c r="B2343" s="27"/>
      <c r="C2343" s="27"/>
      <c r="D2343" s="27"/>
      <c r="E2343" s="27"/>
      <c r="F2343" s="27"/>
      <c r="G2343" s="27"/>
      <c r="H2343" s="27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17"/>
      <c r="AA2343" s="17"/>
      <c r="AB2343" s="17"/>
      <c r="AC2343" s="17"/>
      <c r="AD2343" s="27"/>
    </row>
    <row r="2344" ht="15.75" customHeight="1">
      <c r="A2344" s="27"/>
      <c r="B2344" s="27"/>
      <c r="C2344" s="27"/>
      <c r="D2344" s="27"/>
      <c r="E2344" s="27"/>
      <c r="F2344" s="27"/>
      <c r="G2344" s="27"/>
      <c r="H2344" s="27"/>
      <c r="I2344" s="27"/>
      <c r="J2344" s="27"/>
      <c r="K2344" s="27"/>
      <c r="L2344" s="27"/>
      <c r="M2344" s="27"/>
      <c r="N2344" s="27"/>
      <c r="O2344" s="27"/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17"/>
      <c r="AA2344" s="17"/>
      <c r="AB2344" s="17"/>
      <c r="AC2344" s="17"/>
      <c r="AD2344" s="27"/>
    </row>
    <row r="2345" ht="15.75" customHeight="1">
      <c r="A2345" s="27"/>
      <c r="B2345" s="27"/>
      <c r="C2345" s="27"/>
      <c r="D2345" s="27"/>
      <c r="E2345" s="27"/>
      <c r="F2345" s="27"/>
      <c r="G2345" s="27"/>
      <c r="H2345" s="27"/>
      <c r="I2345" s="27"/>
      <c r="J2345" s="27"/>
      <c r="K2345" s="27"/>
      <c r="L2345" s="27"/>
      <c r="M2345" s="27"/>
      <c r="N2345" s="27"/>
      <c r="O2345" s="27"/>
      <c r="P2345" s="27"/>
      <c r="Q2345" s="27"/>
      <c r="R2345" s="27"/>
      <c r="S2345" s="27"/>
      <c r="T2345" s="27"/>
      <c r="U2345" s="27"/>
      <c r="V2345" s="27"/>
      <c r="W2345" s="27"/>
      <c r="X2345" s="27"/>
      <c r="Y2345" s="27"/>
      <c r="Z2345" s="17"/>
      <c r="AA2345" s="17"/>
      <c r="AB2345" s="17"/>
      <c r="AC2345" s="17"/>
      <c r="AD2345" s="27"/>
    </row>
    <row r="2346" ht="15.75" customHeight="1">
      <c r="A2346" s="27"/>
      <c r="B2346" s="27"/>
      <c r="C2346" s="27"/>
      <c r="D2346" s="27"/>
      <c r="E2346" s="27"/>
      <c r="F2346" s="27"/>
      <c r="G2346" s="27"/>
      <c r="H2346" s="27"/>
      <c r="I2346" s="27"/>
      <c r="J2346" s="27"/>
      <c r="K2346" s="27"/>
      <c r="L2346" s="27"/>
      <c r="M2346" s="27"/>
      <c r="N2346" s="27"/>
      <c r="O2346" s="27"/>
      <c r="P2346" s="27"/>
      <c r="Q2346" s="27"/>
      <c r="R2346" s="27"/>
      <c r="S2346" s="27"/>
      <c r="T2346" s="27"/>
      <c r="U2346" s="27"/>
      <c r="V2346" s="27"/>
      <c r="W2346" s="27"/>
      <c r="X2346" s="27"/>
      <c r="Y2346" s="27"/>
      <c r="Z2346" s="17"/>
      <c r="AA2346" s="17"/>
      <c r="AB2346" s="17"/>
      <c r="AC2346" s="17"/>
      <c r="AD2346" s="27"/>
    </row>
    <row r="2347" ht="15.75" customHeight="1">
      <c r="A2347" s="27"/>
      <c r="B2347" s="27"/>
      <c r="C2347" s="27"/>
      <c r="D2347" s="27"/>
      <c r="E2347" s="27"/>
      <c r="F2347" s="27"/>
      <c r="G2347" s="27"/>
      <c r="H2347" s="27"/>
      <c r="I2347" s="27"/>
      <c r="J2347" s="27"/>
      <c r="K2347" s="27"/>
      <c r="L2347" s="27"/>
      <c r="M2347" s="27"/>
      <c r="N2347" s="27"/>
      <c r="O2347" s="27"/>
      <c r="P2347" s="27"/>
      <c r="Q2347" s="27"/>
      <c r="R2347" s="27"/>
      <c r="S2347" s="27"/>
      <c r="T2347" s="27"/>
      <c r="U2347" s="27"/>
      <c r="V2347" s="27"/>
      <c r="W2347" s="27"/>
      <c r="X2347" s="27"/>
      <c r="Y2347" s="27"/>
      <c r="Z2347" s="17"/>
      <c r="AA2347" s="17"/>
      <c r="AB2347" s="17"/>
      <c r="AC2347" s="17"/>
      <c r="AD2347" s="27"/>
    </row>
    <row r="2348" ht="15.75" customHeight="1">
      <c r="A2348" s="27"/>
      <c r="B2348" s="27"/>
      <c r="C2348" s="27"/>
      <c r="D2348" s="27"/>
      <c r="E2348" s="27"/>
      <c r="F2348" s="27"/>
      <c r="G2348" s="27"/>
      <c r="H2348" s="27"/>
      <c r="I2348" s="27"/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17"/>
      <c r="AA2348" s="17"/>
      <c r="AB2348" s="17"/>
      <c r="AC2348" s="17"/>
      <c r="AD2348" s="27"/>
    </row>
    <row r="2349" ht="15.75" customHeight="1">
      <c r="A2349" s="27"/>
      <c r="B2349" s="27"/>
      <c r="C2349" s="27"/>
      <c r="D2349" s="27"/>
      <c r="E2349" s="27"/>
      <c r="F2349" s="27"/>
      <c r="G2349" s="27"/>
      <c r="H2349" s="27"/>
      <c r="I2349" s="27"/>
      <c r="J2349" s="27"/>
      <c r="K2349" s="27"/>
      <c r="L2349" s="27"/>
      <c r="M2349" s="27"/>
      <c r="N2349" s="27"/>
      <c r="O2349" s="27"/>
      <c r="P2349" s="27"/>
      <c r="Q2349" s="27"/>
      <c r="R2349" s="27"/>
      <c r="S2349" s="27"/>
      <c r="T2349" s="27"/>
      <c r="U2349" s="27"/>
      <c r="V2349" s="27"/>
      <c r="W2349" s="27"/>
      <c r="X2349" s="27"/>
      <c r="Y2349" s="27"/>
      <c r="Z2349" s="17"/>
      <c r="AA2349" s="17"/>
      <c r="AB2349" s="17"/>
      <c r="AC2349" s="17"/>
      <c r="AD2349" s="27"/>
    </row>
    <row r="2350" ht="15.75" customHeight="1">
      <c r="A2350" s="27"/>
      <c r="B2350" s="27"/>
      <c r="C2350" s="27"/>
      <c r="D2350" s="27"/>
      <c r="E2350" s="27"/>
      <c r="F2350" s="27"/>
      <c r="G2350" s="27"/>
      <c r="H2350" s="27"/>
      <c r="I2350" s="27"/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  <c r="T2350" s="27"/>
      <c r="U2350" s="27"/>
      <c r="V2350" s="27"/>
      <c r="W2350" s="27"/>
      <c r="X2350" s="27"/>
      <c r="Y2350" s="27"/>
      <c r="Z2350" s="17"/>
      <c r="AA2350" s="17"/>
      <c r="AB2350" s="17"/>
      <c r="AC2350" s="17"/>
      <c r="AD2350" s="27"/>
    </row>
    <row r="2351" ht="15.75" customHeight="1">
      <c r="A2351" s="27"/>
      <c r="B2351" s="27"/>
      <c r="C2351" s="27"/>
      <c r="D2351" s="27"/>
      <c r="E2351" s="27"/>
      <c r="F2351" s="27"/>
      <c r="G2351" s="27"/>
      <c r="H2351" s="27"/>
      <c r="I2351" s="27"/>
      <c r="J2351" s="27"/>
      <c r="K2351" s="27"/>
      <c r="L2351" s="27"/>
      <c r="M2351" s="27"/>
      <c r="N2351" s="27"/>
      <c r="O2351" s="27"/>
      <c r="P2351" s="27"/>
      <c r="Q2351" s="27"/>
      <c r="R2351" s="27"/>
      <c r="S2351" s="27"/>
      <c r="T2351" s="27"/>
      <c r="U2351" s="27"/>
      <c r="V2351" s="27"/>
      <c r="W2351" s="27"/>
      <c r="X2351" s="27"/>
      <c r="Y2351" s="27"/>
      <c r="Z2351" s="17"/>
      <c r="AA2351" s="17"/>
      <c r="AB2351" s="17"/>
      <c r="AC2351" s="17"/>
      <c r="AD2351" s="27"/>
    </row>
    <row r="2352" ht="15.75" customHeight="1">
      <c r="A2352" s="27"/>
      <c r="B2352" s="27"/>
      <c r="C2352" s="27"/>
      <c r="D2352" s="27"/>
      <c r="E2352" s="27"/>
      <c r="F2352" s="27"/>
      <c r="G2352" s="27"/>
      <c r="H2352" s="27"/>
      <c r="I2352" s="27"/>
      <c r="J2352" s="27"/>
      <c r="K2352" s="27"/>
      <c r="L2352" s="27"/>
      <c r="M2352" s="27"/>
      <c r="N2352" s="27"/>
      <c r="O2352" s="27"/>
      <c r="P2352" s="27"/>
      <c r="Q2352" s="27"/>
      <c r="R2352" s="27"/>
      <c r="S2352" s="27"/>
      <c r="T2352" s="27"/>
      <c r="U2352" s="27"/>
      <c r="V2352" s="27"/>
      <c r="W2352" s="27"/>
      <c r="X2352" s="27"/>
      <c r="Y2352" s="27"/>
      <c r="Z2352" s="17"/>
      <c r="AA2352" s="17"/>
      <c r="AB2352" s="17"/>
      <c r="AC2352" s="17"/>
      <c r="AD2352" s="27"/>
    </row>
    <row r="2353" ht="15.75" customHeight="1">
      <c r="A2353" s="27"/>
      <c r="B2353" s="27"/>
      <c r="C2353" s="27"/>
      <c r="D2353" s="27"/>
      <c r="E2353" s="27"/>
      <c r="F2353" s="27"/>
      <c r="G2353" s="27"/>
      <c r="H2353" s="27"/>
      <c r="I2353" s="27"/>
      <c r="J2353" s="27"/>
      <c r="K2353" s="27"/>
      <c r="L2353" s="27"/>
      <c r="M2353" s="27"/>
      <c r="N2353" s="27"/>
      <c r="O2353" s="27"/>
      <c r="P2353" s="27"/>
      <c r="Q2353" s="27"/>
      <c r="R2353" s="27"/>
      <c r="S2353" s="27"/>
      <c r="T2353" s="27"/>
      <c r="U2353" s="27"/>
      <c r="V2353" s="27"/>
      <c r="W2353" s="27"/>
      <c r="X2353" s="27"/>
      <c r="Y2353" s="27"/>
      <c r="Z2353" s="17"/>
      <c r="AA2353" s="17"/>
      <c r="AB2353" s="17"/>
      <c r="AC2353" s="17"/>
      <c r="AD2353" s="27"/>
    </row>
    <row r="2354" ht="15.75" customHeight="1">
      <c r="A2354" s="27"/>
      <c r="B2354" s="27"/>
      <c r="C2354" s="27"/>
      <c r="D2354" s="27"/>
      <c r="E2354" s="27"/>
      <c r="F2354" s="27"/>
      <c r="G2354" s="27"/>
      <c r="H2354" s="27"/>
      <c r="I2354" s="27"/>
      <c r="J2354" s="27"/>
      <c r="K2354" s="27"/>
      <c r="L2354" s="27"/>
      <c r="M2354" s="27"/>
      <c r="N2354" s="27"/>
      <c r="O2354" s="27"/>
      <c r="P2354" s="27"/>
      <c r="Q2354" s="27"/>
      <c r="R2354" s="27"/>
      <c r="S2354" s="27"/>
      <c r="T2354" s="27"/>
      <c r="U2354" s="27"/>
      <c r="V2354" s="27"/>
      <c r="W2354" s="27"/>
      <c r="X2354" s="27"/>
      <c r="Y2354" s="27"/>
      <c r="Z2354" s="17"/>
      <c r="AA2354" s="17"/>
      <c r="AB2354" s="17"/>
      <c r="AC2354" s="17"/>
      <c r="AD2354" s="27"/>
    </row>
    <row r="2355" ht="15.75" customHeight="1">
      <c r="A2355" s="27"/>
      <c r="B2355" s="27"/>
      <c r="C2355" s="27"/>
      <c r="D2355" s="27"/>
      <c r="E2355" s="27"/>
      <c r="F2355" s="27"/>
      <c r="G2355" s="27"/>
      <c r="H2355" s="27"/>
      <c r="I2355" s="27"/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  <c r="T2355" s="27"/>
      <c r="U2355" s="27"/>
      <c r="V2355" s="27"/>
      <c r="W2355" s="27"/>
      <c r="X2355" s="27"/>
      <c r="Y2355" s="27"/>
      <c r="Z2355" s="17"/>
      <c r="AA2355" s="17"/>
      <c r="AB2355" s="17"/>
      <c r="AC2355" s="17"/>
      <c r="AD2355" s="27"/>
    </row>
    <row r="2356" ht="15.75" customHeight="1">
      <c r="A2356" s="27"/>
      <c r="B2356" s="27"/>
      <c r="C2356" s="27"/>
      <c r="D2356" s="27"/>
      <c r="E2356" s="27"/>
      <c r="F2356" s="27"/>
      <c r="G2356" s="27"/>
      <c r="H2356" s="27"/>
      <c r="I2356" s="27"/>
      <c r="J2356" s="27"/>
      <c r="K2356" s="27"/>
      <c r="L2356" s="27"/>
      <c r="M2356" s="27"/>
      <c r="N2356" s="27"/>
      <c r="O2356" s="27"/>
      <c r="P2356" s="27"/>
      <c r="Q2356" s="27"/>
      <c r="R2356" s="27"/>
      <c r="S2356" s="27"/>
      <c r="T2356" s="27"/>
      <c r="U2356" s="27"/>
      <c r="V2356" s="27"/>
      <c r="W2356" s="27"/>
      <c r="X2356" s="27"/>
      <c r="Y2356" s="27"/>
      <c r="Z2356" s="17"/>
      <c r="AA2356" s="17"/>
      <c r="AB2356" s="17"/>
      <c r="AC2356" s="17"/>
      <c r="AD2356" s="27"/>
    </row>
    <row r="2357" ht="15.75" customHeight="1">
      <c r="A2357" s="27"/>
      <c r="B2357" s="27"/>
      <c r="C2357" s="27"/>
      <c r="D2357" s="27"/>
      <c r="E2357" s="27"/>
      <c r="F2357" s="27"/>
      <c r="G2357" s="27"/>
      <c r="H2357" s="27"/>
      <c r="I2357" s="27"/>
      <c r="J2357" s="27"/>
      <c r="K2357" s="27"/>
      <c r="L2357" s="27"/>
      <c r="M2357" s="27"/>
      <c r="N2357" s="27"/>
      <c r="O2357" s="27"/>
      <c r="P2357" s="27"/>
      <c r="Q2357" s="27"/>
      <c r="R2357" s="27"/>
      <c r="S2357" s="27"/>
      <c r="T2357" s="27"/>
      <c r="U2357" s="27"/>
      <c r="V2357" s="27"/>
      <c r="W2357" s="27"/>
      <c r="X2357" s="27"/>
      <c r="Y2357" s="27"/>
      <c r="Z2357" s="17"/>
      <c r="AA2357" s="17"/>
      <c r="AB2357" s="17"/>
      <c r="AC2357" s="17"/>
      <c r="AD2357" s="27"/>
    </row>
    <row r="2358" ht="15.75" customHeight="1">
      <c r="A2358" s="27"/>
      <c r="B2358" s="27"/>
      <c r="C2358" s="27"/>
      <c r="D2358" s="27"/>
      <c r="E2358" s="27"/>
      <c r="F2358" s="27"/>
      <c r="G2358" s="27"/>
      <c r="H2358" s="27"/>
      <c r="I2358" s="27"/>
      <c r="J2358" s="27"/>
      <c r="K2358" s="27"/>
      <c r="L2358" s="27"/>
      <c r="M2358" s="27"/>
      <c r="N2358" s="27"/>
      <c r="O2358" s="27"/>
      <c r="P2358" s="27"/>
      <c r="Q2358" s="27"/>
      <c r="R2358" s="27"/>
      <c r="S2358" s="27"/>
      <c r="T2358" s="27"/>
      <c r="U2358" s="27"/>
      <c r="V2358" s="27"/>
      <c r="W2358" s="27"/>
      <c r="X2358" s="27"/>
      <c r="Y2358" s="27"/>
      <c r="Z2358" s="17"/>
      <c r="AA2358" s="17"/>
      <c r="AB2358" s="17"/>
      <c r="AC2358" s="17"/>
      <c r="AD2358" s="27"/>
    </row>
    <row r="2359" ht="15.75" customHeight="1">
      <c r="A2359" s="27"/>
      <c r="B2359" s="27"/>
      <c r="C2359" s="27"/>
      <c r="D2359" s="27"/>
      <c r="E2359" s="27"/>
      <c r="F2359" s="27"/>
      <c r="G2359" s="27"/>
      <c r="H2359" s="27"/>
      <c r="I2359" s="27"/>
      <c r="J2359" s="27"/>
      <c r="K2359" s="27"/>
      <c r="L2359" s="27"/>
      <c r="M2359" s="27"/>
      <c r="N2359" s="27"/>
      <c r="O2359" s="27"/>
      <c r="P2359" s="27"/>
      <c r="Q2359" s="27"/>
      <c r="R2359" s="27"/>
      <c r="S2359" s="27"/>
      <c r="T2359" s="27"/>
      <c r="U2359" s="27"/>
      <c r="V2359" s="27"/>
      <c r="W2359" s="27"/>
      <c r="X2359" s="27"/>
      <c r="Y2359" s="27"/>
      <c r="Z2359" s="17"/>
      <c r="AA2359" s="17"/>
      <c r="AB2359" s="17"/>
      <c r="AC2359" s="17"/>
      <c r="AD2359" s="27"/>
    </row>
    <row r="2360" ht="15.75" customHeight="1">
      <c r="A2360" s="27"/>
      <c r="B2360" s="27"/>
      <c r="C2360" s="27"/>
      <c r="D2360" s="27"/>
      <c r="E2360" s="27"/>
      <c r="F2360" s="27"/>
      <c r="G2360" s="27"/>
      <c r="H2360" s="27"/>
      <c r="I2360" s="27"/>
      <c r="J2360" s="27"/>
      <c r="K2360" s="27"/>
      <c r="L2360" s="27"/>
      <c r="M2360" s="27"/>
      <c r="N2360" s="27"/>
      <c r="O2360" s="27"/>
      <c r="P2360" s="27"/>
      <c r="Q2360" s="27"/>
      <c r="R2360" s="27"/>
      <c r="S2360" s="27"/>
      <c r="T2360" s="27"/>
      <c r="U2360" s="27"/>
      <c r="V2360" s="27"/>
      <c r="W2360" s="27"/>
      <c r="X2360" s="27"/>
      <c r="Y2360" s="27"/>
      <c r="Z2360" s="17"/>
      <c r="AA2360" s="17"/>
      <c r="AB2360" s="17"/>
      <c r="AC2360" s="17"/>
      <c r="AD2360" s="27"/>
    </row>
    <row r="2361" ht="15.75" customHeight="1">
      <c r="A2361" s="27"/>
      <c r="B2361" s="27"/>
      <c r="C2361" s="27"/>
      <c r="D2361" s="27"/>
      <c r="E2361" s="27"/>
      <c r="F2361" s="27"/>
      <c r="G2361" s="27"/>
      <c r="H2361" s="27"/>
      <c r="I2361" s="27"/>
      <c r="J2361" s="27"/>
      <c r="K2361" s="27"/>
      <c r="L2361" s="27"/>
      <c r="M2361" s="27"/>
      <c r="N2361" s="27"/>
      <c r="O2361" s="27"/>
      <c r="P2361" s="27"/>
      <c r="Q2361" s="27"/>
      <c r="R2361" s="27"/>
      <c r="S2361" s="27"/>
      <c r="T2361" s="27"/>
      <c r="U2361" s="27"/>
      <c r="V2361" s="27"/>
      <c r="W2361" s="27"/>
      <c r="X2361" s="27"/>
      <c r="Y2361" s="27"/>
      <c r="Z2361" s="17"/>
      <c r="AA2361" s="17"/>
      <c r="AB2361" s="17"/>
      <c r="AC2361" s="17"/>
      <c r="AD2361" s="27"/>
    </row>
    <row r="2362" ht="15.75" customHeight="1">
      <c r="A2362" s="27"/>
      <c r="B2362" s="27"/>
      <c r="C2362" s="27"/>
      <c r="D2362" s="27"/>
      <c r="E2362" s="27"/>
      <c r="F2362" s="27"/>
      <c r="G2362" s="27"/>
      <c r="H2362" s="27"/>
      <c r="I2362" s="27"/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  <c r="T2362" s="27"/>
      <c r="U2362" s="27"/>
      <c r="V2362" s="27"/>
      <c r="W2362" s="27"/>
      <c r="X2362" s="27"/>
      <c r="Y2362" s="27"/>
      <c r="Z2362" s="17"/>
      <c r="AA2362" s="17"/>
      <c r="AB2362" s="17"/>
      <c r="AC2362" s="17"/>
      <c r="AD2362" s="27"/>
    </row>
    <row r="2363" ht="15.75" customHeight="1">
      <c r="A2363" s="27"/>
      <c r="B2363" s="27"/>
      <c r="C2363" s="27"/>
      <c r="D2363" s="27"/>
      <c r="E2363" s="27"/>
      <c r="F2363" s="27"/>
      <c r="G2363" s="27"/>
      <c r="H2363" s="27"/>
      <c r="I2363" s="27"/>
      <c r="J2363" s="27"/>
      <c r="K2363" s="27"/>
      <c r="L2363" s="27"/>
      <c r="M2363" s="27"/>
      <c r="N2363" s="27"/>
      <c r="O2363" s="27"/>
      <c r="P2363" s="27"/>
      <c r="Q2363" s="27"/>
      <c r="R2363" s="27"/>
      <c r="S2363" s="27"/>
      <c r="T2363" s="27"/>
      <c r="U2363" s="27"/>
      <c r="V2363" s="27"/>
      <c r="W2363" s="27"/>
      <c r="X2363" s="27"/>
      <c r="Y2363" s="27"/>
      <c r="Z2363" s="17"/>
      <c r="AA2363" s="17"/>
      <c r="AB2363" s="17"/>
      <c r="AC2363" s="17"/>
      <c r="AD2363" s="27"/>
    </row>
    <row r="2364" ht="15.75" customHeight="1">
      <c r="A2364" s="27"/>
      <c r="B2364" s="27"/>
      <c r="C2364" s="27"/>
      <c r="D2364" s="27"/>
      <c r="E2364" s="27"/>
      <c r="F2364" s="27"/>
      <c r="G2364" s="27"/>
      <c r="H2364" s="27"/>
      <c r="I2364" s="27"/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  <c r="T2364" s="27"/>
      <c r="U2364" s="27"/>
      <c r="V2364" s="27"/>
      <c r="W2364" s="27"/>
      <c r="X2364" s="27"/>
      <c r="Y2364" s="27"/>
      <c r="Z2364" s="17"/>
      <c r="AA2364" s="17"/>
      <c r="AB2364" s="17"/>
      <c r="AC2364" s="17"/>
      <c r="AD2364" s="27"/>
    </row>
    <row r="2365" ht="15.75" customHeight="1">
      <c r="A2365" s="27"/>
      <c r="B2365" s="27"/>
      <c r="C2365" s="27"/>
      <c r="D2365" s="27"/>
      <c r="E2365" s="27"/>
      <c r="F2365" s="27"/>
      <c r="G2365" s="27"/>
      <c r="H2365" s="27"/>
      <c r="I2365" s="27"/>
      <c r="J2365" s="27"/>
      <c r="K2365" s="27"/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/>
      <c r="W2365" s="27"/>
      <c r="X2365" s="27"/>
      <c r="Y2365" s="27"/>
      <c r="Z2365" s="17"/>
      <c r="AA2365" s="17"/>
      <c r="AB2365" s="17"/>
      <c r="AC2365" s="17"/>
      <c r="AD2365" s="27"/>
    </row>
    <row r="2366" ht="15.75" customHeight="1">
      <c r="A2366" s="27"/>
      <c r="B2366" s="27"/>
      <c r="C2366" s="27"/>
      <c r="D2366" s="27"/>
      <c r="E2366" s="27"/>
      <c r="F2366" s="27"/>
      <c r="G2366" s="27"/>
      <c r="H2366" s="27"/>
      <c r="I2366" s="27"/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  <c r="Z2366" s="17"/>
      <c r="AA2366" s="17"/>
      <c r="AB2366" s="17"/>
      <c r="AC2366" s="17"/>
      <c r="AD2366" s="27"/>
    </row>
    <row r="2367" ht="15.75" customHeight="1">
      <c r="A2367" s="27"/>
      <c r="B2367" s="27"/>
      <c r="C2367" s="27"/>
      <c r="D2367" s="27"/>
      <c r="E2367" s="27"/>
      <c r="F2367" s="27"/>
      <c r="G2367" s="27"/>
      <c r="H2367" s="27"/>
      <c r="I2367" s="27"/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  <c r="Z2367" s="17"/>
      <c r="AA2367" s="17"/>
      <c r="AB2367" s="17"/>
      <c r="AC2367" s="17"/>
      <c r="AD2367" s="27"/>
    </row>
    <row r="2368" ht="15.75" customHeight="1">
      <c r="A2368" s="27"/>
      <c r="B2368" s="27"/>
      <c r="C2368" s="27"/>
      <c r="D2368" s="27"/>
      <c r="E2368" s="27"/>
      <c r="F2368" s="27"/>
      <c r="G2368" s="27"/>
      <c r="H2368" s="27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  <c r="Z2368" s="17"/>
      <c r="AA2368" s="17"/>
      <c r="AB2368" s="17"/>
      <c r="AC2368" s="17"/>
      <c r="AD2368" s="27"/>
    </row>
    <row r="2369" ht="15.75" customHeight="1">
      <c r="A2369" s="27"/>
      <c r="B2369" s="27"/>
      <c r="C2369" s="27"/>
      <c r="D2369" s="27"/>
      <c r="E2369" s="27"/>
      <c r="F2369" s="27"/>
      <c r="G2369" s="27"/>
      <c r="H2369" s="27"/>
      <c r="I2369" s="27"/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  <c r="Z2369" s="17"/>
      <c r="AA2369" s="17"/>
      <c r="AB2369" s="17"/>
      <c r="AC2369" s="17"/>
      <c r="AD2369" s="27"/>
    </row>
    <row r="2370" ht="15.75" customHeight="1">
      <c r="A2370" s="27"/>
      <c r="B2370" s="27"/>
      <c r="C2370" s="27"/>
      <c r="D2370" s="27"/>
      <c r="E2370" s="27"/>
      <c r="F2370" s="27"/>
      <c r="G2370" s="27"/>
      <c r="H2370" s="27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17"/>
      <c r="AA2370" s="17"/>
      <c r="AB2370" s="17"/>
      <c r="AC2370" s="17"/>
      <c r="AD2370" s="27"/>
    </row>
    <row r="2371" ht="15.75" customHeight="1">
      <c r="A2371" s="27"/>
      <c r="B2371" s="27"/>
      <c r="C2371" s="27"/>
      <c r="D2371" s="27"/>
      <c r="E2371" s="27"/>
      <c r="F2371" s="27"/>
      <c r="G2371" s="27"/>
      <c r="H2371" s="27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17"/>
      <c r="AA2371" s="17"/>
      <c r="AB2371" s="17"/>
      <c r="AC2371" s="17"/>
      <c r="AD2371" s="27"/>
    </row>
    <row r="2372" ht="15.75" customHeight="1">
      <c r="A2372" s="27"/>
      <c r="B2372" s="27"/>
      <c r="C2372" s="27"/>
      <c r="D2372" s="27"/>
      <c r="E2372" s="27"/>
      <c r="F2372" s="27"/>
      <c r="G2372" s="27"/>
      <c r="H2372" s="27"/>
      <c r="I2372" s="27"/>
      <c r="J2372" s="27"/>
      <c r="K2372" s="27"/>
      <c r="L2372" s="27"/>
      <c r="M2372" s="27"/>
      <c r="N2372" s="27"/>
      <c r="O2372" s="27"/>
      <c r="P2372" s="27"/>
      <c r="Q2372" s="27"/>
      <c r="R2372" s="27"/>
      <c r="S2372" s="27"/>
      <c r="T2372" s="27"/>
      <c r="U2372" s="27"/>
      <c r="V2372" s="27"/>
      <c r="W2372" s="27"/>
      <c r="X2372" s="27"/>
      <c r="Y2372" s="27"/>
      <c r="Z2372" s="17"/>
      <c r="AA2372" s="17"/>
      <c r="AB2372" s="17"/>
      <c r="AC2372" s="17"/>
      <c r="AD2372" s="27"/>
    </row>
    <row r="2373" ht="15.75" customHeight="1">
      <c r="A2373" s="27"/>
      <c r="B2373" s="27"/>
      <c r="C2373" s="27"/>
      <c r="D2373" s="27"/>
      <c r="E2373" s="27"/>
      <c r="F2373" s="27"/>
      <c r="G2373" s="27"/>
      <c r="H2373" s="27"/>
      <c r="I2373" s="27"/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  <c r="T2373" s="27"/>
      <c r="U2373" s="27"/>
      <c r="V2373" s="27"/>
      <c r="W2373" s="27"/>
      <c r="X2373" s="27"/>
      <c r="Y2373" s="27"/>
      <c r="Z2373" s="17"/>
      <c r="AA2373" s="17"/>
      <c r="AB2373" s="17"/>
      <c r="AC2373" s="17"/>
      <c r="AD2373" s="27"/>
    </row>
    <row r="2374" ht="15.75" customHeight="1">
      <c r="A2374" s="27"/>
      <c r="B2374" s="27"/>
      <c r="C2374" s="27"/>
      <c r="D2374" s="27"/>
      <c r="E2374" s="27"/>
      <c r="F2374" s="27"/>
      <c r="G2374" s="27"/>
      <c r="H2374" s="27"/>
      <c r="I2374" s="27"/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  <c r="Z2374" s="17"/>
      <c r="AA2374" s="17"/>
      <c r="AB2374" s="17"/>
      <c r="AC2374" s="17"/>
      <c r="AD2374" s="27"/>
    </row>
    <row r="2375" ht="15.75" customHeight="1">
      <c r="A2375" s="27"/>
      <c r="B2375" s="27"/>
      <c r="C2375" s="27"/>
      <c r="D2375" s="27"/>
      <c r="E2375" s="27"/>
      <c r="F2375" s="27"/>
      <c r="G2375" s="27"/>
      <c r="H2375" s="27"/>
      <c r="I2375" s="27"/>
      <c r="J2375" s="27"/>
      <c r="K2375" s="27"/>
      <c r="L2375" s="27"/>
      <c r="M2375" s="27"/>
      <c r="N2375" s="27"/>
      <c r="O2375" s="27"/>
      <c r="P2375" s="27"/>
      <c r="Q2375" s="27"/>
      <c r="R2375" s="27"/>
      <c r="S2375" s="27"/>
      <c r="T2375" s="27"/>
      <c r="U2375" s="27"/>
      <c r="V2375" s="27"/>
      <c r="W2375" s="27"/>
      <c r="X2375" s="27"/>
      <c r="Y2375" s="27"/>
      <c r="Z2375" s="17"/>
      <c r="AA2375" s="17"/>
      <c r="AB2375" s="17"/>
      <c r="AC2375" s="17"/>
      <c r="AD2375" s="27"/>
    </row>
    <row r="2376" ht="15.75" customHeight="1">
      <c r="A2376" s="27"/>
      <c r="B2376" s="27"/>
      <c r="C2376" s="27"/>
      <c r="D2376" s="27"/>
      <c r="E2376" s="27"/>
      <c r="F2376" s="27"/>
      <c r="G2376" s="27"/>
      <c r="H2376" s="27"/>
      <c r="I2376" s="27"/>
      <c r="J2376" s="27"/>
      <c r="K2376" s="27"/>
      <c r="L2376" s="27"/>
      <c r="M2376" s="27"/>
      <c r="N2376" s="27"/>
      <c r="O2376" s="27"/>
      <c r="P2376" s="27"/>
      <c r="Q2376" s="27"/>
      <c r="R2376" s="27"/>
      <c r="S2376" s="27"/>
      <c r="T2376" s="27"/>
      <c r="U2376" s="27"/>
      <c r="V2376" s="27"/>
      <c r="W2376" s="27"/>
      <c r="X2376" s="27"/>
      <c r="Y2376" s="27"/>
      <c r="Z2376" s="17"/>
      <c r="AA2376" s="17"/>
      <c r="AB2376" s="17"/>
      <c r="AC2376" s="17"/>
      <c r="AD2376" s="27"/>
    </row>
    <row r="2377" ht="15.75" customHeight="1">
      <c r="A2377" s="27"/>
      <c r="B2377" s="27"/>
      <c r="C2377" s="27"/>
      <c r="D2377" s="27"/>
      <c r="E2377" s="27"/>
      <c r="F2377" s="27"/>
      <c r="G2377" s="27"/>
      <c r="H2377" s="27"/>
      <c r="I2377" s="27"/>
      <c r="J2377" s="27"/>
      <c r="K2377" s="27"/>
      <c r="L2377" s="27"/>
      <c r="M2377" s="27"/>
      <c r="N2377" s="27"/>
      <c r="O2377" s="27"/>
      <c r="P2377" s="27"/>
      <c r="Q2377" s="27"/>
      <c r="R2377" s="27"/>
      <c r="S2377" s="27"/>
      <c r="T2377" s="27"/>
      <c r="U2377" s="27"/>
      <c r="V2377" s="27"/>
      <c r="W2377" s="27"/>
      <c r="X2377" s="27"/>
      <c r="Y2377" s="27"/>
      <c r="Z2377" s="17"/>
      <c r="AA2377" s="17"/>
      <c r="AB2377" s="17"/>
      <c r="AC2377" s="17"/>
      <c r="AD2377" s="27"/>
    </row>
    <row r="2378" ht="15.75" customHeight="1">
      <c r="A2378" s="27"/>
      <c r="B2378" s="27"/>
      <c r="C2378" s="27"/>
      <c r="D2378" s="27"/>
      <c r="E2378" s="27"/>
      <c r="F2378" s="27"/>
      <c r="G2378" s="27"/>
      <c r="H2378" s="27"/>
      <c r="I2378" s="27"/>
      <c r="J2378" s="27"/>
      <c r="K2378" s="27"/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  <c r="Z2378" s="17"/>
      <c r="AA2378" s="17"/>
      <c r="AB2378" s="17"/>
      <c r="AC2378" s="17"/>
      <c r="AD2378" s="27"/>
    </row>
    <row r="2379" ht="15.75" customHeight="1">
      <c r="A2379" s="27"/>
      <c r="B2379" s="27"/>
      <c r="C2379" s="27"/>
      <c r="D2379" s="27"/>
      <c r="E2379" s="27"/>
      <c r="F2379" s="27"/>
      <c r="G2379" s="27"/>
      <c r="H2379" s="27"/>
      <c r="I2379" s="27"/>
      <c r="J2379" s="27"/>
      <c r="K2379" s="27"/>
      <c r="L2379" s="27"/>
      <c r="M2379" s="27"/>
      <c r="N2379" s="27"/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17"/>
      <c r="AA2379" s="17"/>
      <c r="AB2379" s="17"/>
      <c r="AC2379" s="17"/>
      <c r="AD2379" s="27"/>
    </row>
    <row r="2380" ht="15.75" customHeight="1">
      <c r="A2380" s="27"/>
      <c r="B2380" s="27"/>
      <c r="C2380" s="27"/>
      <c r="D2380" s="27"/>
      <c r="E2380" s="27"/>
      <c r="F2380" s="27"/>
      <c r="G2380" s="27"/>
      <c r="H2380" s="27"/>
      <c r="I2380" s="27"/>
      <c r="J2380" s="27"/>
      <c r="K2380" s="27"/>
      <c r="L2380" s="27"/>
      <c r="M2380" s="27"/>
      <c r="N2380" s="27"/>
      <c r="O2380" s="27"/>
      <c r="P2380" s="27"/>
      <c r="Q2380" s="27"/>
      <c r="R2380" s="27"/>
      <c r="S2380" s="27"/>
      <c r="T2380" s="27"/>
      <c r="U2380" s="27"/>
      <c r="V2380" s="27"/>
      <c r="W2380" s="27"/>
      <c r="X2380" s="27"/>
      <c r="Y2380" s="27"/>
      <c r="Z2380" s="17"/>
      <c r="AA2380" s="17"/>
      <c r="AB2380" s="17"/>
      <c r="AC2380" s="17"/>
      <c r="AD2380" s="27"/>
    </row>
    <row r="2381" ht="15.75" customHeight="1">
      <c r="A2381" s="27"/>
      <c r="B2381" s="27"/>
      <c r="C2381" s="27"/>
      <c r="D2381" s="27"/>
      <c r="E2381" s="27"/>
      <c r="F2381" s="27"/>
      <c r="G2381" s="27"/>
      <c r="H2381" s="27"/>
      <c r="I2381" s="27"/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7"/>
      <c r="X2381" s="27"/>
      <c r="Y2381" s="27"/>
      <c r="Z2381" s="17"/>
      <c r="AA2381" s="17"/>
      <c r="AB2381" s="17"/>
      <c r="AC2381" s="17"/>
      <c r="AD2381" s="27"/>
    </row>
    <row r="2382" ht="15.75" customHeight="1">
      <c r="A2382" s="27"/>
      <c r="B2382" s="27"/>
      <c r="C2382" s="27"/>
      <c r="D2382" s="27"/>
      <c r="E2382" s="27"/>
      <c r="F2382" s="27"/>
      <c r="G2382" s="27"/>
      <c r="H2382" s="27"/>
      <c r="I2382" s="27"/>
      <c r="J2382" s="27"/>
      <c r="K2382" s="27"/>
      <c r="L2382" s="27"/>
      <c r="M2382" s="27"/>
      <c r="N2382" s="27"/>
      <c r="O2382" s="27"/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17"/>
      <c r="AA2382" s="17"/>
      <c r="AB2382" s="17"/>
      <c r="AC2382" s="17"/>
      <c r="AD2382" s="27"/>
    </row>
    <row r="2383" ht="15.75" customHeight="1">
      <c r="A2383" s="27"/>
      <c r="B2383" s="27"/>
      <c r="C2383" s="27"/>
      <c r="D2383" s="27"/>
      <c r="E2383" s="27"/>
      <c r="F2383" s="27"/>
      <c r="G2383" s="27"/>
      <c r="H2383" s="27"/>
      <c r="I2383" s="27"/>
      <c r="J2383" s="27"/>
      <c r="K2383" s="27"/>
      <c r="L2383" s="27"/>
      <c r="M2383" s="27"/>
      <c r="N2383" s="27"/>
      <c r="O2383" s="27"/>
      <c r="P2383" s="27"/>
      <c r="Q2383" s="27"/>
      <c r="R2383" s="27"/>
      <c r="S2383" s="27"/>
      <c r="T2383" s="27"/>
      <c r="U2383" s="27"/>
      <c r="V2383" s="27"/>
      <c r="W2383" s="27"/>
      <c r="X2383" s="27"/>
      <c r="Y2383" s="27"/>
      <c r="Z2383" s="17"/>
      <c r="AA2383" s="17"/>
      <c r="AB2383" s="17"/>
      <c r="AC2383" s="17"/>
      <c r="AD2383" s="27"/>
    </row>
    <row r="2384" ht="15.75" customHeight="1">
      <c r="A2384" s="27"/>
      <c r="B2384" s="27"/>
      <c r="C2384" s="27"/>
      <c r="D2384" s="27"/>
      <c r="E2384" s="27"/>
      <c r="F2384" s="27"/>
      <c r="G2384" s="27"/>
      <c r="H2384" s="27"/>
      <c r="I2384" s="27"/>
      <c r="J2384" s="27"/>
      <c r="K2384" s="27"/>
      <c r="L2384" s="27"/>
      <c r="M2384" s="27"/>
      <c r="N2384" s="27"/>
      <c r="O2384" s="27"/>
      <c r="P2384" s="27"/>
      <c r="Q2384" s="27"/>
      <c r="R2384" s="27"/>
      <c r="S2384" s="27"/>
      <c r="T2384" s="27"/>
      <c r="U2384" s="27"/>
      <c r="V2384" s="27"/>
      <c r="W2384" s="27"/>
      <c r="X2384" s="27"/>
      <c r="Y2384" s="27"/>
      <c r="Z2384" s="17"/>
      <c r="AA2384" s="17"/>
      <c r="AB2384" s="17"/>
      <c r="AC2384" s="17"/>
      <c r="AD2384" s="27"/>
    </row>
    <row r="2385" ht="15.75" customHeight="1">
      <c r="A2385" s="27"/>
      <c r="B2385" s="27"/>
      <c r="C2385" s="27"/>
      <c r="D2385" s="27"/>
      <c r="E2385" s="27"/>
      <c r="F2385" s="27"/>
      <c r="G2385" s="27"/>
      <c r="H2385" s="27"/>
      <c r="I2385" s="27"/>
      <c r="J2385" s="27"/>
      <c r="K2385" s="27"/>
      <c r="L2385" s="27"/>
      <c r="M2385" s="27"/>
      <c r="N2385" s="27"/>
      <c r="O2385" s="27"/>
      <c r="P2385" s="27"/>
      <c r="Q2385" s="27"/>
      <c r="R2385" s="27"/>
      <c r="S2385" s="27"/>
      <c r="T2385" s="27"/>
      <c r="U2385" s="27"/>
      <c r="V2385" s="27"/>
      <c r="W2385" s="27"/>
      <c r="X2385" s="27"/>
      <c r="Y2385" s="27"/>
      <c r="Z2385" s="17"/>
      <c r="AA2385" s="17"/>
      <c r="AB2385" s="17"/>
      <c r="AC2385" s="17"/>
      <c r="AD2385" s="27"/>
    </row>
    <row r="2386" ht="15.75" customHeight="1">
      <c r="A2386" s="27"/>
      <c r="B2386" s="27"/>
      <c r="C2386" s="27"/>
      <c r="D2386" s="27"/>
      <c r="E2386" s="27"/>
      <c r="F2386" s="27"/>
      <c r="G2386" s="27"/>
      <c r="H2386" s="27"/>
      <c r="I2386" s="27"/>
      <c r="J2386" s="27"/>
      <c r="K2386" s="27"/>
      <c r="L2386" s="27"/>
      <c r="M2386" s="27"/>
      <c r="N2386" s="27"/>
      <c r="O2386" s="27"/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  <c r="Z2386" s="17"/>
      <c r="AA2386" s="17"/>
      <c r="AB2386" s="17"/>
      <c r="AC2386" s="17"/>
      <c r="AD2386" s="27"/>
    </row>
    <row r="2387" ht="15.75" customHeight="1">
      <c r="A2387" s="27"/>
      <c r="B2387" s="27"/>
      <c r="C2387" s="27"/>
      <c r="D2387" s="27"/>
      <c r="E2387" s="27"/>
      <c r="F2387" s="27"/>
      <c r="G2387" s="27"/>
      <c r="H2387" s="27"/>
      <c r="I2387" s="27"/>
      <c r="J2387" s="27"/>
      <c r="K2387" s="27"/>
      <c r="L2387" s="27"/>
      <c r="M2387" s="27"/>
      <c r="N2387" s="27"/>
      <c r="O2387" s="27"/>
      <c r="P2387" s="27"/>
      <c r="Q2387" s="27"/>
      <c r="R2387" s="27"/>
      <c r="S2387" s="27"/>
      <c r="T2387" s="27"/>
      <c r="U2387" s="27"/>
      <c r="V2387" s="27"/>
      <c r="W2387" s="27"/>
      <c r="X2387" s="27"/>
      <c r="Y2387" s="27"/>
      <c r="Z2387" s="17"/>
      <c r="AA2387" s="17"/>
      <c r="AB2387" s="17"/>
      <c r="AC2387" s="17"/>
      <c r="AD2387" s="27"/>
    </row>
    <row r="2388" ht="15.75" customHeight="1">
      <c r="A2388" s="27"/>
      <c r="B2388" s="27"/>
      <c r="C2388" s="27"/>
      <c r="D2388" s="27"/>
      <c r="E2388" s="27"/>
      <c r="F2388" s="27"/>
      <c r="G2388" s="27"/>
      <c r="H2388" s="27"/>
      <c r="I2388" s="27"/>
      <c r="J2388" s="27"/>
      <c r="K2388" s="27"/>
      <c r="L2388" s="27"/>
      <c r="M2388" s="27"/>
      <c r="N2388" s="27"/>
      <c r="O2388" s="27"/>
      <c r="P2388" s="27"/>
      <c r="Q2388" s="27"/>
      <c r="R2388" s="27"/>
      <c r="S2388" s="27"/>
      <c r="T2388" s="27"/>
      <c r="U2388" s="27"/>
      <c r="V2388" s="27"/>
      <c r="W2388" s="27"/>
      <c r="X2388" s="27"/>
      <c r="Y2388" s="27"/>
      <c r="Z2388" s="17"/>
      <c r="AA2388" s="17"/>
      <c r="AB2388" s="17"/>
      <c r="AC2388" s="17"/>
      <c r="AD2388" s="27"/>
    </row>
    <row r="2389" ht="15.75" customHeight="1">
      <c r="A2389" s="27"/>
      <c r="B2389" s="27"/>
      <c r="C2389" s="27"/>
      <c r="D2389" s="27"/>
      <c r="E2389" s="27"/>
      <c r="F2389" s="27"/>
      <c r="G2389" s="27"/>
      <c r="H2389" s="27"/>
      <c r="I2389" s="27"/>
      <c r="J2389" s="27"/>
      <c r="K2389" s="27"/>
      <c r="L2389" s="27"/>
      <c r="M2389" s="27"/>
      <c r="N2389" s="27"/>
      <c r="O2389" s="27"/>
      <c r="P2389" s="27"/>
      <c r="Q2389" s="27"/>
      <c r="R2389" s="27"/>
      <c r="S2389" s="27"/>
      <c r="T2389" s="27"/>
      <c r="U2389" s="27"/>
      <c r="V2389" s="27"/>
      <c r="W2389" s="27"/>
      <c r="X2389" s="27"/>
      <c r="Y2389" s="27"/>
      <c r="Z2389" s="17"/>
      <c r="AA2389" s="17"/>
      <c r="AB2389" s="17"/>
      <c r="AC2389" s="17"/>
      <c r="AD2389" s="27"/>
    </row>
    <row r="2390" ht="15.75" customHeight="1">
      <c r="A2390" s="27"/>
      <c r="B2390" s="27"/>
      <c r="C2390" s="27"/>
      <c r="D2390" s="27"/>
      <c r="E2390" s="27"/>
      <c r="F2390" s="27"/>
      <c r="G2390" s="27"/>
      <c r="H2390" s="27"/>
      <c r="I2390" s="27"/>
      <c r="J2390" s="27"/>
      <c r="K2390" s="27"/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7"/>
      <c r="X2390" s="27"/>
      <c r="Y2390" s="27"/>
      <c r="Z2390" s="17"/>
      <c r="AA2390" s="17"/>
      <c r="AB2390" s="17"/>
      <c r="AC2390" s="17"/>
      <c r="AD2390" s="27"/>
    </row>
    <row r="2391" ht="15.75" customHeight="1">
      <c r="A2391" s="27"/>
      <c r="B2391" s="27"/>
      <c r="C2391" s="27"/>
      <c r="D2391" s="27"/>
      <c r="E2391" s="27"/>
      <c r="F2391" s="27"/>
      <c r="G2391" s="27"/>
      <c r="H2391" s="27"/>
      <c r="I2391" s="27"/>
      <c r="J2391" s="27"/>
      <c r="K2391" s="27"/>
      <c r="L2391" s="27"/>
      <c r="M2391" s="27"/>
      <c r="N2391" s="27"/>
      <c r="O2391" s="27"/>
      <c r="P2391" s="27"/>
      <c r="Q2391" s="27"/>
      <c r="R2391" s="27"/>
      <c r="S2391" s="27"/>
      <c r="T2391" s="27"/>
      <c r="U2391" s="27"/>
      <c r="V2391" s="27"/>
      <c r="W2391" s="27"/>
      <c r="X2391" s="27"/>
      <c r="Y2391" s="27"/>
      <c r="Z2391" s="17"/>
      <c r="AA2391" s="17"/>
      <c r="AB2391" s="17"/>
      <c r="AC2391" s="17"/>
      <c r="AD2391" s="27"/>
    </row>
    <row r="2392" ht="15.75" customHeight="1">
      <c r="A2392" s="27"/>
      <c r="B2392" s="27"/>
      <c r="C2392" s="27"/>
      <c r="D2392" s="27"/>
      <c r="E2392" s="27"/>
      <c r="F2392" s="27"/>
      <c r="G2392" s="27"/>
      <c r="H2392" s="27"/>
      <c r="I2392" s="27"/>
      <c r="J2392" s="27"/>
      <c r="K2392" s="27"/>
      <c r="L2392" s="27"/>
      <c r="M2392" s="27"/>
      <c r="N2392" s="27"/>
      <c r="O2392" s="27"/>
      <c r="P2392" s="27"/>
      <c r="Q2392" s="27"/>
      <c r="R2392" s="27"/>
      <c r="S2392" s="27"/>
      <c r="T2392" s="27"/>
      <c r="U2392" s="27"/>
      <c r="V2392" s="27"/>
      <c r="W2392" s="27"/>
      <c r="X2392" s="27"/>
      <c r="Y2392" s="27"/>
      <c r="Z2392" s="17"/>
      <c r="AA2392" s="17"/>
      <c r="AB2392" s="17"/>
      <c r="AC2392" s="17"/>
      <c r="AD2392" s="27"/>
    </row>
    <row r="2393" ht="15.75" customHeight="1">
      <c r="A2393" s="27"/>
      <c r="B2393" s="27"/>
      <c r="C2393" s="27"/>
      <c r="D2393" s="27"/>
      <c r="E2393" s="27"/>
      <c r="F2393" s="27"/>
      <c r="G2393" s="27"/>
      <c r="H2393" s="27"/>
      <c r="I2393" s="27"/>
      <c r="J2393" s="27"/>
      <c r="K2393" s="27"/>
      <c r="L2393" s="27"/>
      <c r="M2393" s="27"/>
      <c r="N2393" s="27"/>
      <c r="O2393" s="27"/>
      <c r="P2393" s="27"/>
      <c r="Q2393" s="27"/>
      <c r="R2393" s="27"/>
      <c r="S2393" s="27"/>
      <c r="T2393" s="27"/>
      <c r="U2393" s="27"/>
      <c r="V2393" s="27"/>
      <c r="W2393" s="27"/>
      <c r="X2393" s="27"/>
      <c r="Y2393" s="27"/>
      <c r="Z2393" s="17"/>
      <c r="AA2393" s="17"/>
      <c r="AB2393" s="17"/>
      <c r="AC2393" s="17"/>
      <c r="AD2393" s="27"/>
    </row>
    <row r="2394" ht="15.75" customHeight="1">
      <c r="A2394" s="27"/>
      <c r="B2394" s="27"/>
      <c r="C2394" s="27"/>
      <c r="D2394" s="27"/>
      <c r="E2394" s="27"/>
      <c r="F2394" s="27"/>
      <c r="G2394" s="27"/>
      <c r="H2394" s="27"/>
      <c r="I2394" s="27"/>
      <c r="J2394" s="27"/>
      <c r="K2394" s="27"/>
      <c r="L2394" s="27"/>
      <c r="M2394" s="27"/>
      <c r="N2394" s="27"/>
      <c r="O2394" s="27"/>
      <c r="P2394" s="27"/>
      <c r="Q2394" s="27"/>
      <c r="R2394" s="27"/>
      <c r="S2394" s="27"/>
      <c r="T2394" s="27"/>
      <c r="U2394" s="27"/>
      <c r="V2394" s="27"/>
      <c r="W2394" s="27"/>
      <c r="X2394" s="27"/>
      <c r="Y2394" s="27"/>
      <c r="Z2394" s="17"/>
      <c r="AA2394" s="17"/>
      <c r="AB2394" s="17"/>
      <c r="AC2394" s="17"/>
      <c r="AD2394" s="27"/>
    </row>
    <row r="2395" ht="15.75" customHeight="1">
      <c r="A2395" s="27"/>
      <c r="B2395" s="27"/>
      <c r="C2395" s="27"/>
      <c r="D2395" s="27"/>
      <c r="E2395" s="27"/>
      <c r="F2395" s="27"/>
      <c r="G2395" s="27"/>
      <c r="H2395" s="27"/>
      <c r="I2395" s="27"/>
      <c r="J2395" s="27"/>
      <c r="K2395" s="27"/>
      <c r="L2395" s="27"/>
      <c r="M2395" s="27"/>
      <c r="N2395" s="27"/>
      <c r="O2395" s="27"/>
      <c r="P2395" s="27"/>
      <c r="Q2395" s="27"/>
      <c r="R2395" s="27"/>
      <c r="S2395" s="27"/>
      <c r="T2395" s="27"/>
      <c r="U2395" s="27"/>
      <c r="V2395" s="27"/>
      <c r="W2395" s="27"/>
      <c r="X2395" s="27"/>
      <c r="Y2395" s="27"/>
      <c r="Z2395" s="17"/>
      <c r="AA2395" s="17"/>
      <c r="AB2395" s="17"/>
      <c r="AC2395" s="17"/>
      <c r="AD2395" s="27"/>
    </row>
    <row r="2396" ht="15.75" customHeight="1">
      <c r="A2396" s="27"/>
      <c r="B2396" s="27"/>
      <c r="C2396" s="27"/>
      <c r="D2396" s="27"/>
      <c r="E2396" s="27"/>
      <c r="F2396" s="27"/>
      <c r="G2396" s="27"/>
      <c r="H2396" s="27"/>
      <c r="I2396" s="27"/>
      <c r="J2396" s="27"/>
      <c r="K2396" s="27"/>
      <c r="L2396" s="27"/>
      <c r="M2396" s="27"/>
      <c r="N2396" s="27"/>
      <c r="O2396" s="27"/>
      <c r="P2396" s="27"/>
      <c r="Q2396" s="27"/>
      <c r="R2396" s="27"/>
      <c r="S2396" s="27"/>
      <c r="T2396" s="27"/>
      <c r="U2396" s="27"/>
      <c r="V2396" s="27"/>
      <c r="W2396" s="27"/>
      <c r="X2396" s="27"/>
      <c r="Y2396" s="27"/>
      <c r="Z2396" s="17"/>
      <c r="AA2396" s="17"/>
      <c r="AB2396" s="17"/>
      <c r="AC2396" s="17"/>
      <c r="AD2396" s="27"/>
    </row>
    <row r="2397" ht="15.75" customHeight="1">
      <c r="A2397" s="27"/>
      <c r="B2397" s="27"/>
      <c r="C2397" s="27"/>
      <c r="D2397" s="27"/>
      <c r="E2397" s="27"/>
      <c r="F2397" s="27"/>
      <c r="G2397" s="27"/>
      <c r="H2397" s="27"/>
      <c r="I2397" s="27"/>
      <c r="J2397" s="27"/>
      <c r="K2397" s="27"/>
      <c r="L2397" s="27"/>
      <c r="M2397" s="27"/>
      <c r="N2397" s="27"/>
      <c r="O2397" s="27"/>
      <c r="P2397" s="27"/>
      <c r="Q2397" s="27"/>
      <c r="R2397" s="27"/>
      <c r="S2397" s="27"/>
      <c r="T2397" s="27"/>
      <c r="U2397" s="27"/>
      <c r="V2397" s="27"/>
      <c r="W2397" s="27"/>
      <c r="X2397" s="27"/>
      <c r="Y2397" s="27"/>
      <c r="Z2397" s="17"/>
      <c r="AA2397" s="17"/>
      <c r="AB2397" s="17"/>
      <c r="AC2397" s="17"/>
      <c r="AD2397" s="27"/>
    </row>
    <row r="2398" ht="15.75" customHeight="1">
      <c r="A2398" s="27"/>
      <c r="B2398" s="27"/>
      <c r="C2398" s="27"/>
      <c r="D2398" s="27"/>
      <c r="E2398" s="27"/>
      <c r="F2398" s="27"/>
      <c r="G2398" s="27"/>
      <c r="H2398" s="27"/>
      <c r="I2398" s="27"/>
      <c r="J2398" s="27"/>
      <c r="K2398" s="27"/>
      <c r="L2398" s="27"/>
      <c r="M2398" s="27"/>
      <c r="N2398" s="27"/>
      <c r="O2398" s="27"/>
      <c r="P2398" s="27"/>
      <c r="Q2398" s="27"/>
      <c r="R2398" s="27"/>
      <c r="S2398" s="27"/>
      <c r="T2398" s="27"/>
      <c r="U2398" s="27"/>
      <c r="V2398" s="27"/>
      <c r="W2398" s="27"/>
      <c r="X2398" s="27"/>
      <c r="Y2398" s="27"/>
      <c r="Z2398" s="17"/>
      <c r="AA2398" s="17"/>
      <c r="AB2398" s="17"/>
      <c r="AC2398" s="17"/>
      <c r="AD2398" s="27"/>
    </row>
    <row r="2399" ht="15.75" customHeight="1">
      <c r="A2399" s="27"/>
      <c r="B2399" s="27"/>
      <c r="C2399" s="27"/>
      <c r="D2399" s="27"/>
      <c r="E2399" s="27"/>
      <c r="F2399" s="27"/>
      <c r="G2399" s="27"/>
      <c r="H2399" s="27"/>
      <c r="I2399" s="27"/>
      <c r="J2399" s="27"/>
      <c r="K2399" s="27"/>
      <c r="L2399" s="27"/>
      <c r="M2399" s="27"/>
      <c r="N2399" s="27"/>
      <c r="O2399" s="27"/>
      <c r="P2399" s="27"/>
      <c r="Q2399" s="27"/>
      <c r="R2399" s="27"/>
      <c r="S2399" s="27"/>
      <c r="T2399" s="27"/>
      <c r="U2399" s="27"/>
      <c r="V2399" s="27"/>
      <c r="W2399" s="27"/>
      <c r="X2399" s="27"/>
      <c r="Y2399" s="27"/>
      <c r="Z2399" s="17"/>
      <c r="AA2399" s="17"/>
      <c r="AB2399" s="17"/>
      <c r="AC2399" s="17"/>
      <c r="AD2399" s="27"/>
    </row>
    <row r="2400" ht="15.75" customHeight="1">
      <c r="A2400" s="27"/>
      <c r="B2400" s="27"/>
      <c r="C2400" s="27"/>
      <c r="D2400" s="27"/>
      <c r="E2400" s="27"/>
      <c r="F2400" s="27"/>
      <c r="G2400" s="27"/>
      <c r="H2400" s="27"/>
      <c r="I2400" s="27"/>
      <c r="J2400" s="27"/>
      <c r="K2400" s="27"/>
      <c r="L2400" s="27"/>
      <c r="M2400" s="27"/>
      <c r="N2400" s="27"/>
      <c r="O2400" s="27"/>
      <c r="P2400" s="27"/>
      <c r="Q2400" s="27"/>
      <c r="R2400" s="27"/>
      <c r="S2400" s="27"/>
      <c r="T2400" s="27"/>
      <c r="U2400" s="27"/>
      <c r="V2400" s="27"/>
      <c r="W2400" s="27"/>
      <c r="X2400" s="27"/>
      <c r="Y2400" s="27"/>
      <c r="Z2400" s="17"/>
      <c r="AA2400" s="17"/>
      <c r="AB2400" s="17"/>
      <c r="AC2400" s="17"/>
      <c r="AD2400" s="27"/>
    </row>
    <row r="2401" ht="15.75" customHeight="1">
      <c r="A2401" s="27"/>
      <c r="B2401" s="27"/>
      <c r="C2401" s="27"/>
      <c r="D2401" s="27"/>
      <c r="E2401" s="27"/>
      <c r="F2401" s="27"/>
      <c r="G2401" s="27"/>
      <c r="H2401" s="27"/>
      <c r="I2401" s="27"/>
      <c r="J2401" s="27"/>
      <c r="K2401" s="27"/>
      <c r="L2401" s="27"/>
      <c r="M2401" s="27"/>
      <c r="N2401" s="27"/>
      <c r="O2401" s="27"/>
      <c r="P2401" s="27"/>
      <c r="Q2401" s="27"/>
      <c r="R2401" s="27"/>
      <c r="S2401" s="27"/>
      <c r="T2401" s="27"/>
      <c r="U2401" s="27"/>
      <c r="V2401" s="27"/>
      <c r="W2401" s="27"/>
      <c r="X2401" s="27"/>
      <c r="Y2401" s="27"/>
      <c r="Z2401" s="17"/>
      <c r="AA2401" s="17"/>
      <c r="AB2401" s="17"/>
      <c r="AC2401" s="17"/>
      <c r="AD2401" s="27"/>
    </row>
    <row r="2402" ht="15.75" customHeight="1">
      <c r="A2402" s="27"/>
      <c r="B2402" s="27"/>
      <c r="C2402" s="27"/>
      <c r="D2402" s="27"/>
      <c r="E2402" s="27"/>
      <c r="F2402" s="27"/>
      <c r="G2402" s="27"/>
      <c r="H2402" s="27"/>
      <c r="I2402" s="27"/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  <c r="T2402" s="27"/>
      <c r="U2402" s="27"/>
      <c r="V2402" s="27"/>
      <c r="W2402" s="27"/>
      <c r="X2402" s="27"/>
      <c r="Y2402" s="27"/>
      <c r="Z2402" s="17"/>
      <c r="AA2402" s="17"/>
      <c r="AB2402" s="17"/>
      <c r="AC2402" s="17"/>
      <c r="AD2402" s="27"/>
    </row>
    <row r="2403" ht="15.75" customHeight="1">
      <c r="A2403" s="27"/>
      <c r="B2403" s="27"/>
      <c r="C2403" s="27"/>
      <c r="D2403" s="27"/>
      <c r="E2403" s="27"/>
      <c r="F2403" s="27"/>
      <c r="G2403" s="27"/>
      <c r="H2403" s="27"/>
      <c r="I2403" s="27"/>
      <c r="J2403" s="27"/>
      <c r="K2403" s="27"/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  <c r="Z2403" s="17"/>
      <c r="AA2403" s="17"/>
      <c r="AB2403" s="17"/>
      <c r="AC2403" s="17"/>
      <c r="AD2403" s="27"/>
    </row>
    <row r="2404" ht="15.75" customHeight="1">
      <c r="A2404" s="27"/>
      <c r="B2404" s="27"/>
      <c r="C2404" s="27"/>
      <c r="D2404" s="27"/>
      <c r="E2404" s="27"/>
      <c r="F2404" s="27"/>
      <c r="G2404" s="27"/>
      <c r="H2404" s="27"/>
      <c r="I2404" s="27"/>
      <c r="J2404" s="27"/>
      <c r="K2404" s="27"/>
      <c r="L2404" s="27"/>
      <c r="M2404" s="27"/>
      <c r="N2404" s="27"/>
      <c r="O2404" s="27"/>
      <c r="P2404" s="27"/>
      <c r="Q2404" s="27"/>
      <c r="R2404" s="27"/>
      <c r="S2404" s="27"/>
      <c r="T2404" s="27"/>
      <c r="U2404" s="27"/>
      <c r="V2404" s="27"/>
      <c r="W2404" s="27"/>
      <c r="X2404" s="27"/>
      <c r="Y2404" s="27"/>
      <c r="Z2404" s="17"/>
      <c r="AA2404" s="17"/>
      <c r="AB2404" s="17"/>
      <c r="AC2404" s="17"/>
      <c r="AD2404" s="27"/>
    </row>
    <row r="2405" ht="15.75" customHeight="1">
      <c r="A2405" s="27"/>
      <c r="B2405" s="27"/>
      <c r="C2405" s="27"/>
      <c r="D2405" s="27"/>
      <c r="E2405" s="27"/>
      <c r="F2405" s="27"/>
      <c r="G2405" s="27"/>
      <c r="H2405" s="27"/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  <c r="Z2405" s="17"/>
      <c r="AA2405" s="17"/>
      <c r="AB2405" s="17"/>
      <c r="AC2405" s="17"/>
      <c r="AD2405" s="27"/>
    </row>
    <row r="2406" ht="15.75" customHeight="1">
      <c r="A2406" s="27"/>
      <c r="B2406" s="27"/>
      <c r="C2406" s="27"/>
      <c r="D2406" s="27"/>
      <c r="E2406" s="27"/>
      <c r="F2406" s="27"/>
      <c r="G2406" s="27"/>
      <c r="H2406" s="27"/>
      <c r="I2406" s="27"/>
      <c r="J2406" s="27"/>
      <c r="K2406" s="27"/>
      <c r="L2406" s="27"/>
      <c r="M2406" s="27"/>
      <c r="N2406" s="27"/>
      <c r="O2406" s="27"/>
      <c r="P2406" s="27"/>
      <c r="Q2406" s="27"/>
      <c r="R2406" s="27"/>
      <c r="S2406" s="27"/>
      <c r="T2406" s="27"/>
      <c r="U2406" s="27"/>
      <c r="V2406" s="27"/>
      <c r="W2406" s="27"/>
      <c r="X2406" s="27"/>
      <c r="Y2406" s="27"/>
      <c r="Z2406" s="17"/>
      <c r="AA2406" s="17"/>
      <c r="AB2406" s="17"/>
      <c r="AC2406" s="17"/>
      <c r="AD2406" s="27"/>
    </row>
    <row r="2407" ht="15.75" customHeight="1">
      <c r="A2407" s="27"/>
      <c r="B2407" s="27"/>
      <c r="C2407" s="27"/>
      <c r="D2407" s="27"/>
      <c r="E2407" s="27"/>
      <c r="F2407" s="27"/>
      <c r="G2407" s="27"/>
      <c r="H2407" s="27"/>
      <c r="I2407" s="27"/>
      <c r="J2407" s="27"/>
      <c r="K2407" s="27"/>
      <c r="L2407" s="27"/>
      <c r="M2407" s="27"/>
      <c r="N2407" s="27"/>
      <c r="O2407" s="27"/>
      <c r="P2407" s="27"/>
      <c r="Q2407" s="27"/>
      <c r="R2407" s="27"/>
      <c r="S2407" s="27"/>
      <c r="T2407" s="27"/>
      <c r="U2407" s="27"/>
      <c r="V2407" s="27"/>
      <c r="W2407" s="27"/>
      <c r="X2407" s="27"/>
      <c r="Y2407" s="27"/>
      <c r="Z2407" s="17"/>
      <c r="AA2407" s="17"/>
      <c r="AB2407" s="17"/>
      <c r="AC2407" s="17"/>
      <c r="AD2407" s="27"/>
    </row>
    <row r="2408" ht="15.75" customHeight="1">
      <c r="A2408" s="27"/>
      <c r="B2408" s="27"/>
      <c r="C2408" s="27"/>
      <c r="D2408" s="27"/>
      <c r="E2408" s="27"/>
      <c r="F2408" s="27"/>
      <c r="G2408" s="27"/>
      <c r="H2408" s="27"/>
      <c r="I2408" s="27"/>
      <c r="J2408" s="27"/>
      <c r="K2408" s="27"/>
      <c r="L2408" s="27"/>
      <c r="M2408" s="27"/>
      <c r="N2408" s="27"/>
      <c r="O2408" s="27"/>
      <c r="P2408" s="27"/>
      <c r="Q2408" s="27"/>
      <c r="R2408" s="27"/>
      <c r="S2408" s="27"/>
      <c r="T2408" s="27"/>
      <c r="U2408" s="27"/>
      <c r="V2408" s="27"/>
      <c r="W2408" s="27"/>
      <c r="X2408" s="27"/>
      <c r="Y2408" s="27"/>
      <c r="Z2408" s="17"/>
      <c r="AA2408" s="17"/>
      <c r="AB2408" s="17"/>
      <c r="AC2408" s="17"/>
      <c r="AD2408" s="27"/>
    </row>
    <row r="2409" ht="15.75" customHeight="1">
      <c r="A2409" s="27"/>
      <c r="B2409" s="27"/>
      <c r="C2409" s="27"/>
      <c r="D2409" s="27"/>
      <c r="E2409" s="27"/>
      <c r="F2409" s="27"/>
      <c r="G2409" s="27"/>
      <c r="H2409" s="27"/>
      <c r="I2409" s="27"/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  <c r="T2409" s="27"/>
      <c r="U2409" s="27"/>
      <c r="V2409" s="27"/>
      <c r="W2409" s="27"/>
      <c r="X2409" s="27"/>
      <c r="Y2409" s="27"/>
      <c r="Z2409" s="17"/>
      <c r="AA2409" s="17"/>
      <c r="AB2409" s="17"/>
      <c r="AC2409" s="17"/>
      <c r="AD2409" s="27"/>
    </row>
    <row r="2410" ht="15.75" customHeight="1">
      <c r="A2410" s="27"/>
      <c r="B2410" s="27"/>
      <c r="C2410" s="27"/>
      <c r="D2410" s="27"/>
      <c r="E2410" s="27"/>
      <c r="F2410" s="27"/>
      <c r="G2410" s="27"/>
      <c r="H2410" s="27"/>
      <c r="I2410" s="27"/>
      <c r="J2410" s="27"/>
      <c r="K2410" s="27"/>
      <c r="L2410" s="27"/>
      <c r="M2410" s="27"/>
      <c r="N2410" s="27"/>
      <c r="O2410" s="27"/>
      <c r="P2410" s="27"/>
      <c r="Q2410" s="27"/>
      <c r="R2410" s="27"/>
      <c r="S2410" s="27"/>
      <c r="T2410" s="27"/>
      <c r="U2410" s="27"/>
      <c r="V2410" s="27"/>
      <c r="W2410" s="27"/>
      <c r="X2410" s="27"/>
      <c r="Y2410" s="27"/>
      <c r="Z2410" s="17"/>
      <c r="AA2410" s="17"/>
      <c r="AB2410" s="17"/>
      <c r="AC2410" s="17"/>
      <c r="AD2410" s="27"/>
    </row>
    <row r="2411" ht="15.75" customHeight="1">
      <c r="A2411" s="27"/>
      <c r="B2411" s="27"/>
      <c r="C2411" s="27"/>
      <c r="D2411" s="27"/>
      <c r="E2411" s="27"/>
      <c r="F2411" s="27"/>
      <c r="G2411" s="27"/>
      <c r="H2411" s="27"/>
      <c r="I2411" s="27"/>
      <c r="J2411" s="27"/>
      <c r="K2411" s="27"/>
      <c r="L2411" s="27"/>
      <c r="M2411" s="27"/>
      <c r="N2411" s="27"/>
      <c r="O2411" s="27"/>
      <c r="P2411" s="27"/>
      <c r="Q2411" s="27"/>
      <c r="R2411" s="27"/>
      <c r="S2411" s="27"/>
      <c r="T2411" s="27"/>
      <c r="U2411" s="27"/>
      <c r="V2411" s="27"/>
      <c r="W2411" s="27"/>
      <c r="X2411" s="27"/>
      <c r="Y2411" s="27"/>
      <c r="Z2411" s="17"/>
      <c r="AA2411" s="17"/>
      <c r="AB2411" s="17"/>
      <c r="AC2411" s="17"/>
      <c r="AD2411" s="27"/>
    </row>
    <row r="2412" ht="15.75" customHeight="1">
      <c r="A2412" s="27"/>
      <c r="B2412" s="27"/>
      <c r="C2412" s="27"/>
      <c r="D2412" s="27"/>
      <c r="E2412" s="27"/>
      <c r="F2412" s="27"/>
      <c r="G2412" s="27"/>
      <c r="H2412" s="27"/>
      <c r="I2412" s="27"/>
      <c r="J2412" s="27"/>
      <c r="K2412" s="27"/>
      <c r="L2412" s="27"/>
      <c r="M2412" s="27"/>
      <c r="N2412" s="27"/>
      <c r="O2412" s="27"/>
      <c r="P2412" s="27"/>
      <c r="Q2412" s="27"/>
      <c r="R2412" s="27"/>
      <c r="S2412" s="27"/>
      <c r="T2412" s="27"/>
      <c r="U2412" s="27"/>
      <c r="V2412" s="27"/>
      <c r="W2412" s="27"/>
      <c r="X2412" s="27"/>
      <c r="Y2412" s="27"/>
      <c r="Z2412" s="17"/>
      <c r="AA2412" s="17"/>
      <c r="AB2412" s="17"/>
      <c r="AC2412" s="17"/>
      <c r="AD2412" s="27"/>
    </row>
    <row r="2413" ht="15.75" customHeight="1">
      <c r="A2413" s="27"/>
      <c r="B2413" s="27"/>
      <c r="C2413" s="27"/>
      <c r="D2413" s="27"/>
      <c r="E2413" s="27"/>
      <c r="F2413" s="27"/>
      <c r="G2413" s="27"/>
      <c r="H2413" s="27"/>
      <c r="I2413" s="27"/>
      <c r="J2413" s="27"/>
      <c r="K2413" s="27"/>
      <c r="L2413" s="27"/>
      <c r="M2413" s="27"/>
      <c r="N2413" s="27"/>
      <c r="O2413" s="27"/>
      <c r="P2413" s="27"/>
      <c r="Q2413" s="27"/>
      <c r="R2413" s="27"/>
      <c r="S2413" s="27"/>
      <c r="T2413" s="27"/>
      <c r="U2413" s="27"/>
      <c r="V2413" s="27"/>
      <c r="W2413" s="27"/>
      <c r="X2413" s="27"/>
      <c r="Y2413" s="27"/>
      <c r="Z2413" s="17"/>
      <c r="AA2413" s="17"/>
      <c r="AB2413" s="17"/>
      <c r="AC2413" s="17"/>
      <c r="AD2413" s="27"/>
    </row>
    <row r="2414" ht="15.75" customHeight="1">
      <c r="A2414" s="27"/>
      <c r="B2414" s="27"/>
      <c r="C2414" s="27"/>
      <c r="D2414" s="27"/>
      <c r="E2414" s="27"/>
      <c r="F2414" s="27"/>
      <c r="G2414" s="27"/>
      <c r="H2414" s="27"/>
      <c r="I2414" s="27"/>
      <c r="J2414" s="27"/>
      <c r="K2414" s="27"/>
      <c r="L2414" s="27"/>
      <c r="M2414" s="27"/>
      <c r="N2414" s="27"/>
      <c r="O2414" s="27"/>
      <c r="P2414" s="27"/>
      <c r="Q2414" s="27"/>
      <c r="R2414" s="27"/>
      <c r="S2414" s="27"/>
      <c r="T2414" s="27"/>
      <c r="U2414" s="27"/>
      <c r="V2414" s="27"/>
      <c r="W2414" s="27"/>
      <c r="X2414" s="27"/>
      <c r="Y2414" s="27"/>
      <c r="Z2414" s="17"/>
      <c r="AA2414" s="17"/>
      <c r="AB2414" s="17"/>
      <c r="AC2414" s="17"/>
      <c r="AD2414" s="27"/>
    </row>
    <row r="2415" ht="15.75" customHeight="1">
      <c r="A2415" s="27"/>
      <c r="B2415" s="27"/>
      <c r="C2415" s="27"/>
      <c r="D2415" s="27"/>
      <c r="E2415" s="27"/>
      <c r="F2415" s="27"/>
      <c r="G2415" s="27"/>
      <c r="H2415" s="27"/>
      <c r="I2415" s="27"/>
      <c r="J2415" s="27"/>
      <c r="K2415" s="27"/>
      <c r="L2415" s="27"/>
      <c r="M2415" s="27"/>
      <c r="N2415" s="27"/>
      <c r="O2415" s="27"/>
      <c r="P2415" s="27"/>
      <c r="Q2415" s="27"/>
      <c r="R2415" s="27"/>
      <c r="S2415" s="27"/>
      <c r="T2415" s="27"/>
      <c r="U2415" s="27"/>
      <c r="V2415" s="27"/>
      <c r="W2415" s="27"/>
      <c r="X2415" s="27"/>
      <c r="Y2415" s="27"/>
      <c r="Z2415" s="17"/>
      <c r="AA2415" s="17"/>
      <c r="AB2415" s="17"/>
      <c r="AC2415" s="17"/>
      <c r="AD2415" s="27"/>
    </row>
    <row r="2416" ht="15.75" customHeight="1">
      <c r="A2416" s="27"/>
      <c r="B2416" s="27"/>
      <c r="C2416" s="27"/>
      <c r="D2416" s="27"/>
      <c r="E2416" s="27"/>
      <c r="F2416" s="27"/>
      <c r="G2416" s="27"/>
      <c r="H2416" s="27"/>
      <c r="I2416" s="27"/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7"/>
      <c r="X2416" s="27"/>
      <c r="Y2416" s="27"/>
      <c r="Z2416" s="17"/>
      <c r="AA2416" s="17"/>
      <c r="AB2416" s="17"/>
      <c r="AC2416" s="17"/>
      <c r="AD2416" s="27"/>
    </row>
    <row r="2417" ht="15.75" customHeight="1">
      <c r="A2417" s="27"/>
      <c r="B2417" s="27"/>
      <c r="C2417" s="27"/>
      <c r="D2417" s="27"/>
      <c r="E2417" s="27"/>
      <c r="F2417" s="27"/>
      <c r="G2417" s="27"/>
      <c r="H2417" s="27"/>
      <c r="I2417" s="27"/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17"/>
      <c r="AA2417" s="17"/>
      <c r="AB2417" s="17"/>
      <c r="AC2417" s="17"/>
      <c r="AD2417" s="27"/>
    </row>
    <row r="2418" ht="15.75" customHeight="1">
      <c r="A2418" s="27"/>
      <c r="B2418" s="27"/>
      <c r="C2418" s="27"/>
      <c r="D2418" s="27"/>
      <c r="E2418" s="27"/>
      <c r="F2418" s="27"/>
      <c r="G2418" s="27"/>
      <c r="H2418" s="27"/>
      <c r="I2418" s="27"/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  <c r="Z2418" s="17"/>
      <c r="AA2418" s="17"/>
      <c r="AB2418" s="17"/>
      <c r="AC2418" s="17"/>
      <c r="AD2418" s="27"/>
    </row>
    <row r="2419" ht="15.75" customHeight="1">
      <c r="A2419" s="27"/>
      <c r="B2419" s="27"/>
      <c r="C2419" s="27"/>
      <c r="D2419" s="27"/>
      <c r="E2419" s="27"/>
      <c r="F2419" s="27"/>
      <c r="G2419" s="27"/>
      <c r="H2419" s="27"/>
      <c r="I2419" s="27"/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  <c r="Z2419" s="17"/>
      <c r="AA2419" s="17"/>
      <c r="AB2419" s="17"/>
      <c r="AC2419" s="17"/>
      <c r="AD2419" s="27"/>
    </row>
    <row r="2420" ht="15.75" customHeight="1">
      <c r="A2420" s="27"/>
      <c r="B2420" s="27"/>
      <c r="C2420" s="27"/>
      <c r="D2420" s="27"/>
      <c r="E2420" s="27"/>
      <c r="F2420" s="27"/>
      <c r="G2420" s="27"/>
      <c r="H2420" s="27"/>
      <c r="I2420" s="27"/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17"/>
      <c r="AA2420" s="17"/>
      <c r="AB2420" s="17"/>
      <c r="AC2420" s="17"/>
      <c r="AD2420" s="27"/>
    </row>
    <row r="2421" ht="15.75" customHeight="1">
      <c r="A2421" s="27"/>
      <c r="B2421" s="27"/>
      <c r="C2421" s="27"/>
      <c r="D2421" s="27"/>
      <c r="E2421" s="27"/>
      <c r="F2421" s="27"/>
      <c r="G2421" s="27"/>
      <c r="H2421" s="27"/>
      <c r="I2421" s="27"/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  <c r="Z2421" s="17"/>
      <c r="AA2421" s="17"/>
      <c r="AB2421" s="17"/>
      <c r="AC2421" s="17"/>
      <c r="AD2421" s="27"/>
    </row>
    <row r="2422" ht="15.75" customHeight="1">
      <c r="A2422" s="27"/>
      <c r="B2422" s="27"/>
      <c r="C2422" s="27"/>
      <c r="D2422" s="27"/>
      <c r="E2422" s="27"/>
      <c r="F2422" s="27"/>
      <c r="G2422" s="27"/>
      <c r="H2422" s="27"/>
      <c r="I2422" s="27"/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17"/>
      <c r="AA2422" s="17"/>
      <c r="AB2422" s="17"/>
      <c r="AC2422" s="17"/>
      <c r="AD2422" s="27"/>
    </row>
    <row r="2423" ht="15.75" customHeight="1">
      <c r="A2423" s="27"/>
      <c r="B2423" s="27"/>
      <c r="C2423" s="27"/>
      <c r="D2423" s="27"/>
      <c r="E2423" s="27"/>
      <c r="F2423" s="27"/>
      <c r="G2423" s="27"/>
      <c r="H2423" s="27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17"/>
      <c r="AA2423" s="17"/>
      <c r="AB2423" s="17"/>
      <c r="AC2423" s="17"/>
      <c r="AD2423" s="27"/>
    </row>
    <row r="2424" ht="15.75" customHeight="1">
      <c r="A2424" s="27"/>
      <c r="B2424" s="27"/>
      <c r="C2424" s="27"/>
      <c r="D2424" s="27"/>
      <c r="E2424" s="27"/>
      <c r="F2424" s="27"/>
      <c r="G2424" s="27"/>
      <c r="H2424" s="27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  <c r="Z2424" s="17"/>
      <c r="AA2424" s="17"/>
      <c r="AB2424" s="17"/>
      <c r="AC2424" s="17"/>
      <c r="AD2424" s="27"/>
    </row>
    <row r="2425" ht="15.75" customHeight="1">
      <c r="A2425" s="27"/>
      <c r="B2425" s="27"/>
      <c r="C2425" s="27"/>
      <c r="D2425" s="27"/>
      <c r="E2425" s="27"/>
      <c r="F2425" s="27"/>
      <c r="G2425" s="27"/>
      <c r="H2425" s="27"/>
      <c r="I2425" s="27"/>
      <c r="J2425" s="27"/>
      <c r="K2425" s="27"/>
      <c r="L2425" s="27"/>
      <c r="M2425" s="27"/>
      <c r="N2425" s="27"/>
      <c r="O2425" s="27"/>
      <c r="P2425" s="27"/>
      <c r="Q2425" s="27"/>
      <c r="R2425" s="27"/>
      <c r="S2425" s="27"/>
      <c r="T2425" s="27"/>
      <c r="U2425" s="27"/>
      <c r="V2425" s="27"/>
      <c r="W2425" s="27"/>
      <c r="X2425" s="27"/>
      <c r="Y2425" s="27"/>
      <c r="Z2425" s="17"/>
      <c r="AA2425" s="17"/>
      <c r="AB2425" s="17"/>
      <c r="AC2425" s="17"/>
      <c r="AD2425" s="27"/>
    </row>
    <row r="2426" ht="15.75" customHeight="1">
      <c r="A2426" s="27"/>
      <c r="B2426" s="27"/>
      <c r="C2426" s="27"/>
      <c r="D2426" s="27"/>
      <c r="E2426" s="27"/>
      <c r="F2426" s="27"/>
      <c r="G2426" s="27"/>
      <c r="H2426" s="27"/>
      <c r="I2426" s="27"/>
      <c r="J2426" s="27"/>
      <c r="K2426" s="27"/>
      <c r="L2426" s="27"/>
      <c r="M2426" s="27"/>
      <c r="N2426" s="27"/>
      <c r="O2426" s="27"/>
      <c r="P2426" s="27"/>
      <c r="Q2426" s="27"/>
      <c r="R2426" s="27"/>
      <c r="S2426" s="27"/>
      <c r="T2426" s="27"/>
      <c r="U2426" s="27"/>
      <c r="V2426" s="27"/>
      <c r="W2426" s="27"/>
      <c r="X2426" s="27"/>
      <c r="Y2426" s="27"/>
      <c r="Z2426" s="17"/>
      <c r="AA2426" s="17"/>
      <c r="AB2426" s="17"/>
      <c r="AC2426" s="17"/>
      <c r="AD2426" s="27"/>
    </row>
    <row r="2427" ht="15.75" customHeight="1">
      <c r="A2427" s="27"/>
      <c r="B2427" s="27"/>
      <c r="C2427" s="27"/>
      <c r="D2427" s="27"/>
      <c r="E2427" s="27"/>
      <c r="F2427" s="27"/>
      <c r="G2427" s="27"/>
      <c r="H2427" s="27"/>
      <c r="I2427" s="27"/>
      <c r="J2427" s="27"/>
      <c r="K2427" s="27"/>
      <c r="L2427" s="27"/>
      <c r="M2427" s="27"/>
      <c r="N2427" s="27"/>
      <c r="O2427" s="27"/>
      <c r="P2427" s="27"/>
      <c r="Q2427" s="27"/>
      <c r="R2427" s="27"/>
      <c r="S2427" s="27"/>
      <c r="T2427" s="27"/>
      <c r="U2427" s="27"/>
      <c r="V2427" s="27"/>
      <c r="W2427" s="27"/>
      <c r="X2427" s="27"/>
      <c r="Y2427" s="27"/>
      <c r="Z2427" s="17"/>
      <c r="AA2427" s="17"/>
      <c r="AB2427" s="17"/>
      <c r="AC2427" s="17"/>
      <c r="AD2427" s="27"/>
    </row>
    <row r="2428" ht="15.75" customHeight="1">
      <c r="A2428" s="27"/>
      <c r="B2428" s="27"/>
      <c r="C2428" s="27"/>
      <c r="D2428" s="27"/>
      <c r="E2428" s="27"/>
      <c r="F2428" s="27"/>
      <c r="G2428" s="27"/>
      <c r="H2428" s="27"/>
      <c r="I2428" s="27"/>
      <c r="J2428" s="27"/>
      <c r="K2428" s="27"/>
      <c r="L2428" s="27"/>
      <c r="M2428" s="27"/>
      <c r="N2428" s="27"/>
      <c r="O2428" s="27"/>
      <c r="P2428" s="27"/>
      <c r="Q2428" s="27"/>
      <c r="R2428" s="27"/>
      <c r="S2428" s="27"/>
      <c r="T2428" s="27"/>
      <c r="U2428" s="27"/>
      <c r="V2428" s="27"/>
      <c r="W2428" s="27"/>
      <c r="X2428" s="27"/>
      <c r="Y2428" s="27"/>
      <c r="Z2428" s="17"/>
      <c r="AA2428" s="17"/>
      <c r="AB2428" s="17"/>
      <c r="AC2428" s="17"/>
      <c r="AD2428" s="27"/>
    </row>
    <row r="2429" ht="15.75" customHeight="1">
      <c r="A2429" s="27"/>
      <c r="B2429" s="27"/>
      <c r="C2429" s="27"/>
      <c r="D2429" s="27"/>
      <c r="E2429" s="27"/>
      <c r="F2429" s="27"/>
      <c r="G2429" s="27"/>
      <c r="H2429" s="27"/>
      <c r="I2429" s="27"/>
      <c r="J2429" s="27"/>
      <c r="K2429" s="27"/>
      <c r="L2429" s="27"/>
      <c r="M2429" s="27"/>
      <c r="N2429" s="27"/>
      <c r="O2429" s="27"/>
      <c r="P2429" s="27"/>
      <c r="Q2429" s="27"/>
      <c r="R2429" s="27"/>
      <c r="S2429" s="27"/>
      <c r="T2429" s="27"/>
      <c r="U2429" s="27"/>
      <c r="V2429" s="27"/>
      <c r="W2429" s="27"/>
      <c r="X2429" s="27"/>
      <c r="Y2429" s="27"/>
      <c r="Z2429" s="17"/>
      <c r="AA2429" s="17"/>
      <c r="AB2429" s="17"/>
      <c r="AC2429" s="17"/>
      <c r="AD2429" s="27"/>
    </row>
    <row r="2430" ht="15.75" customHeight="1">
      <c r="A2430" s="27"/>
      <c r="B2430" s="27"/>
      <c r="C2430" s="27"/>
      <c r="D2430" s="27"/>
      <c r="E2430" s="27"/>
      <c r="F2430" s="27"/>
      <c r="G2430" s="27"/>
      <c r="H2430" s="27"/>
      <c r="I2430" s="27"/>
      <c r="J2430" s="27"/>
      <c r="K2430" s="27"/>
      <c r="L2430" s="27"/>
      <c r="M2430" s="27"/>
      <c r="N2430" s="27"/>
      <c r="O2430" s="27"/>
      <c r="P2430" s="27"/>
      <c r="Q2430" s="27"/>
      <c r="R2430" s="27"/>
      <c r="S2430" s="27"/>
      <c r="T2430" s="27"/>
      <c r="U2430" s="27"/>
      <c r="V2430" s="27"/>
      <c r="W2430" s="27"/>
      <c r="X2430" s="27"/>
      <c r="Y2430" s="27"/>
      <c r="Z2430" s="17"/>
      <c r="AA2430" s="17"/>
      <c r="AB2430" s="17"/>
      <c r="AC2430" s="17"/>
      <c r="AD2430" s="27"/>
    </row>
    <row r="2431" ht="15.75" customHeight="1">
      <c r="A2431" s="27"/>
      <c r="B2431" s="27"/>
      <c r="C2431" s="27"/>
      <c r="D2431" s="27"/>
      <c r="E2431" s="27"/>
      <c r="F2431" s="27"/>
      <c r="G2431" s="27"/>
      <c r="H2431" s="27"/>
      <c r="I2431" s="27"/>
      <c r="J2431" s="27"/>
      <c r="K2431" s="27"/>
      <c r="L2431" s="27"/>
      <c r="M2431" s="27"/>
      <c r="N2431" s="27"/>
      <c r="O2431" s="27"/>
      <c r="P2431" s="27"/>
      <c r="Q2431" s="27"/>
      <c r="R2431" s="27"/>
      <c r="S2431" s="27"/>
      <c r="T2431" s="27"/>
      <c r="U2431" s="27"/>
      <c r="V2431" s="27"/>
      <c r="W2431" s="27"/>
      <c r="X2431" s="27"/>
      <c r="Y2431" s="27"/>
      <c r="Z2431" s="17"/>
      <c r="AA2431" s="17"/>
      <c r="AB2431" s="17"/>
      <c r="AC2431" s="17"/>
      <c r="AD2431" s="27"/>
    </row>
    <row r="2432" ht="15.75" customHeight="1">
      <c r="A2432" s="27"/>
      <c r="B2432" s="27"/>
      <c r="C2432" s="27"/>
      <c r="D2432" s="27"/>
      <c r="E2432" s="27"/>
      <c r="F2432" s="27"/>
      <c r="G2432" s="27"/>
      <c r="H2432" s="27"/>
      <c r="I2432" s="27"/>
      <c r="J2432" s="27"/>
      <c r="K2432" s="27"/>
      <c r="L2432" s="27"/>
      <c r="M2432" s="27"/>
      <c r="N2432" s="27"/>
      <c r="O2432" s="27"/>
      <c r="P2432" s="27"/>
      <c r="Q2432" s="27"/>
      <c r="R2432" s="27"/>
      <c r="S2432" s="27"/>
      <c r="T2432" s="27"/>
      <c r="U2432" s="27"/>
      <c r="V2432" s="27"/>
      <c r="W2432" s="27"/>
      <c r="X2432" s="27"/>
      <c r="Y2432" s="27"/>
      <c r="Z2432" s="17"/>
      <c r="AA2432" s="17"/>
      <c r="AB2432" s="17"/>
      <c r="AC2432" s="17"/>
      <c r="AD2432" s="27"/>
    </row>
    <row r="2433" ht="15.75" customHeight="1">
      <c r="A2433" s="27"/>
      <c r="B2433" s="27"/>
      <c r="C2433" s="27"/>
      <c r="D2433" s="27"/>
      <c r="E2433" s="27"/>
      <c r="F2433" s="27"/>
      <c r="G2433" s="27"/>
      <c r="H2433" s="27"/>
      <c r="I2433" s="27"/>
      <c r="J2433" s="27"/>
      <c r="K2433" s="27"/>
      <c r="L2433" s="27"/>
      <c r="M2433" s="27"/>
      <c r="N2433" s="27"/>
      <c r="O2433" s="27"/>
      <c r="P2433" s="27"/>
      <c r="Q2433" s="27"/>
      <c r="R2433" s="27"/>
      <c r="S2433" s="27"/>
      <c r="T2433" s="27"/>
      <c r="U2433" s="27"/>
      <c r="V2433" s="27"/>
      <c r="W2433" s="27"/>
      <c r="X2433" s="27"/>
      <c r="Y2433" s="27"/>
      <c r="Z2433" s="17"/>
      <c r="AA2433" s="17"/>
      <c r="AB2433" s="17"/>
      <c r="AC2433" s="17"/>
      <c r="AD2433" s="27"/>
    </row>
    <row r="2434" ht="15.75" customHeight="1">
      <c r="A2434" s="27"/>
      <c r="B2434" s="27"/>
      <c r="C2434" s="27"/>
      <c r="D2434" s="27"/>
      <c r="E2434" s="27"/>
      <c r="F2434" s="27"/>
      <c r="G2434" s="27"/>
      <c r="H2434" s="27"/>
      <c r="I2434" s="27"/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  <c r="Z2434" s="17"/>
      <c r="AA2434" s="17"/>
      <c r="AB2434" s="17"/>
      <c r="AC2434" s="17"/>
      <c r="AD2434" s="27"/>
    </row>
    <row r="2435" ht="15.75" customHeight="1">
      <c r="A2435" s="27"/>
      <c r="B2435" s="27"/>
      <c r="C2435" s="27"/>
      <c r="D2435" s="27"/>
      <c r="E2435" s="27"/>
      <c r="F2435" s="27"/>
      <c r="G2435" s="27"/>
      <c r="H2435" s="27"/>
      <c r="I2435" s="27"/>
      <c r="J2435" s="27"/>
      <c r="K2435" s="27"/>
      <c r="L2435" s="27"/>
      <c r="M2435" s="27"/>
      <c r="N2435" s="27"/>
      <c r="O2435" s="27"/>
      <c r="P2435" s="27"/>
      <c r="Q2435" s="27"/>
      <c r="R2435" s="27"/>
      <c r="S2435" s="27"/>
      <c r="T2435" s="27"/>
      <c r="U2435" s="27"/>
      <c r="V2435" s="27"/>
      <c r="W2435" s="27"/>
      <c r="X2435" s="27"/>
      <c r="Y2435" s="27"/>
      <c r="Z2435" s="17"/>
      <c r="AA2435" s="17"/>
      <c r="AB2435" s="17"/>
      <c r="AC2435" s="17"/>
      <c r="AD2435" s="27"/>
    </row>
    <row r="2436" ht="15.75" customHeight="1">
      <c r="A2436" s="27"/>
      <c r="B2436" s="27"/>
      <c r="C2436" s="27"/>
      <c r="D2436" s="27"/>
      <c r="E2436" s="27"/>
      <c r="F2436" s="27"/>
      <c r="G2436" s="27"/>
      <c r="H2436" s="27"/>
      <c r="I2436" s="27"/>
      <c r="J2436" s="27"/>
      <c r="K2436" s="27"/>
      <c r="L2436" s="27"/>
      <c r="M2436" s="27"/>
      <c r="N2436" s="27"/>
      <c r="O2436" s="27"/>
      <c r="P2436" s="27"/>
      <c r="Q2436" s="27"/>
      <c r="R2436" s="27"/>
      <c r="S2436" s="27"/>
      <c r="T2436" s="27"/>
      <c r="U2436" s="27"/>
      <c r="V2436" s="27"/>
      <c r="W2436" s="27"/>
      <c r="X2436" s="27"/>
      <c r="Y2436" s="27"/>
      <c r="Z2436" s="17"/>
      <c r="AA2436" s="17"/>
      <c r="AB2436" s="17"/>
      <c r="AC2436" s="17"/>
      <c r="AD2436" s="27"/>
    </row>
    <row r="2437" ht="15.75" customHeight="1">
      <c r="A2437" s="27"/>
      <c r="B2437" s="27"/>
      <c r="C2437" s="27"/>
      <c r="D2437" s="27"/>
      <c r="E2437" s="27"/>
      <c r="F2437" s="27"/>
      <c r="G2437" s="27"/>
      <c r="H2437" s="27"/>
      <c r="I2437" s="27"/>
      <c r="J2437" s="27"/>
      <c r="K2437" s="27"/>
      <c r="L2437" s="27"/>
      <c r="M2437" s="27"/>
      <c r="N2437" s="27"/>
      <c r="O2437" s="27"/>
      <c r="P2437" s="27"/>
      <c r="Q2437" s="27"/>
      <c r="R2437" s="27"/>
      <c r="S2437" s="27"/>
      <c r="T2437" s="27"/>
      <c r="U2437" s="27"/>
      <c r="V2437" s="27"/>
      <c r="W2437" s="27"/>
      <c r="X2437" s="27"/>
      <c r="Y2437" s="27"/>
      <c r="Z2437" s="17"/>
      <c r="AA2437" s="17"/>
      <c r="AB2437" s="17"/>
      <c r="AC2437" s="17"/>
      <c r="AD2437" s="27"/>
    </row>
    <row r="2438" ht="15.75" customHeight="1">
      <c r="A2438" s="27"/>
      <c r="B2438" s="27"/>
      <c r="C2438" s="27"/>
      <c r="D2438" s="27"/>
      <c r="E2438" s="27"/>
      <c r="F2438" s="27"/>
      <c r="G2438" s="27"/>
      <c r="H2438" s="27"/>
      <c r="I2438" s="27"/>
      <c r="J2438" s="27"/>
      <c r="K2438" s="27"/>
      <c r="L2438" s="27"/>
      <c r="M2438" s="27"/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17"/>
      <c r="AA2438" s="17"/>
      <c r="AB2438" s="17"/>
      <c r="AC2438" s="17"/>
      <c r="AD2438" s="27"/>
    </row>
    <row r="2439" ht="15.75" customHeight="1">
      <c r="A2439" s="27"/>
      <c r="B2439" s="27"/>
      <c r="C2439" s="27"/>
      <c r="D2439" s="27"/>
      <c r="E2439" s="27"/>
      <c r="F2439" s="27"/>
      <c r="G2439" s="27"/>
      <c r="H2439" s="27"/>
      <c r="I2439" s="27"/>
      <c r="J2439" s="27"/>
      <c r="K2439" s="27"/>
      <c r="L2439" s="27"/>
      <c r="M2439" s="27"/>
      <c r="N2439" s="27"/>
      <c r="O2439" s="27"/>
      <c r="P2439" s="27"/>
      <c r="Q2439" s="27"/>
      <c r="R2439" s="27"/>
      <c r="S2439" s="27"/>
      <c r="T2439" s="27"/>
      <c r="U2439" s="27"/>
      <c r="V2439" s="27"/>
      <c r="W2439" s="27"/>
      <c r="X2439" s="27"/>
      <c r="Y2439" s="27"/>
      <c r="Z2439" s="17"/>
      <c r="AA2439" s="17"/>
      <c r="AB2439" s="17"/>
      <c r="AC2439" s="17"/>
      <c r="AD2439" s="27"/>
    </row>
    <row r="2440" ht="15.75" customHeight="1">
      <c r="A2440" s="27"/>
      <c r="B2440" s="27"/>
      <c r="C2440" s="27"/>
      <c r="D2440" s="27"/>
      <c r="E2440" s="27"/>
      <c r="F2440" s="27"/>
      <c r="G2440" s="27"/>
      <c r="H2440" s="27"/>
      <c r="I2440" s="27"/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  <c r="Z2440" s="17"/>
      <c r="AA2440" s="17"/>
      <c r="AB2440" s="17"/>
      <c r="AC2440" s="17"/>
      <c r="AD2440" s="27"/>
    </row>
    <row r="2441" ht="15.75" customHeight="1">
      <c r="A2441" s="27"/>
      <c r="B2441" s="27"/>
      <c r="C2441" s="27"/>
      <c r="D2441" s="27"/>
      <c r="E2441" s="27"/>
      <c r="F2441" s="27"/>
      <c r="G2441" s="27"/>
      <c r="H2441" s="27"/>
      <c r="I2441" s="27"/>
      <c r="J2441" s="27"/>
      <c r="K2441" s="27"/>
      <c r="L2441" s="27"/>
      <c r="M2441" s="27"/>
      <c r="N2441" s="27"/>
      <c r="O2441" s="27"/>
      <c r="P2441" s="27"/>
      <c r="Q2441" s="27"/>
      <c r="R2441" s="27"/>
      <c r="S2441" s="27"/>
      <c r="T2441" s="27"/>
      <c r="U2441" s="27"/>
      <c r="V2441" s="27"/>
      <c r="W2441" s="27"/>
      <c r="X2441" s="27"/>
      <c r="Y2441" s="27"/>
      <c r="Z2441" s="17"/>
      <c r="AA2441" s="17"/>
      <c r="AB2441" s="17"/>
      <c r="AC2441" s="17"/>
      <c r="AD2441" s="27"/>
    </row>
    <row r="2442" ht="15.75" customHeight="1">
      <c r="A2442" s="27"/>
      <c r="B2442" s="27"/>
      <c r="C2442" s="27"/>
      <c r="D2442" s="27"/>
      <c r="E2442" s="27"/>
      <c r="F2442" s="27"/>
      <c r="G2442" s="27"/>
      <c r="H2442" s="27"/>
      <c r="I2442" s="27"/>
      <c r="J2442" s="27"/>
      <c r="K2442" s="27"/>
      <c r="L2442" s="27"/>
      <c r="M2442" s="27"/>
      <c r="N2442" s="27"/>
      <c r="O2442" s="27"/>
      <c r="P2442" s="27"/>
      <c r="Q2442" s="27"/>
      <c r="R2442" s="27"/>
      <c r="S2442" s="27"/>
      <c r="T2442" s="27"/>
      <c r="U2442" s="27"/>
      <c r="V2442" s="27"/>
      <c r="W2442" s="27"/>
      <c r="X2442" s="27"/>
      <c r="Y2442" s="27"/>
      <c r="Z2442" s="17"/>
      <c r="AA2442" s="17"/>
      <c r="AB2442" s="17"/>
      <c r="AC2442" s="17"/>
      <c r="AD2442" s="27"/>
    </row>
    <row r="2443" ht="15.75" customHeight="1">
      <c r="A2443" s="27"/>
      <c r="B2443" s="27"/>
      <c r="C2443" s="27"/>
      <c r="D2443" s="27"/>
      <c r="E2443" s="27"/>
      <c r="F2443" s="27"/>
      <c r="G2443" s="27"/>
      <c r="H2443" s="27"/>
      <c r="I2443" s="27"/>
      <c r="J2443" s="27"/>
      <c r="K2443" s="27"/>
      <c r="L2443" s="27"/>
      <c r="M2443" s="27"/>
      <c r="N2443" s="27"/>
      <c r="O2443" s="27"/>
      <c r="P2443" s="27"/>
      <c r="Q2443" s="27"/>
      <c r="R2443" s="27"/>
      <c r="S2443" s="27"/>
      <c r="T2443" s="27"/>
      <c r="U2443" s="27"/>
      <c r="V2443" s="27"/>
      <c r="W2443" s="27"/>
      <c r="X2443" s="27"/>
      <c r="Y2443" s="27"/>
      <c r="Z2443" s="17"/>
      <c r="AA2443" s="17"/>
      <c r="AB2443" s="17"/>
      <c r="AC2443" s="17"/>
      <c r="AD2443" s="27"/>
    </row>
    <row r="2444" ht="15.75" customHeight="1">
      <c r="A2444" s="27"/>
      <c r="B2444" s="27"/>
      <c r="C2444" s="27"/>
      <c r="D2444" s="27"/>
      <c r="E2444" s="27"/>
      <c r="F2444" s="27"/>
      <c r="G2444" s="27"/>
      <c r="H2444" s="27"/>
      <c r="I2444" s="27"/>
      <c r="J2444" s="27"/>
      <c r="K2444" s="27"/>
      <c r="L2444" s="27"/>
      <c r="M2444" s="27"/>
      <c r="N2444" s="27"/>
      <c r="O2444" s="27"/>
      <c r="P2444" s="27"/>
      <c r="Q2444" s="27"/>
      <c r="R2444" s="27"/>
      <c r="S2444" s="27"/>
      <c r="T2444" s="27"/>
      <c r="U2444" s="27"/>
      <c r="V2444" s="27"/>
      <c r="W2444" s="27"/>
      <c r="X2444" s="27"/>
      <c r="Y2444" s="27"/>
      <c r="Z2444" s="17"/>
      <c r="AA2444" s="17"/>
      <c r="AB2444" s="17"/>
      <c r="AC2444" s="17"/>
      <c r="AD2444" s="27"/>
    </row>
    <row r="2445" ht="15.75" customHeight="1">
      <c r="A2445" s="27"/>
      <c r="B2445" s="27"/>
      <c r="C2445" s="27"/>
      <c r="D2445" s="27"/>
      <c r="E2445" s="27"/>
      <c r="F2445" s="27"/>
      <c r="G2445" s="27"/>
      <c r="H2445" s="27"/>
      <c r="I2445" s="27"/>
      <c r="J2445" s="27"/>
      <c r="K2445" s="27"/>
      <c r="L2445" s="27"/>
      <c r="M2445" s="27"/>
      <c r="N2445" s="27"/>
      <c r="O2445" s="27"/>
      <c r="P2445" s="27"/>
      <c r="Q2445" s="27"/>
      <c r="R2445" s="27"/>
      <c r="S2445" s="27"/>
      <c r="T2445" s="27"/>
      <c r="U2445" s="27"/>
      <c r="V2445" s="27"/>
      <c r="W2445" s="27"/>
      <c r="X2445" s="27"/>
      <c r="Y2445" s="27"/>
      <c r="Z2445" s="17"/>
      <c r="AA2445" s="17"/>
      <c r="AB2445" s="17"/>
      <c r="AC2445" s="17"/>
      <c r="AD2445" s="27"/>
    </row>
    <row r="2446" ht="15.75" customHeight="1">
      <c r="A2446" s="27"/>
      <c r="B2446" s="27"/>
      <c r="C2446" s="27"/>
      <c r="D2446" s="27"/>
      <c r="E2446" s="27"/>
      <c r="F2446" s="27"/>
      <c r="G2446" s="27"/>
      <c r="H2446" s="27"/>
      <c r="I2446" s="27"/>
      <c r="J2446" s="27"/>
      <c r="K2446" s="27"/>
      <c r="L2446" s="27"/>
      <c r="M2446" s="27"/>
      <c r="N2446" s="27"/>
      <c r="O2446" s="27"/>
      <c r="P2446" s="27"/>
      <c r="Q2446" s="27"/>
      <c r="R2446" s="27"/>
      <c r="S2446" s="27"/>
      <c r="T2446" s="27"/>
      <c r="U2446" s="27"/>
      <c r="V2446" s="27"/>
      <c r="W2446" s="27"/>
      <c r="X2446" s="27"/>
      <c r="Y2446" s="27"/>
      <c r="Z2446" s="17"/>
      <c r="AA2446" s="17"/>
      <c r="AB2446" s="17"/>
      <c r="AC2446" s="17"/>
      <c r="AD2446" s="27"/>
    </row>
    <row r="2447" ht="15.75" customHeight="1">
      <c r="A2447" s="27"/>
      <c r="B2447" s="27"/>
      <c r="C2447" s="27"/>
      <c r="D2447" s="27"/>
      <c r="E2447" s="27"/>
      <c r="F2447" s="27"/>
      <c r="G2447" s="27"/>
      <c r="H2447" s="27"/>
      <c r="I2447" s="27"/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7"/>
      <c r="X2447" s="27"/>
      <c r="Y2447" s="27"/>
      <c r="Z2447" s="17"/>
      <c r="AA2447" s="17"/>
      <c r="AB2447" s="17"/>
      <c r="AC2447" s="17"/>
      <c r="AD2447" s="27"/>
    </row>
    <row r="2448" ht="15.75" customHeight="1">
      <c r="A2448" s="27"/>
      <c r="B2448" s="27"/>
      <c r="C2448" s="27"/>
      <c r="D2448" s="27"/>
      <c r="E2448" s="27"/>
      <c r="F2448" s="27"/>
      <c r="G2448" s="27"/>
      <c r="H2448" s="27"/>
      <c r="I2448" s="27"/>
      <c r="J2448" s="27"/>
      <c r="K2448" s="27"/>
      <c r="L2448" s="27"/>
      <c r="M2448" s="27"/>
      <c r="N2448" s="27"/>
      <c r="O2448" s="27"/>
      <c r="P2448" s="27"/>
      <c r="Q2448" s="27"/>
      <c r="R2448" s="27"/>
      <c r="S2448" s="27"/>
      <c r="T2448" s="27"/>
      <c r="U2448" s="27"/>
      <c r="V2448" s="27"/>
      <c r="W2448" s="27"/>
      <c r="X2448" s="27"/>
      <c r="Y2448" s="27"/>
      <c r="Z2448" s="17"/>
      <c r="AA2448" s="17"/>
      <c r="AB2448" s="17"/>
      <c r="AC2448" s="17"/>
      <c r="AD2448" s="27"/>
    </row>
    <row r="2449" ht="15.75" customHeight="1">
      <c r="A2449" s="27"/>
      <c r="B2449" s="27"/>
      <c r="C2449" s="27"/>
      <c r="D2449" s="27"/>
      <c r="E2449" s="27"/>
      <c r="F2449" s="27"/>
      <c r="G2449" s="27"/>
      <c r="H2449" s="27"/>
      <c r="I2449" s="27"/>
      <c r="J2449" s="27"/>
      <c r="K2449" s="27"/>
      <c r="L2449" s="27"/>
      <c r="M2449" s="27"/>
      <c r="N2449" s="27"/>
      <c r="O2449" s="27"/>
      <c r="P2449" s="27"/>
      <c r="Q2449" s="27"/>
      <c r="R2449" s="27"/>
      <c r="S2449" s="27"/>
      <c r="T2449" s="27"/>
      <c r="U2449" s="27"/>
      <c r="V2449" s="27"/>
      <c r="W2449" s="27"/>
      <c r="X2449" s="27"/>
      <c r="Y2449" s="27"/>
      <c r="Z2449" s="17"/>
      <c r="AA2449" s="17"/>
      <c r="AB2449" s="17"/>
      <c r="AC2449" s="17"/>
      <c r="AD2449" s="27"/>
    </row>
    <row r="2450" ht="15.75" customHeight="1">
      <c r="A2450" s="27"/>
      <c r="B2450" s="27"/>
      <c r="C2450" s="27"/>
      <c r="D2450" s="27"/>
      <c r="E2450" s="27"/>
      <c r="F2450" s="27"/>
      <c r="G2450" s="27"/>
      <c r="H2450" s="27"/>
      <c r="I2450" s="27"/>
      <c r="J2450" s="27"/>
      <c r="K2450" s="27"/>
      <c r="L2450" s="27"/>
      <c r="M2450" s="27"/>
      <c r="N2450" s="27"/>
      <c r="O2450" s="27"/>
      <c r="P2450" s="27"/>
      <c r="Q2450" s="27"/>
      <c r="R2450" s="27"/>
      <c r="S2450" s="27"/>
      <c r="T2450" s="27"/>
      <c r="U2450" s="27"/>
      <c r="V2450" s="27"/>
      <c r="W2450" s="27"/>
      <c r="X2450" s="27"/>
      <c r="Y2450" s="27"/>
      <c r="Z2450" s="17"/>
      <c r="AA2450" s="17"/>
      <c r="AB2450" s="17"/>
      <c r="AC2450" s="17"/>
      <c r="AD2450" s="27"/>
    </row>
    <row r="2451" ht="15.75" customHeight="1">
      <c r="A2451" s="27"/>
      <c r="B2451" s="27"/>
      <c r="C2451" s="27"/>
      <c r="D2451" s="27"/>
      <c r="E2451" s="27"/>
      <c r="F2451" s="27"/>
      <c r="G2451" s="27"/>
      <c r="H2451" s="27"/>
      <c r="I2451" s="27"/>
      <c r="J2451" s="27"/>
      <c r="K2451" s="27"/>
      <c r="L2451" s="27"/>
      <c r="M2451" s="27"/>
      <c r="N2451" s="27"/>
      <c r="O2451" s="27"/>
      <c r="P2451" s="27"/>
      <c r="Q2451" s="27"/>
      <c r="R2451" s="27"/>
      <c r="S2451" s="27"/>
      <c r="T2451" s="27"/>
      <c r="U2451" s="27"/>
      <c r="V2451" s="27"/>
      <c r="W2451" s="27"/>
      <c r="X2451" s="27"/>
      <c r="Y2451" s="27"/>
      <c r="Z2451" s="17"/>
      <c r="AA2451" s="17"/>
      <c r="AB2451" s="17"/>
      <c r="AC2451" s="17"/>
      <c r="AD2451" s="27"/>
    </row>
    <row r="2452" ht="15.75" customHeight="1">
      <c r="A2452" s="27"/>
      <c r="B2452" s="27"/>
      <c r="C2452" s="27"/>
      <c r="D2452" s="27"/>
      <c r="E2452" s="27"/>
      <c r="F2452" s="27"/>
      <c r="G2452" s="27"/>
      <c r="H2452" s="27"/>
      <c r="I2452" s="27"/>
      <c r="J2452" s="27"/>
      <c r="K2452" s="27"/>
      <c r="L2452" s="27"/>
      <c r="M2452" s="27"/>
      <c r="N2452" s="27"/>
      <c r="O2452" s="27"/>
      <c r="P2452" s="27"/>
      <c r="Q2452" s="27"/>
      <c r="R2452" s="27"/>
      <c r="S2452" s="27"/>
      <c r="T2452" s="27"/>
      <c r="U2452" s="27"/>
      <c r="V2452" s="27"/>
      <c r="W2452" s="27"/>
      <c r="X2452" s="27"/>
      <c r="Y2452" s="27"/>
      <c r="Z2452" s="17"/>
      <c r="AA2452" s="17"/>
      <c r="AB2452" s="17"/>
      <c r="AC2452" s="17"/>
      <c r="AD2452" s="27"/>
    </row>
    <row r="2453" ht="15.75" customHeight="1">
      <c r="A2453" s="27"/>
      <c r="B2453" s="27"/>
      <c r="C2453" s="27"/>
      <c r="D2453" s="27"/>
      <c r="E2453" s="27"/>
      <c r="F2453" s="27"/>
      <c r="G2453" s="27"/>
      <c r="H2453" s="27"/>
      <c r="I2453" s="27"/>
      <c r="J2453" s="27"/>
      <c r="K2453" s="27"/>
      <c r="L2453" s="27"/>
      <c r="M2453" s="27"/>
      <c r="N2453" s="27"/>
      <c r="O2453" s="27"/>
      <c r="P2453" s="27"/>
      <c r="Q2453" s="27"/>
      <c r="R2453" s="27"/>
      <c r="S2453" s="27"/>
      <c r="T2453" s="27"/>
      <c r="U2453" s="27"/>
      <c r="V2453" s="27"/>
      <c r="W2453" s="27"/>
      <c r="X2453" s="27"/>
      <c r="Y2453" s="27"/>
      <c r="Z2453" s="17"/>
      <c r="AA2453" s="17"/>
      <c r="AB2453" s="17"/>
      <c r="AC2453" s="17"/>
      <c r="AD2453" s="27"/>
    </row>
    <row r="2454" ht="15.75" customHeight="1">
      <c r="A2454" s="27"/>
      <c r="B2454" s="27"/>
      <c r="C2454" s="27"/>
      <c r="D2454" s="27"/>
      <c r="E2454" s="27"/>
      <c r="F2454" s="27"/>
      <c r="G2454" s="27"/>
      <c r="H2454" s="27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  <c r="Z2454" s="17"/>
      <c r="AA2454" s="17"/>
      <c r="AB2454" s="17"/>
      <c r="AC2454" s="17"/>
      <c r="AD2454" s="27"/>
    </row>
    <row r="2455" ht="15.75" customHeight="1">
      <c r="A2455" s="27"/>
      <c r="B2455" s="27"/>
      <c r="C2455" s="27"/>
      <c r="D2455" s="27"/>
      <c r="E2455" s="27"/>
      <c r="F2455" s="27"/>
      <c r="G2455" s="27"/>
      <c r="H2455" s="27"/>
      <c r="I2455" s="27"/>
      <c r="J2455" s="27"/>
      <c r="K2455" s="27"/>
      <c r="L2455" s="27"/>
      <c r="M2455" s="27"/>
      <c r="N2455" s="27"/>
      <c r="O2455" s="27"/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17"/>
      <c r="AA2455" s="17"/>
      <c r="AB2455" s="17"/>
      <c r="AC2455" s="17"/>
      <c r="AD2455" s="27"/>
    </row>
    <row r="2456" ht="15.75" customHeight="1">
      <c r="A2456" s="27"/>
      <c r="B2456" s="27"/>
      <c r="C2456" s="27"/>
      <c r="D2456" s="27"/>
      <c r="E2456" s="27"/>
      <c r="F2456" s="27"/>
      <c r="G2456" s="27"/>
      <c r="H2456" s="27"/>
      <c r="I2456" s="27"/>
      <c r="J2456" s="27"/>
      <c r="K2456" s="27"/>
      <c r="L2456" s="27"/>
      <c r="M2456" s="27"/>
      <c r="N2456" s="27"/>
      <c r="O2456" s="27"/>
      <c r="P2456" s="27"/>
      <c r="Q2456" s="27"/>
      <c r="R2456" s="27"/>
      <c r="S2456" s="27"/>
      <c r="T2456" s="27"/>
      <c r="U2456" s="27"/>
      <c r="V2456" s="27"/>
      <c r="W2456" s="27"/>
      <c r="X2456" s="27"/>
      <c r="Y2456" s="27"/>
      <c r="Z2456" s="17"/>
      <c r="AA2456" s="17"/>
      <c r="AB2456" s="17"/>
      <c r="AC2456" s="17"/>
      <c r="AD2456" s="27"/>
    </row>
    <row r="2457" ht="15.75" customHeight="1">
      <c r="A2457" s="27"/>
      <c r="B2457" s="27"/>
      <c r="C2457" s="27"/>
      <c r="D2457" s="27"/>
      <c r="E2457" s="27"/>
      <c r="F2457" s="27"/>
      <c r="G2457" s="27"/>
      <c r="H2457" s="27"/>
      <c r="I2457" s="27"/>
      <c r="J2457" s="27"/>
      <c r="K2457" s="27"/>
      <c r="L2457" s="27"/>
      <c r="M2457" s="27"/>
      <c r="N2457" s="27"/>
      <c r="O2457" s="27"/>
      <c r="P2457" s="27"/>
      <c r="Q2457" s="27"/>
      <c r="R2457" s="27"/>
      <c r="S2457" s="27"/>
      <c r="T2457" s="27"/>
      <c r="U2457" s="27"/>
      <c r="V2457" s="27"/>
      <c r="W2457" s="27"/>
      <c r="X2457" s="27"/>
      <c r="Y2457" s="27"/>
      <c r="Z2457" s="17"/>
      <c r="AA2457" s="17"/>
      <c r="AB2457" s="17"/>
      <c r="AC2457" s="17"/>
      <c r="AD2457" s="27"/>
    </row>
    <row r="2458" ht="15.75" customHeight="1">
      <c r="A2458" s="27"/>
      <c r="B2458" s="27"/>
      <c r="C2458" s="27"/>
      <c r="D2458" s="27"/>
      <c r="E2458" s="27"/>
      <c r="F2458" s="27"/>
      <c r="G2458" s="27"/>
      <c r="H2458" s="27"/>
      <c r="I2458" s="27"/>
      <c r="J2458" s="27"/>
      <c r="K2458" s="27"/>
      <c r="L2458" s="27"/>
      <c r="M2458" s="27"/>
      <c r="N2458" s="27"/>
      <c r="O2458" s="27"/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17"/>
      <c r="AA2458" s="17"/>
      <c r="AB2458" s="17"/>
      <c r="AC2458" s="17"/>
      <c r="AD2458" s="27"/>
    </row>
    <row r="2459" ht="15.75" customHeight="1">
      <c r="A2459" s="27"/>
      <c r="B2459" s="27"/>
      <c r="C2459" s="27"/>
      <c r="D2459" s="27"/>
      <c r="E2459" s="27"/>
      <c r="F2459" s="27"/>
      <c r="G2459" s="27"/>
      <c r="H2459" s="27"/>
      <c r="I2459" s="27"/>
      <c r="J2459" s="27"/>
      <c r="K2459" s="27"/>
      <c r="L2459" s="27"/>
      <c r="M2459" s="27"/>
      <c r="N2459" s="27"/>
      <c r="O2459" s="27"/>
      <c r="P2459" s="27"/>
      <c r="Q2459" s="27"/>
      <c r="R2459" s="27"/>
      <c r="S2459" s="27"/>
      <c r="T2459" s="27"/>
      <c r="U2459" s="27"/>
      <c r="V2459" s="27"/>
      <c r="W2459" s="27"/>
      <c r="X2459" s="27"/>
      <c r="Y2459" s="27"/>
      <c r="Z2459" s="17"/>
      <c r="AA2459" s="17"/>
      <c r="AB2459" s="17"/>
      <c r="AC2459" s="17"/>
      <c r="AD2459" s="27"/>
    </row>
    <row r="2460" ht="15.75" customHeight="1">
      <c r="A2460" s="27"/>
      <c r="B2460" s="27"/>
      <c r="C2460" s="27"/>
      <c r="D2460" s="27"/>
      <c r="E2460" s="27"/>
      <c r="F2460" s="27"/>
      <c r="G2460" s="27"/>
      <c r="H2460" s="27"/>
      <c r="I2460" s="27"/>
      <c r="J2460" s="27"/>
      <c r="K2460" s="27"/>
      <c r="L2460" s="27"/>
      <c r="M2460" s="27"/>
      <c r="N2460" s="27"/>
      <c r="O2460" s="27"/>
      <c r="P2460" s="27"/>
      <c r="Q2460" s="27"/>
      <c r="R2460" s="27"/>
      <c r="S2460" s="27"/>
      <c r="T2460" s="27"/>
      <c r="U2460" s="27"/>
      <c r="V2460" s="27"/>
      <c r="W2460" s="27"/>
      <c r="X2460" s="27"/>
      <c r="Y2460" s="27"/>
      <c r="Z2460" s="17"/>
      <c r="AA2460" s="17"/>
      <c r="AB2460" s="17"/>
      <c r="AC2460" s="17"/>
      <c r="AD2460" s="27"/>
    </row>
    <row r="2461" ht="15.75" customHeight="1">
      <c r="A2461" s="27"/>
      <c r="B2461" s="27"/>
      <c r="C2461" s="27"/>
      <c r="D2461" s="27"/>
      <c r="E2461" s="27"/>
      <c r="F2461" s="27"/>
      <c r="G2461" s="27"/>
      <c r="H2461" s="27"/>
      <c r="I2461" s="27"/>
      <c r="J2461" s="27"/>
      <c r="K2461" s="27"/>
      <c r="L2461" s="27"/>
      <c r="M2461" s="27"/>
      <c r="N2461" s="27"/>
      <c r="O2461" s="27"/>
      <c r="P2461" s="27"/>
      <c r="Q2461" s="27"/>
      <c r="R2461" s="27"/>
      <c r="S2461" s="27"/>
      <c r="T2461" s="27"/>
      <c r="U2461" s="27"/>
      <c r="V2461" s="27"/>
      <c r="W2461" s="27"/>
      <c r="X2461" s="27"/>
      <c r="Y2461" s="27"/>
      <c r="Z2461" s="17"/>
      <c r="AA2461" s="17"/>
      <c r="AB2461" s="17"/>
      <c r="AC2461" s="17"/>
      <c r="AD2461" s="27"/>
    </row>
    <row r="2462" ht="15.75" customHeight="1">
      <c r="A2462" s="27"/>
      <c r="B2462" s="27"/>
      <c r="C2462" s="27"/>
      <c r="D2462" s="27"/>
      <c r="E2462" s="27"/>
      <c r="F2462" s="27"/>
      <c r="G2462" s="27"/>
      <c r="H2462" s="27"/>
      <c r="I2462" s="27"/>
      <c r="J2462" s="27"/>
      <c r="K2462" s="27"/>
      <c r="L2462" s="27"/>
      <c r="M2462" s="27"/>
      <c r="N2462" s="27"/>
      <c r="O2462" s="27"/>
      <c r="P2462" s="27"/>
      <c r="Q2462" s="27"/>
      <c r="R2462" s="27"/>
      <c r="S2462" s="27"/>
      <c r="T2462" s="27"/>
      <c r="U2462" s="27"/>
      <c r="V2462" s="27"/>
      <c r="W2462" s="27"/>
      <c r="X2462" s="27"/>
      <c r="Y2462" s="27"/>
      <c r="Z2462" s="17"/>
      <c r="AA2462" s="17"/>
      <c r="AB2462" s="17"/>
      <c r="AC2462" s="17"/>
      <c r="AD2462" s="27"/>
    </row>
    <row r="2463" ht="15.75" customHeight="1">
      <c r="A2463" s="27"/>
      <c r="B2463" s="27"/>
      <c r="C2463" s="27"/>
      <c r="D2463" s="27"/>
      <c r="E2463" s="27"/>
      <c r="F2463" s="27"/>
      <c r="G2463" s="27"/>
      <c r="H2463" s="27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17"/>
      <c r="AA2463" s="17"/>
      <c r="AB2463" s="17"/>
      <c r="AC2463" s="17"/>
      <c r="AD2463" s="27"/>
    </row>
    <row r="2464" ht="15.75" customHeight="1">
      <c r="A2464" s="27"/>
      <c r="B2464" s="27"/>
      <c r="C2464" s="27"/>
      <c r="D2464" s="27"/>
      <c r="E2464" s="27"/>
      <c r="F2464" s="27"/>
      <c r="G2464" s="27"/>
      <c r="H2464" s="27"/>
      <c r="I2464" s="27"/>
      <c r="J2464" s="27"/>
      <c r="K2464" s="27"/>
      <c r="L2464" s="27"/>
      <c r="M2464" s="27"/>
      <c r="N2464" s="27"/>
      <c r="O2464" s="27"/>
      <c r="P2464" s="27"/>
      <c r="Q2464" s="27"/>
      <c r="R2464" s="27"/>
      <c r="S2464" s="27"/>
      <c r="T2464" s="27"/>
      <c r="U2464" s="27"/>
      <c r="V2464" s="27"/>
      <c r="W2464" s="27"/>
      <c r="X2464" s="27"/>
      <c r="Y2464" s="27"/>
      <c r="Z2464" s="17"/>
      <c r="AA2464" s="17"/>
      <c r="AB2464" s="17"/>
      <c r="AC2464" s="17"/>
      <c r="AD2464" s="27"/>
    </row>
    <row r="2465" ht="15.75" customHeight="1">
      <c r="A2465" s="27"/>
      <c r="B2465" s="27"/>
      <c r="C2465" s="27"/>
      <c r="D2465" s="27"/>
      <c r="E2465" s="27"/>
      <c r="F2465" s="27"/>
      <c r="G2465" s="27"/>
      <c r="H2465" s="27"/>
      <c r="I2465" s="27"/>
      <c r="J2465" s="27"/>
      <c r="K2465" s="27"/>
      <c r="L2465" s="27"/>
      <c r="M2465" s="27"/>
      <c r="N2465" s="27"/>
      <c r="O2465" s="27"/>
      <c r="P2465" s="27"/>
      <c r="Q2465" s="27"/>
      <c r="R2465" s="27"/>
      <c r="S2465" s="27"/>
      <c r="T2465" s="27"/>
      <c r="U2465" s="27"/>
      <c r="V2465" s="27"/>
      <c r="W2465" s="27"/>
      <c r="X2465" s="27"/>
      <c r="Y2465" s="27"/>
      <c r="Z2465" s="17"/>
      <c r="AA2465" s="17"/>
      <c r="AB2465" s="17"/>
      <c r="AC2465" s="17"/>
      <c r="AD2465" s="27"/>
    </row>
    <row r="2466" ht="15.75" customHeight="1">
      <c r="A2466" s="27"/>
      <c r="B2466" s="27"/>
      <c r="C2466" s="27"/>
      <c r="D2466" s="27"/>
      <c r="E2466" s="27"/>
      <c r="F2466" s="27"/>
      <c r="G2466" s="27"/>
      <c r="H2466" s="27"/>
      <c r="I2466" s="27"/>
      <c r="J2466" s="27"/>
      <c r="K2466" s="27"/>
      <c r="L2466" s="27"/>
      <c r="M2466" s="27"/>
      <c r="N2466" s="27"/>
      <c r="O2466" s="27"/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  <c r="Z2466" s="17"/>
      <c r="AA2466" s="17"/>
      <c r="AB2466" s="17"/>
      <c r="AC2466" s="17"/>
      <c r="AD2466" s="27"/>
    </row>
    <row r="2467" ht="15.75" customHeight="1">
      <c r="A2467" s="27"/>
      <c r="B2467" s="27"/>
      <c r="C2467" s="27"/>
      <c r="D2467" s="27"/>
      <c r="E2467" s="27"/>
      <c r="F2467" s="27"/>
      <c r="G2467" s="27"/>
      <c r="H2467" s="27"/>
      <c r="I2467" s="27"/>
      <c r="J2467" s="27"/>
      <c r="K2467" s="27"/>
      <c r="L2467" s="27"/>
      <c r="M2467" s="27"/>
      <c r="N2467" s="27"/>
      <c r="O2467" s="27"/>
      <c r="P2467" s="27"/>
      <c r="Q2467" s="27"/>
      <c r="R2467" s="27"/>
      <c r="S2467" s="27"/>
      <c r="T2467" s="27"/>
      <c r="U2467" s="27"/>
      <c r="V2467" s="27"/>
      <c r="W2467" s="27"/>
      <c r="X2467" s="27"/>
      <c r="Y2467" s="27"/>
      <c r="Z2467" s="17"/>
      <c r="AA2467" s="17"/>
      <c r="AB2467" s="17"/>
      <c r="AC2467" s="17"/>
      <c r="AD2467" s="27"/>
    </row>
    <row r="2468" ht="15.75" customHeight="1">
      <c r="A2468" s="27"/>
      <c r="B2468" s="27"/>
      <c r="C2468" s="27"/>
      <c r="D2468" s="27"/>
      <c r="E2468" s="27"/>
      <c r="F2468" s="27"/>
      <c r="G2468" s="27"/>
      <c r="H2468" s="27"/>
      <c r="I2468" s="27"/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  <c r="Z2468" s="17"/>
      <c r="AA2468" s="17"/>
      <c r="AB2468" s="17"/>
      <c r="AC2468" s="17"/>
      <c r="AD2468" s="27"/>
    </row>
    <row r="2469" ht="15.75" customHeight="1">
      <c r="A2469" s="27"/>
      <c r="B2469" s="27"/>
      <c r="C2469" s="27"/>
      <c r="D2469" s="27"/>
      <c r="E2469" s="27"/>
      <c r="F2469" s="27"/>
      <c r="G2469" s="27"/>
      <c r="H2469" s="27"/>
      <c r="I2469" s="27"/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  <c r="T2469" s="27"/>
      <c r="U2469" s="27"/>
      <c r="V2469" s="27"/>
      <c r="W2469" s="27"/>
      <c r="X2469" s="27"/>
      <c r="Y2469" s="27"/>
      <c r="Z2469" s="17"/>
      <c r="AA2469" s="17"/>
      <c r="AB2469" s="17"/>
      <c r="AC2469" s="17"/>
      <c r="AD2469" s="27"/>
    </row>
    <row r="2470" ht="15.75" customHeight="1">
      <c r="A2470" s="27"/>
      <c r="B2470" s="27"/>
      <c r="C2470" s="27"/>
      <c r="D2470" s="27"/>
      <c r="E2470" s="27"/>
      <c r="F2470" s="27"/>
      <c r="G2470" s="27"/>
      <c r="H2470" s="27"/>
      <c r="I2470" s="27"/>
      <c r="J2470" s="27"/>
      <c r="K2470" s="27"/>
      <c r="L2470" s="27"/>
      <c r="M2470" s="27"/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17"/>
      <c r="AA2470" s="17"/>
      <c r="AB2470" s="17"/>
      <c r="AC2470" s="17"/>
      <c r="AD2470" s="27"/>
    </row>
    <row r="2471" ht="15.75" customHeight="1">
      <c r="A2471" s="27"/>
      <c r="B2471" s="27"/>
      <c r="C2471" s="27"/>
      <c r="D2471" s="27"/>
      <c r="E2471" s="27"/>
      <c r="F2471" s="27"/>
      <c r="G2471" s="27"/>
      <c r="H2471" s="27"/>
      <c r="I2471" s="27"/>
      <c r="J2471" s="27"/>
      <c r="K2471" s="27"/>
      <c r="L2471" s="27"/>
      <c r="M2471" s="27"/>
      <c r="N2471" s="27"/>
      <c r="O2471" s="27"/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  <c r="Z2471" s="17"/>
      <c r="AA2471" s="17"/>
      <c r="AB2471" s="17"/>
      <c r="AC2471" s="17"/>
      <c r="AD2471" s="27"/>
    </row>
    <row r="2472" ht="15.75" customHeight="1">
      <c r="A2472" s="27"/>
      <c r="B2472" s="27"/>
      <c r="C2472" s="27"/>
      <c r="D2472" s="27"/>
      <c r="E2472" s="27"/>
      <c r="F2472" s="27"/>
      <c r="G2472" s="27"/>
      <c r="H2472" s="27"/>
      <c r="I2472" s="27"/>
      <c r="J2472" s="27"/>
      <c r="K2472" s="27"/>
      <c r="L2472" s="27"/>
      <c r="M2472" s="27"/>
      <c r="N2472" s="27"/>
      <c r="O2472" s="27"/>
      <c r="P2472" s="27"/>
      <c r="Q2472" s="27"/>
      <c r="R2472" s="27"/>
      <c r="S2472" s="27"/>
      <c r="T2472" s="27"/>
      <c r="U2472" s="27"/>
      <c r="V2472" s="27"/>
      <c r="W2472" s="27"/>
      <c r="X2472" s="27"/>
      <c r="Y2472" s="27"/>
      <c r="Z2472" s="17"/>
      <c r="AA2472" s="17"/>
      <c r="AB2472" s="17"/>
      <c r="AC2472" s="17"/>
      <c r="AD2472" s="27"/>
    </row>
    <row r="2473" ht="15.75" customHeight="1">
      <c r="A2473" s="27"/>
      <c r="B2473" s="27"/>
      <c r="C2473" s="27"/>
      <c r="D2473" s="27"/>
      <c r="E2473" s="27"/>
      <c r="F2473" s="27"/>
      <c r="G2473" s="27"/>
      <c r="H2473" s="27"/>
      <c r="I2473" s="27"/>
      <c r="J2473" s="27"/>
      <c r="K2473" s="27"/>
      <c r="L2473" s="27"/>
      <c r="M2473" s="27"/>
      <c r="N2473" s="27"/>
      <c r="O2473" s="27"/>
      <c r="P2473" s="27"/>
      <c r="Q2473" s="27"/>
      <c r="R2473" s="27"/>
      <c r="S2473" s="27"/>
      <c r="T2473" s="27"/>
      <c r="U2473" s="27"/>
      <c r="V2473" s="27"/>
      <c r="W2473" s="27"/>
      <c r="X2473" s="27"/>
      <c r="Y2473" s="27"/>
      <c r="Z2473" s="17"/>
      <c r="AA2473" s="17"/>
      <c r="AB2473" s="17"/>
      <c r="AC2473" s="17"/>
      <c r="AD2473" s="27"/>
    </row>
    <row r="2474" ht="15.75" customHeight="1">
      <c r="A2474" s="27"/>
      <c r="B2474" s="27"/>
      <c r="C2474" s="27"/>
      <c r="D2474" s="27"/>
      <c r="E2474" s="27"/>
      <c r="F2474" s="27"/>
      <c r="G2474" s="27"/>
      <c r="H2474" s="27"/>
      <c r="I2474" s="27"/>
      <c r="J2474" s="27"/>
      <c r="K2474" s="27"/>
      <c r="L2474" s="27"/>
      <c r="M2474" s="27"/>
      <c r="N2474" s="27"/>
      <c r="O2474" s="27"/>
      <c r="P2474" s="27"/>
      <c r="Q2474" s="27"/>
      <c r="R2474" s="27"/>
      <c r="S2474" s="27"/>
      <c r="T2474" s="27"/>
      <c r="U2474" s="27"/>
      <c r="V2474" s="27"/>
      <c r="W2474" s="27"/>
      <c r="X2474" s="27"/>
      <c r="Y2474" s="27"/>
      <c r="Z2474" s="17"/>
      <c r="AA2474" s="17"/>
      <c r="AB2474" s="17"/>
      <c r="AC2474" s="17"/>
      <c r="AD2474" s="27"/>
    </row>
    <row r="2475" ht="15.75" customHeight="1">
      <c r="A2475" s="27"/>
      <c r="B2475" s="27"/>
      <c r="C2475" s="27"/>
      <c r="D2475" s="27"/>
      <c r="E2475" s="27"/>
      <c r="F2475" s="27"/>
      <c r="G2475" s="27"/>
      <c r="H2475" s="27"/>
      <c r="I2475" s="27"/>
      <c r="J2475" s="27"/>
      <c r="K2475" s="27"/>
      <c r="L2475" s="27"/>
      <c r="M2475" s="27"/>
      <c r="N2475" s="27"/>
      <c r="O2475" s="27"/>
      <c r="P2475" s="27"/>
      <c r="Q2475" s="27"/>
      <c r="R2475" s="27"/>
      <c r="S2475" s="27"/>
      <c r="T2475" s="27"/>
      <c r="U2475" s="27"/>
      <c r="V2475" s="27"/>
      <c r="W2475" s="27"/>
      <c r="X2475" s="27"/>
      <c r="Y2475" s="27"/>
      <c r="Z2475" s="17"/>
      <c r="AA2475" s="17"/>
      <c r="AB2475" s="17"/>
      <c r="AC2475" s="17"/>
      <c r="AD2475" s="27"/>
    </row>
    <row r="2476" ht="15.75" customHeight="1">
      <c r="A2476" s="27"/>
      <c r="B2476" s="27"/>
      <c r="C2476" s="27"/>
      <c r="D2476" s="27"/>
      <c r="E2476" s="27"/>
      <c r="F2476" s="27"/>
      <c r="G2476" s="27"/>
      <c r="H2476" s="27"/>
      <c r="I2476" s="27"/>
      <c r="J2476" s="27"/>
      <c r="K2476" s="27"/>
      <c r="L2476" s="27"/>
      <c r="M2476" s="27"/>
      <c r="N2476" s="27"/>
      <c r="O2476" s="27"/>
      <c r="P2476" s="27"/>
      <c r="Q2476" s="27"/>
      <c r="R2476" s="27"/>
      <c r="S2476" s="27"/>
      <c r="T2476" s="27"/>
      <c r="U2476" s="27"/>
      <c r="V2476" s="27"/>
      <c r="W2476" s="27"/>
      <c r="X2476" s="27"/>
      <c r="Y2476" s="27"/>
      <c r="Z2476" s="17"/>
      <c r="AA2476" s="17"/>
      <c r="AB2476" s="17"/>
      <c r="AC2476" s="17"/>
      <c r="AD2476" s="27"/>
    </row>
    <row r="2477" ht="15.75" customHeight="1">
      <c r="A2477" s="27"/>
      <c r="B2477" s="27"/>
      <c r="C2477" s="27"/>
      <c r="D2477" s="27"/>
      <c r="E2477" s="27"/>
      <c r="F2477" s="27"/>
      <c r="G2477" s="27"/>
      <c r="H2477" s="27"/>
      <c r="I2477" s="27"/>
      <c r="J2477" s="27"/>
      <c r="K2477" s="27"/>
      <c r="L2477" s="27"/>
      <c r="M2477" s="27"/>
      <c r="N2477" s="27"/>
      <c r="O2477" s="27"/>
      <c r="P2477" s="27"/>
      <c r="Q2477" s="27"/>
      <c r="R2477" s="27"/>
      <c r="S2477" s="27"/>
      <c r="T2477" s="27"/>
      <c r="U2477" s="27"/>
      <c r="V2477" s="27"/>
      <c r="W2477" s="27"/>
      <c r="X2477" s="27"/>
      <c r="Y2477" s="27"/>
      <c r="Z2477" s="17"/>
      <c r="AA2477" s="17"/>
      <c r="AB2477" s="17"/>
      <c r="AC2477" s="17"/>
      <c r="AD2477" s="27"/>
    </row>
    <row r="2478" ht="15.75" customHeight="1">
      <c r="A2478" s="27"/>
      <c r="B2478" s="27"/>
      <c r="C2478" s="27"/>
      <c r="D2478" s="27"/>
      <c r="E2478" s="27"/>
      <c r="F2478" s="27"/>
      <c r="G2478" s="27"/>
      <c r="H2478" s="27"/>
      <c r="I2478" s="27"/>
      <c r="J2478" s="27"/>
      <c r="K2478" s="27"/>
      <c r="L2478" s="27"/>
      <c r="M2478" s="27"/>
      <c r="N2478" s="27"/>
      <c r="O2478" s="27"/>
      <c r="P2478" s="27"/>
      <c r="Q2478" s="27"/>
      <c r="R2478" s="27"/>
      <c r="S2478" s="27"/>
      <c r="T2478" s="27"/>
      <c r="U2478" s="27"/>
      <c r="V2478" s="27"/>
      <c r="W2478" s="27"/>
      <c r="X2478" s="27"/>
      <c r="Y2478" s="27"/>
      <c r="Z2478" s="17"/>
      <c r="AA2478" s="17"/>
      <c r="AB2478" s="17"/>
      <c r="AC2478" s="17"/>
      <c r="AD2478" s="27"/>
    </row>
    <row r="2479" ht="15.75" customHeight="1">
      <c r="A2479" s="27"/>
      <c r="B2479" s="27"/>
      <c r="C2479" s="27"/>
      <c r="D2479" s="27"/>
      <c r="E2479" s="27"/>
      <c r="F2479" s="27"/>
      <c r="G2479" s="27"/>
      <c r="H2479" s="27"/>
      <c r="I2479" s="27"/>
      <c r="J2479" s="27"/>
      <c r="K2479" s="27"/>
      <c r="L2479" s="27"/>
      <c r="M2479" s="27"/>
      <c r="N2479" s="27"/>
      <c r="O2479" s="27"/>
      <c r="P2479" s="27"/>
      <c r="Q2479" s="27"/>
      <c r="R2479" s="27"/>
      <c r="S2479" s="27"/>
      <c r="T2479" s="27"/>
      <c r="U2479" s="27"/>
      <c r="V2479" s="27"/>
      <c r="W2479" s="27"/>
      <c r="X2479" s="27"/>
      <c r="Y2479" s="27"/>
      <c r="Z2479" s="17"/>
      <c r="AA2479" s="17"/>
      <c r="AB2479" s="17"/>
      <c r="AC2479" s="17"/>
      <c r="AD2479" s="27"/>
    </row>
    <row r="2480" ht="15.75" customHeight="1">
      <c r="A2480" s="27"/>
      <c r="B2480" s="27"/>
      <c r="C2480" s="27"/>
      <c r="D2480" s="27"/>
      <c r="E2480" s="27"/>
      <c r="F2480" s="27"/>
      <c r="G2480" s="27"/>
      <c r="H2480" s="27"/>
      <c r="I2480" s="27"/>
      <c r="J2480" s="27"/>
      <c r="K2480" s="27"/>
      <c r="L2480" s="27"/>
      <c r="M2480" s="27"/>
      <c r="N2480" s="27"/>
      <c r="O2480" s="27"/>
      <c r="P2480" s="27"/>
      <c r="Q2480" s="27"/>
      <c r="R2480" s="27"/>
      <c r="S2480" s="27"/>
      <c r="T2480" s="27"/>
      <c r="U2480" s="27"/>
      <c r="V2480" s="27"/>
      <c r="W2480" s="27"/>
      <c r="X2480" s="27"/>
      <c r="Y2480" s="27"/>
      <c r="Z2480" s="17"/>
      <c r="AA2480" s="17"/>
      <c r="AB2480" s="17"/>
      <c r="AC2480" s="17"/>
      <c r="AD2480" s="27"/>
    </row>
    <row r="2481" ht="15.75" customHeight="1">
      <c r="A2481" s="27"/>
      <c r="B2481" s="27"/>
      <c r="C2481" s="27"/>
      <c r="D2481" s="27"/>
      <c r="E2481" s="27"/>
      <c r="F2481" s="27"/>
      <c r="G2481" s="27"/>
      <c r="H2481" s="27"/>
      <c r="I2481" s="27"/>
      <c r="J2481" s="27"/>
      <c r="K2481" s="27"/>
      <c r="L2481" s="27"/>
      <c r="M2481" s="27"/>
      <c r="N2481" s="27"/>
      <c r="O2481" s="27"/>
      <c r="P2481" s="27"/>
      <c r="Q2481" s="27"/>
      <c r="R2481" s="27"/>
      <c r="S2481" s="27"/>
      <c r="T2481" s="27"/>
      <c r="U2481" s="27"/>
      <c r="V2481" s="27"/>
      <c r="W2481" s="27"/>
      <c r="X2481" s="27"/>
      <c r="Y2481" s="27"/>
      <c r="Z2481" s="17"/>
      <c r="AA2481" s="17"/>
      <c r="AB2481" s="17"/>
      <c r="AC2481" s="17"/>
      <c r="AD2481" s="27"/>
    </row>
    <row r="2482" ht="15.75" customHeight="1">
      <c r="A2482" s="27"/>
      <c r="B2482" s="27"/>
      <c r="C2482" s="27"/>
      <c r="D2482" s="27"/>
      <c r="E2482" s="27"/>
      <c r="F2482" s="27"/>
      <c r="G2482" s="27"/>
      <c r="H2482" s="27"/>
      <c r="I2482" s="27"/>
      <c r="J2482" s="27"/>
      <c r="K2482" s="27"/>
      <c r="L2482" s="27"/>
      <c r="M2482" s="27"/>
      <c r="N2482" s="27"/>
      <c r="O2482" s="27"/>
      <c r="P2482" s="27"/>
      <c r="Q2482" s="27"/>
      <c r="R2482" s="27"/>
      <c r="S2482" s="27"/>
      <c r="T2482" s="27"/>
      <c r="U2482" s="27"/>
      <c r="V2482" s="27"/>
      <c r="W2482" s="27"/>
      <c r="X2482" s="27"/>
      <c r="Y2482" s="27"/>
      <c r="Z2482" s="17"/>
      <c r="AA2482" s="17"/>
      <c r="AB2482" s="17"/>
      <c r="AC2482" s="17"/>
      <c r="AD2482" s="27"/>
    </row>
    <row r="2483" ht="15.75" customHeight="1">
      <c r="A2483" s="27"/>
      <c r="B2483" s="27"/>
      <c r="C2483" s="27"/>
      <c r="D2483" s="27"/>
      <c r="E2483" s="27"/>
      <c r="F2483" s="27"/>
      <c r="G2483" s="27"/>
      <c r="H2483" s="27"/>
      <c r="I2483" s="27"/>
      <c r="J2483" s="27"/>
      <c r="K2483" s="27"/>
      <c r="L2483" s="27"/>
      <c r="M2483" s="27"/>
      <c r="N2483" s="27"/>
      <c r="O2483" s="27"/>
      <c r="P2483" s="27"/>
      <c r="Q2483" s="27"/>
      <c r="R2483" s="27"/>
      <c r="S2483" s="27"/>
      <c r="T2483" s="27"/>
      <c r="U2483" s="27"/>
      <c r="V2483" s="27"/>
      <c r="W2483" s="27"/>
      <c r="X2483" s="27"/>
      <c r="Y2483" s="27"/>
      <c r="Z2483" s="17"/>
      <c r="AA2483" s="17"/>
      <c r="AB2483" s="17"/>
      <c r="AC2483" s="17"/>
      <c r="AD2483" s="27"/>
    </row>
    <row r="2484" ht="15.75" customHeight="1">
      <c r="A2484" s="27"/>
      <c r="B2484" s="27"/>
      <c r="C2484" s="27"/>
      <c r="D2484" s="27"/>
      <c r="E2484" s="27"/>
      <c r="F2484" s="27"/>
      <c r="G2484" s="27"/>
      <c r="H2484" s="27"/>
      <c r="I2484" s="27"/>
      <c r="J2484" s="27"/>
      <c r="K2484" s="27"/>
      <c r="L2484" s="27"/>
      <c r="M2484" s="27"/>
      <c r="N2484" s="27"/>
      <c r="O2484" s="27"/>
      <c r="P2484" s="27"/>
      <c r="Q2484" s="27"/>
      <c r="R2484" s="27"/>
      <c r="S2484" s="27"/>
      <c r="T2484" s="27"/>
      <c r="U2484" s="27"/>
      <c r="V2484" s="27"/>
      <c r="W2484" s="27"/>
      <c r="X2484" s="27"/>
      <c r="Y2484" s="27"/>
      <c r="Z2484" s="17"/>
      <c r="AA2484" s="17"/>
      <c r="AB2484" s="17"/>
      <c r="AC2484" s="17"/>
      <c r="AD2484" s="27"/>
    </row>
    <row r="2485" ht="15.75" customHeight="1">
      <c r="A2485" s="27"/>
      <c r="B2485" s="27"/>
      <c r="C2485" s="27"/>
      <c r="D2485" s="27"/>
      <c r="E2485" s="27"/>
      <c r="F2485" s="27"/>
      <c r="G2485" s="27"/>
      <c r="H2485" s="27"/>
      <c r="I2485" s="27"/>
      <c r="J2485" s="27"/>
      <c r="K2485" s="27"/>
      <c r="L2485" s="27"/>
      <c r="M2485" s="27"/>
      <c r="N2485" s="27"/>
      <c r="O2485" s="27"/>
      <c r="P2485" s="27"/>
      <c r="Q2485" s="27"/>
      <c r="R2485" s="27"/>
      <c r="S2485" s="27"/>
      <c r="T2485" s="27"/>
      <c r="U2485" s="27"/>
      <c r="V2485" s="27"/>
      <c r="W2485" s="27"/>
      <c r="X2485" s="27"/>
      <c r="Y2485" s="27"/>
      <c r="Z2485" s="17"/>
      <c r="AA2485" s="17"/>
      <c r="AB2485" s="17"/>
      <c r="AC2485" s="17"/>
      <c r="AD2485" s="27"/>
    </row>
    <row r="2486" ht="15.75" customHeight="1">
      <c r="A2486" s="27"/>
      <c r="B2486" s="27"/>
      <c r="C2486" s="27"/>
      <c r="D2486" s="27"/>
      <c r="E2486" s="27"/>
      <c r="F2486" s="27"/>
      <c r="G2486" s="27"/>
      <c r="H2486" s="27"/>
      <c r="I2486" s="27"/>
      <c r="J2486" s="27"/>
      <c r="K2486" s="27"/>
      <c r="L2486" s="27"/>
      <c r="M2486" s="27"/>
      <c r="N2486" s="27"/>
      <c r="O2486" s="27"/>
      <c r="P2486" s="27"/>
      <c r="Q2486" s="27"/>
      <c r="R2486" s="27"/>
      <c r="S2486" s="27"/>
      <c r="T2486" s="27"/>
      <c r="U2486" s="27"/>
      <c r="V2486" s="27"/>
      <c r="W2486" s="27"/>
      <c r="X2486" s="27"/>
      <c r="Y2486" s="27"/>
      <c r="Z2486" s="17"/>
      <c r="AA2486" s="17"/>
      <c r="AB2486" s="17"/>
      <c r="AC2486" s="17"/>
      <c r="AD2486" s="27"/>
    </row>
    <row r="2487" ht="15.75" customHeight="1">
      <c r="A2487" s="27"/>
      <c r="B2487" s="27"/>
      <c r="C2487" s="27"/>
      <c r="D2487" s="27"/>
      <c r="E2487" s="27"/>
      <c r="F2487" s="27"/>
      <c r="G2487" s="27"/>
      <c r="H2487" s="27"/>
      <c r="I2487" s="27"/>
      <c r="J2487" s="27"/>
      <c r="K2487" s="27"/>
      <c r="L2487" s="27"/>
      <c r="M2487" s="27"/>
      <c r="N2487" s="27"/>
      <c r="O2487" s="27"/>
      <c r="P2487" s="27"/>
      <c r="Q2487" s="27"/>
      <c r="R2487" s="27"/>
      <c r="S2487" s="27"/>
      <c r="T2487" s="27"/>
      <c r="U2487" s="27"/>
      <c r="V2487" s="27"/>
      <c r="W2487" s="27"/>
      <c r="X2487" s="27"/>
      <c r="Y2487" s="27"/>
      <c r="Z2487" s="17"/>
      <c r="AA2487" s="17"/>
      <c r="AB2487" s="17"/>
      <c r="AC2487" s="17"/>
      <c r="AD2487" s="27"/>
    </row>
    <row r="2488" ht="15.75" customHeight="1">
      <c r="A2488" s="27"/>
      <c r="B2488" s="27"/>
      <c r="C2488" s="27"/>
      <c r="D2488" s="27"/>
      <c r="E2488" s="27"/>
      <c r="F2488" s="27"/>
      <c r="G2488" s="27"/>
      <c r="H2488" s="27"/>
      <c r="I2488" s="27"/>
      <c r="J2488" s="27"/>
      <c r="K2488" s="27"/>
      <c r="L2488" s="27"/>
      <c r="M2488" s="27"/>
      <c r="N2488" s="27"/>
      <c r="O2488" s="27"/>
      <c r="P2488" s="27"/>
      <c r="Q2488" s="27"/>
      <c r="R2488" s="27"/>
      <c r="S2488" s="27"/>
      <c r="T2488" s="27"/>
      <c r="U2488" s="27"/>
      <c r="V2488" s="27"/>
      <c r="W2488" s="27"/>
      <c r="X2488" s="27"/>
      <c r="Y2488" s="27"/>
      <c r="Z2488" s="17"/>
      <c r="AA2488" s="17"/>
      <c r="AB2488" s="17"/>
      <c r="AC2488" s="17"/>
      <c r="AD2488" s="27"/>
    </row>
    <row r="2489" ht="15.75" customHeight="1">
      <c r="A2489" s="27"/>
      <c r="B2489" s="27"/>
      <c r="C2489" s="27"/>
      <c r="D2489" s="27"/>
      <c r="E2489" s="27"/>
      <c r="F2489" s="27"/>
      <c r="G2489" s="27"/>
      <c r="H2489" s="27"/>
      <c r="I2489" s="27"/>
      <c r="J2489" s="27"/>
      <c r="K2489" s="27"/>
      <c r="L2489" s="27"/>
      <c r="M2489" s="27"/>
      <c r="N2489" s="27"/>
      <c r="O2489" s="27"/>
      <c r="P2489" s="27"/>
      <c r="Q2489" s="27"/>
      <c r="R2489" s="27"/>
      <c r="S2489" s="27"/>
      <c r="T2489" s="27"/>
      <c r="U2489" s="27"/>
      <c r="V2489" s="27"/>
      <c r="W2489" s="27"/>
      <c r="X2489" s="27"/>
      <c r="Y2489" s="27"/>
      <c r="Z2489" s="17"/>
      <c r="AA2489" s="17"/>
      <c r="AB2489" s="17"/>
      <c r="AC2489" s="17"/>
      <c r="AD2489" s="27"/>
    </row>
    <row r="2490" ht="15.75" customHeight="1">
      <c r="A2490" s="27"/>
      <c r="B2490" s="27"/>
      <c r="C2490" s="27"/>
      <c r="D2490" s="27"/>
      <c r="E2490" s="27"/>
      <c r="F2490" s="27"/>
      <c r="G2490" s="27"/>
      <c r="H2490" s="27"/>
      <c r="I2490" s="27"/>
      <c r="J2490" s="27"/>
      <c r="K2490" s="27"/>
      <c r="L2490" s="27"/>
      <c r="M2490" s="27"/>
      <c r="N2490" s="27"/>
      <c r="O2490" s="27"/>
      <c r="P2490" s="27"/>
      <c r="Q2490" s="27"/>
      <c r="R2490" s="27"/>
      <c r="S2490" s="27"/>
      <c r="T2490" s="27"/>
      <c r="U2490" s="27"/>
      <c r="V2490" s="27"/>
      <c r="W2490" s="27"/>
      <c r="X2490" s="27"/>
      <c r="Y2490" s="27"/>
      <c r="Z2490" s="17"/>
      <c r="AA2490" s="17"/>
      <c r="AB2490" s="17"/>
      <c r="AC2490" s="17"/>
      <c r="AD2490" s="27"/>
    </row>
    <row r="2491" ht="15.75" customHeight="1">
      <c r="A2491" s="27"/>
      <c r="B2491" s="27"/>
      <c r="C2491" s="27"/>
      <c r="D2491" s="27"/>
      <c r="E2491" s="27"/>
      <c r="F2491" s="27"/>
      <c r="G2491" s="27"/>
      <c r="H2491" s="27"/>
      <c r="I2491" s="27"/>
      <c r="J2491" s="27"/>
      <c r="K2491" s="27"/>
      <c r="L2491" s="27"/>
      <c r="M2491" s="27"/>
      <c r="N2491" s="27"/>
      <c r="O2491" s="27"/>
      <c r="P2491" s="27"/>
      <c r="Q2491" s="27"/>
      <c r="R2491" s="27"/>
      <c r="S2491" s="27"/>
      <c r="T2491" s="27"/>
      <c r="U2491" s="27"/>
      <c r="V2491" s="27"/>
      <c r="W2491" s="27"/>
      <c r="X2491" s="27"/>
      <c r="Y2491" s="27"/>
      <c r="Z2491" s="17"/>
      <c r="AA2491" s="17"/>
      <c r="AB2491" s="17"/>
      <c r="AC2491" s="17"/>
      <c r="AD2491" s="27"/>
    </row>
    <row r="2492" ht="15.75" customHeight="1">
      <c r="A2492" s="27"/>
      <c r="B2492" s="27"/>
      <c r="C2492" s="27"/>
      <c r="D2492" s="27"/>
      <c r="E2492" s="27"/>
      <c r="F2492" s="27"/>
      <c r="G2492" s="27"/>
      <c r="H2492" s="27"/>
      <c r="I2492" s="27"/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  <c r="T2492" s="27"/>
      <c r="U2492" s="27"/>
      <c r="V2492" s="27"/>
      <c r="W2492" s="27"/>
      <c r="X2492" s="27"/>
      <c r="Y2492" s="27"/>
      <c r="Z2492" s="17"/>
      <c r="AA2492" s="17"/>
      <c r="AB2492" s="17"/>
      <c r="AC2492" s="17"/>
      <c r="AD2492" s="27"/>
    </row>
    <row r="2493" ht="15.75" customHeight="1">
      <c r="A2493" s="27"/>
      <c r="B2493" s="27"/>
      <c r="C2493" s="27"/>
      <c r="D2493" s="27"/>
      <c r="E2493" s="27"/>
      <c r="F2493" s="27"/>
      <c r="G2493" s="27"/>
      <c r="H2493" s="27"/>
      <c r="I2493" s="27"/>
      <c r="J2493" s="27"/>
      <c r="K2493" s="27"/>
      <c r="L2493" s="27"/>
      <c r="M2493" s="27"/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17"/>
      <c r="AA2493" s="17"/>
      <c r="AB2493" s="17"/>
      <c r="AC2493" s="17"/>
      <c r="AD2493" s="27"/>
    </row>
    <row r="2494" ht="15.75" customHeight="1">
      <c r="A2494" s="27"/>
      <c r="B2494" s="27"/>
      <c r="C2494" s="27"/>
      <c r="D2494" s="27"/>
      <c r="E2494" s="27"/>
      <c r="F2494" s="27"/>
      <c r="G2494" s="27"/>
      <c r="H2494" s="27"/>
      <c r="I2494" s="27"/>
      <c r="J2494" s="27"/>
      <c r="K2494" s="27"/>
      <c r="L2494" s="27"/>
      <c r="M2494" s="27"/>
      <c r="N2494" s="27"/>
      <c r="O2494" s="27"/>
      <c r="P2494" s="27"/>
      <c r="Q2494" s="27"/>
      <c r="R2494" s="27"/>
      <c r="S2494" s="27"/>
      <c r="T2494" s="27"/>
      <c r="U2494" s="27"/>
      <c r="V2494" s="27"/>
      <c r="W2494" s="27"/>
      <c r="X2494" s="27"/>
      <c r="Y2494" s="27"/>
      <c r="Z2494" s="17"/>
      <c r="AA2494" s="17"/>
      <c r="AB2494" s="17"/>
      <c r="AC2494" s="17"/>
      <c r="AD2494" s="27"/>
    </row>
    <row r="2495" ht="15.75" customHeight="1">
      <c r="A2495" s="27"/>
      <c r="B2495" s="27"/>
      <c r="C2495" s="27"/>
      <c r="D2495" s="27"/>
      <c r="E2495" s="27"/>
      <c r="F2495" s="27"/>
      <c r="G2495" s="27"/>
      <c r="H2495" s="27"/>
      <c r="I2495" s="27"/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  <c r="T2495" s="27"/>
      <c r="U2495" s="27"/>
      <c r="V2495" s="27"/>
      <c r="W2495" s="27"/>
      <c r="X2495" s="27"/>
      <c r="Y2495" s="27"/>
      <c r="Z2495" s="17"/>
      <c r="AA2495" s="17"/>
      <c r="AB2495" s="17"/>
      <c r="AC2495" s="17"/>
      <c r="AD2495" s="27"/>
    </row>
    <row r="2496" ht="15.75" customHeight="1">
      <c r="A2496" s="27"/>
      <c r="B2496" s="27"/>
      <c r="C2496" s="27"/>
      <c r="D2496" s="27"/>
      <c r="E2496" s="27"/>
      <c r="F2496" s="27"/>
      <c r="G2496" s="27"/>
      <c r="H2496" s="27"/>
      <c r="I2496" s="27"/>
      <c r="J2496" s="27"/>
      <c r="K2496" s="27"/>
      <c r="L2496" s="27"/>
      <c r="M2496" s="27"/>
      <c r="N2496" s="27"/>
      <c r="O2496" s="27"/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17"/>
      <c r="AA2496" s="17"/>
      <c r="AB2496" s="17"/>
      <c r="AC2496" s="17"/>
      <c r="AD2496" s="27"/>
    </row>
    <row r="2497" ht="15.75" customHeight="1">
      <c r="A2497" s="27"/>
      <c r="B2497" s="27"/>
      <c r="C2497" s="27"/>
      <c r="D2497" s="27"/>
      <c r="E2497" s="27"/>
      <c r="F2497" s="27"/>
      <c r="G2497" s="27"/>
      <c r="H2497" s="27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  <c r="Z2497" s="17"/>
      <c r="AA2497" s="17"/>
      <c r="AB2497" s="17"/>
      <c r="AC2497" s="17"/>
      <c r="AD2497" s="27"/>
    </row>
    <row r="2498" ht="15.75" customHeight="1">
      <c r="A2498" s="27"/>
      <c r="B2498" s="27"/>
      <c r="C2498" s="27"/>
      <c r="D2498" s="27"/>
      <c r="E2498" s="27"/>
      <c r="F2498" s="27"/>
      <c r="G2498" s="27"/>
      <c r="H2498" s="27"/>
      <c r="I2498" s="27"/>
      <c r="J2498" s="27"/>
      <c r="K2498" s="27"/>
      <c r="L2498" s="27"/>
      <c r="M2498" s="27"/>
      <c r="N2498" s="27"/>
      <c r="O2498" s="27"/>
      <c r="P2498" s="27"/>
      <c r="Q2498" s="27"/>
      <c r="R2498" s="27"/>
      <c r="S2498" s="27"/>
      <c r="T2498" s="27"/>
      <c r="U2498" s="27"/>
      <c r="V2498" s="27"/>
      <c r="W2498" s="27"/>
      <c r="X2498" s="27"/>
      <c r="Y2498" s="27"/>
      <c r="Z2498" s="17"/>
      <c r="AA2498" s="17"/>
      <c r="AB2498" s="17"/>
      <c r="AC2498" s="17"/>
      <c r="AD2498" s="27"/>
    </row>
    <row r="2499" ht="15.75" customHeight="1">
      <c r="A2499" s="27"/>
      <c r="B2499" s="27"/>
      <c r="C2499" s="27"/>
      <c r="D2499" s="27"/>
      <c r="E2499" s="27"/>
      <c r="F2499" s="27"/>
      <c r="G2499" s="27"/>
      <c r="H2499" s="27"/>
      <c r="I2499" s="27"/>
      <c r="J2499" s="27"/>
      <c r="K2499" s="27"/>
      <c r="L2499" s="27"/>
      <c r="M2499" s="27"/>
      <c r="N2499" s="27"/>
      <c r="O2499" s="27"/>
      <c r="P2499" s="27"/>
      <c r="Q2499" s="27"/>
      <c r="R2499" s="27"/>
      <c r="S2499" s="27"/>
      <c r="T2499" s="27"/>
      <c r="U2499" s="27"/>
      <c r="V2499" s="27"/>
      <c r="W2499" s="27"/>
      <c r="X2499" s="27"/>
      <c r="Y2499" s="27"/>
      <c r="Z2499" s="17"/>
      <c r="AA2499" s="17"/>
      <c r="AB2499" s="17"/>
      <c r="AC2499" s="17"/>
      <c r="AD2499" s="27"/>
    </row>
    <row r="2500" ht="15.75" customHeight="1">
      <c r="A2500" s="27"/>
      <c r="B2500" s="27"/>
      <c r="C2500" s="27"/>
      <c r="D2500" s="27"/>
      <c r="E2500" s="27"/>
      <c r="F2500" s="27"/>
      <c r="G2500" s="27"/>
      <c r="H2500" s="27"/>
      <c r="I2500" s="27"/>
      <c r="J2500" s="27"/>
      <c r="K2500" s="27"/>
      <c r="L2500" s="27"/>
      <c r="M2500" s="27"/>
      <c r="N2500" s="27"/>
      <c r="O2500" s="27"/>
      <c r="P2500" s="27"/>
      <c r="Q2500" s="27"/>
      <c r="R2500" s="27"/>
      <c r="S2500" s="27"/>
      <c r="T2500" s="27"/>
      <c r="U2500" s="27"/>
      <c r="V2500" s="27"/>
      <c r="W2500" s="27"/>
      <c r="X2500" s="27"/>
      <c r="Y2500" s="27"/>
      <c r="Z2500" s="17"/>
      <c r="AA2500" s="17"/>
      <c r="AB2500" s="17"/>
      <c r="AC2500" s="17"/>
      <c r="AD2500" s="27"/>
    </row>
    <row r="2501" ht="15.75" customHeight="1">
      <c r="A2501" s="27"/>
      <c r="B2501" s="27"/>
      <c r="C2501" s="27"/>
      <c r="D2501" s="27"/>
      <c r="E2501" s="27"/>
      <c r="F2501" s="27"/>
      <c r="G2501" s="27"/>
      <c r="H2501" s="27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17"/>
      <c r="AA2501" s="17"/>
      <c r="AB2501" s="17"/>
      <c r="AC2501" s="17"/>
      <c r="AD2501" s="27"/>
    </row>
    <row r="2502" ht="15.75" customHeight="1">
      <c r="A2502" s="27"/>
      <c r="B2502" s="27"/>
      <c r="C2502" s="27"/>
      <c r="D2502" s="27"/>
      <c r="E2502" s="27"/>
      <c r="F2502" s="27"/>
      <c r="G2502" s="27"/>
      <c r="H2502" s="27"/>
      <c r="I2502" s="27"/>
      <c r="J2502" s="27"/>
      <c r="K2502" s="27"/>
      <c r="L2502" s="27"/>
      <c r="M2502" s="27"/>
      <c r="N2502" s="27"/>
      <c r="O2502" s="27"/>
      <c r="P2502" s="27"/>
      <c r="Q2502" s="27"/>
      <c r="R2502" s="27"/>
      <c r="S2502" s="27"/>
      <c r="T2502" s="27"/>
      <c r="U2502" s="27"/>
      <c r="V2502" s="27"/>
      <c r="W2502" s="27"/>
      <c r="X2502" s="27"/>
      <c r="Y2502" s="27"/>
      <c r="Z2502" s="17"/>
      <c r="AA2502" s="17"/>
      <c r="AB2502" s="17"/>
      <c r="AC2502" s="17"/>
      <c r="AD2502" s="27"/>
    </row>
    <row r="2503" ht="15.75" customHeight="1">
      <c r="A2503" s="27"/>
      <c r="B2503" s="27"/>
      <c r="C2503" s="27"/>
      <c r="D2503" s="27"/>
      <c r="E2503" s="27"/>
      <c r="F2503" s="27"/>
      <c r="G2503" s="27"/>
      <c r="H2503" s="27"/>
      <c r="I2503" s="27"/>
      <c r="J2503" s="27"/>
      <c r="K2503" s="27"/>
      <c r="L2503" s="27"/>
      <c r="M2503" s="27"/>
      <c r="N2503" s="27"/>
      <c r="O2503" s="27"/>
      <c r="P2503" s="27"/>
      <c r="Q2503" s="27"/>
      <c r="R2503" s="27"/>
      <c r="S2503" s="27"/>
      <c r="T2503" s="27"/>
      <c r="U2503" s="27"/>
      <c r="V2503" s="27"/>
      <c r="W2503" s="27"/>
      <c r="X2503" s="27"/>
      <c r="Y2503" s="27"/>
      <c r="Z2503" s="17"/>
      <c r="AA2503" s="17"/>
      <c r="AB2503" s="17"/>
      <c r="AC2503" s="17"/>
      <c r="AD2503" s="27"/>
    </row>
    <row r="2504" ht="15.75" customHeight="1">
      <c r="A2504" s="27"/>
      <c r="B2504" s="27"/>
      <c r="C2504" s="27"/>
      <c r="D2504" s="27"/>
      <c r="E2504" s="27"/>
      <c r="F2504" s="27"/>
      <c r="G2504" s="27"/>
      <c r="H2504" s="27"/>
      <c r="I2504" s="27"/>
      <c r="J2504" s="27"/>
      <c r="K2504" s="27"/>
      <c r="L2504" s="27"/>
      <c r="M2504" s="27"/>
      <c r="N2504" s="27"/>
      <c r="O2504" s="27"/>
      <c r="P2504" s="27"/>
      <c r="Q2504" s="27"/>
      <c r="R2504" s="27"/>
      <c r="S2504" s="27"/>
      <c r="T2504" s="27"/>
      <c r="U2504" s="27"/>
      <c r="V2504" s="27"/>
      <c r="W2504" s="27"/>
      <c r="X2504" s="27"/>
      <c r="Y2504" s="27"/>
      <c r="Z2504" s="17"/>
      <c r="AA2504" s="17"/>
      <c r="AB2504" s="17"/>
      <c r="AC2504" s="17"/>
      <c r="AD2504" s="27"/>
    </row>
    <row r="2505" ht="15.75" customHeight="1">
      <c r="A2505" s="27"/>
      <c r="B2505" s="27"/>
      <c r="C2505" s="27"/>
      <c r="D2505" s="27"/>
      <c r="E2505" s="27"/>
      <c r="F2505" s="27"/>
      <c r="G2505" s="27"/>
      <c r="H2505" s="27"/>
      <c r="I2505" s="27"/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  <c r="T2505" s="27"/>
      <c r="U2505" s="27"/>
      <c r="V2505" s="27"/>
      <c r="W2505" s="27"/>
      <c r="X2505" s="27"/>
      <c r="Y2505" s="27"/>
      <c r="Z2505" s="17"/>
      <c r="AA2505" s="17"/>
      <c r="AB2505" s="17"/>
      <c r="AC2505" s="17"/>
      <c r="AD2505" s="27"/>
    </row>
    <row r="2506" ht="15.75" customHeight="1">
      <c r="A2506" s="27"/>
      <c r="B2506" s="27"/>
      <c r="C2506" s="27"/>
      <c r="D2506" s="27"/>
      <c r="E2506" s="27"/>
      <c r="F2506" s="27"/>
      <c r="G2506" s="27"/>
      <c r="H2506" s="27"/>
      <c r="I2506" s="27"/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  <c r="T2506" s="27"/>
      <c r="U2506" s="27"/>
      <c r="V2506" s="27"/>
      <c r="W2506" s="27"/>
      <c r="X2506" s="27"/>
      <c r="Y2506" s="27"/>
      <c r="Z2506" s="17"/>
      <c r="AA2506" s="17"/>
      <c r="AB2506" s="17"/>
      <c r="AC2506" s="17"/>
      <c r="AD2506" s="27"/>
    </row>
    <row r="2507" ht="15.75" customHeight="1">
      <c r="A2507" s="27"/>
      <c r="B2507" s="27"/>
      <c r="C2507" s="27"/>
      <c r="D2507" s="27"/>
      <c r="E2507" s="27"/>
      <c r="F2507" s="27"/>
      <c r="G2507" s="27"/>
      <c r="H2507" s="27"/>
      <c r="I2507" s="27"/>
      <c r="J2507" s="27"/>
      <c r="K2507" s="27"/>
      <c r="L2507" s="27"/>
      <c r="M2507" s="27"/>
      <c r="N2507" s="27"/>
      <c r="O2507" s="27"/>
      <c r="P2507" s="27"/>
      <c r="Q2507" s="27"/>
      <c r="R2507" s="27"/>
      <c r="S2507" s="27"/>
      <c r="T2507" s="27"/>
      <c r="U2507" s="27"/>
      <c r="V2507" s="27"/>
      <c r="W2507" s="27"/>
      <c r="X2507" s="27"/>
      <c r="Y2507" s="27"/>
      <c r="Z2507" s="17"/>
      <c r="AA2507" s="17"/>
      <c r="AB2507" s="17"/>
      <c r="AC2507" s="17"/>
      <c r="AD2507" s="27"/>
    </row>
    <row r="2508" ht="15.75" customHeight="1">
      <c r="A2508" s="27"/>
      <c r="B2508" s="27"/>
      <c r="C2508" s="27"/>
      <c r="D2508" s="27"/>
      <c r="E2508" s="27"/>
      <c r="F2508" s="27"/>
      <c r="G2508" s="27"/>
      <c r="H2508" s="27"/>
      <c r="I2508" s="27"/>
      <c r="J2508" s="27"/>
      <c r="K2508" s="27"/>
      <c r="L2508" s="27"/>
      <c r="M2508" s="27"/>
      <c r="N2508" s="27"/>
      <c r="O2508" s="27"/>
      <c r="P2508" s="27"/>
      <c r="Q2508" s="27"/>
      <c r="R2508" s="27"/>
      <c r="S2508" s="27"/>
      <c r="T2508" s="27"/>
      <c r="U2508" s="27"/>
      <c r="V2508" s="27"/>
      <c r="W2508" s="27"/>
      <c r="X2508" s="27"/>
      <c r="Y2508" s="27"/>
      <c r="Z2508" s="17"/>
      <c r="AA2508" s="17"/>
      <c r="AB2508" s="17"/>
      <c r="AC2508" s="17"/>
      <c r="AD2508" s="27"/>
    </row>
    <row r="2509" ht="15.75" customHeight="1">
      <c r="A2509" s="27"/>
      <c r="B2509" s="27"/>
      <c r="C2509" s="27"/>
      <c r="D2509" s="27"/>
      <c r="E2509" s="27"/>
      <c r="F2509" s="27"/>
      <c r="G2509" s="27"/>
      <c r="H2509" s="27"/>
      <c r="I2509" s="27"/>
      <c r="J2509" s="27"/>
      <c r="K2509" s="27"/>
      <c r="L2509" s="27"/>
      <c r="M2509" s="27"/>
      <c r="N2509" s="27"/>
      <c r="O2509" s="27"/>
      <c r="P2509" s="27"/>
      <c r="Q2509" s="27"/>
      <c r="R2509" s="27"/>
      <c r="S2509" s="27"/>
      <c r="T2509" s="27"/>
      <c r="U2509" s="27"/>
      <c r="V2509" s="27"/>
      <c r="W2509" s="27"/>
      <c r="X2509" s="27"/>
      <c r="Y2509" s="27"/>
      <c r="Z2509" s="17"/>
      <c r="AA2509" s="17"/>
      <c r="AB2509" s="17"/>
      <c r="AC2509" s="17"/>
      <c r="AD2509" s="27"/>
    </row>
    <row r="2510" ht="15.75" customHeight="1">
      <c r="A2510" s="27"/>
      <c r="B2510" s="27"/>
      <c r="C2510" s="27"/>
      <c r="D2510" s="27"/>
      <c r="E2510" s="27"/>
      <c r="F2510" s="27"/>
      <c r="G2510" s="27"/>
      <c r="H2510" s="27"/>
      <c r="I2510" s="27"/>
      <c r="J2510" s="27"/>
      <c r="K2510" s="27"/>
      <c r="L2510" s="27"/>
      <c r="M2510" s="27"/>
      <c r="N2510" s="27"/>
      <c r="O2510" s="27"/>
      <c r="P2510" s="27"/>
      <c r="Q2510" s="27"/>
      <c r="R2510" s="27"/>
      <c r="S2510" s="27"/>
      <c r="T2510" s="27"/>
      <c r="U2510" s="27"/>
      <c r="V2510" s="27"/>
      <c r="W2510" s="27"/>
      <c r="X2510" s="27"/>
      <c r="Y2510" s="27"/>
      <c r="Z2510" s="17"/>
      <c r="AA2510" s="17"/>
      <c r="AB2510" s="17"/>
      <c r="AC2510" s="17"/>
      <c r="AD2510" s="27"/>
    </row>
    <row r="2511" ht="15.75" customHeight="1">
      <c r="A2511" s="27"/>
      <c r="B2511" s="27"/>
      <c r="C2511" s="27"/>
      <c r="D2511" s="27"/>
      <c r="E2511" s="27"/>
      <c r="F2511" s="27"/>
      <c r="G2511" s="27"/>
      <c r="H2511" s="27"/>
      <c r="I2511" s="27"/>
      <c r="J2511" s="27"/>
      <c r="K2511" s="27"/>
      <c r="L2511" s="27"/>
      <c r="M2511" s="27"/>
      <c r="N2511" s="27"/>
      <c r="O2511" s="27"/>
      <c r="P2511" s="27"/>
      <c r="Q2511" s="27"/>
      <c r="R2511" s="27"/>
      <c r="S2511" s="27"/>
      <c r="T2511" s="27"/>
      <c r="U2511" s="27"/>
      <c r="V2511" s="27"/>
      <c r="W2511" s="27"/>
      <c r="X2511" s="27"/>
      <c r="Y2511" s="27"/>
      <c r="Z2511" s="17"/>
      <c r="AA2511" s="17"/>
      <c r="AB2511" s="17"/>
      <c r="AC2511" s="17"/>
      <c r="AD2511" s="27"/>
    </row>
    <row r="2512" ht="15.75" customHeight="1">
      <c r="A2512" s="27"/>
      <c r="B2512" s="27"/>
      <c r="C2512" s="27"/>
      <c r="D2512" s="27"/>
      <c r="E2512" s="27"/>
      <c r="F2512" s="27"/>
      <c r="G2512" s="27"/>
      <c r="H2512" s="27"/>
      <c r="I2512" s="27"/>
      <c r="J2512" s="27"/>
      <c r="K2512" s="27"/>
      <c r="L2512" s="27"/>
      <c r="M2512" s="27"/>
      <c r="N2512" s="27"/>
      <c r="O2512" s="27"/>
      <c r="P2512" s="27"/>
      <c r="Q2512" s="27"/>
      <c r="R2512" s="27"/>
      <c r="S2512" s="27"/>
      <c r="T2512" s="27"/>
      <c r="U2512" s="27"/>
      <c r="V2512" s="27"/>
      <c r="W2512" s="27"/>
      <c r="X2512" s="27"/>
      <c r="Y2512" s="27"/>
      <c r="Z2512" s="17"/>
      <c r="AA2512" s="17"/>
      <c r="AB2512" s="17"/>
      <c r="AC2512" s="17"/>
      <c r="AD2512" s="27"/>
    </row>
    <row r="2513" ht="15.75" customHeight="1">
      <c r="A2513" s="27"/>
      <c r="B2513" s="27"/>
      <c r="C2513" s="27"/>
      <c r="D2513" s="27"/>
      <c r="E2513" s="27"/>
      <c r="F2513" s="27"/>
      <c r="G2513" s="27"/>
      <c r="H2513" s="27"/>
      <c r="I2513" s="27"/>
      <c r="J2513" s="27"/>
      <c r="K2513" s="27"/>
      <c r="L2513" s="27"/>
      <c r="M2513" s="27"/>
      <c r="N2513" s="27"/>
      <c r="O2513" s="27"/>
      <c r="P2513" s="27"/>
      <c r="Q2513" s="27"/>
      <c r="R2513" s="27"/>
      <c r="S2513" s="27"/>
      <c r="T2513" s="27"/>
      <c r="U2513" s="27"/>
      <c r="V2513" s="27"/>
      <c r="W2513" s="27"/>
      <c r="X2513" s="27"/>
      <c r="Y2513" s="27"/>
      <c r="Z2513" s="17"/>
      <c r="AA2513" s="17"/>
      <c r="AB2513" s="17"/>
      <c r="AC2513" s="17"/>
      <c r="AD2513" s="27"/>
    </row>
    <row r="2514" ht="15.75" customHeight="1">
      <c r="A2514" s="27"/>
      <c r="B2514" s="27"/>
      <c r="C2514" s="27"/>
      <c r="D2514" s="27"/>
      <c r="E2514" s="27"/>
      <c r="F2514" s="27"/>
      <c r="G2514" s="27"/>
      <c r="H2514" s="27"/>
      <c r="I2514" s="27"/>
      <c r="J2514" s="27"/>
      <c r="K2514" s="27"/>
      <c r="L2514" s="27"/>
      <c r="M2514" s="27"/>
      <c r="N2514" s="27"/>
      <c r="O2514" s="27"/>
      <c r="P2514" s="27"/>
      <c r="Q2514" s="27"/>
      <c r="R2514" s="27"/>
      <c r="S2514" s="27"/>
      <c r="T2514" s="27"/>
      <c r="U2514" s="27"/>
      <c r="V2514" s="27"/>
      <c r="W2514" s="27"/>
      <c r="X2514" s="27"/>
      <c r="Y2514" s="27"/>
      <c r="Z2514" s="17"/>
      <c r="AA2514" s="17"/>
      <c r="AB2514" s="17"/>
      <c r="AC2514" s="17"/>
      <c r="AD2514" s="27"/>
    </row>
    <row r="2515" ht="15.75" customHeight="1">
      <c r="A2515" s="27"/>
      <c r="B2515" s="27"/>
      <c r="C2515" s="27"/>
      <c r="D2515" s="27"/>
      <c r="E2515" s="27"/>
      <c r="F2515" s="27"/>
      <c r="G2515" s="27"/>
      <c r="H2515" s="27"/>
      <c r="I2515" s="27"/>
      <c r="J2515" s="27"/>
      <c r="K2515" s="27"/>
      <c r="L2515" s="27"/>
      <c r="M2515" s="27"/>
      <c r="N2515" s="27"/>
      <c r="O2515" s="27"/>
      <c r="P2515" s="27"/>
      <c r="Q2515" s="27"/>
      <c r="R2515" s="27"/>
      <c r="S2515" s="27"/>
      <c r="T2515" s="27"/>
      <c r="U2515" s="27"/>
      <c r="V2515" s="27"/>
      <c r="W2515" s="27"/>
      <c r="X2515" s="27"/>
      <c r="Y2515" s="27"/>
      <c r="Z2515" s="17"/>
      <c r="AA2515" s="17"/>
      <c r="AB2515" s="17"/>
      <c r="AC2515" s="17"/>
      <c r="AD2515" s="27"/>
    </row>
    <row r="2516" ht="15.75" customHeight="1">
      <c r="A2516" s="27"/>
      <c r="B2516" s="27"/>
      <c r="C2516" s="27"/>
      <c r="D2516" s="27"/>
      <c r="E2516" s="27"/>
      <c r="F2516" s="27"/>
      <c r="G2516" s="27"/>
      <c r="H2516" s="27"/>
      <c r="I2516" s="27"/>
      <c r="J2516" s="27"/>
      <c r="K2516" s="27"/>
      <c r="L2516" s="27"/>
      <c r="M2516" s="27"/>
      <c r="N2516" s="27"/>
      <c r="O2516" s="27"/>
      <c r="P2516" s="27"/>
      <c r="Q2516" s="27"/>
      <c r="R2516" s="27"/>
      <c r="S2516" s="27"/>
      <c r="T2516" s="27"/>
      <c r="U2516" s="27"/>
      <c r="V2516" s="27"/>
      <c r="W2516" s="27"/>
      <c r="X2516" s="27"/>
      <c r="Y2516" s="27"/>
      <c r="Z2516" s="17"/>
      <c r="AA2516" s="17"/>
      <c r="AB2516" s="17"/>
      <c r="AC2516" s="17"/>
      <c r="AD2516" s="27"/>
    </row>
    <row r="2517" ht="15.75" customHeight="1">
      <c r="A2517" s="27"/>
      <c r="B2517" s="27"/>
      <c r="C2517" s="27"/>
      <c r="D2517" s="27"/>
      <c r="E2517" s="27"/>
      <c r="F2517" s="27"/>
      <c r="G2517" s="27"/>
      <c r="H2517" s="27"/>
      <c r="I2517" s="27"/>
      <c r="J2517" s="27"/>
      <c r="K2517" s="27"/>
      <c r="L2517" s="27"/>
      <c r="M2517" s="27"/>
      <c r="N2517" s="27"/>
      <c r="O2517" s="27"/>
      <c r="P2517" s="27"/>
      <c r="Q2517" s="27"/>
      <c r="R2517" s="27"/>
      <c r="S2517" s="27"/>
      <c r="T2517" s="27"/>
      <c r="U2517" s="27"/>
      <c r="V2517" s="27"/>
      <c r="W2517" s="27"/>
      <c r="X2517" s="27"/>
      <c r="Y2517" s="27"/>
      <c r="Z2517" s="17"/>
      <c r="AA2517" s="17"/>
      <c r="AB2517" s="17"/>
      <c r="AC2517" s="17"/>
      <c r="AD2517" s="27"/>
    </row>
    <row r="2518" ht="15.75" customHeight="1">
      <c r="A2518" s="27"/>
      <c r="B2518" s="27"/>
      <c r="C2518" s="27"/>
      <c r="D2518" s="27"/>
      <c r="E2518" s="27"/>
      <c r="F2518" s="27"/>
      <c r="G2518" s="27"/>
      <c r="H2518" s="27"/>
      <c r="I2518" s="27"/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  <c r="T2518" s="27"/>
      <c r="U2518" s="27"/>
      <c r="V2518" s="27"/>
      <c r="W2518" s="27"/>
      <c r="X2518" s="27"/>
      <c r="Y2518" s="27"/>
      <c r="Z2518" s="17"/>
      <c r="AA2518" s="17"/>
      <c r="AB2518" s="17"/>
      <c r="AC2518" s="17"/>
      <c r="AD2518" s="27"/>
    </row>
    <row r="2519" ht="15.75" customHeight="1">
      <c r="A2519" s="27"/>
      <c r="B2519" s="27"/>
      <c r="C2519" s="27"/>
      <c r="D2519" s="27"/>
      <c r="E2519" s="27"/>
      <c r="F2519" s="27"/>
      <c r="G2519" s="27"/>
      <c r="H2519" s="27"/>
      <c r="I2519" s="27"/>
      <c r="J2519" s="27"/>
      <c r="K2519" s="27"/>
      <c r="L2519" s="27"/>
      <c r="M2519" s="27"/>
      <c r="N2519" s="27"/>
      <c r="O2519" s="27"/>
      <c r="P2519" s="27"/>
      <c r="Q2519" s="27"/>
      <c r="R2519" s="27"/>
      <c r="S2519" s="27"/>
      <c r="T2519" s="27"/>
      <c r="U2519" s="27"/>
      <c r="V2519" s="27"/>
      <c r="W2519" s="27"/>
      <c r="X2519" s="27"/>
      <c r="Y2519" s="27"/>
      <c r="Z2519" s="17"/>
      <c r="AA2519" s="17"/>
      <c r="AB2519" s="17"/>
      <c r="AC2519" s="17"/>
      <c r="AD2519" s="27"/>
    </row>
    <row r="2520" ht="15.75" customHeight="1">
      <c r="A2520" s="27"/>
      <c r="B2520" s="27"/>
      <c r="C2520" s="27"/>
      <c r="D2520" s="27"/>
      <c r="E2520" s="27"/>
      <c r="F2520" s="27"/>
      <c r="G2520" s="27"/>
      <c r="H2520" s="27"/>
      <c r="I2520" s="27"/>
      <c r="J2520" s="27"/>
      <c r="K2520" s="27"/>
      <c r="L2520" s="27"/>
      <c r="M2520" s="27"/>
      <c r="N2520" s="27"/>
      <c r="O2520" s="27"/>
      <c r="P2520" s="27"/>
      <c r="Q2520" s="27"/>
      <c r="R2520" s="27"/>
      <c r="S2520" s="27"/>
      <c r="T2520" s="27"/>
      <c r="U2520" s="27"/>
      <c r="V2520" s="27"/>
      <c r="W2520" s="27"/>
      <c r="X2520" s="27"/>
      <c r="Y2520" s="27"/>
      <c r="Z2520" s="17"/>
      <c r="AA2520" s="17"/>
      <c r="AB2520" s="17"/>
      <c r="AC2520" s="17"/>
      <c r="AD2520" s="27"/>
    </row>
    <row r="2521" ht="15.75" customHeight="1">
      <c r="A2521" s="27"/>
      <c r="B2521" s="27"/>
      <c r="C2521" s="27"/>
      <c r="D2521" s="27"/>
      <c r="E2521" s="27"/>
      <c r="F2521" s="27"/>
      <c r="G2521" s="27"/>
      <c r="H2521" s="27"/>
      <c r="I2521" s="27"/>
      <c r="J2521" s="27"/>
      <c r="K2521" s="27"/>
      <c r="L2521" s="27"/>
      <c r="M2521" s="27"/>
      <c r="N2521" s="27"/>
      <c r="O2521" s="27"/>
      <c r="P2521" s="27"/>
      <c r="Q2521" s="27"/>
      <c r="R2521" s="27"/>
      <c r="S2521" s="27"/>
      <c r="T2521" s="27"/>
      <c r="U2521" s="27"/>
      <c r="V2521" s="27"/>
      <c r="W2521" s="27"/>
      <c r="X2521" s="27"/>
      <c r="Y2521" s="27"/>
      <c r="Z2521" s="17"/>
      <c r="AA2521" s="17"/>
      <c r="AB2521" s="17"/>
      <c r="AC2521" s="17"/>
      <c r="AD2521" s="27"/>
    </row>
    <row r="2522" ht="15.75" customHeight="1">
      <c r="A2522" s="27"/>
      <c r="B2522" s="27"/>
      <c r="C2522" s="27"/>
      <c r="D2522" s="27"/>
      <c r="E2522" s="27"/>
      <c r="F2522" s="27"/>
      <c r="G2522" s="27"/>
      <c r="H2522" s="27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7"/>
      <c r="U2522" s="27"/>
      <c r="V2522" s="27"/>
      <c r="W2522" s="27"/>
      <c r="X2522" s="27"/>
      <c r="Y2522" s="27"/>
      <c r="Z2522" s="17"/>
      <c r="AA2522" s="17"/>
      <c r="AB2522" s="17"/>
      <c r="AC2522" s="17"/>
      <c r="AD2522" s="27"/>
    </row>
    <row r="2523" ht="15.75" customHeight="1">
      <c r="A2523" s="27"/>
      <c r="B2523" s="27"/>
      <c r="C2523" s="27"/>
      <c r="D2523" s="27"/>
      <c r="E2523" s="27"/>
      <c r="F2523" s="27"/>
      <c r="G2523" s="27"/>
      <c r="H2523" s="27"/>
      <c r="I2523" s="27"/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  <c r="T2523" s="27"/>
      <c r="U2523" s="27"/>
      <c r="V2523" s="27"/>
      <c r="W2523" s="27"/>
      <c r="X2523" s="27"/>
      <c r="Y2523" s="27"/>
      <c r="Z2523" s="17"/>
      <c r="AA2523" s="17"/>
      <c r="AB2523" s="17"/>
      <c r="AC2523" s="17"/>
      <c r="AD2523" s="27"/>
    </row>
    <row r="2524" ht="15.75" customHeight="1">
      <c r="A2524" s="27"/>
      <c r="B2524" s="27"/>
      <c r="C2524" s="27"/>
      <c r="D2524" s="27"/>
      <c r="E2524" s="27"/>
      <c r="F2524" s="27"/>
      <c r="G2524" s="27"/>
      <c r="H2524" s="27"/>
      <c r="I2524" s="27"/>
      <c r="J2524" s="27"/>
      <c r="K2524" s="27"/>
      <c r="L2524" s="27"/>
      <c r="M2524" s="27"/>
      <c r="N2524" s="27"/>
      <c r="O2524" s="27"/>
      <c r="P2524" s="27"/>
      <c r="Q2524" s="27"/>
      <c r="R2524" s="27"/>
      <c r="S2524" s="27"/>
      <c r="T2524" s="27"/>
      <c r="U2524" s="27"/>
      <c r="V2524" s="27"/>
      <c r="W2524" s="27"/>
      <c r="X2524" s="27"/>
      <c r="Y2524" s="27"/>
      <c r="Z2524" s="17"/>
      <c r="AA2524" s="17"/>
      <c r="AB2524" s="17"/>
      <c r="AC2524" s="17"/>
      <c r="AD2524" s="27"/>
    </row>
    <row r="2525" ht="15.75" customHeight="1">
      <c r="A2525" s="27"/>
      <c r="B2525" s="27"/>
      <c r="C2525" s="27"/>
      <c r="D2525" s="27"/>
      <c r="E2525" s="27"/>
      <c r="F2525" s="27"/>
      <c r="G2525" s="27"/>
      <c r="H2525" s="27"/>
      <c r="I2525" s="27"/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  <c r="T2525" s="27"/>
      <c r="U2525" s="27"/>
      <c r="V2525" s="27"/>
      <c r="W2525" s="27"/>
      <c r="X2525" s="27"/>
      <c r="Y2525" s="27"/>
      <c r="Z2525" s="17"/>
      <c r="AA2525" s="17"/>
      <c r="AB2525" s="17"/>
      <c r="AC2525" s="17"/>
      <c r="AD2525" s="27"/>
    </row>
    <row r="2526" ht="15.75" customHeight="1">
      <c r="A2526" s="27"/>
      <c r="B2526" s="27"/>
      <c r="C2526" s="27"/>
      <c r="D2526" s="27"/>
      <c r="E2526" s="27"/>
      <c r="F2526" s="27"/>
      <c r="G2526" s="27"/>
      <c r="H2526" s="27"/>
      <c r="I2526" s="27"/>
      <c r="J2526" s="27"/>
      <c r="K2526" s="27"/>
      <c r="L2526" s="27"/>
      <c r="M2526" s="27"/>
      <c r="N2526" s="27"/>
      <c r="O2526" s="27"/>
      <c r="P2526" s="27"/>
      <c r="Q2526" s="27"/>
      <c r="R2526" s="27"/>
      <c r="S2526" s="27"/>
      <c r="T2526" s="27"/>
      <c r="U2526" s="27"/>
      <c r="V2526" s="27"/>
      <c r="W2526" s="27"/>
      <c r="X2526" s="27"/>
      <c r="Y2526" s="27"/>
      <c r="Z2526" s="17"/>
      <c r="AA2526" s="17"/>
      <c r="AB2526" s="17"/>
      <c r="AC2526" s="17"/>
      <c r="AD2526" s="27"/>
    </row>
    <row r="2527" ht="15.75" customHeight="1">
      <c r="A2527" s="27"/>
      <c r="B2527" s="27"/>
      <c r="C2527" s="27"/>
      <c r="D2527" s="27"/>
      <c r="E2527" s="27"/>
      <c r="F2527" s="27"/>
      <c r="G2527" s="27"/>
      <c r="H2527" s="27"/>
      <c r="I2527" s="27"/>
      <c r="J2527" s="27"/>
      <c r="K2527" s="27"/>
      <c r="L2527" s="27"/>
      <c r="M2527" s="27"/>
      <c r="N2527" s="27"/>
      <c r="O2527" s="27"/>
      <c r="P2527" s="27"/>
      <c r="Q2527" s="27"/>
      <c r="R2527" s="27"/>
      <c r="S2527" s="27"/>
      <c r="T2527" s="27"/>
      <c r="U2527" s="27"/>
      <c r="V2527" s="27"/>
      <c r="W2527" s="27"/>
      <c r="X2527" s="27"/>
      <c r="Y2527" s="27"/>
      <c r="Z2527" s="17"/>
      <c r="AA2527" s="17"/>
      <c r="AB2527" s="17"/>
      <c r="AC2527" s="17"/>
      <c r="AD2527" s="27"/>
    </row>
    <row r="2528" ht="15.75" customHeight="1">
      <c r="A2528" s="27"/>
      <c r="B2528" s="27"/>
      <c r="C2528" s="27"/>
      <c r="D2528" s="27"/>
      <c r="E2528" s="27"/>
      <c r="F2528" s="27"/>
      <c r="G2528" s="27"/>
      <c r="H2528" s="27"/>
      <c r="I2528" s="27"/>
      <c r="J2528" s="27"/>
      <c r="K2528" s="27"/>
      <c r="L2528" s="27"/>
      <c r="M2528" s="27"/>
      <c r="N2528" s="27"/>
      <c r="O2528" s="27"/>
      <c r="P2528" s="27"/>
      <c r="Q2528" s="27"/>
      <c r="R2528" s="27"/>
      <c r="S2528" s="27"/>
      <c r="T2528" s="27"/>
      <c r="U2528" s="27"/>
      <c r="V2528" s="27"/>
      <c r="W2528" s="27"/>
      <c r="X2528" s="27"/>
      <c r="Y2528" s="27"/>
      <c r="Z2528" s="17"/>
      <c r="AA2528" s="17"/>
      <c r="AB2528" s="17"/>
      <c r="AC2528" s="17"/>
      <c r="AD2528" s="27"/>
    </row>
    <row r="2529" ht="15.75" customHeight="1">
      <c r="A2529" s="27"/>
      <c r="B2529" s="27"/>
      <c r="C2529" s="27"/>
      <c r="D2529" s="27"/>
      <c r="E2529" s="27"/>
      <c r="F2529" s="27"/>
      <c r="G2529" s="27"/>
      <c r="H2529" s="27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  <c r="Z2529" s="17"/>
      <c r="AA2529" s="17"/>
      <c r="AB2529" s="17"/>
      <c r="AC2529" s="17"/>
      <c r="AD2529" s="27"/>
    </row>
    <row r="2530" ht="15.75" customHeight="1">
      <c r="A2530" s="27"/>
      <c r="B2530" s="27"/>
      <c r="C2530" s="27"/>
      <c r="D2530" s="27"/>
      <c r="E2530" s="27"/>
      <c r="F2530" s="27"/>
      <c r="G2530" s="27"/>
      <c r="H2530" s="27"/>
      <c r="I2530" s="27"/>
      <c r="J2530" s="27"/>
      <c r="K2530" s="27"/>
      <c r="L2530" s="27"/>
      <c r="M2530" s="27"/>
      <c r="N2530" s="27"/>
      <c r="O2530" s="27"/>
      <c r="P2530" s="27"/>
      <c r="Q2530" s="27"/>
      <c r="R2530" s="27"/>
      <c r="S2530" s="27"/>
      <c r="T2530" s="27"/>
      <c r="U2530" s="27"/>
      <c r="V2530" s="27"/>
      <c r="W2530" s="27"/>
      <c r="X2530" s="27"/>
      <c r="Y2530" s="27"/>
      <c r="Z2530" s="17"/>
      <c r="AA2530" s="17"/>
      <c r="AB2530" s="17"/>
      <c r="AC2530" s="17"/>
      <c r="AD2530" s="27"/>
    </row>
    <row r="2531" ht="15.75" customHeight="1">
      <c r="A2531" s="27"/>
      <c r="B2531" s="27"/>
      <c r="C2531" s="27"/>
      <c r="D2531" s="27"/>
      <c r="E2531" s="27"/>
      <c r="F2531" s="27"/>
      <c r="G2531" s="27"/>
      <c r="H2531" s="27"/>
      <c r="I2531" s="27"/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17"/>
      <c r="AA2531" s="17"/>
      <c r="AB2531" s="17"/>
      <c r="AC2531" s="17"/>
      <c r="AD2531" s="27"/>
    </row>
    <row r="2532" ht="15.75" customHeight="1">
      <c r="A2532" s="27"/>
      <c r="B2532" s="27"/>
      <c r="C2532" s="27"/>
      <c r="D2532" s="27"/>
      <c r="E2532" s="27"/>
      <c r="F2532" s="27"/>
      <c r="G2532" s="27"/>
      <c r="H2532" s="27"/>
      <c r="I2532" s="27"/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7"/>
      <c r="U2532" s="27"/>
      <c r="V2532" s="27"/>
      <c r="W2532" s="27"/>
      <c r="X2532" s="27"/>
      <c r="Y2532" s="27"/>
      <c r="Z2532" s="17"/>
      <c r="AA2532" s="17"/>
      <c r="AB2532" s="17"/>
      <c r="AC2532" s="17"/>
      <c r="AD2532" s="27"/>
    </row>
    <row r="2533" ht="15.75" customHeight="1">
      <c r="A2533" s="27"/>
      <c r="B2533" s="27"/>
      <c r="C2533" s="27"/>
      <c r="D2533" s="27"/>
      <c r="E2533" s="27"/>
      <c r="F2533" s="27"/>
      <c r="G2533" s="27"/>
      <c r="H2533" s="27"/>
      <c r="I2533" s="27"/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  <c r="T2533" s="27"/>
      <c r="U2533" s="27"/>
      <c r="V2533" s="27"/>
      <c r="W2533" s="27"/>
      <c r="X2533" s="27"/>
      <c r="Y2533" s="27"/>
      <c r="Z2533" s="17"/>
      <c r="AA2533" s="17"/>
      <c r="AB2533" s="17"/>
      <c r="AC2533" s="17"/>
      <c r="AD2533" s="27"/>
    </row>
    <row r="2534" ht="15.75" customHeight="1">
      <c r="A2534" s="27"/>
      <c r="B2534" s="27"/>
      <c r="C2534" s="27"/>
      <c r="D2534" s="27"/>
      <c r="E2534" s="27"/>
      <c r="F2534" s="27"/>
      <c r="G2534" s="27"/>
      <c r="H2534" s="27"/>
      <c r="I2534" s="27"/>
      <c r="J2534" s="27"/>
      <c r="K2534" s="27"/>
      <c r="L2534" s="27"/>
      <c r="M2534" s="27"/>
      <c r="N2534" s="27"/>
      <c r="O2534" s="27"/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17"/>
      <c r="AA2534" s="17"/>
      <c r="AB2534" s="17"/>
      <c r="AC2534" s="17"/>
      <c r="AD2534" s="27"/>
    </row>
    <row r="2535" ht="15.75" customHeight="1">
      <c r="A2535" s="27"/>
      <c r="B2535" s="27"/>
      <c r="C2535" s="27"/>
      <c r="D2535" s="27"/>
      <c r="E2535" s="27"/>
      <c r="F2535" s="27"/>
      <c r="G2535" s="27"/>
      <c r="H2535" s="27"/>
      <c r="I2535" s="27"/>
      <c r="J2535" s="27"/>
      <c r="K2535" s="27"/>
      <c r="L2535" s="27"/>
      <c r="M2535" s="27"/>
      <c r="N2535" s="27"/>
      <c r="O2535" s="27"/>
      <c r="P2535" s="27"/>
      <c r="Q2535" s="27"/>
      <c r="R2535" s="27"/>
      <c r="S2535" s="27"/>
      <c r="T2535" s="27"/>
      <c r="U2535" s="27"/>
      <c r="V2535" s="27"/>
      <c r="W2535" s="27"/>
      <c r="X2535" s="27"/>
      <c r="Y2535" s="27"/>
      <c r="Z2535" s="17"/>
      <c r="AA2535" s="17"/>
      <c r="AB2535" s="17"/>
      <c r="AC2535" s="17"/>
      <c r="AD2535" s="27"/>
    </row>
    <row r="2536" ht="15.75" customHeight="1">
      <c r="A2536" s="27"/>
      <c r="B2536" s="27"/>
      <c r="C2536" s="27"/>
      <c r="D2536" s="27"/>
      <c r="E2536" s="27"/>
      <c r="F2536" s="27"/>
      <c r="G2536" s="27"/>
      <c r="H2536" s="27"/>
      <c r="I2536" s="27"/>
      <c r="J2536" s="27"/>
      <c r="K2536" s="27"/>
      <c r="L2536" s="27"/>
      <c r="M2536" s="27"/>
      <c r="N2536" s="27"/>
      <c r="O2536" s="27"/>
      <c r="P2536" s="27"/>
      <c r="Q2536" s="27"/>
      <c r="R2536" s="27"/>
      <c r="S2536" s="27"/>
      <c r="T2536" s="27"/>
      <c r="U2536" s="27"/>
      <c r="V2536" s="27"/>
      <c r="W2536" s="27"/>
      <c r="X2536" s="27"/>
      <c r="Y2536" s="27"/>
      <c r="Z2536" s="17"/>
      <c r="AA2536" s="17"/>
      <c r="AB2536" s="17"/>
      <c r="AC2536" s="17"/>
      <c r="AD2536" s="27"/>
    </row>
    <row r="2537" ht="15.75" customHeight="1">
      <c r="A2537" s="27"/>
      <c r="B2537" s="27"/>
      <c r="C2537" s="27"/>
      <c r="D2537" s="27"/>
      <c r="E2537" s="27"/>
      <c r="F2537" s="27"/>
      <c r="G2537" s="27"/>
      <c r="H2537" s="27"/>
      <c r="I2537" s="27"/>
      <c r="J2537" s="27"/>
      <c r="K2537" s="27"/>
      <c r="L2537" s="27"/>
      <c r="M2537" s="27"/>
      <c r="N2537" s="27"/>
      <c r="O2537" s="27"/>
      <c r="P2537" s="27"/>
      <c r="Q2537" s="27"/>
      <c r="R2537" s="27"/>
      <c r="S2537" s="27"/>
      <c r="T2537" s="27"/>
      <c r="U2537" s="27"/>
      <c r="V2537" s="27"/>
      <c r="W2537" s="27"/>
      <c r="X2537" s="27"/>
      <c r="Y2537" s="27"/>
      <c r="Z2537" s="17"/>
      <c r="AA2537" s="17"/>
      <c r="AB2537" s="17"/>
      <c r="AC2537" s="17"/>
      <c r="AD2537" s="27"/>
    </row>
    <row r="2538" ht="15.75" customHeight="1">
      <c r="A2538" s="27"/>
      <c r="B2538" s="27"/>
      <c r="C2538" s="27"/>
      <c r="D2538" s="27"/>
      <c r="E2538" s="27"/>
      <c r="F2538" s="27"/>
      <c r="G2538" s="27"/>
      <c r="H2538" s="27"/>
      <c r="I2538" s="27"/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  <c r="T2538" s="27"/>
      <c r="U2538" s="27"/>
      <c r="V2538" s="27"/>
      <c r="W2538" s="27"/>
      <c r="X2538" s="27"/>
      <c r="Y2538" s="27"/>
      <c r="Z2538" s="17"/>
      <c r="AA2538" s="17"/>
      <c r="AB2538" s="17"/>
      <c r="AC2538" s="17"/>
      <c r="AD2538" s="27"/>
    </row>
    <row r="2539" ht="15.75" customHeight="1">
      <c r="A2539" s="27"/>
      <c r="B2539" s="27"/>
      <c r="C2539" s="27"/>
      <c r="D2539" s="27"/>
      <c r="E2539" s="27"/>
      <c r="F2539" s="27"/>
      <c r="G2539" s="27"/>
      <c r="H2539" s="27"/>
      <c r="I2539" s="27"/>
      <c r="J2539" s="27"/>
      <c r="K2539" s="27"/>
      <c r="L2539" s="27"/>
      <c r="M2539" s="27"/>
      <c r="N2539" s="27"/>
      <c r="O2539" s="27"/>
      <c r="P2539" s="27"/>
      <c r="Q2539" s="27"/>
      <c r="R2539" s="27"/>
      <c r="S2539" s="27"/>
      <c r="T2539" s="27"/>
      <c r="U2539" s="27"/>
      <c r="V2539" s="27"/>
      <c r="W2539" s="27"/>
      <c r="X2539" s="27"/>
      <c r="Y2539" s="27"/>
      <c r="Z2539" s="17"/>
      <c r="AA2539" s="17"/>
      <c r="AB2539" s="17"/>
      <c r="AC2539" s="17"/>
      <c r="AD2539" s="27"/>
    </row>
    <row r="2540" ht="15.75" customHeight="1">
      <c r="A2540" s="27"/>
      <c r="B2540" s="27"/>
      <c r="C2540" s="27"/>
      <c r="D2540" s="27"/>
      <c r="E2540" s="27"/>
      <c r="F2540" s="27"/>
      <c r="G2540" s="27"/>
      <c r="H2540" s="27"/>
      <c r="I2540" s="27"/>
      <c r="J2540" s="27"/>
      <c r="K2540" s="27"/>
      <c r="L2540" s="27"/>
      <c r="M2540" s="27"/>
      <c r="N2540" s="27"/>
      <c r="O2540" s="27"/>
      <c r="P2540" s="27"/>
      <c r="Q2540" s="27"/>
      <c r="R2540" s="27"/>
      <c r="S2540" s="27"/>
      <c r="T2540" s="27"/>
      <c r="U2540" s="27"/>
      <c r="V2540" s="27"/>
      <c r="W2540" s="27"/>
      <c r="X2540" s="27"/>
      <c r="Y2540" s="27"/>
      <c r="Z2540" s="17"/>
      <c r="AA2540" s="17"/>
      <c r="AB2540" s="17"/>
      <c r="AC2540" s="17"/>
      <c r="AD2540" s="27"/>
    </row>
    <row r="2541" ht="15.75" customHeight="1">
      <c r="A2541" s="27"/>
      <c r="B2541" s="27"/>
      <c r="C2541" s="27"/>
      <c r="D2541" s="27"/>
      <c r="E2541" s="27"/>
      <c r="F2541" s="27"/>
      <c r="G2541" s="27"/>
      <c r="H2541" s="27"/>
      <c r="I2541" s="27"/>
      <c r="J2541" s="27"/>
      <c r="K2541" s="27"/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7"/>
      <c r="W2541" s="27"/>
      <c r="X2541" s="27"/>
      <c r="Y2541" s="27"/>
      <c r="Z2541" s="17"/>
      <c r="AA2541" s="17"/>
      <c r="AB2541" s="17"/>
      <c r="AC2541" s="17"/>
      <c r="AD2541" s="27"/>
    </row>
    <row r="2542" ht="15.75" customHeight="1">
      <c r="A2542" s="27"/>
      <c r="B2542" s="27"/>
      <c r="C2542" s="27"/>
      <c r="D2542" s="27"/>
      <c r="E2542" s="27"/>
      <c r="F2542" s="27"/>
      <c r="G2542" s="27"/>
      <c r="H2542" s="27"/>
      <c r="I2542" s="27"/>
      <c r="J2542" s="27"/>
      <c r="K2542" s="27"/>
      <c r="L2542" s="27"/>
      <c r="M2542" s="27"/>
      <c r="N2542" s="27"/>
      <c r="O2542" s="27"/>
      <c r="P2542" s="27"/>
      <c r="Q2542" s="27"/>
      <c r="R2542" s="27"/>
      <c r="S2542" s="27"/>
      <c r="T2542" s="27"/>
      <c r="U2542" s="27"/>
      <c r="V2542" s="27"/>
      <c r="W2542" s="27"/>
      <c r="X2542" s="27"/>
      <c r="Y2542" s="27"/>
      <c r="Z2542" s="17"/>
      <c r="AA2542" s="17"/>
      <c r="AB2542" s="17"/>
      <c r="AC2542" s="17"/>
      <c r="AD2542" s="27"/>
    </row>
    <row r="2543" ht="15.75" customHeight="1">
      <c r="A2543" s="27"/>
      <c r="B2543" s="27"/>
      <c r="C2543" s="27"/>
      <c r="D2543" s="27"/>
      <c r="E2543" s="27"/>
      <c r="F2543" s="27"/>
      <c r="G2543" s="27"/>
      <c r="H2543" s="27"/>
      <c r="I2543" s="27"/>
      <c r="J2543" s="27"/>
      <c r="K2543" s="27"/>
      <c r="L2543" s="27"/>
      <c r="M2543" s="27"/>
      <c r="N2543" s="27"/>
      <c r="O2543" s="27"/>
      <c r="P2543" s="27"/>
      <c r="Q2543" s="27"/>
      <c r="R2543" s="27"/>
      <c r="S2543" s="27"/>
      <c r="T2543" s="27"/>
      <c r="U2543" s="27"/>
      <c r="V2543" s="27"/>
      <c r="W2543" s="27"/>
      <c r="X2543" s="27"/>
      <c r="Y2543" s="27"/>
      <c r="Z2543" s="17"/>
      <c r="AA2543" s="17"/>
      <c r="AB2543" s="17"/>
      <c r="AC2543" s="17"/>
      <c r="AD2543" s="27"/>
    </row>
    <row r="2544" ht="15.75" customHeight="1">
      <c r="A2544" s="27"/>
      <c r="B2544" s="27"/>
      <c r="C2544" s="27"/>
      <c r="D2544" s="27"/>
      <c r="E2544" s="27"/>
      <c r="F2544" s="27"/>
      <c r="G2544" s="27"/>
      <c r="H2544" s="27"/>
      <c r="I2544" s="27"/>
      <c r="J2544" s="27"/>
      <c r="K2544" s="27"/>
      <c r="L2544" s="27"/>
      <c r="M2544" s="27"/>
      <c r="N2544" s="27"/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17"/>
      <c r="AA2544" s="17"/>
      <c r="AB2544" s="17"/>
      <c r="AC2544" s="17"/>
      <c r="AD2544" s="27"/>
    </row>
    <row r="2545" ht="15.75" customHeight="1">
      <c r="A2545" s="27"/>
      <c r="B2545" s="27"/>
      <c r="C2545" s="27"/>
      <c r="D2545" s="27"/>
      <c r="E2545" s="27"/>
      <c r="F2545" s="27"/>
      <c r="G2545" s="27"/>
      <c r="H2545" s="27"/>
      <c r="I2545" s="27"/>
      <c r="J2545" s="27"/>
      <c r="K2545" s="27"/>
      <c r="L2545" s="27"/>
      <c r="M2545" s="27"/>
      <c r="N2545" s="27"/>
      <c r="O2545" s="27"/>
      <c r="P2545" s="27"/>
      <c r="Q2545" s="27"/>
      <c r="R2545" s="27"/>
      <c r="S2545" s="27"/>
      <c r="T2545" s="27"/>
      <c r="U2545" s="27"/>
      <c r="V2545" s="27"/>
      <c r="W2545" s="27"/>
      <c r="X2545" s="27"/>
      <c r="Y2545" s="27"/>
      <c r="Z2545" s="17"/>
      <c r="AA2545" s="17"/>
      <c r="AB2545" s="17"/>
      <c r="AC2545" s="17"/>
      <c r="AD2545" s="27"/>
    </row>
    <row r="2546" ht="15.75" customHeight="1">
      <c r="A2546" s="27"/>
      <c r="B2546" s="27"/>
      <c r="C2546" s="27"/>
      <c r="D2546" s="27"/>
      <c r="E2546" s="27"/>
      <c r="F2546" s="27"/>
      <c r="G2546" s="27"/>
      <c r="H2546" s="27"/>
      <c r="I2546" s="27"/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  <c r="Z2546" s="17"/>
      <c r="AA2546" s="17"/>
      <c r="AB2546" s="17"/>
      <c r="AC2546" s="17"/>
      <c r="AD2546" s="27"/>
    </row>
    <row r="2547" ht="15.75" customHeight="1">
      <c r="A2547" s="27"/>
      <c r="B2547" s="27"/>
      <c r="C2547" s="27"/>
      <c r="D2547" s="27"/>
      <c r="E2547" s="27"/>
      <c r="F2547" s="27"/>
      <c r="G2547" s="27"/>
      <c r="H2547" s="27"/>
      <c r="I2547" s="27"/>
      <c r="J2547" s="27"/>
      <c r="K2547" s="27"/>
      <c r="L2547" s="27"/>
      <c r="M2547" s="27"/>
      <c r="N2547" s="27"/>
      <c r="O2547" s="27"/>
      <c r="P2547" s="27"/>
      <c r="Q2547" s="27"/>
      <c r="R2547" s="27"/>
      <c r="S2547" s="27"/>
      <c r="T2547" s="27"/>
      <c r="U2547" s="27"/>
      <c r="V2547" s="27"/>
      <c r="W2547" s="27"/>
      <c r="X2547" s="27"/>
      <c r="Y2547" s="27"/>
      <c r="Z2547" s="17"/>
      <c r="AA2547" s="17"/>
      <c r="AB2547" s="17"/>
      <c r="AC2547" s="17"/>
      <c r="AD2547" s="27"/>
    </row>
    <row r="2548" ht="15.75" customHeight="1">
      <c r="A2548" s="27"/>
      <c r="B2548" s="27"/>
      <c r="C2548" s="27"/>
      <c r="D2548" s="27"/>
      <c r="E2548" s="27"/>
      <c r="F2548" s="27"/>
      <c r="G2548" s="27"/>
      <c r="H2548" s="27"/>
      <c r="I2548" s="27"/>
      <c r="J2548" s="27"/>
      <c r="K2548" s="27"/>
      <c r="L2548" s="27"/>
      <c r="M2548" s="27"/>
      <c r="N2548" s="27"/>
      <c r="O2548" s="27"/>
      <c r="P2548" s="27"/>
      <c r="Q2548" s="27"/>
      <c r="R2548" s="27"/>
      <c r="S2548" s="27"/>
      <c r="T2548" s="27"/>
      <c r="U2548" s="27"/>
      <c r="V2548" s="27"/>
      <c r="W2548" s="27"/>
      <c r="X2548" s="27"/>
      <c r="Y2548" s="27"/>
      <c r="Z2548" s="17"/>
      <c r="AA2548" s="17"/>
      <c r="AB2548" s="17"/>
      <c r="AC2548" s="17"/>
      <c r="AD2548" s="27"/>
    </row>
    <row r="2549" ht="15.75" customHeight="1">
      <c r="A2549" s="27"/>
      <c r="B2549" s="27"/>
      <c r="C2549" s="27"/>
      <c r="D2549" s="27"/>
      <c r="E2549" s="27"/>
      <c r="F2549" s="27"/>
      <c r="G2549" s="27"/>
      <c r="H2549" s="27"/>
      <c r="I2549" s="27"/>
      <c r="J2549" s="27"/>
      <c r="K2549" s="27"/>
      <c r="L2549" s="27"/>
      <c r="M2549" s="27"/>
      <c r="N2549" s="27"/>
      <c r="O2549" s="27"/>
      <c r="P2549" s="27"/>
      <c r="Q2549" s="27"/>
      <c r="R2549" s="27"/>
      <c r="S2549" s="27"/>
      <c r="T2549" s="27"/>
      <c r="U2549" s="27"/>
      <c r="V2549" s="27"/>
      <c r="W2549" s="27"/>
      <c r="X2549" s="27"/>
      <c r="Y2549" s="27"/>
      <c r="Z2549" s="17"/>
      <c r="AA2549" s="17"/>
      <c r="AB2549" s="17"/>
      <c r="AC2549" s="17"/>
      <c r="AD2549" s="27"/>
    </row>
    <row r="2550" ht="15.75" customHeight="1">
      <c r="A2550" s="27"/>
      <c r="B2550" s="27"/>
      <c r="C2550" s="27"/>
      <c r="D2550" s="27"/>
      <c r="E2550" s="27"/>
      <c r="F2550" s="27"/>
      <c r="G2550" s="27"/>
      <c r="H2550" s="27"/>
      <c r="I2550" s="27"/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  <c r="T2550" s="27"/>
      <c r="U2550" s="27"/>
      <c r="V2550" s="27"/>
      <c r="W2550" s="27"/>
      <c r="X2550" s="27"/>
      <c r="Y2550" s="27"/>
      <c r="Z2550" s="17"/>
      <c r="AA2550" s="17"/>
      <c r="AB2550" s="17"/>
      <c r="AC2550" s="17"/>
      <c r="AD2550" s="27"/>
    </row>
    <row r="2551" ht="15.75" customHeight="1">
      <c r="A2551" s="27"/>
      <c r="B2551" s="27"/>
      <c r="C2551" s="27"/>
      <c r="D2551" s="27"/>
      <c r="E2551" s="27"/>
      <c r="F2551" s="27"/>
      <c r="G2551" s="27"/>
      <c r="H2551" s="27"/>
      <c r="I2551" s="27"/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  <c r="T2551" s="27"/>
      <c r="U2551" s="27"/>
      <c r="V2551" s="27"/>
      <c r="W2551" s="27"/>
      <c r="X2551" s="27"/>
      <c r="Y2551" s="27"/>
      <c r="Z2551" s="17"/>
      <c r="AA2551" s="17"/>
      <c r="AB2551" s="17"/>
      <c r="AC2551" s="17"/>
      <c r="AD2551" s="27"/>
    </row>
    <row r="2552" ht="15.75" customHeight="1">
      <c r="A2552" s="27"/>
      <c r="B2552" s="27"/>
      <c r="C2552" s="27"/>
      <c r="D2552" s="27"/>
      <c r="E2552" s="27"/>
      <c r="F2552" s="27"/>
      <c r="G2552" s="27"/>
      <c r="H2552" s="27"/>
      <c r="I2552" s="27"/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  <c r="T2552" s="27"/>
      <c r="U2552" s="27"/>
      <c r="V2552" s="27"/>
      <c r="W2552" s="27"/>
      <c r="X2552" s="27"/>
      <c r="Y2552" s="27"/>
      <c r="Z2552" s="17"/>
      <c r="AA2552" s="17"/>
      <c r="AB2552" s="17"/>
      <c r="AC2552" s="17"/>
      <c r="AD2552" s="27"/>
    </row>
    <row r="2553" ht="15.75" customHeight="1">
      <c r="A2553" s="27"/>
      <c r="B2553" s="27"/>
      <c r="C2553" s="27"/>
      <c r="D2553" s="27"/>
      <c r="E2553" s="27"/>
      <c r="F2553" s="27"/>
      <c r="G2553" s="27"/>
      <c r="H2553" s="27"/>
      <c r="I2553" s="27"/>
      <c r="J2553" s="27"/>
      <c r="K2553" s="27"/>
      <c r="L2553" s="27"/>
      <c r="M2553" s="27"/>
      <c r="N2553" s="27"/>
      <c r="O2553" s="27"/>
      <c r="P2553" s="27"/>
      <c r="Q2553" s="27"/>
      <c r="R2553" s="27"/>
      <c r="S2553" s="27"/>
      <c r="T2553" s="27"/>
      <c r="U2553" s="27"/>
      <c r="V2553" s="27"/>
      <c r="W2553" s="27"/>
      <c r="X2553" s="27"/>
      <c r="Y2553" s="27"/>
      <c r="Z2553" s="17"/>
      <c r="AA2553" s="17"/>
      <c r="AB2553" s="17"/>
      <c r="AC2553" s="17"/>
      <c r="AD2553" s="27"/>
    </row>
    <row r="2554" ht="15.75" customHeight="1">
      <c r="A2554" s="27"/>
      <c r="B2554" s="27"/>
      <c r="C2554" s="27"/>
      <c r="D2554" s="27"/>
      <c r="E2554" s="27"/>
      <c r="F2554" s="27"/>
      <c r="G2554" s="27"/>
      <c r="H2554" s="27"/>
      <c r="I2554" s="27"/>
      <c r="J2554" s="27"/>
      <c r="K2554" s="27"/>
      <c r="L2554" s="27"/>
      <c r="M2554" s="27"/>
      <c r="N2554" s="27"/>
      <c r="O2554" s="27"/>
      <c r="P2554" s="27"/>
      <c r="Q2554" s="27"/>
      <c r="R2554" s="27"/>
      <c r="S2554" s="27"/>
      <c r="T2554" s="27"/>
      <c r="U2554" s="27"/>
      <c r="V2554" s="27"/>
      <c r="W2554" s="27"/>
      <c r="X2554" s="27"/>
      <c r="Y2554" s="27"/>
      <c r="Z2554" s="17"/>
      <c r="AA2554" s="17"/>
      <c r="AB2554" s="17"/>
      <c r="AC2554" s="17"/>
      <c r="AD2554" s="27"/>
    </row>
    <row r="2555" ht="15.75" customHeight="1">
      <c r="A2555" s="27"/>
      <c r="B2555" s="27"/>
      <c r="C2555" s="27"/>
      <c r="D2555" s="27"/>
      <c r="E2555" s="27"/>
      <c r="F2555" s="27"/>
      <c r="G2555" s="27"/>
      <c r="H2555" s="27"/>
      <c r="I2555" s="27"/>
      <c r="J2555" s="27"/>
      <c r="K2555" s="27"/>
      <c r="L2555" s="27"/>
      <c r="M2555" s="27"/>
      <c r="N2555" s="27"/>
      <c r="O2555" s="27"/>
      <c r="P2555" s="27"/>
      <c r="Q2555" s="27"/>
      <c r="R2555" s="27"/>
      <c r="S2555" s="27"/>
      <c r="T2555" s="27"/>
      <c r="U2555" s="27"/>
      <c r="V2555" s="27"/>
      <c r="W2555" s="27"/>
      <c r="X2555" s="27"/>
      <c r="Y2555" s="27"/>
      <c r="Z2555" s="17"/>
      <c r="AA2555" s="17"/>
      <c r="AB2555" s="17"/>
      <c r="AC2555" s="17"/>
      <c r="AD2555" s="27"/>
    </row>
    <row r="2556" ht="15.75" customHeight="1">
      <c r="A2556" s="27"/>
      <c r="B2556" s="27"/>
      <c r="C2556" s="27"/>
      <c r="D2556" s="27"/>
      <c r="E2556" s="27"/>
      <c r="F2556" s="27"/>
      <c r="G2556" s="27"/>
      <c r="H2556" s="27"/>
      <c r="I2556" s="27"/>
      <c r="J2556" s="27"/>
      <c r="K2556" s="27"/>
      <c r="L2556" s="27"/>
      <c r="M2556" s="27"/>
      <c r="N2556" s="27"/>
      <c r="O2556" s="27"/>
      <c r="P2556" s="27"/>
      <c r="Q2556" s="27"/>
      <c r="R2556" s="27"/>
      <c r="S2556" s="27"/>
      <c r="T2556" s="27"/>
      <c r="U2556" s="27"/>
      <c r="V2556" s="27"/>
      <c r="W2556" s="27"/>
      <c r="X2556" s="27"/>
      <c r="Y2556" s="27"/>
      <c r="Z2556" s="17"/>
      <c r="AA2556" s="17"/>
      <c r="AB2556" s="17"/>
      <c r="AC2556" s="17"/>
      <c r="AD2556" s="27"/>
    </row>
    <row r="2557" ht="15.75" customHeight="1">
      <c r="A2557" s="27"/>
      <c r="B2557" s="27"/>
      <c r="C2557" s="27"/>
      <c r="D2557" s="27"/>
      <c r="E2557" s="27"/>
      <c r="F2557" s="27"/>
      <c r="G2557" s="27"/>
      <c r="H2557" s="27"/>
      <c r="I2557" s="27"/>
      <c r="J2557" s="27"/>
      <c r="K2557" s="27"/>
      <c r="L2557" s="27"/>
      <c r="M2557" s="27"/>
      <c r="N2557" s="27"/>
      <c r="O2557" s="27"/>
      <c r="P2557" s="27"/>
      <c r="Q2557" s="27"/>
      <c r="R2557" s="27"/>
      <c r="S2557" s="27"/>
      <c r="T2557" s="27"/>
      <c r="U2557" s="27"/>
      <c r="V2557" s="27"/>
      <c r="W2557" s="27"/>
      <c r="X2557" s="27"/>
      <c r="Y2557" s="27"/>
      <c r="Z2557" s="17"/>
      <c r="AA2557" s="17"/>
      <c r="AB2557" s="17"/>
      <c r="AC2557" s="17"/>
      <c r="AD2557" s="27"/>
    </row>
    <row r="2558" ht="15.75" customHeight="1">
      <c r="A2558" s="27"/>
      <c r="B2558" s="27"/>
      <c r="C2558" s="27"/>
      <c r="D2558" s="27"/>
      <c r="E2558" s="27"/>
      <c r="F2558" s="27"/>
      <c r="G2558" s="27"/>
      <c r="H2558" s="27"/>
      <c r="I2558" s="27"/>
      <c r="J2558" s="27"/>
      <c r="K2558" s="27"/>
      <c r="L2558" s="27"/>
      <c r="M2558" s="27"/>
      <c r="N2558" s="27"/>
      <c r="O2558" s="27"/>
      <c r="P2558" s="27"/>
      <c r="Q2558" s="27"/>
      <c r="R2558" s="27"/>
      <c r="S2558" s="27"/>
      <c r="T2558" s="27"/>
      <c r="U2558" s="27"/>
      <c r="V2558" s="27"/>
      <c r="W2558" s="27"/>
      <c r="X2558" s="27"/>
      <c r="Y2558" s="27"/>
      <c r="Z2558" s="17"/>
      <c r="AA2558" s="17"/>
      <c r="AB2558" s="17"/>
      <c r="AC2558" s="17"/>
      <c r="AD2558" s="27"/>
    </row>
    <row r="2559" ht="15.75" customHeight="1">
      <c r="A2559" s="27"/>
      <c r="B2559" s="27"/>
      <c r="C2559" s="27"/>
      <c r="D2559" s="27"/>
      <c r="E2559" s="27"/>
      <c r="F2559" s="27"/>
      <c r="G2559" s="27"/>
      <c r="H2559" s="27"/>
      <c r="I2559" s="27"/>
      <c r="J2559" s="27"/>
      <c r="K2559" s="27"/>
      <c r="L2559" s="27"/>
      <c r="M2559" s="27"/>
      <c r="N2559" s="27"/>
      <c r="O2559" s="27"/>
      <c r="P2559" s="27"/>
      <c r="Q2559" s="27"/>
      <c r="R2559" s="27"/>
      <c r="S2559" s="27"/>
      <c r="T2559" s="27"/>
      <c r="U2559" s="27"/>
      <c r="V2559" s="27"/>
      <c r="W2559" s="27"/>
      <c r="X2559" s="27"/>
      <c r="Y2559" s="27"/>
      <c r="Z2559" s="17"/>
      <c r="AA2559" s="17"/>
      <c r="AB2559" s="17"/>
      <c r="AC2559" s="17"/>
      <c r="AD2559" s="27"/>
    </row>
    <row r="2560" ht="15.75" customHeight="1">
      <c r="A2560" s="27"/>
      <c r="B2560" s="27"/>
      <c r="C2560" s="27"/>
      <c r="D2560" s="27"/>
      <c r="E2560" s="27"/>
      <c r="F2560" s="27"/>
      <c r="G2560" s="27"/>
      <c r="H2560" s="27"/>
      <c r="I2560" s="27"/>
      <c r="J2560" s="27"/>
      <c r="K2560" s="27"/>
      <c r="L2560" s="27"/>
      <c r="M2560" s="27"/>
      <c r="N2560" s="27"/>
      <c r="O2560" s="27"/>
      <c r="P2560" s="27"/>
      <c r="Q2560" s="27"/>
      <c r="R2560" s="27"/>
      <c r="S2560" s="27"/>
      <c r="T2560" s="27"/>
      <c r="U2560" s="27"/>
      <c r="V2560" s="27"/>
      <c r="W2560" s="27"/>
      <c r="X2560" s="27"/>
      <c r="Y2560" s="27"/>
      <c r="Z2560" s="17"/>
      <c r="AA2560" s="17"/>
      <c r="AB2560" s="17"/>
      <c r="AC2560" s="17"/>
      <c r="AD2560" s="27"/>
    </row>
    <row r="2561" ht="15.75" customHeight="1">
      <c r="A2561" s="27"/>
      <c r="B2561" s="27"/>
      <c r="C2561" s="27"/>
      <c r="D2561" s="27"/>
      <c r="E2561" s="27"/>
      <c r="F2561" s="27"/>
      <c r="G2561" s="27"/>
      <c r="H2561" s="27"/>
      <c r="I2561" s="27"/>
      <c r="J2561" s="27"/>
      <c r="K2561" s="27"/>
      <c r="L2561" s="27"/>
      <c r="M2561" s="27"/>
      <c r="N2561" s="27"/>
      <c r="O2561" s="27"/>
      <c r="P2561" s="27"/>
      <c r="Q2561" s="27"/>
      <c r="R2561" s="27"/>
      <c r="S2561" s="27"/>
      <c r="T2561" s="27"/>
      <c r="U2561" s="27"/>
      <c r="V2561" s="27"/>
      <c r="W2561" s="27"/>
      <c r="X2561" s="27"/>
      <c r="Y2561" s="27"/>
      <c r="Z2561" s="17"/>
      <c r="AA2561" s="17"/>
      <c r="AB2561" s="17"/>
      <c r="AC2561" s="17"/>
      <c r="AD2561" s="27"/>
    </row>
    <row r="2562" ht="15.75" customHeight="1">
      <c r="A2562" s="27"/>
      <c r="B2562" s="27"/>
      <c r="C2562" s="27"/>
      <c r="D2562" s="27"/>
      <c r="E2562" s="27"/>
      <c r="F2562" s="27"/>
      <c r="G2562" s="27"/>
      <c r="H2562" s="27"/>
      <c r="I2562" s="27"/>
      <c r="J2562" s="27"/>
      <c r="K2562" s="27"/>
      <c r="L2562" s="27"/>
      <c r="M2562" s="27"/>
      <c r="N2562" s="27"/>
      <c r="O2562" s="27"/>
      <c r="P2562" s="27"/>
      <c r="Q2562" s="27"/>
      <c r="R2562" s="27"/>
      <c r="S2562" s="27"/>
      <c r="T2562" s="27"/>
      <c r="U2562" s="27"/>
      <c r="V2562" s="27"/>
      <c r="W2562" s="27"/>
      <c r="X2562" s="27"/>
      <c r="Y2562" s="27"/>
      <c r="Z2562" s="17"/>
      <c r="AA2562" s="17"/>
      <c r="AB2562" s="17"/>
      <c r="AC2562" s="17"/>
      <c r="AD2562" s="27"/>
    </row>
    <row r="2563" ht="15.75" customHeight="1">
      <c r="A2563" s="27"/>
      <c r="B2563" s="27"/>
      <c r="C2563" s="27"/>
      <c r="D2563" s="27"/>
      <c r="E2563" s="27"/>
      <c r="F2563" s="27"/>
      <c r="G2563" s="27"/>
      <c r="H2563" s="27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  <c r="Z2563" s="17"/>
      <c r="AA2563" s="17"/>
      <c r="AB2563" s="17"/>
      <c r="AC2563" s="17"/>
      <c r="AD2563" s="27"/>
    </row>
    <row r="2564" ht="15.75" customHeight="1">
      <c r="A2564" s="27"/>
      <c r="B2564" s="27"/>
      <c r="C2564" s="27"/>
      <c r="D2564" s="27"/>
      <c r="E2564" s="27"/>
      <c r="F2564" s="27"/>
      <c r="G2564" s="27"/>
      <c r="H2564" s="27"/>
      <c r="I2564" s="27"/>
      <c r="J2564" s="27"/>
      <c r="K2564" s="27"/>
      <c r="L2564" s="27"/>
      <c r="M2564" s="27"/>
      <c r="N2564" s="27"/>
      <c r="O2564" s="27"/>
      <c r="P2564" s="27"/>
      <c r="Q2564" s="27"/>
      <c r="R2564" s="27"/>
      <c r="S2564" s="27"/>
      <c r="T2564" s="27"/>
      <c r="U2564" s="27"/>
      <c r="V2564" s="27"/>
      <c r="W2564" s="27"/>
      <c r="X2564" s="27"/>
      <c r="Y2564" s="27"/>
      <c r="Z2564" s="17"/>
      <c r="AA2564" s="17"/>
      <c r="AB2564" s="17"/>
      <c r="AC2564" s="17"/>
      <c r="AD2564" s="27"/>
    </row>
    <row r="2565" ht="15.75" customHeight="1">
      <c r="A2565" s="27"/>
      <c r="B2565" s="27"/>
      <c r="C2565" s="27"/>
      <c r="D2565" s="27"/>
      <c r="E2565" s="27"/>
      <c r="F2565" s="27"/>
      <c r="G2565" s="27"/>
      <c r="H2565" s="27"/>
      <c r="I2565" s="27"/>
      <c r="J2565" s="27"/>
      <c r="K2565" s="27"/>
      <c r="L2565" s="27"/>
      <c r="M2565" s="27"/>
      <c r="N2565" s="27"/>
      <c r="O2565" s="27"/>
      <c r="P2565" s="27"/>
      <c r="Q2565" s="27"/>
      <c r="R2565" s="27"/>
      <c r="S2565" s="27"/>
      <c r="T2565" s="27"/>
      <c r="U2565" s="27"/>
      <c r="V2565" s="27"/>
      <c r="W2565" s="27"/>
      <c r="X2565" s="27"/>
      <c r="Y2565" s="27"/>
      <c r="Z2565" s="17"/>
      <c r="AA2565" s="17"/>
      <c r="AB2565" s="17"/>
      <c r="AC2565" s="17"/>
      <c r="AD2565" s="27"/>
    </row>
    <row r="2566" ht="15.75" customHeight="1">
      <c r="A2566" s="27"/>
      <c r="B2566" s="27"/>
      <c r="C2566" s="27"/>
      <c r="D2566" s="27"/>
      <c r="E2566" s="27"/>
      <c r="F2566" s="27"/>
      <c r="G2566" s="27"/>
      <c r="H2566" s="27"/>
      <c r="I2566" s="27"/>
      <c r="J2566" s="27"/>
      <c r="K2566" s="27"/>
      <c r="L2566" s="27"/>
      <c r="M2566" s="27"/>
      <c r="N2566" s="27"/>
      <c r="O2566" s="27"/>
      <c r="P2566" s="27"/>
      <c r="Q2566" s="27"/>
      <c r="R2566" s="27"/>
      <c r="S2566" s="27"/>
      <c r="T2566" s="27"/>
      <c r="U2566" s="27"/>
      <c r="V2566" s="27"/>
      <c r="W2566" s="27"/>
      <c r="X2566" s="27"/>
      <c r="Y2566" s="27"/>
      <c r="Z2566" s="17"/>
      <c r="AA2566" s="17"/>
      <c r="AB2566" s="17"/>
      <c r="AC2566" s="17"/>
      <c r="AD2566" s="27"/>
    </row>
    <row r="2567" ht="15.75" customHeight="1">
      <c r="A2567" s="27"/>
      <c r="B2567" s="27"/>
      <c r="C2567" s="27"/>
      <c r="D2567" s="27"/>
      <c r="E2567" s="27"/>
      <c r="F2567" s="27"/>
      <c r="G2567" s="27"/>
      <c r="H2567" s="27"/>
      <c r="I2567" s="27"/>
      <c r="J2567" s="27"/>
      <c r="K2567" s="27"/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  <c r="Z2567" s="17"/>
      <c r="AA2567" s="17"/>
      <c r="AB2567" s="17"/>
      <c r="AC2567" s="17"/>
      <c r="AD2567" s="27"/>
    </row>
    <row r="2568" ht="15.75" customHeight="1">
      <c r="A2568" s="27"/>
      <c r="B2568" s="27"/>
      <c r="C2568" s="27"/>
      <c r="D2568" s="27"/>
      <c r="E2568" s="27"/>
      <c r="F2568" s="27"/>
      <c r="G2568" s="27"/>
      <c r="H2568" s="27"/>
      <c r="I2568" s="27"/>
      <c r="J2568" s="27"/>
      <c r="K2568" s="27"/>
      <c r="L2568" s="27"/>
      <c r="M2568" s="27"/>
      <c r="N2568" s="27"/>
      <c r="O2568" s="27"/>
      <c r="P2568" s="27"/>
      <c r="Q2568" s="27"/>
      <c r="R2568" s="27"/>
      <c r="S2568" s="27"/>
      <c r="T2568" s="27"/>
      <c r="U2568" s="27"/>
      <c r="V2568" s="27"/>
      <c r="W2568" s="27"/>
      <c r="X2568" s="27"/>
      <c r="Y2568" s="27"/>
      <c r="Z2568" s="17"/>
      <c r="AA2568" s="17"/>
      <c r="AB2568" s="17"/>
      <c r="AC2568" s="17"/>
      <c r="AD2568" s="27"/>
    </row>
    <row r="2569" ht="15.75" customHeight="1">
      <c r="A2569" s="27"/>
      <c r="B2569" s="27"/>
      <c r="C2569" s="27"/>
      <c r="D2569" s="27"/>
      <c r="E2569" s="27"/>
      <c r="F2569" s="27"/>
      <c r="G2569" s="27"/>
      <c r="H2569" s="27"/>
      <c r="I2569" s="27"/>
      <c r="J2569" s="27"/>
      <c r="K2569" s="27"/>
      <c r="L2569" s="27"/>
      <c r="M2569" s="27"/>
      <c r="N2569" s="27"/>
      <c r="O2569" s="27"/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17"/>
      <c r="AA2569" s="17"/>
      <c r="AB2569" s="17"/>
      <c r="AC2569" s="17"/>
      <c r="AD2569" s="27"/>
    </row>
    <row r="2570" ht="15.75" customHeight="1">
      <c r="A2570" s="27"/>
      <c r="B2570" s="27"/>
      <c r="C2570" s="27"/>
      <c r="D2570" s="27"/>
      <c r="E2570" s="27"/>
      <c r="F2570" s="27"/>
      <c r="G2570" s="27"/>
      <c r="H2570" s="27"/>
      <c r="I2570" s="27"/>
      <c r="J2570" s="27"/>
      <c r="K2570" s="27"/>
      <c r="L2570" s="27"/>
      <c r="M2570" s="27"/>
      <c r="N2570" s="27"/>
      <c r="O2570" s="27"/>
      <c r="P2570" s="27"/>
      <c r="Q2570" s="27"/>
      <c r="R2570" s="27"/>
      <c r="S2570" s="27"/>
      <c r="T2570" s="27"/>
      <c r="U2570" s="27"/>
      <c r="V2570" s="27"/>
      <c r="W2570" s="27"/>
      <c r="X2570" s="27"/>
      <c r="Y2570" s="27"/>
      <c r="Z2570" s="17"/>
      <c r="AA2570" s="17"/>
      <c r="AB2570" s="17"/>
      <c r="AC2570" s="17"/>
      <c r="AD2570" s="27"/>
    </row>
    <row r="2571" ht="15.75" customHeight="1">
      <c r="A2571" s="27"/>
      <c r="B2571" s="27"/>
      <c r="C2571" s="27"/>
      <c r="D2571" s="27"/>
      <c r="E2571" s="27"/>
      <c r="F2571" s="27"/>
      <c r="G2571" s="27"/>
      <c r="H2571" s="27"/>
      <c r="I2571" s="27"/>
      <c r="J2571" s="27"/>
      <c r="K2571" s="27"/>
      <c r="L2571" s="27"/>
      <c r="M2571" s="27"/>
      <c r="N2571" s="27"/>
      <c r="O2571" s="27"/>
      <c r="P2571" s="27"/>
      <c r="Q2571" s="27"/>
      <c r="R2571" s="27"/>
      <c r="S2571" s="27"/>
      <c r="T2571" s="27"/>
      <c r="U2571" s="27"/>
      <c r="V2571" s="27"/>
      <c r="W2571" s="27"/>
      <c r="X2571" s="27"/>
      <c r="Y2571" s="27"/>
      <c r="Z2571" s="17"/>
      <c r="AA2571" s="17"/>
      <c r="AB2571" s="17"/>
      <c r="AC2571" s="17"/>
      <c r="AD2571" s="27"/>
    </row>
    <row r="2572" ht="15.75" customHeight="1">
      <c r="A2572" s="27"/>
      <c r="B2572" s="27"/>
      <c r="C2572" s="27"/>
      <c r="D2572" s="27"/>
      <c r="E2572" s="27"/>
      <c r="F2572" s="27"/>
      <c r="G2572" s="27"/>
      <c r="H2572" s="27"/>
      <c r="I2572" s="27"/>
      <c r="J2572" s="27"/>
      <c r="K2572" s="27"/>
      <c r="L2572" s="27"/>
      <c r="M2572" s="27"/>
      <c r="N2572" s="27"/>
      <c r="O2572" s="27"/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17"/>
      <c r="AA2572" s="17"/>
      <c r="AB2572" s="17"/>
      <c r="AC2572" s="17"/>
      <c r="AD2572" s="27"/>
    </row>
    <row r="2573" ht="15.75" customHeight="1">
      <c r="A2573" s="27"/>
      <c r="B2573" s="27"/>
      <c r="C2573" s="27"/>
      <c r="D2573" s="27"/>
      <c r="E2573" s="27"/>
      <c r="F2573" s="27"/>
      <c r="G2573" s="27"/>
      <c r="H2573" s="27"/>
      <c r="I2573" s="27"/>
      <c r="J2573" s="27"/>
      <c r="K2573" s="27"/>
      <c r="L2573" s="27"/>
      <c r="M2573" s="27"/>
      <c r="N2573" s="27"/>
      <c r="O2573" s="27"/>
      <c r="P2573" s="27"/>
      <c r="Q2573" s="27"/>
      <c r="R2573" s="27"/>
      <c r="S2573" s="27"/>
      <c r="T2573" s="27"/>
      <c r="U2573" s="27"/>
      <c r="V2573" s="27"/>
      <c r="W2573" s="27"/>
      <c r="X2573" s="27"/>
      <c r="Y2573" s="27"/>
      <c r="Z2573" s="17"/>
      <c r="AA2573" s="17"/>
      <c r="AB2573" s="17"/>
      <c r="AC2573" s="17"/>
      <c r="AD2573" s="27"/>
    </row>
    <row r="2574" ht="15.75" customHeight="1">
      <c r="A2574" s="27"/>
      <c r="B2574" s="27"/>
      <c r="C2574" s="27"/>
      <c r="D2574" s="27"/>
      <c r="E2574" s="27"/>
      <c r="F2574" s="27"/>
      <c r="G2574" s="27"/>
      <c r="H2574" s="27"/>
      <c r="I2574" s="27"/>
      <c r="J2574" s="27"/>
      <c r="K2574" s="27"/>
      <c r="L2574" s="27"/>
      <c r="M2574" s="27"/>
      <c r="N2574" s="27"/>
      <c r="O2574" s="27"/>
      <c r="P2574" s="27"/>
      <c r="Q2574" s="27"/>
      <c r="R2574" s="27"/>
      <c r="S2574" s="27"/>
      <c r="T2574" s="27"/>
      <c r="U2574" s="27"/>
      <c r="V2574" s="27"/>
      <c r="W2574" s="27"/>
      <c r="X2574" s="27"/>
      <c r="Y2574" s="27"/>
      <c r="Z2574" s="17"/>
      <c r="AA2574" s="17"/>
      <c r="AB2574" s="17"/>
      <c r="AC2574" s="17"/>
      <c r="AD2574" s="27"/>
    </row>
    <row r="2575" ht="15.75" customHeight="1">
      <c r="A2575" s="27"/>
      <c r="B2575" s="27"/>
      <c r="C2575" s="27"/>
      <c r="D2575" s="27"/>
      <c r="E2575" s="27"/>
      <c r="F2575" s="27"/>
      <c r="G2575" s="27"/>
      <c r="H2575" s="27"/>
      <c r="I2575" s="27"/>
      <c r="J2575" s="27"/>
      <c r="K2575" s="27"/>
      <c r="L2575" s="27"/>
      <c r="M2575" s="27"/>
      <c r="N2575" s="27"/>
      <c r="O2575" s="27"/>
      <c r="P2575" s="27"/>
      <c r="Q2575" s="27"/>
      <c r="R2575" s="27"/>
      <c r="S2575" s="27"/>
      <c r="T2575" s="27"/>
      <c r="U2575" s="27"/>
      <c r="V2575" s="27"/>
      <c r="W2575" s="27"/>
      <c r="X2575" s="27"/>
      <c r="Y2575" s="27"/>
      <c r="Z2575" s="17"/>
      <c r="AA2575" s="17"/>
      <c r="AB2575" s="17"/>
      <c r="AC2575" s="17"/>
      <c r="AD2575" s="27"/>
    </row>
    <row r="2576" ht="15.75" customHeight="1">
      <c r="A2576" s="27"/>
      <c r="B2576" s="27"/>
      <c r="C2576" s="27"/>
      <c r="D2576" s="27"/>
      <c r="E2576" s="27"/>
      <c r="F2576" s="27"/>
      <c r="G2576" s="27"/>
      <c r="H2576" s="27"/>
      <c r="I2576" s="27"/>
      <c r="J2576" s="27"/>
      <c r="K2576" s="27"/>
      <c r="L2576" s="27"/>
      <c r="M2576" s="27"/>
      <c r="N2576" s="27"/>
      <c r="O2576" s="27"/>
      <c r="P2576" s="27"/>
      <c r="Q2576" s="27"/>
      <c r="R2576" s="27"/>
      <c r="S2576" s="27"/>
      <c r="T2576" s="27"/>
      <c r="U2576" s="27"/>
      <c r="V2576" s="27"/>
      <c r="W2576" s="27"/>
      <c r="X2576" s="27"/>
      <c r="Y2576" s="27"/>
      <c r="Z2576" s="17"/>
      <c r="AA2576" s="17"/>
      <c r="AB2576" s="17"/>
      <c r="AC2576" s="17"/>
      <c r="AD2576" s="27"/>
    </row>
    <row r="2577" ht="15.75" customHeight="1">
      <c r="A2577" s="27"/>
      <c r="B2577" s="27"/>
      <c r="C2577" s="27"/>
      <c r="D2577" s="27"/>
      <c r="E2577" s="27"/>
      <c r="F2577" s="27"/>
      <c r="G2577" s="27"/>
      <c r="H2577" s="27"/>
      <c r="I2577" s="27"/>
      <c r="J2577" s="27"/>
      <c r="K2577" s="27"/>
      <c r="L2577" s="27"/>
      <c r="M2577" s="27"/>
      <c r="N2577" s="27"/>
      <c r="O2577" s="27"/>
      <c r="P2577" s="27"/>
      <c r="Q2577" s="27"/>
      <c r="R2577" s="27"/>
      <c r="S2577" s="27"/>
      <c r="T2577" s="27"/>
      <c r="U2577" s="27"/>
      <c r="V2577" s="27"/>
      <c r="W2577" s="27"/>
      <c r="X2577" s="27"/>
      <c r="Y2577" s="27"/>
      <c r="Z2577" s="17"/>
      <c r="AA2577" s="17"/>
      <c r="AB2577" s="17"/>
      <c r="AC2577" s="17"/>
      <c r="AD2577" s="27"/>
    </row>
    <row r="2578" ht="15.75" customHeight="1">
      <c r="A2578" s="27"/>
      <c r="B2578" s="27"/>
      <c r="C2578" s="27"/>
      <c r="D2578" s="27"/>
      <c r="E2578" s="27"/>
      <c r="F2578" s="27"/>
      <c r="G2578" s="27"/>
      <c r="H2578" s="27"/>
      <c r="I2578" s="27"/>
      <c r="J2578" s="27"/>
      <c r="K2578" s="27"/>
      <c r="L2578" s="27"/>
      <c r="M2578" s="27"/>
      <c r="N2578" s="27"/>
      <c r="O2578" s="27"/>
      <c r="P2578" s="27"/>
      <c r="Q2578" s="27"/>
      <c r="R2578" s="27"/>
      <c r="S2578" s="27"/>
      <c r="T2578" s="27"/>
      <c r="U2578" s="27"/>
      <c r="V2578" s="27"/>
      <c r="W2578" s="27"/>
      <c r="X2578" s="27"/>
      <c r="Y2578" s="27"/>
      <c r="Z2578" s="17"/>
      <c r="AA2578" s="17"/>
      <c r="AB2578" s="17"/>
      <c r="AC2578" s="17"/>
      <c r="AD2578" s="27"/>
    </row>
    <row r="2579" ht="15.75" customHeight="1">
      <c r="A2579" s="27"/>
      <c r="B2579" s="27"/>
      <c r="C2579" s="27"/>
      <c r="D2579" s="27"/>
      <c r="E2579" s="27"/>
      <c r="F2579" s="27"/>
      <c r="G2579" s="27"/>
      <c r="H2579" s="27"/>
      <c r="I2579" s="27"/>
      <c r="J2579" s="27"/>
      <c r="K2579" s="27"/>
      <c r="L2579" s="27"/>
      <c r="M2579" s="27"/>
      <c r="N2579" s="27"/>
      <c r="O2579" s="27"/>
      <c r="P2579" s="27"/>
      <c r="Q2579" s="27"/>
      <c r="R2579" s="27"/>
      <c r="S2579" s="27"/>
      <c r="T2579" s="27"/>
      <c r="U2579" s="27"/>
      <c r="V2579" s="27"/>
      <c r="W2579" s="27"/>
      <c r="X2579" s="27"/>
      <c r="Y2579" s="27"/>
      <c r="Z2579" s="17"/>
      <c r="AA2579" s="17"/>
      <c r="AB2579" s="17"/>
      <c r="AC2579" s="17"/>
      <c r="AD2579" s="27"/>
    </row>
    <row r="2580" ht="15.75" customHeight="1">
      <c r="A2580" s="27"/>
      <c r="B2580" s="27"/>
      <c r="C2580" s="27"/>
      <c r="D2580" s="27"/>
      <c r="E2580" s="27"/>
      <c r="F2580" s="27"/>
      <c r="G2580" s="27"/>
      <c r="H2580" s="27"/>
      <c r="I2580" s="27"/>
      <c r="J2580" s="27"/>
      <c r="K2580" s="27"/>
      <c r="L2580" s="27"/>
      <c r="M2580" s="27"/>
      <c r="N2580" s="27"/>
      <c r="O2580" s="27"/>
      <c r="P2580" s="27"/>
      <c r="Q2580" s="27"/>
      <c r="R2580" s="27"/>
      <c r="S2580" s="27"/>
      <c r="T2580" s="27"/>
      <c r="U2580" s="27"/>
      <c r="V2580" s="27"/>
      <c r="W2580" s="27"/>
      <c r="X2580" s="27"/>
      <c r="Y2580" s="27"/>
      <c r="Z2580" s="17"/>
      <c r="AA2580" s="17"/>
      <c r="AB2580" s="17"/>
      <c r="AC2580" s="17"/>
      <c r="AD2580" s="27"/>
    </row>
    <row r="2581" ht="15.75" customHeight="1">
      <c r="A2581" s="27"/>
      <c r="B2581" s="27"/>
      <c r="C2581" s="27"/>
      <c r="D2581" s="27"/>
      <c r="E2581" s="27"/>
      <c r="F2581" s="27"/>
      <c r="G2581" s="27"/>
      <c r="H2581" s="27"/>
      <c r="I2581" s="27"/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  <c r="T2581" s="27"/>
      <c r="U2581" s="27"/>
      <c r="V2581" s="27"/>
      <c r="W2581" s="27"/>
      <c r="X2581" s="27"/>
      <c r="Y2581" s="27"/>
      <c r="Z2581" s="17"/>
      <c r="AA2581" s="17"/>
      <c r="AB2581" s="17"/>
      <c r="AC2581" s="17"/>
      <c r="AD2581" s="27"/>
    </row>
    <row r="2582" ht="15.75" customHeight="1">
      <c r="A2582" s="27"/>
      <c r="B2582" s="27"/>
      <c r="C2582" s="27"/>
      <c r="D2582" s="27"/>
      <c r="E2582" s="27"/>
      <c r="F2582" s="27"/>
      <c r="G2582" s="27"/>
      <c r="H2582" s="27"/>
      <c r="I2582" s="27"/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  <c r="T2582" s="27"/>
      <c r="U2582" s="27"/>
      <c r="V2582" s="27"/>
      <c r="W2582" s="27"/>
      <c r="X2582" s="27"/>
      <c r="Y2582" s="27"/>
      <c r="Z2582" s="17"/>
      <c r="AA2582" s="17"/>
      <c r="AB2582" s="17"/>
      <c r="AC2582" s="17"/>
      <c r="AD2582" s="27"/>
    </row>
    <row r="2583" ht="15.75" customHeight="1">
      <c r="A2583" s="27"/>
      <c r="B2583" s="27"/>
      <c r="C2583" s="27"/>
      <c r="D2583" s="27"/>
      <c r="E2583" s="27"/>
      <c r="F2583" s="27"/>
      <c r="G2583" s="27"/>
      <c r="H2583" s="27"/>
      <c r="I2583" s="27"/>
      <c r="J2583" s="27"/>
      <c r="K2583" s="27"/>
      <c r="L2583" s="27"/>
      <c r="M2583" s="27"/>
      <c r="N2583" s="27"/>
      <c r="O2583" s="27"/>
      <c r="P2583" s="27"/>
      <c r="Q2583" s="27"/>
      <c r="R2583" s="27"/>
      <c r="S2583" s="27"/>
      <c r="T2583" s="27"/>
      <c r="U2583" s="27"/>
      <c r="V2583" s="27"/>
      <c r="W2583" s="27"/>
      <c r="X2583" s="27"/>
      <c r="Y2583" s="27"/>
      <c r="Z2583" s="17"/>
      <c r="AA2583" s="17"/>
      <c r="AB2583" s="17"/>
      <c r="AC2583" s="17"/>
      <c r="AD2583" s="27"/>
    </row>
    <row r="2584" ht="15.75" customHeight="1">
      <c r="A2584" s="27"/>
      <c r="B2584" s="27"/>
      <c r="C2584" s="27"/>
      <c r="D2584" s="27"/>
      <c r="E2584" s="27"/>
      <c r="F2584" s="27"/>
      <c r="G2584" s="27"/>
      <c r="H2584" s="27"/>
      <c r="I2584" s="27"/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  <c r="T2584" s="27"/>
      <c r="U2584" s="27"/>
      <c r="V2584" s="27"/>
      <c r="W2584" s="27"/>
      <c r="X2584" s="27"/>
      <c r="Y2584" s="27"/>
      <c r="Z2584" s="17"/>
      <c r="AA2584" s="17"/>
      <c r="AB2584" s="17"/>
      <c r="AC2584" s="17"/>
      <c r="AD2584" s="27"/>
    </row>
    <row r="2585" ht="15.75" customHeight="1">
      <c r="A2585" s="27"/>
      <c r="B2585" s="27"/>
      <c r="C2585" s="27"/>
      <c r="D2585" s="27"/>
      <c r="E2585" s="27"/>
      <c r="F2585" s="27"/>
      <c r="G2585" s="27"/>
      <c r="H2585" s="27"/>
      <c r="I2585" s="27"/>
      <c r="J2585" s="27"/>
      <c r="K2585" s="27"/>
      <c r="L2585" s="27"/>
      <c r="M2585" s="27"/>
      <c r="N2585" s="27"/>
      <c r="O2585" s="27"/>
      <c r="P2585" s="27"/>
      <c r="Q2585" s="27"/>
      <c r="R2585" s="27"/>
      <c r="S2585" s="27"/>
      <c r="T2585" s="27"/>
      <c r="U2585" s="27"/>
      <c r="V2585" s="27"/>
      <c r="W2585" s="27"/>
      <c r="X2585" s="27"/>
      <c r="Y2585" s="27"/>
      <c r="Z2585" s="17"/>
      <c r="AA2585" s="17"/>
      <c r="AB2585" s="17"/>
      <c r="AC2585" s="17"/>
      <c r="AD2585" s="27"/>
    </row>
    <row r="2586" ht="15.75" customHeight="1">
      <c r="A2586" s="27"/>
      <c r="B2586" s="27"/>
      <c r="C2586" s="27"/>
      <c r="D2586" s="27"/>
      <c r="E2586" s="27"/>
      <c r="F2586" s="27"/>
      <c r="G2586" s="27"/>
      <c r="H2586" s="27"/>
      <c r="I2586" s="27"/>
      <c r="J2586" s="27"/>
      <c r="K2586" s="27"/>
      <c r="L2586" s="27"/>
      <c r="M2586" s="27"/>
      <c r="N2586" s="27"/>
      <c r="O2586" s="27"/>
      <c r="P2586" s="27"/>
      <c r="Q2586" s="27"/>
      <c r="R2586" s="27"/>
      <c r="S2586" s="27"/>
      <c r="T2586" s="27"/>
      <c r="U2586" s="27"/>
      <c r="V2586" s="27"/>
      <c r="W2586" s="27"/>
      <c r="X2586" s="27"/>
      <c r="Y2586" s="27"/>
      <c r="Z2586" s="17"/>
      <c r="AA2586" s="17"/>
      <c r="AB2586" s="17"/>
      <c r="AC2586" s="17"/>
      <c r="AD2586" s="27"/>
    </row>
    <row r="2587" ht="15.75" customHeight="1">
      <c r="A2587" s="27"/>
      <c r="B2587" s="27"/>
      <c r="C2587" s="27"/>
      <c r="D2587" s="27"/>
      <c r="E2587" s="27"/>
      <c r="F2587" s="27"/>
      <c r="G2587" s="27"/>
      <c r="H2587" s="27"/>
      <c r="I2587" s="27"/>
      <c r="J2587" s="27"/>
      <c r="K2587" s="27"/>
      <c r="L2587" s="27"/>
      <c r="M2587" s="27"/>
      <c r="N2587" s="27"/>
      <c r="O2587" s="27"/>
      <c r="P2587" s="27"/>
      <c r="Q2587" s="27"/>
      <c r="R2587" s="27"/>
      <c r="S2587" s="27"/>
      <c r="T2587" s="27"/>
      <c r="U2587" s="27"/>
      <c r="V2587" s="27"/>
      <c r="W2587" s="27"/>
      <c r="X2587" s="27"/>
      <c r="Y2587" s="27"/>
      <c r="Z2587" s="17"/>
      <c r="AA2587" s="17"/>
      <c r="AB2587" s="17"/>
      <c r="AC2587" s="17"/>
      <c r="AD2587" s="27"/>
    </row>
    <row r="2588" ht="15.75" customHeight="1">
      <c r="A2588" s="27"/>
      <c r="B2588" s="27"/>
      <c r="C2588" s="27"/>
      <c r="D2588" s="27"/>
      <c r="E2588" s="27"/>
      <c r="F2588" s="27"/>
      <c r="G2588" s="27"/>
      <c r="H2588" s="27"/>
      <c r="I2588" s="27"/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  <c r="T2588" s="27"/>
      <c r="U2588" s="27"/>
      <c r="V2588" s="27"/>
      <c r="W2588" s="27"/>
      <c r="X2588" s="27"/>
      <c r="Y2588" s="27"/>
      <c r="Z2588" s="17"/>
      <c r="AA2588" s="17"/>
      <c r="AB2588" s="17"/>
      <c r="AC2588" s="17"/>
      <c r="AD2588" s="27"/>
    </row>
    <row r="2589" ht="15.75" customHeight="1">
      <c r="A2589" s="27"/>
      <c r="B2589" s="27"/>
      <c r="C2589" s="27"/>
      <c r="D2589" s="27"/>
      <c r="E2589" s="27"/>
      <c r="F2589" s="27"/>
      <c r="G2589" s="27"/>
      <c r="H2589" s="27"/>
      <c r="I2589" s="27"/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  <c r="T2589" s="27"/>
      <c r="U2589" s="27"/>
      <c r="V2589" s="27"/>
      <c r="W2589" s="27"/>
      <c r="X2589" s="27"/>
      <c r="Y2589" s="27"/>
      <c r="Z2589" s="17"/>
      <c r="AA2589" s="17"/>
      <c r="AB2589" s="17"/>
      <c r="AC2589" s="17"/>
      <c r="AD2589" s="27"/>
    </row>
    <row r="2590" ht="15.75" customHeight="1">
      <c r="A2590" s="27"/>
      <c r="B2590" s="27"/>
      <c r="C2590" s="27"/>
      <c r="D2590" s="27"/>
      <c r="E2590" s="27"/>
      <c r="F2590" s="27"/>
      <c r="G2590" s="27"/>
      <c r="H2590" s="27"/>
      <c r="I2590" s="27"/>
      <c r="J2590" s="27"/>
      <c r="K2590" s="27"/>
      <c r="L2590" s="27"/>
      <c r="M2590" s="27"/>
      <c r="N2590" s="27"/>
      <c r="O2590" s="27"/>
      <c r="P2590" s="27"/>
      <c r="Q2590" s="27"/>
      <c r="R2590" s="27"/>
      <c r="S2590" s="27"/>
      <c r="T2590" s="27"/>
      <c r="U2590" s="27"/>
      <c r="V2590" s="27"/>
      <c r="W2590" s="27"/>
      <c r="X2590" s="27"/>
      <c r="Y2590" s="27"/>
      <c r="Z2590" s="17"/>
      <c r="AA2590" s="17"/>
      <c r="AB2590" s="17"/>
      <c r="AC2590" s="17"/>
      <c r="AD2590" s="27"/>
    </row>
    <row r="2591" ht="15.75" customHeight="1">
      <c r="A2591" s="27"/>
      <c r="B2591" s="27"/>
      <c r="C2591" s="27"/>
      <c r="D2591" s="27"/>
      <c r="E2591" s="27"/>
      <c r="F2591" s="27"/>
      <c r="G2591" s="27"/>
      <c r="H2591" s="27"/>
      <c r="I2591" s="27"/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7"/>
      <c r="X2591" s="27"/>
      <c r="Y2591" s="27"/>
      <c r="Z2591" s="17"/>
      <c r="AA2591" s="17"/>
      <c r="AB2591" s="17"/>
      <c r="AC2591" s="17"/>
      <c r="AD2591" s="27"/>
    </row>
    <row r="2592" ht="15.75" customHeight="1">
      <c r="A2592" s="27"/>
      <c r="B2592" s="27"/>
      <c r="C2592" s="27"/>
      <c r="D2592" s="27"/>
      <c r="E2592" s="27"/>
      <c r="F2592" s="27"/>
      <c r="G2592" s="27"/>
      <c r="H2592" s="27"/>
      <c r="I2592" s="27"/>
      <c r="J2592" s="27"/>
      <c r="K2592" s="27"/>
      <c r="L2592" s="27"/>
      <c r="M2592" s="27"/>
      <c r="N2592" s="27"/>
      <c r="O2592" s="27"/>
      <c r="P2592" s="27"/>
      <c r="Q2592" s="27"/>
      <c r="R2592" s="27"/>
      <c r="S2592" s="27"/>
      <c r="T2592" s="27"/>
      <c r="U2592" s="27"/>
      <c r="V2592" s="27"/>
      <c r="W2592" s="27"/>
      <c r="X2592" s="27"/>
      <c r="Y2592" s="27"/>
      <c r="Z2592" s="17"/>
      <c r="AA2592" s="17"/>
      <c r="AB2592" s="17"/>
      <c r="AC2592" s="17"/>
      <c r="AD2592" s="27"/>
    </row>
    <row r="2593" ht="15.75" customHeight="1">
      <c r="A2593" s="27"/>
      <c r="B2593" s="27"/>
      <c r="C2593" s="27"/>
      <c r="D2593" s="27"/>
      <c r="E2593" s="27"/>
      <c r="F2593" s="27"/>
      <c r="G2593" s="27"/>
      <c r="H2593" s="27"/>
      <c r="I2593" s="27"/>
      <c r="J2593" s="27"/>
      <c r="K2593" s="27"/>
      <c r="L2593" s="27"/>
      <c r="M2593" s="27"/>
      <c r="N2593" s="27"/>
      <c r="O2593" s="27"/>
      <c r="P2593" s="27"/>
      <c r="Q2593" s="27"/>
      <c r="R2593" s="27"/>
      <c r="S2593" s="27"/>
      <c r="T2593" s="27"/>
      <c r="U2593" s="27"/>
      <c r="V2593" s="27"/>
      <c r="W2593" s="27"/>
      <c r="X2593" s="27"/>
      <c r="Y2593" s="27"/>
      <c r="Z2593" s="17"/>
      <c r="AA2593" s="17"/>
      <c r="AB2593" s="17"/>
      <c r="AC2593" s="17"/>
      <c r="AD2593" s="27"/>
    </row>
    <row r="2594" ht="15.75" customHeight="1">
      <c r="A2594" s="27"/>
      <c r="B2594" s="27"/>
      <c r="C2594" s="27"/>
      <c r="D2594" s="27"/>
      <c r="E2594" s="27"/>
      <c r="F2594" s="27"/>
      <c r="G2594" s="27"/>
      <c r="H2594" s="27"/>
      <c r="I2594" s="27"/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  <c r="T2594" s="27"/>
      <c r="U2594" s="27"/>
      <c r="V2594" s="27"/>
      <c r="W2594" s="27"/>
      <c r="X2594" s="27"/>
      <c r="Y2594" s="27"/>
      <c r="Z2594" s="17"/>
      <c r="AA2594" s="17"/>
      <c r="AB2594" s="17"/>
      <c r="AC2594" s="17"/>
      <c r="AD2594" s="27"/>
    </row>
    <row r="2595" ht="15.75" customHeight="1">
      <c r="A2595" s="27"/>
      <c r="B2595" s="27"/>
      <c r="C2595" s="27"/>
      <c r="D2595" s="27"/>
      <c r="E2595" s="27"/>
      <c r="F2595" s="27"/>
      <c r="G2595" s="27"/>
      <c r="H2595" s="27"/>
      <c r="I2595" s="27"/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  <c r="T2595" s="27"/>
      <c r="U2595" s="27"/>
      <c r="V2595" s="27"/>
      <c r="W2595" s="27"/>
      <c r="X2595" s="27"/>
      <c r="Y2595" s="27"/>
      <c r="Z2595" s="17"/>
      <c r="AA2595" s="17"/>
      <c r="AB2595" s="17"/>
      <c r="AC2595" s="17"/>
      <c r="AD2595" s="27"/>
    </row>
    <row r="2596" ht="15.75" customHeight="1">
      <c r="A2596" s="27"/>
      <c r="B2596" s="27"/>
      <c r="C2596" s="27"/>
      <c r="D2596" s="27"/>
      <c r="E2596" s="27"/>
      <c r="F2596" s="27"/>
      <c r="G2596" s="27"/>
      <c r="H2596" s="27"/>
      <c r="I2596" s="27"/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  <c r="T2596" s="27"/>
      <c r="U2596" s="27"/>
      <c r="V2596" s="27"/>
      <c r="W2596" s="27"/>
      <c r="X2596" s="27"/>
      <c r="Y2596" s="27"/>
      <c r="Z2596" s="17"/>
      <c r="AA2596" s="17"/>
      <c r="AB2596" s="17"/>
      <c r="AC2596" s="17"/>
      <c r="AD2596" s="27"/>
    </row>
    <row r="2597" ht="15.75" customHeight="1">
      <c r="A2597" s="27"/>
      <c r="B2597" s="27"/>
      <c r="C2597" s="27"/>
      <c r="D2597" s="27"/>
      <c r="E2597" s="27"/>
      <c r="F2597" s="27"/>
      <c r="G2597" s="27"/>
      <c r="H2597" s="27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7"/>
      <c r="X2597" s="27"/>
      <c r="Y2597" s="27"/>
      <c r="Z2597" s="17"/>
      <c r="AA2597" s="17"/>
      <c r="AB2597" s="17"/>
      <c r="AC2597" s="17"/>
      <c r="AD2597" s="27"/>
    </row>
    <row r="2598" ht="15.75" customHeight="1">
      <c r="A2598" s="27"/>
      <c r="B2598" s="27"/>
      <c r="C2598" s="27"/>
      <c r="D2598" s="27"/>
      <c r="E2598" s="27"/>
      <c r="F2598" s="27"/>
      <c r="G2598" s="27"/>
      <c r="H2598" s="27"/>
      <c r="I2598" s="27"/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  <c r="T2598" s="27"/>
      <c r="U2598" s="27"/>
      <c r="V2598" s="27"/>
      <c r="W2598" s="27"/>
      <c r="X2598" s="27"/>
      <c r="Y2598" s="27"/>
      <c r="Z2598" s="17"/>
      <c r="AA2598" s="17"/>
      <c r="AB2598" s="17"/>
      <c r="AC2598" s="17"/>
      <c r="AD2598" s="27"/>
    </row>
    <row r="2599" ht="15.75" customHeight="1">
      <c r="A2599" s="27"/>
      <c r="B2599" s="27"/>
      <c r="C2599" s="27"/>
      <c r="D2599" s="27"/>
      <c r="E2599" s="27"/>
      <c r="F2599" s="27"/>
      <c r="G2599" s="27"/>
      <c r="H2599" s="27"/>
      <c r="I2599" s="27"/>
      <c r="J2599" s="27"/>
      <c r="K2599" s="27"/>
      <c r="L2599" s="27"/>
      <c r="M2599" s="27"/>
      <c r="N2599" s="27"/>
      <c r="O2599" s="27"/>
      <c r="P2599" s="27"/>
      <c r="Q2599" s="27"/>
      <c r="R2599" s="27"/>
      <c r="S2599" s="27"/>
      <c r="T2599" s="27"/>
      <c r="U2599" s="27"/>
      <c r="V2599" s="27"/>
      <c r="W2599" s="27"/>
      <c r="X2599" s="27"/>
      <c r="Y2599" s="27"/>
      <c r="Z2599" s="17"/>
      <c r="AA2599" s="17"/>
      <c r="AB2599" s="17"/>
      <c r="AC2599" s="17"/>
      <c r="AD2599" s="27"/>
    </row>
    <row r="2600" ht="15.75" customHeight="1">
      <c r="A2600" s="27"/>
      <c r="B2600" s="27"/>
      <c r="C2600" s="27"/>
      <c r="D2600" s="27"/>
      <c r="E2600" s="27"/>
      <c r="F2600" s="27"/>
      <c r="G2600" s="27"/>
      <c r="H2600" s="27"/>
      <c r="I2600" s="27"/>
      <c r="J2600" s="27"/>
      <c r="K2600" s="27"/>
      <c r="L2600" s="27"/>
      <c r="M2600" s="27"/>
      <c r="N2600" s="27"/>
      <c r="O2600" s="27"/>
      <c r="P2600" s="27"/>
      <c r="Q2600" s="27"/>
      <c r="R2600" s="27"/>
      <c r="S2600" s="27"/>
      <c r="T2600" s="27"/>
      <c r="U2600" s="27"/>
      <c r="V2600" s="27"/>
      <c r="W2600" s="27"/>
      <c r="X2600" s="27"/>
      <c r="Y2600" s="27"/>
      <c r="Z2600" s="17"/>
      <c r="AA2600" s="17"/>
      <c r="AB2600" s="17"/>
      <c r="AC2600" s="17"/>
      <c r="AD2600" s="27"/>
    </row>
    <row r="2601" ht="15.75" customHeight="1">
      <c r="A2601" s="27"/>
      <c r="B2601" s="27"/>
      <c r="C2601" s="27"/>
      <c r="D2601" s="27"/>
      <c r="E2601" s="27"/>
      <c r="F2601" s="27"/>
      <c r="G2601" s="27"/>
      <c r="H2601" s="27"/>
      <c r="I2601" s="27"/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  <c r="T2601" s="27"/>
      <c r="U2601" s="27"/>
      <c r="V2601" s="27"/>
      <c r="W2601" s="27"/>
      <c r="X2601" s="27"/>
      <c r="Y2601" s="27"/>
      <c r="Z2601" s="17"/>
      <c r="AA2601" s="17"/>
      <c r="AB2601" s="17"/>
      <c r="AC2601" s="17"/>
      <c r="AD2601" s="27"/>
    </row>
    <row r="2602" ht="15.75" customHeight="1">
      <c r="A2602" s="27"/>
      <c r="B2602" s="27"/>
      <c r="C2602" s="27"/>
      <c r="D2602" s="27"/>
      <c r="E2602" s="27"/>
      <c r="F2602" s="27"/>
      <c r="G2602" s="27"/>
      <c r="H2602" s="27"/>
      <c r="I2602" s="27"/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7"/>
      <c r="X2602" s="27"/>
      <c r="Y2602" s="27"/>
      <c r="Z2602" s="17"/>
      <c r="AA2602" s="17"/>
      <c r="AB2602" s="17"/>
      <c r="AC2602" s="17"/>
      <c r="AD2602" s="27"/>
    </row>
    <row r="2603" ht="15.75" customHeight="1">
      <c r="A2603" s="27"/>
      <c r="B2603" s="27"/>
      <c r="C2603" s="27"/>
      <c r="D2603" s="27"/>
      <c r="E2603" s="27"/>
      <c r="F2603" s="27"/>
      <c r="G2603" s="27"/>
      <c r="H2603" s="27"/>
      <c r="I2603" s="27"/>
      <c r="J2603" s="27"/>
      <c r="K2603" s="27"/>
      <c r="L2603" s="27"/>
      <c r="M2603" s="27"/>
      <c r="N2603" s="27"/>
      <c r="O2603" s="27"/>
      <c r="P2603" s="27"/>
      <c r="Q2603" s="27"/>
      <c r="R2603" s="27"/>
      <c r="S2603" s="27"/>
      <c r="T2603" s="27"/>
      <c r="U2603" s="27"/>
      <c r="V2603" s="27"/>
      <c r="W2603" s="27"/>
      <c r="X2603" s="27"/>
      <c r="Y2603" s="27"/>
      <c r="Z2603" s="17"/>
      <c r="AA2603" s="17"/>
      <c r="AB2603" s="17"/>
      <c r="AC2603" s="17"/>
      <c r="AD2603" s="27"/>
    </row>
    <row r="2604" ht="15.75" customHeight="1">
      <c r="A2604" s="27"/>
      <c r="B2604" s="27"/>
      <c r="C2604" s="27"/>
      <c r="D2604" s="27"/>
      <c r="E2604" s="27"/>
      <c r="F2604" s="27"/>
      <c r="G2604" s="27"/>
      <c r="H2604" s="27"/>
      <c r="I2604" s="27"/>
      <c r="J2604" s="27"/>
      <c r="K2604" s="27"/>
      <c r="L2604" s="27"/>
      <c r="M2604" s="27"/>
      <c r="N2604" s="27"/>
      <c r="O2604" s="27"/>
      <c r="P2604" s="27"/>
      <c r="Q2604" s="27"/>
      <c r="R2604" s="27"/>
      <c r="S2604" s="27"/>
      <c r="T2604" s="27"/>
      <c r="U2604" s="27"/>
      <c r="V2604" s="27"/>
      <c r="W2604" s="27"/>
      <c r="X2604" s="27"/>
      <c r="Y2604" s="27"/>
      <c r="Z2604" s="17"/>
      <c r="AA2604" s="17"/>
      <c r="AB2604" s="17"/>
      <c r="AC2604" s="17"/>
      <c r="AD2604" s="27"/>
    </row>
    <row r="2605" ht="15.75" customHeight="1">
      <c r="A2605" s="27"/>
      <c r="B2605" s="27"/>
      <c r="C2605" s="27"/>
      <c r="D2605" s="27"/>
      <c r="E2605" s="27"/>
      <c r="F2605" s="27"/>
      <c r="G2605" s="27"/>
      <c r="H2605" s="27"/>
      <c r="I2605" s="27"/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7"/>
      <c r="X2605" s="27"/>
      <c r="Y2605" s="27"/>
      <c r="Z2605" s="17"/>
      <c r="AA2605" s="17"/>
      <c r="AB2605" s="17"/>
      <c r="AC2605" s="17"/>
      <c r="AD2605" s="27"/>
    </row>
    <row r="2606" ht="15.75" customHeight="1">
      <c r="A2606" s="27"/>
      <c r="B2606" s="27"/>
      <c r="C2606" s="27"/>
      <c r="D2606" s="27"/>
      <c r="E2606" s="27"/>
      <c r="F2606" s="27"/>
      <c r="G2606" s="27"/>
      <c r="H2606" s="27"/>
      <c r="I2606" s="27"/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  <c r="T2606" s="27"/>
      <c r="U2606" s="27"/>
      <c r="V2606" s="27"/>
      <c r="W2606" s="27"/>
      <c r="X2606" s="27"/>
      <c r="Y2606" s="27"/>
      <c r="Z2606" s="17"/>
      <c r="AA2606" s="17"/>
      <c r="AB2606" s="17"/>
      <c r="AC2606" s="17"/>
      <c r="AD2606" s="27"/>
    </row>
    <row r="2607" ht="15.75" customHeight="1">
      <c r="A2607" s="27"/>
      <c r="B2607" s="27"/>
      <c r="C2607" s="27"/>
      <c r="D2607" s="27"/>
      <c r="E2607" s="27"/>
      <c r="F2607" s="27"/>
      <c r="G2607" s="27"/>
      <c r="H2607" s="27"/>
      <c r="I2607" s="27"/>
      <c r="J2607" s="27"/>
      <c r="K2607" s="27"/>
      <c r="L2607" s="27"/>
      <c r="M2607" s="27"/>
      <c r="N2607" s="27"/>
      <c r="O2607" s="27"/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17"/>
      <c r="AA2607" s="17"/>
      <c r="AB2607" s="17"/>
      <c r="AC2607" s="17"/>
      <c r="AD2607" s="27"/>
    </row>
    <row r="2608" ht="15.75" customHeight="1">
      <c r="A2608" s="27"/>
      <c r="B2608" s="27"/>
      <c r="C2608" s="27"/>
      <c r="D2608" s="27"/>
      <c r="E2608" s="27"/>
      <c r="F2608" s="27"/>
      <c r="G2608" s="27"/>
      <c r="H2608" s="27"/>
      <c r="I2608" s="27"/>
      <c r="J2608" s="27"/>
      <c r="K2608" s="27"/>
      <c r="L2608" s="27"/>
      <c r="M2608" s="27"/>
      <c r="N2608" s="27"/>
      <c r="O2608" s="27"/>
      <c r="P2608" s="27"/>
      <c r="Q2608" s="27"/>
      <c r="R2608" s="27"/>
      <c r="S2608" s="27"/>
      <c r="T2608" s="27"/>
      <c r="U2608" s="27"/>
      <c r="V2608" s="27"/>
      <c r="W2608" s="27"/>
      <c r="X2608" s="27"/>
      <c r="Y2608" s="27"/>
      <c r="Z2608" s="17"/>
      <c r="AA2608" s="17"/>
      <c r="AB2608" s="17"/>
      <c r="AC2608" s="17"/>
      <c r="AD2608" s="27"/>
    </row>
    <row r="2609" ht="15.75" customHeight="1">
      <c r="A2609" s="27"/>
      <c r="B2609" s="27"/>
      <c r="C2609" s="27"/>
      <c r="D2609" s="27"/>
      <c r="E2609" s="27"/>
      <c r="F2609" s="27"/>
      <c r="G2609" s="27"/>
      <c r="H2609" s="27"/>
      <c r="I2609" s="27"/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  <c r="T2609" s="27"/>
      <c r="U2609" s="27"/>
      <c r="V2609" s="27"/>
      <c r="W2609" s="27"/>
      <c r="X2609" s="27"/>
      <c r="Y2609" s="27"/>
      <c r="Z2609" s="17"/>
      <c r="AA2609" s="17"/>
      <c r="AB2609" s="17"/>
      <c r="AC2609" s="17"/>
      <c r="AD2609" s="27"/>
    </row>
    <row r="2610" ht="15.75" customHeight="1">
      <c r="A2610" s="27"/>
      <c r="B2610" s="27"/>
      <c r="C2610" s="27"/>
      <c r="D2610" s="27"/>
      <c r="E2610" s="27"/>
      <c r="F2610" s="27"/>
      <c r="G2610" s="27"/>
      <c r="H2610" s="27"/>
      <c r="I2610" s="27"/>
      <c r="J2610" s="27"/>
      <c r="K2610" s="27"/>
      <c r="L2610" s="27"/>
      <c r="M2610" s="27"/>
      <c r="N2610" s="27"/>
      <c r="O2610" s="27"/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17"/>
      <c r="AA2610" s="17"/>
      <c r="AB2610" s="17"/>
      <c r="AC2610" s="17"/>
      <c r="AD2610" s="27"/>
    </row>
    <row r="2611" ht="15.75" customHeight="1">
      <c r="A2611" s="27"/>
      <c r="B2611" s="27"/>
      <c r="C2611" s="27"/>
      <c r="D2611" s="27"/>
      <c r="E2611" s="27"/>
      <c r="F2611" s="27"/>
      <c r="G2611" s="27"/>
      <c r="H2611" s="27"/>
      <c r="I2611" s="27"/>
      <c r="J2611" s="27"/>
      <c r="K2611" s="27"/>
      <c r="L2611" s="27"/>
      <c r="M2611" s="27"/>
      <c r="N2611" s="27"/>
      <c r="O2611" s="27"/>
      <c r="P2611" s="27"/>
      <c r="Q2611" s="27"/>
      <c r="R2611" s="27"/>
      <c r="S2611" s="27"/>
      <c r="T2611" s="27"/>
      <c r="U2611" s="27"/>
      <c r="V2611" s="27"/>
      <c r="W2611" s="27"/>
      <c r="X2611" s="27"/>
      <c r="Y2611" s="27"/>
      <c r="Z2611" s="17"/>
      <c r="AA2611" s="17"/>
      <c r="AB2611" s="17"/>
      <c r="AC2611" s="17"/>
      <c r="AD2611" s="27"/>
    </row>
    <row r="2612" ht="15.75" customHeight="1">
      <c r="A2612" s="27"/>
      <c r="B2612" s="27"/>
      <c r="C2612" s="27"/>
      <c r="D2612" s="27"/>
      <c r="E2612" s="27"/>
      <c r="F2612" s="27"/>
      <c r="G2612" s="27"/>
      <c r="H2612" s="27"/>
      <c r="I2612" s="27"/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  <c r="T2612" s="27"/>
      <c r="U2612" s="27"/>
      <c r="V2612" s="27"/>
      <c r="W2612" s="27"/>
      <c r="X2612" s="27"/>
      <c r="Y2612" s="27"/>
      <c r="Z2612" s="17"/>
      <c r="AA2612" s="17"/>
      <c r="AB2612" s="17"/>
      <c r="AC2612" s="17"/>
      <c r="AD2612" s="27"/>
    </row>
    <row r="2613" ht="15.75" customHeight="1">
      <c r="A2613" s="27"/>
      <c r="B2613" s="27"/>
      <c r="C2613" s="27"/>
      <c r="D2613" s="27"/>
      <c r="E2613" s="27"/>
      <c r="F2613" s="27"/>
      <c r="G2613" s="27"/>
      <c r="H2613" s="27"/>
      <c r="I2613" s="27"/>
      <c r="J2613" s="27"/>
      <c r="K2613" s="27"/>
      <c r="L2613" s="27"/>
      <c r="M2613" s="27"/>
      <c r="N2613" s="27"/>
      <c r="O2613" s="27"/>
      <c r="P2613" s="27"/>
      <c r="Q2613" s="27"/>
      <c r="R2613" s="27"/>
      <c r="S2613" s="27"/>
      <c r="T2613" s="27"/>
      <c r="U2613" s="27"/>
      <c r="V2613" s="27"/>
      <c r="W2613" s="27"/>
      <c r="X2613" s="27"/>
      <c r="Y2613" s="27"/>
      <c r="Z2613" s="17"/>
      <c r="AA2613" s="17"/>
      <c r="AB2613" s="17"/>
      <c r="AC2613" s="17"/>
      <c r="AD2613" s="27"/>
    </row>
    <row r="2614" ht="15.75" customHeight="1">
      <c r="A2614" s="27"/>
      <c r="B2614" s="27"/>
      <c r="C2614" s="27"/>
      <c r="D2614" s="27"/>
      <c r="E2614" s="27"/>
      <c r="F2614" s="27"/>
      <c r="G2614" s="27"/>
      <c r="H2614" s="27"/>
      <c r="I2614" s="27"/>
      <c r="J2614" s="27"/>
      <c r="K2614" s="27"/>
      <c r="L2614" s="27"/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17"/>
      <c r="AA2614" s="17"/>
      <c r="AB2614" s="17"/>
      <c r="AC2614" s="17"/>
      <c r="AD2614" s="27"/>
    </row>
    <row r="2615" ht="15.75" customHeight="1">
      <c r="A2615" s="27"/>
      <c r="B2615" s="27"/>
      <c r="C2615" s="27"/>
      <c r="D2615" s="27"/>
      <c r="E2615" s="27"/>
      <c r="F2615" s="27"/>
      <c r="G2615" s="27"/>
      <c r="H2615" s="27"/>
      <c r="I2615" s="27"/>
      <c r="J2615" s="27"/>
      <c r="K2615" s="27"/>
      <c r="L2615" s="27"/>
      <c r="M2615" s="27"/>
      <c r="N2615" s="27"/>
      <c r="O2615" s="27"/>
      <c r="P2615" s="27"/>
      <c r="Q2615" s="27"/>
      <c r="R2615" s="27"/>
      <c r="S2615" s="27"/>
      <c r="T2615" s="27"/>
      <c r="U2615" s="27"/>
      <c r="V2615" s="27"/>
      <c r="W2615" s="27"/>
      <c r="X2615" s="27"/>
      <c r="Y2615" s="27"/>
      <c r="Z2615" s="17"/>
      <c r="AA2615" s="17"/>
      <c r="AB2615" s="17"/>
      <c r="AC2615" s="17"/>
      <c r="AD2615" s="27"/>
    </row>
    <row r="2616" ht="15.75" customHeight="1">
      <c r="A2616" s="27"/>
      <c r="B2616" s="27"/>
      <c r="C2616" s="27"/>
      <c r="D2616" s="27"/>
      <c r="E2616" s="27"/>
      <c r="F2616" s="27"/>
      <c r="G2616" s="27"/>
      <c r="H2616" s="27"/>
      <c r="I2616" s="27"/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7"/>
      <c r="X2616" s="27"/>
      <c r="Y2616" s="27"/>
      <c r="Z2616" s="17"/>
      <c r="AA2616" s="17"/>
      <c r="AB2616" s="17"/>
      <c r="AC2616" s="17"/>
      <c r="AD2616" s="27"/>
    </row>
    <row r="2617" ht="15.75" customHeight="1">
      <c r="A2617" s="27"/>
      <c r="B2617" s="27"/>
      <c r="C2617" s="27"/>
      <c r="D2617" s="27"/>
      <c r="E2617" s="27"/>
      <c r="F2617" s="27"/>
      <c r="G2617" s="27"/>
      <c r="H2617" s="27"/>
      <c r="I2617" s="27"/>
      <c r="J2617" s="27"/>
      <c r="K2617" s="27"/>
      <c r="L2617" s="27"/>
      <c r="M2617" s="27"/>
      <c r="N2617" s="27"/>
      <c r="O2617" s="27"/>
      <c r="P2617" s="27"/>
      <c r="Q2617" s="27"/>
      <c r="R2617" s="27"/>
      <c r="S2617" s="27"/>
      <c r="T2617" s="27"/>
      <c r="U2617" s="27"/>
      <c r="V2617" s="27"/>
      <c r="W2617" s="27"/>
      <c r="X2617" s="27"/>
      <c r="Y2617" s="27"/>
      <c r="Z2617" s="17"/>
      <c r="AA2617" s="17"/>
      <c r="AB2617" s="17"/>
      <c r="AC2617" s="17"/>
      <c r="AD2617" s="27"/>
    </row>
    <row r="2618" ht="15.75" customHeight="1">
      <c r="A2618" s="27"/>
      <c r="B2618" s="27"/>
      <c r="C2618" s="27"/>
      <c r="D2618" s="27"/>
      <c r="E2618" s="27"/>
      <c r="F2618" s="27"/>
      <c r="G2618" s="27"/>
      <c r="H2618" s="27"/>
      <c r="I2618" s="27"/>
      <c r="J2618" s="27"/>
      <c r="K2618" s="27"/>
      <c r="L2618" s="27"/>
      <c r="M2618" s="27"/>
      <c r="N2618" s="27"/>
      <c r="O2618" s="27"/>
      <c r="P2618" s="27"/>
      <c r="Q2618" s="27"/>
      <c r="R2618" s="27"/>
      <c r="S2618" s="27"/>
      <c r="T2618" s="27"/>
      <c r="U2618" s="27"/>
      <c r="V2618" s="27"/>
      <c r="W2618" s="27"/>
      <c r="X2618" s="27"/>
      <c r="Y2618" s="27"/>
      <c r="Z2618" s="17"/>
      <c r="AA2618" s="17"/>
      <c r="AB2618" s="17"/>
      <c r="AC2618" s="17"/>
      <c r="AD2618" s="27"/>
    </row>
    <row r="2619" ht="15.75" customHeight="1">
      <c r="A2619" s="27"/>
      <c r="B2619" s="27"/>
      <c r="C2619" s="27"/>
      <c r="D2619" s="27"/>
      <c r="E2619" s="27"/>
      <c r="F2619" s="27"/>
      <c r="G2619" s="27"/>
      <c r="H2619" s="27"/>
      <c r="I2619" s="27"/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7"/>
      <c r="X2619" s="27"/>
      <c r="Y2619" s="27"/>
      <c r="Z2619" s="17"/>
      <c r="AA2619" s="17"/>
      <c r="AB2619" s="17"/>
      <c r="AC2619" s="17"/>
      <c r="AD2619" s="27"/>
    </row>
    <row r="2620" ht="15.75" customHeight="1">
      <c r="A2620" s="27"/>
      <c r="B2620" s="27"/>
      <c r="C2620" s="27"/>
      <c r="D2620" s="27"/>
      <c r="E2620" s="27"/>
      <c r="F2620" s="27"/>
      <c r="G2620" s="27"/>
      <c r="H2620" s="27"/>
      <c r="I2620" s="27"/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7"/>
      <c r="X2620" s="27"/>
      <c r="Y2620" s="27"/>
      <c r="Z2620" s="17"/>
      <c r="AA2620" s="17"/>
      <c r="AB2620" s="17"/>
      <c r="AC2620" s="17"/>
      <c r="AD2620" s="27"/>
    </row>
    <row r="2621" ht="15.75" customHeight="1">
      <c r="A2621" s="27"/>
      <c r="B2621" s="27"/>
      <c r="C2621" s="27"/>
      <c r="D2621" s="27"/>
      <c r="E2621" s="27"/>
      <c r="F2621" s="27"/>
      <c r="G2621" s="27"/>
      <c r="H2621" s="27"/>
      <c r="I2621" s="27"/>
      <c r="J2621" s="27"/>
      <c r="K2621" s="27"/>
      <c r="L2621" s="27"/>
      <c r="M2621" s="27"/>
      <c r="N2621" s="27"/>
      <c r="O2621" s="27"/>
      <c r="P2621" s="27"/>
      <c r="Q2621" s="27"/>
      <c r="R2621" s="27"/>
      <c r="S2621" s="27"/>
      <c r="T2621" s="27"/>
      <c r="U2621" s="27"/>
      <c r="V2621" s="27"/>
      <c r="W2621" s="27"/>
      <c r="X2621" s="27"/>
      <c r="Y2621" s="27"/>
      <c r="Z2621" s="17"/>
      <c r="AA2621" s="17"/>
      <c r="AB2621" s="17"/>
      <c r="AC2621" s="17"/>
      <c r="AD2621" s="27"/>
    </row>
    <row r="2622" ht="15.75" customHeight="1">
      <c r="A2622" s="27"/>
      <c r="B2622" s="27"/>
      <c r="C2622" s="27"/>
      <c r="D2622" s="27"/>
      <c r="E2622" s="27"/>
      <c r="F2622" s="27"/>
      <c r="G2622" s="27"/>
      <c r="H2622" s="27"/>
      <c r="I2622" s="27"/>
      <c r="J2622" s="27"/>
      <c r="K2622" s="27"/>
      <c r="L2622" s="27"/>
      <c r="M2622" s="27"/>
      <c r="N2622" s="27"/>
      <c r="O2622" s="27"/>
      <c r="P2622" s="27"/>
      <c r="Q2622" s="27"/>
      <c r="R2622" s="27"/>
      <c r="S2622" s="27"/>
      <c r="T2622" s="27"/>
      <c r="U2622" s="27"/>
      <c r="V2622" s="27"/>
      <c r="W2622" s="27"/>
      <c r="X2622" s="27"/>
      <c r="Y2622" s="27"/>
      <c r="Z2622" s="17"/>
      <c r="AA2622" s="17"/>
      <c r="AB2622" s="17"/>
      <c r="AC2622" s="17"/>
      <c r="AD2622" s="27"/>
    </row>
    <row r="2623" ht="15.75" customHeight="1">
      <c r="A2623" s="27"/>
      <c r="B2623" s="27"/>
      <c r="C2623" s="27"/>
      <c r="D2623" s="27"/>
      <c r="E2623" s="27"/>
      <c r="F2623" s="27"/>
      <c r="G2623" s="27"/>
      <c r="H2623" s="27"/>
      <c r="I2623" s="27"/>
      <c r="J2623" s="27"/>
      <c r="K2623" s="27"/>
      <c r="L2623" s="27"/>
      <c r="M2623" s="27"/>
      <c r="N2623" s="27"/>
      <c r="O2623" s="27"/>
      <c r="P2623" s="27"/>
      <c r="Q2623" s="27"/>
      <c r="R2623" s="27"/>
      <c r="S2623" s="27"/>
      <c r="T2623" s="27"/>
      <c r="U2623" s="27"/>
      <c r="V2623" s="27"/>
      <c r="W2623" s="27"/>
      <c r="X2623" s="27"/>
      <c r="Y2623" s="27"/>
      <c r="Z2623" s="17"/>
      <c r="AA2623" s="17"/>
      <c r="AB2623" s="17"/>
      <c r="AC2623" s="17"/>
      <c r="AD2623" s="27"/>
    </row>
    <row r="2624" ht="15.75" customHeight="1">
      <c r="A2624" s="27"/>
      <c r="B2624" s="27"/>
      <c r="C2624" s="27"/>
      <c r="D2624" s="27"/>
      <c r="E2624" s="27"/>
      <c r="F2624" s="27"/>
      <c r="G2624" s="27"/>
      <c r="H2624" s="27"/>
      <c r="I2624" s="27"/>
      <c r="J2624" s="27"/>
      <c r="K2624" s="27"/>
      <c r="L2624" s="27"/>
      <c r="M2624" s="27"/>
      <c r="N2624" s="27"/>
      <c r="O2624" s="27"/>
      <c r="P2624" s="27"/>
      <c r="Q2624" s="27"/>
      <c r="R2624" s="27"/>
      <c r="S2624" s="27"/>
      <c r="T2624" s="27"/>
      <c r="U2624" s="27"/>
      <c r="V2624" s="27"/>
      <c r="W2624" s="27"/>
      <c r="X2624" s="27"/>
      <c r="Y2624" s="27"/>
      <c r="Z2624" s="17"/>
      <c r="AA2624" s="17"/>
      <c r="AB2624" s="17"/>
      <c r="AC2624" s="17"/>
      <c r="AD2624" s="27"/>
    </row>
    <row r="2625" ht="15.75" customHeight="1">
      <c r="A2625" s="27"/>
      <c r="B2625" s="27"/>
      <c r="C2625" s="27"/>
      <c r="D2625" s="27"/>
      <c r="E2625" s="27"/>
      <c r="F2625" s="27"/>
      <c r="G2625" s="27"/>
      <c r="H2625" s="27"/>
      <c r="I2625" s="27"/>
      <c r="J2625" s="27"/>
      <c r="K2625" s="27"/>
      <c r="L2625" s="27"/>
      <c r="M2625" s="27"/>
      <c r="N2625" s="27"/>
      <c r="O2625" s="27"/>
      <c r="P2625" s="27"/>
      <c r="Q2625" s="27"/>
      <c r="R2625" s="27"/>
      <c r="S2625" s="27"/>
      <c r="T2625" s="27"/>
      <c r="U2625" s="27"/>
      <c r="V2625" s="27"/>
      <c r="W2625" s="27"/>
      <c r="X2625" s="27"/>
      <c r="Y2625" s="27"/>
      <c r="Z2625" s="17"/>
      <c r="AA2625" s="17"/>
      <c r="AB2625" s="17"/>
      <c r="AC2625" s="17"/>
      <c r="AD2625" s="27"/>
    </row>
    <row r="2626" ht="15.75" customHeight="1">
      <c r="A2626" s="27"/>
      <c r="B2626" s="27"/>
      <c r="C2626" s="27"/>
      <c r="D2626" s="27"/>
      <c r="E2626" s="27"/>
      <c r="F2626" s="27"/>
      <c r="G2626" s="27"/>
      <c r="H2626" s="27"/>
      <c r="I2626" s="27"/>
      <c r="J2626" s="27"/>
      <c r="K2626" s="27"/>
      <c r="L2626" s="27"/>
      <c r="M2626" s="27"/>
      <c r="N2626" s="27"/>
      <c r="O2626" s="27"/>
      <c r="P2626" s="27"/>
      <c r="Q2626" s="27"/>
      <c r="R2626" s="27"/>
      <c r="S2626" s="27"/>
      <c r="T2626" s="27"/>
      <c r="U2626" s="27"/>
      <c r="V2626" s="27"/>
      <c r="W2626" s="27"/>
      <c r="X2626" s="27"/>
      <c r="Y2626" s="27"/>
      <c r="Z2626" s="17"/>
      <c r="AA2626" s="17"/>
      <c r="AB2626" s="17"/>
      <c r="AC2626" s="17"/>
      <c r="AD2626" s="27"/>
    </row>
    <row r="2627" ht="15.75" customHeight="1">
      <c r="A2627" s="27"/>
      <c r="B2627" s="27"/>
      <c r="C2627" s="27"/>
      <c r="D2627" s="27"/>
      <c r="E2627" s="27"/>
      <c r="F2627" s="27"/>
      <c r="G2627" s="27"/>
      <c r="H2627" s="27"/>
      <c r="I2627" s="27"/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7"/>
      <c r="X2627" s="27"/>
      <c r="Y2627" s="27"/>
      <c r="Z2627" s="17"/>
      <c r="AA2627" s="17"/>
      <c r="AB2627" s="17"/>
      <c r="AC2627" s="17"/>
      <c r="AD2627" s="27"/>
    </row>
    <row r="2628" ht="15.75" customHeight="1">
      <c r="A2628" s="27"/>
      <c r="B2628" s="27"/>
      <c r="C2628" s="27"/>
      <c r="D2628" s="27"/>
      <c r="E2628" s="27"/>
      <c r="F2628" s="27"/>
      <c r="G2628" s="27"/>
      <c r="H2628" s="27"/>
      <c r="I2628" s="27"/>
      <c r="J2628" s="27"/>
      <c r="K2628" s="27"/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7"/>
      <c r="W2628" s="27"/>
      <c r="X2628" s="27"/>
      <c r="Y2628" s="27"/>
      <c r="Z2628" s="17"/>
      <c r="AA2628" s="17"/>
      <c r="AB2628" s="17"/>
      <c r="AC2628" s="17"/>
      <c r="AD2628" s="27"/>
    </row>
    <row r="2629" ht="15.75" customHeight="1">
      <c r="A2629" s="27"/>
      <c r="B2629" s="27"/>
      <c r="C2629" s="27"/>
      <c r="D2629" s="27"/>
      <c r="E2629" s="27"/>
      <c r="F2629" s="27"/>
      <c r="G2629" s="27"/>
      <c r="H2629" s="27"/>
      <c r="I2629" s="27"/>
      <c r="J2629" s="27"/>
      <c r="K2629" s="27"/>
      <c r="L2629" s="27"/>
      <c r="M2629" s="27"/>
      <c r="N2629" s="27"/>
      <c r="O2629" s="27"/>
      <c r="P2629" s="27"/>
      <c r="Q2629" s="27"/>
      <c r="R2629" s="27"/>
      <c r="S2629" s="27"/>
      <c r="T2629" s="27"/>
      <c r="U2629" s="27"/>
      <c r="V2629" s="27"/>
      <c r="W2629" s="27"/>
      <c r="X2629" s="27"/>
      <c r="Y2629" s="27"/>
      <c r="Z2629" s="17"/>
      <c r="AA2629" s="17"/>
      <c r="AB2629" s="17"/>
      <c r="AC2629" s="17"/>
      <c r="AD2629" s="27"/>
    </row>
    <row r="2630" ht="15.75" customHeight="1">
      <c r="A2630" s="27"/>
      <c r="B2630" s="27"/>
      <c r="C2630" s="27"/>
      <c r="D2630" s="27"/>
      <c r="E2630" s="27"/>
      <c r="F2630" s="27"/>
      <c r="G2630" s="27"/>
      <c r="H2630" s="27"/>
      <c r="I2630" s="27"/>
      <c r="J2630" s="27"/>
      <c r="K2630" s="27"/>
      <c r="L2630" s="27"/>
      <c r="M2630" s="27"/>
      <c r="N2630" s="27"/>
      <c r="O2630" s="27"/>
      <c r="P2630" s="27"/>
      <c r="Q2630" s="27"/>
      <c r="R2630" s="27"/>
      <c r="S2630" s="27"/>
      <c r="T2630" s="27"/>
      <c r="U2630" s="27"/>
      <c r="V2630" s="27"/>
      <c r="W2630" s="27"/>
      <c r="X2630" s="27"/>
      <c r="Y2630" s="27"/>
      <c r="Z2630" s="17"/>
      <c r="AA2630" s="17"/>
      <c r="AB2630" s="17"/>
      <c r="AC2630" s="17"/>
      <c r="AD2630" s="27"/>
    </row>
    <row r="2631" ht="15.75" customHeight="1">
      <c r="A2631" s="27"/>
      <c r="B2631" s="27"/>
      <c r="C2631" s="27"/>
      <c r="D2631" s="27"/>
      <c r="E2631" s="27"/>
      <c r="F2631" s="27"/>
      <c r="G2631" s="27"/>
      <c r="H2631" s="27"/>
      <c r="I2631" s="27"/>
      <c r="J2631" s="27"/>
      <c r="K2631" s="27"/>
      <c r="L2631" s="27"/>
      <c r="M2631" s="27"/>
      <c r="N2631" s="27"/>
      <c r="O2631" s="27"/>
      <c r="P2631" s="27"/>
      <c r="Q2631" s="27"/>
      <c r="R2631" s="27"/>
      <c r="S2631" s="27"/>
      <c r="T2631" s="27"/>
      <c r="U2631" s="27"/>
      <c r="V2631" s="27"/>
      <c r="W2631" s="27"/>
      <c r="X2631" s="27"/>
      <c r="Y2631" s="27"/>
      <c r="Z2631" s="17"/>
      <c r="AA2631" s="17"/>
      <c r="AB2631" s="17"/>
      <c r="AC2631" s="17"/>
      <c r="AD2631" s="27"/>
    </row>
    <row r="2632" ht="15.75" customHeight="1">
      <c r="A2632" s="27"/>
      <c r="B2632" s="27"/>
      <c r="C2632" s="27"/>
      <c r="D2632" s="27"/>
      <c r="E2632" s="27"/>
      <c r="F2632" s="27"/>
      <c r="G2632" s="27"/>
      <c r="H2632" s="27"/>
      <c r="I2632" s="27"/>
      <c r="J2632" s="27"/>
      <c r="K2632" s="27"/>
      <c r="L2632" s="27"/>
      <c r="M2632" s="27"/>
      <c r="N2632" s="27"/>
      <c r="O2632" s="27"/>
      <c r="P2632" s="27"/>
      <c r="Q2632" s="27"/>
      <c r="R2632" s="27"/>
      <c r="S2632" s="27"/>
      <c r="T2632" s="27"/>
      <c r="U2632" s="27"/>
      <c r="V2632" s="27"/>
      <c r="W2632" s="27"/>
      <c r="X2632" s="27"/>
      <c r="Y2632" s="27"/>
      <c r="Z2632" s="17"/>
      <c r="AA2632" s="17"/>
      <c r="AB2632" s="17"/>
      <c r="AC2632" s="17"/>
      <c r="AD2632" s="27"/>
    </row>
    <row r="2633" ht="15.75" customHeight="1">
      <c r="A2633" s="27"/>
      <c r="B2633" s="27"/>
      <c r="C2633" s="27"/>
      <c r="D2633" s="27"/>
      <c r="E2633" s="27"/>
      <c r="F2633" s="27"/>
      <c r="G2633" s="27"/>
      <c r="H2633" s="27"/>
      <c r="I2633" s="27"/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7"/>
      <c r="X2633" s="27"/>
      <c r="Y2633" s="27"/>
      <c r="Z2633" s="17"/>
      <c r="AA2633" s="17"/>
      <c r="AB2633" s="17"/>
      <c r="AC2633" s="17"/>
      <c r="AD2633" s="27"/>
    </row>
    <row r="2634" ht="15.75" customHeight="1">
      <c r="A2634" s="27"/>
      <c r="B2634" s="27"/>
      <c r="C2634" s="27"/>
      <c r="D2634" s="27"/>
      <c r="E2634" s="27"/>
      <c r="F2634" s="27"/>
      <c r="G2634" s="27"/>
      <c r="H2634" s="27"/>
      <c r="I2634" s="27"/>
      <c r="J2634" s="27"/>
      <c r="K2634" s="27"/>
      <c r="L2634" s="27"/>
      <c r="M2634" s="27"/>
      <c r="N2634" s="27"/>
      <c r="O2634" s="27"/>
      <c r="P2634" s="27"/>
      <c r="Q2634" s="27"/>
      <c r="R2634" s="27"/>
      <c r="S2634" s="27"/>
      <c r="T2634" s="27"/>
      <c r="U2634" s="27"/>
      <c r="V2634" s="27"/>
      <c r="W2634" s="27"/>
      <c r="X2634" s="27"/>
      <c r="Y2634" s="27"/>
      <c r="Z2634" s="17"/>
      <c r="AA2634" s="17"/>
      <c r="AB2634" s="17"/>
      <c r="AC2634" s="17"/>
      <c r="AD2634" s="27"/>
    </row>
    <row r="2635" ht="15.75" customHeight="1">
      <c r="A2635" s="27"/>
      <c r="B2635" s="27"/>
      <c r="C2635" s="27"/>
      <c r="D2635" s="27"/>
      <c r="E2635" s="27"/>
      <c r="F2635" s="27"/>
      <c r="G2635" s="27"/>
      <c r="H2635" s="27"/>
      <c r="I2635" s="27"/>
      <c r="J2635" s="27"/>
      <c r="K2635" s="27"/>
      <c r="L2635" s="27"/>
      <c r="M2635" s="27"/>
      <c r="N2635" s="27"/>
      <c r="O2635" s="27"/>
      <c r="P2635" s="27"/>
      <c r="Q2635" s="27"/>
      <c r="R2635" s="27"/>
      <c r="S2635" s="27"/>
      <c r="T2635" s="27"/>
      <c r="U2635" s="27"/>
      <c r="V2635" s="27"/>
      <c r="W2635" s="27"/>
      <c r="X2635" s="27"/>
      <c r="Y2635" s="27"/>
      <c r="Z2635" s="17"/>
      <c r="AA2635" s="17"/>
      <c r="AB2635" s="17"/>
      <c r="AC2635" s="17"/>
      <c r="AD2635" s="27"/>
    </row>
    <row r="2636" ht="15.75" customHeight="1">
      <c r="A2636" s="27"/>
      <c r="B2636" s="27"/>
      <c r="C2636" s="27"/>
      <c r="D2636" s="27"/>
      <c r="E2636" s="27"/>
      <c r="F2636" s="27"/>
      <c r="G2636" s="27"/>
      <c r="H2636" s="27"/>
      <c r="I2636" s="27"/>
      <c r="J2636" s="27"/>
      <c r="K2636" s="27"/>
      <c r="L2636" s="27"/>
      <c r="M2636" s="27"/>
      <c r="N2636" s="27"/>
      <c r="O2636" s="27"/>
      <c r="P2636" s="27"/>
      <c r="Q2636" s="27"/>
      <c r="R2636" s="27"/>
      <c r="S2636" s="27"/>
      <c r="T2636" s="27"/>
      <c r="U2636" s="27"/>
      <c r="V2636" s="27"/>
      <c r="W2636" s="27"/>
      <c r="X2636" s="27"/>
      <c r="Y2636" s="27"/>
      <c r="Z2636" s="17"/>
      <c r="AA2636" s="17"/>
      <c r="AB2636" s="17"/>
      <c r="AC2636" s="17"/>
      <c r="AD2636" s="27"/>
    </row>
    <row r="2637" ht="15.75" customHeight="1">
      <c r="A2637" s="27"/>
      <c r="B2637" s="27"/>
      <c r="C2637" s="27"/>
      <c r="D2637" s="27"/>
      <c r="E2637" s="27"/>
      <c r="F2637" s="27"/>
      <c r="G2637" s="27"/>
      <c r="H2637" s="27"/>
      <c r="I2637" s="27"/>
      <c r="J2637" s="27"/>
      <c r="K2637" s="27"/>
      <c r="L2637" s="27"/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17"/>
      <c r="AA2637" s="17"/>
      <c r="AB2637" s="17"/>
      <c r="AC2637" s="17"/>
      <c r="AD2637" s="27"/>
    </row>
    <row r="2638" ht="15.75" customHeight="1">
      <c r="A2638" s="27"/>
      <c r="B2638" s="27"/>
      <c r="C2638" s="27"/>
      <c r="D2638" s="27"/>
      <c r="E2638" s="27"/>
      <c r="F2638" s="27"/>
      <c r="G2638" s="27"/>
      <c r="H2638" s="27"/>
      <c r="I2638" s="27"/>
      <c r="J2638" s="27"/>
      <c r="K2638" s="27"/>
      <c r="L2638" s="27"/>
      <c r="M2638" s="27"/>
      <c r="N2638" s="27"/>
      <c r="O2638" s="27"/>
      <c r="P2638" s="27"/>
      <c r="Q2638" s="27"/>
      <c r="R2638" s="27"/>
      <c r="S2638" s="27"/>
      <c r="T2638" s="27"/>
      <c r="U2638" s="27"/>
      <c r="V2638" s="27"/>
      <c r="W2638" s="27"/>
      <c r="X2638" s="27"/>
      <c r="Y2638" s="27"/>
      <c r="Z2638" s="17"/>
      <c r="AA2638" s="17"/>
      <c r="AB2638" s="17"/>
      <c r="AC2638" s="17"/>
      <c r="AD2638" s="27"/>
    </row>
    <row r="2639" ht="15.75" customHeight="1">
      <c r="A2639" s="27"/>
      <c r="B2639" s="27"/>
      <c r="C2639" s="27"/>
      <c r="D2639" s="27"/>
      <c r="E2639" s="27"/>
      <c r="F2639" s="27"/>
      <c r="G2639" s="27"/>
      <c r="H2639" s="27"/>
      <c r="I2639" s="27"/>
      <c r="J2639" s="27"/>
      <c r="K2639" s="27"/>
      <c r="L2639" s="27"/>
      <c r="M2639" s="27"/>
      <c r="N2639" s="27"/>
      <c r="O2639" s="27"/>
      <c r="P2639" s="27"/>
      <c r="Q2639" s="27"/>
      <c r="R2639" s="27"/>
      <c r="S2639" s="27"/>
      <c r="T2639" s="27"/>
      <c r="U2639" s="27"/>
      <c r="V2639" s="27"/>
      <c r="W2639" s="27"/>
      <c r="X2639" s="27"/>
      <c r="Y2639" s="27"/>
      <c r="Z2639" s="17"/>
      <c r="AA2639" s="17"/>
      <c r="AB2639" s="17"/>
      <c r="AC2639" s="17"/>
      <c r="AD2639" s="27"/>
    </row>
    <row r="2640" ht="15.75" customHeight="1">
      <c r="A2640" s="27"/>
      <c r="B2640" s="27"/>
      <c r="C2640" s="27"/>
      <c r="D2640" s="27"/>
      <c r="E2640" s="27"/>
      <c r="F2640" s="27"/>
      <c r="G2640" s="27"/>
      <c r="H2640" s="27"/>
      <c r="I2640" s="27"/>
      <c r="J2640" s="27"/>
      <c r="K2640" s="27"/>
      <c r="L2640" s="27"/>
      <c r="M2640" s="27"/>
      <c r="N2640" s="27"/>
      <c r="O2640" s="27"/>
      <c r="P2640" s="27"/>
      <c r="Q2640" s="27"/>
      <c r="R2640" s="27"/>
      <c r="S2640" s="27"/>
      <c r="T2640" s="27"/>
      <c r="U2640" s="27"/>
      <c r="V2640" s="27"/>
      <c r="W2640" s="27"/>
      <c r="X2640" s="27"/>
      <c r="Y2640" s="27"/>
      <c r="Z2640" s="17"/>
      <c r="AA2640" s="17"/>
      <c r="AB2640" s="17"/>
      <c r="AC2640" s="17"/>
      <c r="AD2640" s="27"/>
    </row>
    <row r="2641" ht="15.75" customHeight="1">
      <c r="A2641" s="27"/>
      <c r="B2641" s="27"/>
      <c r="C2641" s="27"/>
      <c r="D2641" s="27"/>
      <c r="E2641" s="27"/>
      <c r="F2641" s="27"/>
      <c r="G2641" s="27"/>
      <c r="H2641" s="27"/>
      <c r="I2641" s="27"/>
      <c r="J2641" s="27"/>
      <c r="K2641" s="27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7"/>
      <c r="X2641" s="27"/>
      <c r="Y2641" s="27"/>
      <c r="Z2641" s="17"/>
      <c r="AA2641" s="17"/>
      <c r="AB2641" s="17"/>
      <c r="AC2641" s="17"/>
      <c r="AD2641" s="27"/>
    </row>
    <row r="2642" ht="15.75" customHeight="1">
      <c r="A2642" s="27"/>
      <c r="B2642" s="27"/>
      <c r="C2642" s="27"/>
      <c r="D2642" s="27"/>
      <c r="E2642" s="27"/>
      <c r="F2642" s="27"/>
      <c r="G2642" s="27"/>
      <c r="H2642" s="27"/>
      <c r="I2642" s="27"/>
      <c r="J2642" s="27"/>
      <c r="K2642" s="27"/>
      <c r="L2642" s="27"/>
      <c r="M2642" s="27"/>
      <c r="N2642" s="27"/>
      <c r="O2642" s="27"/>
      <c r="P2642" s="27"/>
      <c r="Q2642" s="27"/>
      <c r="R2642" s="27"/>
      <c r="S2642" s="27"/>
      <c r="T2642" s="27"/>
      <c r="U2642" s="27"/>
      <c r="V2642" s="27"/>
      <c r="W2642" s="27"/>
      <c r="X2642" s="27"/>
      <c r="Y2642" s="27"/>
      <c r="Z2642" s="17"/>
      <c r="AA2642" s="17"/>
      <c r="AB2642" s="17"/>
      <c r="AC2642" s="17"/>
      <c r="AD2642" s="27"/>
    </row>
    <row r="2643" ht="15.75" customHeight="1">
      <c r="A2643" s="27"/>
      <c r="B2643" s="27"/>
      <c r="C2643" s="27"/>
      <c r="D2643" s="27"/>
      <c r="E2643" s="27"/>
      <c r="F2643" s="27"/>
      <c r="G2643" s="27"/>
      <c r="H2643" s="27"/>
      <c r="I2643" s="27"/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7"/>
      <c r="X2643" s="27"/>
      <c r="Y2643" s="27"/>
      <c r="Z2643" s="17"/>
      <c r="AA2643" s="17"/>
      <c r="AB2643" s="17"/>
      <c r="AC2643" s="17"/>
      <c r="AD2643" s="27"/>
    </row>
    <row r="2644" ht="15.75" customHeight="1">
      <c r="A2644" s="27"/>
      <c r="B2644" s="27"/>
      <c r="C2644" s="27"/>
      <c r="D2644" s="27"/>
      <c r="E2644" s="27"/>
      <c r="F2644" s="27"/>
      <c r="G2644" s="27"/>
      <c r="H2644" s="27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  <c r="Z2644" s="17"/>
      <c r="AA2644" s="17"/>
      <c r="AB2644" s="17"/>
      <c r="AC2644" s="17"/>
      <c r="AD2644" s="27"/>
    </row>
    <row r="2645" ht="15.75" customHeight="1">
      <c r="A2645" s="27"/>
      <c r="B2645" s="27"/>
      <c r="C2645" s="27"/>
      <c r="D2645" s="27"/>
      <c r="E2645" s="27"/>
      <c r="F2645" s="27"/>
      <c r="G2645" s="27"/>
      <c r="H2645" s="27"/>
      <c r="I2645" s="27"/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17"/>
      <c r="AA2645" s="17"/>
      <c r="AB2645" s="17"/>
      <c r="AC2645" s="17"/>
      <c r="AD2645" s="27"/>
    </row>
    <row r="2646" ht="15.75" customHeight="1">
      <c r="A2646" s="27"/>
      <c r="B2646" s="27"/>
      <c r="C2646" s="27"/>
      <c r="D2646" s="27"/>
      <c r="E2646" s="27"/>
      <c r="F2646" s="27"/>
      <c r="G2646" s="27"/>
      <c r="H2646" s="27"/>
      <c r="I2646" s="27"/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7"/>
      <c r="X2646" s="27"/>
      <c r="Y2646" s="27"/>
      <c r="Z2646" s="17"/>
      <c r="AA2646" s="17"/>
      <c r="AB2646" s="17"/>
      <c r="AC2646" s="17"/>
      <c r="AD2646" s="27"/>
    </row>
    <row r="2647" ht="15.75" customHeight="1">
      <c r="A2647" s="27"/>
      <c r="B2647" s="27"/>
      <c r="C2647" s="27"/>
      <c r="D2647" s="27"/>
      <c r="E2647" s="27"/>
      <c r="F2647" s="27"/>
      <c r="G2647" s="27"/>
      <c r="H2647" s="27"/>
      <c r="I2647" s="27"/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7"/>
      <c r="X2647" s="27"/>
      <c r="Y2647" s="27"/>
      <c r="Z2647" s="17"/>
      <c r="AA2647" s="17"/>
      <c r="AB2647" s="17"/>
      <c r="AC2647" s="17"/>
      <c r="AD2647" s="27"/>
    </row>
    <row r="2648" ht="15.75" customHeight="1">
      <c r="A2648" s="27"/>
      <c r="B2648" s="27"/>
      <c r="C2648" s="27"/>
      <c r="D2648" s="27"/>
      <c r="E2648" s="27"/>
      <c r="F2648" s="27"/>
      <c r="G2648" s="27"/>
      <c r="H2648" s="27"/>
      <c r="I2648" s="27"/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17"/>
      <c r="AA2648" s="17"/>
      <c r="AB2648" s="17"/>
      <c r="AC2648" s="17"/>
      <c r="AD2648" s="27"/>
    </row>
    <row r="2649" ht="15.75" customHeight="1">
      <c r="A2649" s="27"/>
      <c r="B2649" s="27"/>
      <c r="C2649" s="27"/>
      <c r="D2649" s="27"/>
      <c r="E2649" s="27"/>
      <c r="F2649" s="27"/>
      <c r="G2649" s="27"/>
      <c r="H2649" s="27"/>
      <c r="I2649" s="27"/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7"/>
      <c r="X2649" s="27"/>
      <c r="Y2649" s="27"/>
      <c r="Z2649" s="17"/>
      <c r="AA2649" s="17"/>
      <c r="AB2649" s="17"/>
      <c r="AC2649" s="17"/>
      <c r="AD2649" s="27"/>
    </row>
    <row r="2650" ht="15.75" customHeight="1">
      <c r="A2650" s="27"/>
      <c r="B2650" s="27"/>
      <c r="C2650" s="27"/>
      <c r="D2650" s="27"/>
      <c r="E2650" s="27"/>
      <c r="F2650" s="27"/>
      <c r="G2650" s="27"/>
      <c r="H2650" s="27"/>
      <c r="I2650" s="27"/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  <c r="Z2650" s="17"/>
      <c r="AA2650" s="17"/>
      <c r="AB2650" s="17"/>
      <c r="AC2650" s="17"/>
      <c r="AD2650" s="27"/>
    </row>
    <row r="2651" ht="15.75" customHeight="1">
      <c r="A2651" s="27"/>
      <c r="B2651" s="27"/>
      <c r="C2651" s="27"/>
      <c r="D2651" s="27"/>
      <c r="E2651" s="27"/>
      <c r="F2651" s="27"/>
      <c r="G2651" s="27"/>
      <c r="H2651" s="27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  <c r="Z2651" s="17"/>
      <c r="AA2651" s="17"/>
      <c r="AB2651" s="17"/>
      <c r="AC2651" s="17"/>
      <c r="AD2651" s="27"/>
    </row>
    <row r="2652" ht="15.75" customHeight="1">
      <c r="A2652" s="27"/>
      <c r="B2652" s="27"/>
      <c r="C2652" s="27"/>
      <c r="D2652" s="27"/>
      <c r="E2652" s="27"/>
      <c r="F2652" s="27"/>
      <c r="G2652" s="27"/>
      <c r="H2652" s="27"/>
      <c r="I2652" s="27"/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7"/>
      <c r="X2652" s="27"/>
      <c r="Y2652" s="27"/>
      <c r="Z2652" s="17"/>
      <c r="AA2652" s="17"/>
      <c r="AB2652" s="17"/>
      <c r="AC2652" s="17"/>
      <c r="AD2652" s="27"/>
    </row>
    <row r="2653" ht="15.75" customHeight="1">
      <c r="A2653" s="27"/>
      <c r="B2653" s="27"/>
      <c r="C2653" s="27"/>
      <c r="D2653" s="27"/>
      <c r="E2653" s="27"/>
      <c r="F2653" s="27"/>
      <c r="G2653" s="27"/>
      <c r="H2653" s="27"/>
      <c r="I2653" s="27"/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7"/>
      <c r="X2653" s="27"/>
      <c r="Y2653" s="27"/>
      <c r="Z2653" s="17"/>
      <c r="AA2653" s="17"/>
      <c r="AB2653" s="17"/>
      <c r="AC2653" s="17"/>
      <c r="AD2653" s="27"/>
    </row>
    <row r="2654" ht="15.75" customHeight="1">
      <c r="A2654" s="27"/>
      <c r="B2654" s="27"/>
      <c r="C2654" s="27"/>
      <c r="D2654" s="27"/>
      <c r="E2654" s="27"/>
      <c r="F2654" s="27"/>
      <c r="G2654" s="27"/>
      <c r="H2654" s="27"/>
      <c r="I2654" s="27"/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7"/>
      <c r="X2654" s="27"/>
      <c r="Y2654" s="27"/>
      <c r="Z2654" s="17"/>
      <c r="AA2654" s="17"/>
      <c r="AB2654" s="17"/>
      <c r="AC2654" s="17"/>
      <c r="AD2654" s="27"/>
    </row>
    <row r="2655" ht="15.75" customHeight="1">
      <c r="A2655" s="27"/>
      <c r="B2655" s="27"/>
      <c r="C2655" s="27"/>
      <c r="D2655" s="27"/>
      <c r="E2655" s="27"/>
      <c r="F2655" s="27"/>
      <c r="G2655" s="27"/>
      <c r="H2655" s="27"/>
      <c r="I2655" s="27"/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7"/>
      <c r="X2655" s="27"/>
      <c r="Y2655" s="27"/>
      <c r="Z2655" s="17"/>
      <c r="AA2655" s="17"/>
      <c r="AB2655" s="17"/>
      <c r="AC2655" s="17"/>
      <c r="AD2655" s="27"/>
    </row>
    <row r="2656" ht="15.75" customHeight="1">
      <c r="A2656" s="27"/>
      <c r="B2656" s="27"/>
      <c r="C2656" s="27"/>
      <c r="D2656" s="27"/>
      <c r="E2656" s="27"/>
      <c r="F2656" s="27"/>
      <c r="G2656" s="27"/>
      <c r="H2656" s="27"/>
      <c r="I2656" s="27"/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7"/>
      <c r="X2656" s="27"/>
      <c r="Y2656" s="27"/>
      <c r="Z2656" s="17"/>
      <c r="AA2656" s="17"/>
      <c r="AB2656" s="17"/>
      <c r="AC2656" s="17"/>
      <c r="AD2656" s="27"/>
    </row>
    <row r="2657" ht="15.75" customHeight="1">
      <c r="A2657" s="27"/>
      <c r="B2657" s="27"/>
      <c r="C2657" s="27"/>
      <c r="D2657" s="27"/>
      <c r="E2657" s="27"/>
      <c r="F2657" s="27"/>
      <c r="G2657" s="27"/>
      <c r="H2657" s="27"/>
      <c r="I2657" s="27"/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7"/>
      <c r="X2657" s="27"/>
      <c r="Y2657" s="27"/>
      <c r="Z2657" s="17"/>
      <c r="AA2657" s="17"/>
      <c r="AB2657" s="17"/>
      <c r="AC2657" s="17"/>
      <c r="AD2657" s="27"/>
    </row>
    <row r="2658" ht="15.75" customHeight="1">
      <c r="A2658" s="27"/>
      <c r="B2658" s="27"/>
      <c r="C2658" s="27"/>
      <c r="D2658" s="27"/>
      <c r="E2658" s="27"/>
      <c r="F2658" s="27"/>
      <c r="G2658" s="27"/>
      <c r="H2658" s="27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17"/>
      <c r="AA2658" s="17"/>
      <c r="AB2658" s="17"/>
      <c r="AC2658" s="17"/>
      <c r="AD2658" s="27"/>
    </row>
    <row r="2659" ht="15.75" customHeight="1">
      <c r="A2659" s="27"/>
      <c r="B2659" s="27"/>
      <c r="C2659" s="27"/>
      <c r="D2659" s="27"/>
      <c r="E2659" s="27"/>
      <c r="F2659" s="27"/>
      <c r="G2659" s="27"/>
      <c r="H2659" s="27"/>
      <c r="I2659" s="27"/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7"/>
      <c r="X2659" s="27"/>
      <c r="Y2659" s="27"/>
      <c r="Z2659" s="17"/>
      <c r="AA2659" s="17"/>
      <c r="AB2659" s="17"/>
      <c r="AC2659" s="17"/>
      <c r="AD2659" s="27"/>
    </row>
    <row r="2660" ht="15.75" customHeight="1">
      <c r="A2660" s="27"/>
      <c r="B2660" s="27"/>
      <c r="C2660" s="27"/>
      <c r="D2660" s="27"/>
      <c r="E2660" s="27"/>
      <c r="F2660" s="27"/>
      <c r="G2660" s="27"/>
      <c r="H2660" s="27"/>
      <c r="I2660" s="27"/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7"/>
      <c r="X2660" s="27"/>
      <c r="Y2660" s="27"/>
      <c r="Z2660" s="17"/>
      <c r="AA2660" s="17"/>
      <c r="AB2660" s="17"/>
      <c r="AC2660" s="17"/>
      <c r="AD2660" s="27"/>
    </row>
    <row r="2661" ht="15.75" customHeight="1">
      <c r="A2661" s="27"/>
      <c r="B2661" s="27"/>
      <c r="C2661" s="27"/>
      <c r="D2661" s="27"/>
      <c r="E2661" s="27"/>
      <c r="F2661" s="27"/>
      <c r="G2661" s="27"/>
      <c r="H2661" s="27"/>
      <c r="I2661" s="27"/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7"/>
      <c r="X2661" s="27"/>
      <c r="Y2661" s="27"/>
      <c r="Z2661" s="17"/>
      <c r="AA2661" s="17"/>
      <c r="AB2661" s="17"/>
      <c r="AC2661" s="17"/>
      <c r="AD2661" s="27"/>
    </row>
    <row r="2662" ht="15.75" customHeight="1">
      <c r="A2662" s="27"/>
      <c r="B2662" s="27"/>
      <c r="C2662" s="27"/>
      <c r="D2662" s="27"/>
      <c r="E2662" s="27"/>
      <c r="F2662" s="27"/>
      <c r="G2662" s="27"/>
      <c r="H2662" s="27"/>
      <c r="I2662" s="27"/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7"/>
      <c r="X2662" s="27"/>
      <c r="Y2662" s="27"/>
      <c r="Z2662" s="17"/>
      <c r="AA2662" s="17"/>
      <c r="AB2662" s="17"/>
      <c r="AC2662" s="17"/>
      <c r="AD2662" s="27"/>
    </row>
    <row r="2663" ht="15.75" customHeight="1">
      <c r="A2663" s="27"/>
      <c r="B2663" s="27"/>
      <c r="C2663" s="27"/>
      <c r="D2663" s="27"/>
      <c r="E2663" s="27"/>
      <c r="F2663" s="27"/>
      <c r="G2663" s="27"/>
      <c r="H2663" s="27"/>
      <c r="I2663" s="27"/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17"/>
      <c r="AA2663" s="17"/>
      <c r="AB2663" s="17"/>
      <c r="AC2663" s="17"/>
      <c r="AD2663" s="27"/>
    </row>
    <row r="2664" ht="15.75" customHeight="1">
      <c r="A2664" s="27"/>
      <c r="B2664" s="27"/>
      <c r="C2664" s="27"/>
      <c r="D2664" s="27"/>
      <c r="E2664" s="27"/>
      <c r="F2664" s="27"/>
      <c r="G2664" s="27"/>
      <c r="H2664" s="27"/>
      <c r="I2664" s="27"/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7"/>
      <c r="X2664" s="27"/>
      <c r="Y2664" s="27"/>
      <c r="Z2664" s="17"/>
      <c r="AA2664" s="17"/>
      <c r="AB2664" s="17"/>
      <c r="AC2664" s="17"/>
      <c r="AD2664" s="27"/>
    </row>
    <row r="2665" ht="15.75" customHeight="1">
      <c r="A2665" s="27"/>
      <c r="B2665" s="27"/>
      <c r="C2665" s="27"/>
      <c r="D2665" s="27"/>
      <c r="E2665" s="27"/>
      <c r="F2665" s="27"/>
      <c r="G2665" s="27"/>
      <c r="H2665" s="27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  <c r="Z2665" s="17"/>
      <c r="AA2665" s="17"/>
      <c r="AB2665" s="17"/>
      <c r="AC2665" s="17"/>
      <c r="AD2665" s="27"/>
    </row>
    <row r="2666" ht="15.75" customHeight="1">
      <c r="A2666" s="27"/>
      <c r="B2666" s="27"/>
      <c r="C2666" s="27"/>
      <c r="D2666" s="27"/>
      <c r="E2666" s="27"/>
      <c r="F2666" s="27"/>
      <c r="G2666" s="27"/>
      <c r="H2666" s="27"/>
      <c r="I2666" s="27"/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17"/>
      <c r="AA2666" s="17"/>
      <c r="AB2666" s="17"/>
      <c r="AC2666" s="17"/>
      <c r="AD2666" s="27"/>
    </row>
    <row r="2667" ht="15.75" customHeight="1">
      <c r="A2667" s="27"/>
      <c r="B2667" s="27"/>
      <c r="C2667" s="27"/>
      <c r="D2667" s="27"/>
      <c r="E2667" s="27"/>
      <c r="F2667" s="27"/>
      <c r="G2667" s="27"/>
      <c r="H2667" s="27"/>
      <c r="I2667" s="27"/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7"/>
      <c r="X2667" s="27"/>
      <c r="Y2667" s="27"/>
      <c r="Z2667" s="17"/>
      <c r="AA2667" s="17"/>
      <c r="AB2667" s="17"/>
      <c r="AC2667" s="17"/>
      <c r="AD2667" s="27"/>
    </row>
    <row r="2668" ht="15.75" customHeight="1">
      <c r="A2668" s="27"/>
      <c r="B2668" s="27"/>
      <c r="C2668" s="27"/>
      <c r="D2668" s="27"/>
      <c r="E2668" s="27"/>
      <c r="F2668" s="27"/>
      <c r="G2668" s="27"/>
      <c r="H2668" s="27"/>
      <c r="I2668" s="27"/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7"/>
      <c r="X2668" s="27"/>
      <c r="Y2668" s="27"/>
      <c r="Z2668" s="17"/>
      <c r="AA2668" s="17"/>
      <c r="AB2668" s="17"/>
      <c r="AC2668" s="17"/>
      <c r="AD2668" s="27"/>
    </row>
    <row r="2669" ht="15.75" customHeight="1">
      <c r="A2669" s="27"/>
      <c r="B2669" s="27"/>
      <c r="C2669" s="27"/>
      <c r="D2669" s="27"/>
      <c r="E2669" s="27"/>
      <c r="F2669" s="27"/>
      <c r="G2669" s="27"/>
      <c r="H2669" s="27"/>
      <c r="I2669" s="27"/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7"/>
      <c r="X2669" s="27"/>
      <c r="Y2669" s="27"/>
      <c r="Z2669" s="17"/>
      <c r="AA2669" s="17"/>
      <c r="AB2669" s="17"/>
      <c r="AC2669" s="17"/>
      <c r="AD2669" s="27"/>
    </row>
    <row r="2670" ht="15.75" customHeight="1">
      <c r="A2670" s="27"/>
      <c r="B2670" s="27"/>
      <c r="C2670" s="27"/>
      <c r="D2670" s="27"/>
      <c r="E2670" s="27"/>
      <c r="F2670" s="27"/>
      <c r="G2670" s="27"/>
      <c r="H2670" s="27"/>
      <c r="I2670" s="27"/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7"/>
      <c r="X2670" s="27"/>
      <c r="Y2670" s="27"/>
      <c r="Z2670" s="17"/>
      <c r="AA2670" s="17"/>
      <c r="AB2670" s="17"/>
      <c r="AC2670" s="17"/>
      <c r="AD2670" s="27"/>
    </row>
    <row r="2671" ht="15.75" customHeight="1">
      <c r="A2671" s="27"/>
      <c r="B2671" s="27"/>
      <c r="C2671" s="27"/>
      <c r="D2671" s="27"/>
      <c r="E2671" s="27"/>
      <c r="F2671" s="27"/>
      <c r="G2671" s="27"/>
      <c r="H2671" s="27"/>
      <c r="I2671" s="27"/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7"/>
      <c r="X2671" s="27"/>
      <c r="Y2671" s="27"/>
      <c r="Z2671" s="17"/>
      <c r="AA2671" s="17"/>
      <c r="AB2671" s="17"/>
      <c r="AC2671" s="17"/>
      <c r="AD2671" s="27"/>
    </row>
    <row r="2672" ht="15.75" customHeight="1">
      <c r="A2672" s="27"/>
      <c r="B2672" s="27"/>
      <c r="C2672" s="27"/>
      <c r="D2672" s="27"/>
      <c r="E2672" s="27"/>
      <c r="F2672" s="27"/>
      <c r="G2672" s="27"/>
      <c r="H2672" s="27"/>
      <c r="I2672" s="27"/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7"/>
      <c r="X2672" s="27"/>
      <c r="Y2672" s="27"/>
      <c r="Z2672" s="17"/>
      <c r="AA2672" s="17"/>
      <c r="AB2672" s="17"/>
      <c r="AC2672" s="17"/>
      <c r="AD2672" s="27"/>
    </row>
    <row r="2673" ht="15.75" customHeight="1">
      <c r="A2673" s="27"/>
      <c r="B2673" s="27"/>
      <c r="C2673" s="27"/>
      <c r="D2673" s="27"/>
      <c r="E2673" s="27"/>
      <c r="F2673" s="27"/>
      <c r="G2673" s="27"/>
      <c r="H2673" s="27"/>
      <c r="I2673" s="27"/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7"/>
      <c r="X2673" s="27"/>
      <c r="Y2673" s="27"/>
      <c r="Z2673" s="17"/>
      <c r="AA2673" s="17"/>
      <c r="AB2673" s="17"/>
      <c r="AC2673" s="17"/>
      <c r="AD2673" s="27"/>
    </row>
    <row r="2674" ht="15.75" customHeight="1">
      <c r="A2674" s="27"/>
      <c r="B2674" s="27"/>
      <c r="C2674" s="27"/>
      <c r="D2674" s="27"/>
      <c r="E2674" s="27"/>
      <c r="F2674" s="27"/>
      <c r="G2674" s="27"/>
      <c r="H2674" s="27"/>
      <c r="I2674" s="27"/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7"/>
      <c r="X2674" s="27"/>
      <c r="Y2674" s="27"/>
      <c r="Z2674" s="17"/>
      <c r="AA2674" s="17"/>
      <c r="AB2674" s="17"/>
      <c r="AC2674" s="17"/>
      <c r="AD2674" s="27"/>
    </row>
    <row r="2675" ht="15.75" customHeight="1">
      <c r="A2675" s="27"/>
      <c r="B2675" s="27"/>
      <c r="C2675" s="27"/>
      <c r="D2675" s="27"/>
      <c r="E2675" s="27"/>
      <c r="F2675" s="27"/>
      <c r="G2675" s="27"/>
      <c r="H2675" s="27"/>
      <c r="I2675" s="27"/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7"/>
      <c r="X2675" s="27"/>
      <c r="Y2675" s="27"/>
      <c r="Z2675" s="17"/>
      <c r="AA2675" s="17"/>
      <c r="AB2675" s="17"/>
      <c r="AC2675" s="17"/>
      <c r="AD2675" s="27"/>
    </row>
    <row r="2676" ht="15.75" customHeight="1">
      <c r="A2676" s="27"/>
      <c r="B2676" s="27"/>
      <c r="C2676" s="27"/>
      <c r="D2676" s="27"/>
      <c r="E2676" s="27"/>
      <c r="F2676" s="27"/>
      <c r="G2676" s="27"/>
      <c r="H2676" s="27"/>
      <c r="I2676" s="27"/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7"/>
      <c r="X2676" s="27"/>
      <c r="Y2676" s="27"/>
      <c r="Z2676" s="17"/>
      <c r="AA2676" s="17"/>
      <c r="AB2676" s="17"/>
      <c r="AC2676" s="17"/>
      <c r="AD2676" s="27"/>
    </row>
    <row r="2677" ht="15.75" customHeight="1">
      <c r="A2677" s="27"/>
      <c r="B2677" s="27"/>
      <c r="C2677" s="27"/>
      <c r="D2677" s="27"/>
      <c r="E2677" s="27"/>
      <c r="F2677" s="27"/>
      <c r="G2677" s="27"/>
      <c r="H2677" s="27"/>
      <c r="I2677" s="27"/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7"/>
      <c r="X2677" s="27"/>
      <c r="Y2677" s="27"/>
      <c r="Z2677" s="17"/>
      <c r="AA2677" s="17"/>
      <c r="AB2677" s="17"/>
      <c r="AC2677" s="17"/>
      <c r="AD2677" s="27"/>
    </row>
    <row r="2678" ht="15.75" customHeight="1">
      <c r="A2678" s="27"/>
      <c r="B2678" s="27"/>
      <c r="C2678" s="27"/>
      <c r="D2678" s="27"/>
      <c r="E2678" s="27"/>
      <c r="F2678" s="27"/>
      <c r="G2678" s="27"/>
      <c r="H2678" s="27"/>
      <c r="I2678" s="27"/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7"/>
      <c r="X2678" s="27"/>
      <c r="Y2678" s="27"/>
      <c r="Z2678" s="17"/>
      <c r="AA2678" s="17"/>
      <c r="AB2678" s="17"/>
      <c r="AC2678" s="17"/>
      <c r="AD2678" s="27"/>
    </row>
    <row r="2679" ht="15.75" customHeight="1">
      <c r="A2679" s="27"/>
      <c r="B2679" s="27"/>
      <c r="C2679" s="27"/>
      <c r="D2679" s="27"/>
      <c r="E2679" s="27"/>
      <c r="F2679" s="27"/>
      <c r="G2679" s="27"/>
      <c r="H2679" s="27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7"/>
      <c r="X2679" s="27"/>
      <c r="Y2679" s="27"/>
      <c r="Z2679" s="17"/>
      <c r="AA2679" s="17"/>
      <c r="AB2679" s="17"/>
      <c r="AC2679" s="17"/>
      <c r="AD2679" s="27"/>
    </row>
    <row r="2680" ht="15.75" customHeight="1">
      <c r="A2680" s="27"/>
      <c r="B2680" s="27"/>
      <c r="C2680" s="27"/>
      <c r="D2680" s="27"/>
      <c r="E2680" s="27"/>
      <c r="F2680" s="27"/>
      <c r="G2680" s="27"/>
      <c r="H2680" s="27"/>
      <c r="I2680" s="27"/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7"/>
      <c r="X2680" s="27"/>
      <c r="Y2680" s="27"/>
      <c r="Z2680" s="17"/>
      <c r="AA2680" s="17"/>
      <c r="AB2680" s="17"/>
      <c r="AC2680" s="17"/>
      <c r="AD2680" s="27"/>
    </row>
    <row r="2681" ht="15.75" customHeight="1">
      <c r="A2681" s="27"/>
      <c r="B2681" s="27"/>
      <c r="C2681" s="27"/>
      <c r="D2681" s="27"/>
      <c r="E2681" s="27"/>
      <c r="F2681" s="27"/>
      <c r="G2681" s="27"/>
      <c r="H2681" s="27"/>
      <c r="I2681" s="27"/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7"/>
      <c r="X2681" s="27"/>
      <c r="Y2681" s="27"/>
      <c r="Z2681" s="17"/>
      <c r="AA2681" s="17"/>
      <c r="AB2681" s="17"/>
      <c r="AC2681" s="17"/>
      <c r="AD2681" s="27"/>
    </row>
    <row r="2682" ht="15.75" customHeight="1">
      <c r="A2682" s="27"/>
      <c r="B2682" s="27"/>
      <c r="C2682" s="27"/>
      <c r="D2682" s="27"/>
      <c r="E2682" s="27"/>
      <c r="F2682" s="27"/>
      <c r="G2682" s="27"/>
      <c r="H2682" s="27"/>
      <c r="I2682" s="27"/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7"/>
      <c r="X2682" s="27"/>
      <c r="Y2682" s="27"/>
      <c r="Z2682" s="17"/>
      <c r="AA2682" s="17"/>
      <c r="AB2682" s="17"/>
      <c r="AC2682" s="17"/>
      <c r="AD2682" s="27"/>
    </row>
    <row r="2683" ht="15.75" customHeight="1">
      <c r="A2683" s="27"/>
      <c r="B2683" s="27"/>
      <c r="C2683" s="27"/>
      <c r="D2683" s="27"/>
      <c r="E2683" s="27"/>
      <c r="F2683" s="27"/>
      <c r="G2683" s="27"/>
      <c r="H2683" s="27"/>
      <c r="I2683" s="27"/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17"/>
      <c r="AA2683" s="17"/>
      <c r="AB2683" s="17"/>
      <c r="AC2683" s="17"/>
      <c r="AD2683" s="27"/>
    </row>
    <row r="2684" ht="15.75" customHeight="1">
      <c r="A2684" s="27"/>
      <c r="B2684" s="27"/>
      <c r="C2684" s="27"/>
      <c r="D2684" s="27"/>
      <c r="E2684" s="27"/>
      <c r="F2684" s="27"/>
      <c r="G2684" s="27"/>
      <c r="H2684" s="27"/>
      <c r="I2684" s="27"/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7"/>
      <c r="X2684" s="27"/>
      <c r="Y2684" s="27"/>
      <c r="Z2684" s="17"/>
      <c r="AA2684" s="17"/>
      <c r="AB2684" s="17"/>
      <c r="AC2684" s="17"/>
      <c r="AD2684" s="27"/>
    </row>
    <row r="2685" ht="15.75" customHeight="1">
      <c r="A2685" s="27"/>
      <c r="B2685" s="27"/>
      <c r="C2685" s="27"/>
      <c r="D2685" s="27"/>
      <c r="E2685" s="27"/>
      <c r="F2685" s="27"/>
      <c r="G2685" s="27"/>
      <c r="H2685" s="27"/>
      <c r="I2685" s="27"/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7"/>
      <c r="X2685" s="27"/>
      <c r="Y2685" s="27"/>
      <c r="Z2685" s="17"/>
      <c r="AA2685" s="17"/>
      <c r="AB2685" s="17"/>
      <c r="AC2685" s="17"/>
      <c r="AD2685" s="27"/>
    </row>
    <row r="2686" ht="15.75" customHeight="1">
      <c r="A2686" s="27"/>
      <c r="B2686" s="27"/>
      <c r="C2686" s="27"/>
      <c r="D2686" s="27"/>
      <c r="E2686" s="27"/>
      <c r="F2686" s="27"/>
      <c r="G2686" s="27"/>
      <c r="H2686" s="27"/>
      <c r="I2686" s="27"/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17"/>
      <c r="AA2686" s="17"/>
      <c r="AB2686" s="17"/>
      <c r="AC2686" s="17"/>
      <c r="AD2686" s="27"/>
    </row>
    <row r="2687" ht="15.75" customHeight="1">
      <c r="A2687" s="27"/>
      <c r="B2687" s="27"/>
      <c r="C2687" s="27"/>
      <c r="D2687" s="27"/>
      <c r="E2687" s="27"/>
      <c r="F2687" s="27"/>
      <c r="G2687" s="27"/>
      <c r="H2687" s="27"/>
      <c r="I2687" s="27"/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7"/>
      <c r="X2687" s="27"/>
      <c r="Y2687" s="27"/>
      <c r="Z2687" s="17"/>
      <c r="AA2687" s="17"/>
      <c r="AB2687" s="17"/>
      <c r="AC2687" s="17"/>
      <c r="AD2687" s="27"/>
    </row>
    <row r="2688" ht="15.75" customHeight="1">
      <c r="A2688" s="27"/>
      <c r="B2688" s="27"/>
      <c r="C2688" s="27"/>
      <c r="D2688" s="27"/>
      <c r="E2688" s="27"/>
      <c r="F2688" s="27"/>
      <c r="G2688" s="27"/>
      <c r="H2688" s="27"/>
      <c r="I2688" s="27"/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17"/>
      <c r="AA2688" s="17"/>
      <c r="AB2688" s="17"/>
      <c r="AC2688" s="17"/>
      <c r="AD2688" s="27"/>
    </row>
    <row r="2689" ht="15.75" customHeight="1">
      <c r="A2689" s="27"/>
      <c r="B2689" s="27"/>
      <c r="C2689" s="27"/>
      <c r="D2689" s="27"/>
      <c r="E2689" s="27"/>
      <c r="F2689" s="27"/>
      <c r="G2689" s="27"/>
      <c r="H2689" s="27"/>
      <c r="I2689" s="27"/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7"/>
      <c r="X2689" s="27"/>
      <c r="Y2689" s="27"/>
      <c r="Z2689" s="17"/>
      <c r="AA2689" s="17"/>
      <c r="AB2689" s="17"/>
      <c r="AC2689" s="17"/>
      <c r="AD2689" s="27"/>
    </row>
    <row r="2690" ht="15.75" customHeight="1">
      <c r="A2690" s="27"/>
      <c r="B2690" s="27"/>
      <c r="C2690" s="27"/>
      <c r="D2690" s="27"/>
      <c r="E2690" s="27"/>
      <c r="F2690" s="27"/>
      <c r="G2690" s="27"/>
      <c r="H2690" s="27"/>
      <c r="I2690" s="27"/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7"/>
      <c r="X2690" s="27"/>
      <c r="Y2690" s="27"/>
      <c r="Z2690" s="17"/>
      <c r="AA2690" s="17"/>
      <c r="AB2690" s="17"/>
      <c r="AC2690" s="17"/>
      <c r="AD2690" s="27"/>
    </row>
    <row r="2691" ht="15.75" customHeight="1">
      <c r="A2691" s="27"/>
      <c r="B2691" s="27"/>
      <c r="C2691" s="27"/>
      <c r="D2691" s="27"/>
      <c r="E2691" s="27"/>
      <c r="F2691" s="27"/>
      <c r="G2691" s="27"/>
      <c r="H2691" s="27"/>
      <c r="I2691" s="27"/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  <c r="Z2691" s="17"/>
      <c r="AA2691" s="17"/>
      <c r="AB2691" s="17"/>
      <c r="AC2691" s="17"/>
      <c r="AD2691" s="27"/>
    </row>
    <row r="2692" ht="15.75" customHeight="1">
      <c r="A2692" s="27"/>
      <c r="B2692" s="27"/>
      <c r="C2692" s="27"/>
      <c r="D2692" s="27"/>
      <c r="E2692" s="27"/>
      <c r="F2692" s="27"/>
      <c r="G2692" s="27"/>
      <c r="H2692" s="27"/>
      <c r="I2692" s="27"/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  <c r="T2692" s="27"/>
      <c r="U2692" s="27"/>
      <c r="V2692" s="27"/>
      <c r="W2692" s="27"/>
      <c r="X2692" s="27"/>
      <c r="Y2692" s="27"/>
      <c r="Z2692" s="17"/>
      <c r="AA2692" s="17"/>
      <c r="AB2692" s="17"/>
      <c r="AC2692" s="17"/>
      <c r="AD2692" s="27"/>
    </row>
    <row r="2693" ht="15.75" customHeight="1">
      <c r="A2693" s="27"/>
      <c r="B2693" s="27"/>
      <c r="C2693" s="27"/>
      <c r="D2693" s="27"/>
      <c r="E2693" s="27"/>
      <c r="F2693" s="27"/>
      <c r="G2693" s="27"/>
      <c r="H2693" s="27"/>
      <c r="I2693" s="27"/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  <c r="T2693" s="27"/>
      <c r="U2693" s="27"/>
      <c r="V2693" s="27"/>
      <c r="W2693" s="27"/>
      <c r="X2693" s="27"/>
      <c r="Y2693" s="27"/>
      <c r="Z2693" s="17"/>
      <c r="AA2693" s="17"/>
      <c r="AB2693" s="17"/>
      <c r="AC2693" s="17"/>
      <c r="AD2693" s="27"/>
    </row>
    <row r="2694" ht="15.75" customHeight="1">
      <c r="A2694" s="27"/>
      <c r="B2694" s="27"/>
      <c r="C2694" s="27"/>
      <c r="D2694" s="27"/>
      <c r="E2694" s="27"/>
      <c r="F2694" s="27"/>
      <c r="G2694" s="27"/>
      <c r="H2694" s="27"/>
      <c r="I2694" s="27"/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  <c r="T2694" s="27"/>
      <c r="U2694" s="27"/>
      <c r="V2694" s="27"/>
      <c r="W2694" s="27"/>
      <c r="X2694" s="27"/>
      <c r="Y2694" s="27"/>
      <c r="Z2694" s="17"/>
      <c r="AA2694" s="17"/>
      <c r="AB2694" s="17"/>
      <c r="AC2694" s="17"/>
      <c r="AD2694" s="27"/>
    </row>
    <row r="2695" ht="15.75" customHeight="1">
      <c r="A2695" s="27"/>
      <c r="B2695" s="27"/>
      <c r="C2695" s="27"/>
      <c r="D2695" s="27"/>
      <c r="E2695" s="27"/>
      <c r="F2695" s="27"/>
      <c r="G2695" s="27"/>
      <c r="H2695" s="27"/>
      <c r="I2695" s="27"/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7"/>
      <c r="X2695" s="27"/>
      <c r="Y2695" s="27"/>
      <c r="Z2695" s="17"/>
      <c r="AA2695" s="17"/>
      <c r="AB2695" s="17"/>
      <c r="AC2695" s="17"/>
      <c r="AD2695" s="27"/>
    </row>
    <row r="2696" ht="15.75" customHeight="1">
      <c r="A2696" s="27"/>
      <c r="B2696" s="27"/>
      <c r="C2696" s="27"/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  <c r="Z2696" s="17"/>
      <c r="AA2696" s="17"/>
      <c r="AB2696" s="17"/>
      <c r="AC2696" s="17"/>
      <c r="AD2696" s="27"/>
    </row>
    <row r="2697" ht="15.75" customHeight="1">
      <c r="A2697" s="27"/>
      <c r="B2697" s="27"/>
      <c r="C2697" s="27"/>
      <c r="D2697" s="27"/>
      <c r="E2697" s="27"/>
      <c r="F2697" s="27"/>
      <c r="G2697" s="27"/>
      <c r="H2697" s="27"/>
      <c r="I2697" s="27"/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  <c r="T2697" s="27"/>
      <c r="U2697" s="27"/>
      <c r="V2697" s="27"/>
      <c r="W2697" s="27"/>
      <c r="X2697" s="27"/>
      <c r="Y2697" s="27"/>
      <c r="Z2697" s="17"/>
      <c r="AA2697" s="17"/>
      <c r="AB2697" s="17"/>
      <c r="AC2697" s="17"/>
      <c r="AD2697" s="27"/>
    </row>
    <row r="2698" ht="15.75" customHeight="1">
      <c r="A2698" s="27"/>
      <c r="B2698" s="27"/>
      <c r="C2698" s="27"/>
      <c r="D2698" s="27"/>
      <c r="E2698" s="27"/>
      <c r="F2698" s="27"/>
      <c r="G2698" s="27"/>
      <c r="H2698" s="27"/>
      <c r="I2698" s="27"/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7"/>
      <c r="X2698" s="27"/>
      <c r="Y2698" s="27"/>
      <c r="Z2698" s="17"/>
      <c r="AA2698" s="17"/>
      <c r="AB2698" s="17"/>
      <c r="AC2698" s="17"/>
      <c r="AD2698" s="27"/>
    </row>
    <row r="2699" ht="15.75" customHeight="1">
      <c r="A2699" s="27"/>
      <c r="B2699" s="27"/>
      <c r="C2699" s="27"/>
      <c r="D2699" s="27"/>
      <c r="E2699" s="27"/>
      <c r="F2699" s="27"/>
      <c r="G2699" s="27"/>
      <c r="H2699" s="27"/>
      <c r="I2699" s="27"/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  <c r="T2699" s="27"/>
      <c r="U2699" s="27"/>
      <c r="V2699" s="27"/>
      <c r="W2699" s="27"/>
      <c r="X2699" s="27"/>
      <c r="Y2699" s="27"/>
      <c r="Z2699" s="17"/>
      <c r="AA2699" s="17"/>
      <c r="AB2699" s="17"/>
      <c r="AC2699" s="17"/>
      <c r="AD2699" s="27"/>
    </row>
    <row r="2700" ht="15.75" customHeight="1">
      <c r="A2700" s="27"/>
      <c r="B2700" s="27"/>
      <c r="C2700" s="27"/>
      <c r="D2700" s="27"/>
      <c r="E2700" s="27"/>
      <c r="F2700" s="27"/>
      <c r="G2700" s="27"/>
      <c r="H2700" s="27"/>
      <c r="I2700" s="27"/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  <c r="T2700" s="27"/>
      <c r="U2700" s="27"/>
      <c r="V2700" s="27"/>
      <c r="W2700" s="27"/>
      <c r="X2700" s="27"/>
      <c r="Y2700" s="27"/>
      <c r="Z2700" s="17"/>
      <c r="AA2700" s="17"/>
      <c r="AB2700" s="17"/>
      <c r="AC2700" s="17"/>
      <c r="AD2700" s="27"/>
    </row>
    <row r="2701" ht="15.75" customHeight="1">
      <c r="A2701" s="27"/>
      <c r="B2701" s="27"/>
      <c r="C2701" s="27"/>
      <c r="D2701" s="27"/>
      <c r="E2701" s="27"/>
      <c r="F2701" s="27"/>
      <c r="G2701" s="27"/>
      <c r="H2701" s="27"/>
      <c r="I2701" s="27"/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  <c r="T2701" s="27"/>
      <c r="U2701" s="27"/>
      <c r="V2701" s="27"/>
      <c r="W2701" s="27"/>
      <c r="X2701" s="27"/>
      <c r="Y2701" s="27"/>
      <c r="Z2701" s="17"/>
      <c r="AA2701" s="17"/>
      <c r="AB2701" s="17"/>
      <c r="AC2701" s="17"/>
      <c r="AD2701" s="27"/>
    </row>
    <row r="2702" ht="15.75" customHeight="1">
      <c r="A2702" s="27"/>
      <c r="B2702" s="27"/>
      <c r="C2702" s="27"/>
      <c r="D2702" s="27"/>
      <c r="E2702" s="27"/>
      <c r="F2702" s="27"/>
      <c r="G2702" s="27"/>
      <c r="H2702" s="27"/>
      <c r="I2702" s="27"/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  <c r="T2702" s="27"/>
      <c r="U2702" s="27"/>
      <c r="V2702" s="27"/>
      <c r="W2702" s="27"/>
      <c r="X2702" s="27"/>
      <c r="Y2702" s="27"/>
      <c r="Z2702" s="17"/>
      <c r="AA2702" s="17"/>
      <c r="AB2702" s="17"/>
      <c r="AC2702" s="17"/>
      <c r="AD2702" s="27"/>
    </row>
    <row r="2703" ht="15.75" customHeight="1">
      <c r="A2703" s="27"/>
      <c r="B2703" s="27"/>
      <c r="C2703" s="27"/>
      <c r="D2703" s="27"/>
      <c r="E2703" s="27"/>
      <c r="F2703" s="27"/>
      <c r="G2703" s="27"/>
      <c r="H2703" s="27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17"/>
      <c r="AA2703" s="17"/>
      <c r="AB2703" s="17"/>
      <c r="AC2703" s="17"/>
      <c r="AD2703" s="27"/>
    </row>
    <row r="2704" ht="15.75" customHeight="1">
      <c r="A2704" s="27"/>
      <c r="B2704" s="27"/>
      <c r="C2704" s="27"/>
      <c r="D2704" s="27"/>
      <c r="E2704" s="27"/>
      <c r="F2704" s="27"/>
      <c r="G2704" s="27"/>
      <c r="H2704" s="27"/>
      <c r="I2704" s="27"/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17"/>
      <c r="AA2704" s="17"/>
      <c r="AB2704" s="17"/>
      <c r="AC2704" s="17"/>
      <c r="AD2704" s="27"/>
    </row>
    <row r="2705" ht="15.75" customHeight="1">
      <c r="A2705" s="27"/>
      <c r="B2705" s="27"/>
      <c r="C2705" s="27"/>
      <c r="D2705" s="27"/>
      <c r="E2705" s="27"/>
      <c r="F2705" s="27"/>
      <c r="G2705" s="27"/>
      <c r="H2705" s="27"/>
      <c r="I2705" s="27"/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  <c r="T2705" s="27"/>
      <c r="U2705" s="27"/>
      <c r="V2705" s="27"/>
      <c r="W2705" s="27"/>
      <c r="X2705" s="27"/>
      <c r="Y2705" s="27"/>
      <c r="Z2705" s="17"/>
      <c r="AA2705" s="17"/>
      <c r="AB2705" s="17"/>
      <c r="AC2705" s="17"/>
      <c r="AD2705" s="27"/>
    </row>
    <row r="2706" ht="15.75" customHeight="1">
      <c r="A2706" s="27"/>
      <c r="B2706" s="27"/>
      <c r="C2706" s="27"/>
      <c r="D2706" s="27"/>
      <c r="E2706" s="27"/>
      <c r="F2706" s="27"/>
      <c r="G2706" s="27"/>
      <c r="H2706" s="27"/>
      <c r="I2706" s="27"/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17"/>
      <c r="AA2706" s="17"/>
      <c r="AB2706" s="17"/>
      <c r="AC2706" s="17"/>
      <c r="AD2706" s="27"/>
    </row>
    <row r="2707" ht="15.75" customHeight="1">
      <c r="A2707" s="27"/>
      <c r="B2707" s="27"/>
      <c r="C2707" s="27"/>
      <c r="D2707" s="27"/>
      <c r="E2707" s="27"/>
      <c r="F2707" s="27"/>
      <c r="G2707" s="27"/>
      <c r="H2707" s="27"/>
      <c r="I2707" s="27"/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  <c r="T2707" s="27"/>
      <c r="U2707" s="27"/>
      <c r="V2707" s="27"/>
      <c r="W2707" s="27"/>
      <c r="X2707" s="27"/>
      <c r="Y2707" s="27"/>
      <c r="Z2707" s="17"/>
      <c r="AA2707" s="17"/>
      <c r="AB2707" s="17"/>
      <c r="AC2707" s="17"/>
      <c r="AD2707" s="27"/>
    </row>
    <row r="2708" ht="15.75" customHeight="1">
      <c r="A2708" s="27"/>
      <c r="B2708" s="27"/>
      <c r="C2708" s="27"/>
      <c r="D2708" s="27"/>
      <c r="E2708" s="27"/>
      <c r="F2708" s="27"/>
      <c r="G2708" s="27"/>
      <c r="H2708" s="27"/>
      <c r="I2708" s="27"/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7"/>
      <c r="X2708" s="27"/>
      <c r="Y2708" s="27"/>
      <c r="Z2708" s="17"/>
      <c r="AA2708" s="17"/>
      <c r="AB2708" s="17"/>
      <c r="AC2708" s="17"/>
      <c r="AD2708" s="27"/>
    </row>
    <row r="2709" ht="15.75" customHeight="1">
      <c r="A2709" s="27"/>
      <c r="B2709" s="27"/>
      <c r="C2709" s="27"/>
      <c r="D2709" s="27"/>
      <c r="E2709" s="27"/>
      <c r="F2709" s="27"/>
      <c r="G2709" s="27"/>
      <c r="H2709" s="27"/>
      <c r="I2709" s="27"/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7"/>
      <c r="X2709" s="27"/>
      <c r="Y2709" s="27"/>
      <c r="Z2709" s="17"/>
      <c r="AA2709" s="17"/>
      <c r="AB2709" s="17"/>
      <c r="AC2709" s="17"/>
      <c r="AD2709" s="27"/>
    </row>
    <row r="2710" ht="15.75" customHeight="1">
      <c r="A2710" s="27"/>
      <c r="B2710" s="27"/>
      <c r="C2710" s="27"/>
      <c r="D2710" s="27"/>
      <c r="E2710" s="27"/>
      <c r="F2710" s="27"/>
      <c r="G2710" s="27"/>
      <c r="H2710" s="27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7"/>
      <c r="X2710" s="27"/>
      <c r="Y2710" s="27"/>
      <c r="Z2710" s="17"/>
      <c r="AA2710" s="17"/>
      <c r="AB2710" s="17"/>
      <c r="AC2710" s="17"/>
      <c r="AD2710" s="27"/>
    </row>
    <row r="2711" ht="15.75" customHeight="1">
      <c r="A2711" s="27"/>
      <c r="B2711" s="27"/>
      <c r="C2711" s="27"/>
      <c r="D2711" s="27"/>
      <c r="E2711" s="27"/>
      <c r="F2711" s="27"/>
      <c r="G2711" s="27"/>
      <c r="H2711" s="27"/>
      <c r="I2711" s="27"/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  <c r="T2711" s="27"/>
      <c r="U2711" s="27"/>
      <c r="V2711" s="27"/>
      <c r="W2711" s="27"/>
      <c r="X2711" s="27"/>
      <c r="Y2711" s="27"/>
      <c r="Z2711" s="17"/>
      <c r="AA2711" s="17"/>
      <c r="AB2711" s="17"/>
      <c r="AC2711" s="17"/>
      <c r="AD2711" s="27"/>
    </row>
    <row r="2712" ht="15.75" customHeight="1">
      <c r="A2712" s="27"/>
      <c r="B2712" s="27"/>
      <c r="C2712" s="27"/>
      <c r="D2712" s="27"/>
      <c r="E2712" s="27"/>
      <c r="F2712" s="27"/>
      <c r="G2712" s="27"/>
      <c r="H2712" s="27"/>
      <c r="I2712" s="27"/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7"/>
      <c r="X2712" s="27"/>
      <c r="Y2712" s="27"/>
      <c r="Z2712" s="17"/>
      <c r="AA2712" s="17"/>
      <c r="AB2712" s="17"/>
      <c r="AC2712" s="17"/>
      <c r="AD2712" s="27"/>
    </row>
    <row r="2713" ht="15.75" customHeight="1">
      <c r="A2713" s="27"/>
      <c r="B2713" s="27"/>
      <c r="C2713" s="27"/>
      <c r="D2713" s="27"/>
      <c r="E2713" s="27"/>
      <c r="F2713" s="27"/>
      <c r="G2713" s="27"/>
      <c r="H2713" s="27"/>
      <c r="I2713" s="27"/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7"/>
      <c r="X2713" s="27"/>
      <c r="Y2713" s="27"/>
      <c r="Z2713" s="17"/>
      <c r="AA2713" s="17"/>
      <c r="AB2713" s="17"/>
      <c r="AC2713" s="17"/>
      <c r="AD2713" s="27"/>
    </row>
    <row r="2714" ht="15.75" customHeight="1">
      <c r="A2714" s="27"/>
      <c r="B2714" s="27"/>
      <c r="C2714" s="27"/>
      <c r="D2714" s="27"/>
      <c r="E2714" s="27"/>
      <c r="F2714" s="27"/>
      <c r="G2714" s="27"/>
      <c r="H2714" s="27"/>
      <c r="I2714" s="27"/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  <c r="T2714" s="27"/>
      <c r="U2714" s="27"/>
      <c r="V2714" s="27"/>
      <c r="W2714" s="27"/>
      <c r="X2714" s="27"/>
      <c r="Y2714" s="27"/>
      <c r="Z2714" s="17"/>
      <c r="AA2714" s="17"/>
      <c r="AB2714" s="17"/>
      <c r="AC2714" s="17"/>
      <c r="AD2714" s="27"/>
    </row>
    <row r="2715" ht="15.75" customHeight="1">
      <c r="A2715" s="27"/>
      <c r="B2715" s="27"/>
      <c r="C2715" s="27"/>
      <c r="D2715" s="27"/>
      <c r="E2715" s="27"/>
      <c r="F2715" s="27"/>
      <c r="G2715" s="27"/>
      <c r="H2715" s="27"/>
      <c r="I2715" s="27"/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7"/>
      <c r="X2715" s="27"/>
      <c r="Y2715" s="27"/>
      <c r="Z2715" s="17"/>
      <c r="AA2715" s="17"/>
      <c r="AB2715" s="17"/>
      <c r="AC2715" s="17"/>
      <c r="AD2715" s="27"/>
    </row>
    <row r="2716" ht="15.75" customHeight="1">
      <c r="A2716" s="27"/>
      <c r="B2716" s="27"/>
      <c r="C2716" s="27"/>
      <c r="D2716" s="27"/>
      <c r="E2716" s="27"/>
      <c r="F2716" s="27"/>
      <c r="G2716" s="27"/>
      <c r="H2716" s="27"/>
      <c r="I2716" s="27"/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7"/>
      <c r="X2716" s="27"/>
      <c r="Y2716" s="27"/>
      <c r="Z2716" s="17"/>
      <c r="AA2716" s="17"/>
      <c r="AB2716" s="17"/>
      <c r="AC2716" s="17"/>
      <c r="AD2716" s="27"/>
    </row>
    <row r="2717" ht="15.75" customHeight="1">
      <c r="A2717" s="27"/>
      <c r="B2717" s="27"/>
      <c r="C2717" s="27"/>
      <c r="D2717" s="27"/>
      <c r="E2717" s="27"/>
      <c r="F2717" s="27"/>
      <c r="G2717" s="27"/>
      <c r="H2717" s="27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17"/>
      <c r="AA2717" s="17"/>
      <c r="AB2717" s="17"/>
      <c r="AC2717" s="17"/>
      <c r="AD2717" s="27"/>
    </row>
    <row r="2718" ht="15.75" customHeight="1">
      <c r="A2718" s="27"/>
      <c r="B2718" s="27"/>
      <c r="C2718" s="27"/>
      <c r="D2718" s="27"/>
      <c r="E2718" s="27"/>
      <c r="F2718" s="27"/>
      <c r="G2718" s="27"/>
      <c r="H2718" s="27"/>
      <c r="I2718" s="27"/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/>
      <c r="W2718" s="27"/>
      <c r="X2718" s="27"/>
      <c r="Y2718" s="27"/>
      <c r="Z2718" s="17"/>
      <c r="AA2718" s="17"/>
      <c r="AB2718" s="17"/>
      <c r="AC2718" s="17"/>
      <c r="AD2718" s="27"/>
    </row>
    <row r="2719" ht="15.75" customHeight="1">
      <c r="A2719" s="27"/>
      <c r="B2719" s="27"/>
      <c r="C2719" s="27"/>
      <c r="D2719" s="27"/>
      <c r="E2719" s="27"/>
      <c r="F2719" s="27"/>
      <c r="G2719" s="27"/>
      <c r="H2719" s="27"/>
      <c r="I2719" s="27"/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  <c r="T2719" s="27"/>
      <c r="U2719" s="27"/>
      <c r="V2719" s="27"/>
      <c r="W2719" s="27"/>
      <c r="X2719" s="27"/>
      <c r="Y2719" s="27"/>
      <c r="Z2719" s="17"/>
      <c r="AA2719" s="17"/>
      <c r="AB2719" s="17"/>
      <c r="AC2719" s="17"/>
      <c r="AD2719" s="27"/>
    </row>
    <row r="2720" ht="15.75" customHeight="1">
      <c r="A2720" s="27"/>
      <c r="B2720" s="27"/>
      <c r="C2720" s="27"/>
      <c r="D2720" s="27"/>
      <c r="E2720" s="27"/>
      <c r="F2720" s="27"/>
      <c r="G2720" s="27"/>
      <c r="H2720" s="27"/>
      <c r="I2720" s="27"/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  <c r="T2720" s="27"/>
      <c r="U2720" s="27"/>
      <c r="V2720" s="27"/>
      <c r="W2720" s="27"/>
      <c r="X2720" s="27"/>
      <c r="Y2720" s="27"/>
      <c r="Z2720" s="17"/>
      <c r="AA2720" s="17"/>
      <c r="AB2720" s="17"/>
      <c r="AC2720" s="17"/>
      <c r="AD2720" s="27"/>
    </row>
    <row r="2721" ht="15.75" customHeight="1">
      <c r="A2721" s="27"/>
      <c r="B2721" s="27"/>
      <c r="C2721" s="27"/>
      <c r="D2721" s="27"/>
      <c r="E2721" s="27"/>
      <c r="F2721" s="27"/>
      <c r="G2721" s="27"/>
      <c r="H2721" s="27"/>
      <c r="I2721" s="27"/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17"/>
      <c r="AA2721" s="17"/>
      <c r="AB2721" s="17"/>
      <c r="AC2721" s="17"/>
      <c r="AD2721" s="27"/>
    </row>
    <row r="2722" ht="15.75" customHeight="1">
      <c r="A2722" s="27"/>
      <c r="B2722" s="27"/>
      <c r="C2722" s="27"/>
      <c r="D2722" s="27"/>
      <c r="E2722" s="27"/>
      <c r="F2722" s="27"/>
      <c r="G2722" s="27"/>
      <c r="H2722" s="27"/>
      <c r="I2722" s="27"/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/>
      <c r="W2722" s="27"/>
      <c r="X2722" s="27"/>
      <c r="Y2722" s="27"/>
      <c r="Z2722" s="17"/>
      <c r="AA2722" s="17"/>
      <c r="AB2722" s="17"/>
      <c r="AC2722" s="17"/>
      <c r="AD2722" s="27"/>
    </row>
    <row r="2723" ht="15.75" customHeight="1">
      <c r="A2723" s="27"/>
      <c r="B2723" s="27"/>
      <c r="C2723" s="27"/>
      <c r="D2723" s="27"/>
      <c r="E2723" s="27"/>
      <c r="F2723" s="27"/>
      <c r="G2723" s="27"/>
      <c r="H2723" s="27"/>
      <c r="I2723" s="27"/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/>
      <c r="W2723" s="27"/>
      <c r="X2723" s="27"/>
      <c r="Y2723" s="27"/>
      <c r="Z2723" s="17"/>
      <c r="AA2723" s="17"/>
      <c r="AB2723" s="17"/>
      <c r="AC2723" s="17"/>
      <c r="AD2723" s="27"/>
    </row>
    <row r="2724" ht="15.75" customHeight="1">
      <c r="A2724" s="27"/>
      <c r="B2724" s="27"/>
      <c r="C2724" s="27"/>
      <c r="D2724" s="27"/>
      <c r="E2724" s="27"/>
      <c r="F2724" s="27"/>
      <c r="G2724" s="27"/>
      <c r="H2724" s="27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17"/>
      <c r="AA2724" s="17"/>
      <c r="AB2724" s="17"/>
      <c r="AC2724" s="17"/>
      <c r="AD2724" s="27"/>
    </row>
    <row r="2725" ht="15.75" customHeight="1">
      <c r="A2725" s="27"/>
      <c r="B2725" s="27"/>
      <c r="C2725" s="27"/>
      <c r="D2725" s="27"/>
      <c r="E2725" s="27"/>
      <c r="F2725" s="27"/>
      <c r="G2725" s="27"/>
      <c r="H2725" s="27"/>
      <c r="I2725" s="27"/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7"/>
      <c r="X2725" s="27"/>
      <c r="Y2725" s="27"/>
      <c r="Z2725" s="17"/>
      <c r="AA2725" s="17"/>
      <c r="AB2725" s="17"/>
      <c r="AC2725" s="17"/>
      <c r="AD2725" s="27"/>
    </row>
    <row r="2726" ht="15.75" customHeight="1">
      <c r="A2726" s="27"/>
      <c r="B2726" s="27"/>
      <c r="C2726" s="27"/>
      <c r="D2726" s="27"/>
      <c r="E2726" s="27"/>
      <c r="F2726" s="27"/>
      <c r="G2726" s="27"/>
      <c r="H2726" s="27"/>
      <c r="I2726" s="27"/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/>
      <c r="W2726" s="27"/>
      <c r="X2726" s="27"/>
      <c r="Y2726" s="27"/>
      <c r="Z2726" s="17"/>
      <c r="AA2726" s="17"/>
      <c r="AB2726" s="17"/>
      <c r="AC2726" s="17"/>
      <c r="AD2726" s="27"/>
    </row>
    <row r="2727" ht="15.75" customHeight="1">
      <c r="A2727" s="27"/>
      <c r="B2727" s="27"/>
      <c r="C2727" s="27"/>
      <c r="D2727" s="27"/>
      <c r="E2727" s="27"/>
      <c r="F2727" s="27"/>
      <c r="G2727" s="27"/>
      <c r="H2727" s="27"/>
      <c r="I2727" s="27"/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/>
      <c r="W2727" s="27"/>
      <c r="X2727" s="27"/>
      <c r="Y2727" s="27"/>
      <c r="Z2727" s="17"/>
      <c r="AA2727" s="17"/>
      <c r="AB2727" s="17"/>
      <c r="AC2727" s="17"/>
      <c r="AD2727" s="27"/>
    </row>
    <row r="2728" ht="15.75" customHeight="1">
      <c r="A2728" s="27"/>
      <c r="B2728" s="27"/>
      <c r="C2728" s="27"/>
      <c r="D2728" s="27"/>
      <c r="E2728" s="27"/>
      <c r="F2728" s="27"/>
      <c r="G2728" s="27"/>
      <c r="H2728" s="27"/>
      <c r="I2728" s="27"/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7"/>
      <c r="X2728" s="27"/>
      <c r="Y2728" s="27"/>
      <c r="Z2728" s="17"/>
      <c r="AA2728" s="17"/>
      <c r="AB2728" s="17"/>
      <c r="AC2728" s="17"/>
      <c r="AD2728" s="27"/>
    </row>
    <row r="2729" ht="15.75" customHeight="1">
      <c r="A2729" s="27"/>
      <c r="B2729" s="27"/>
      <c r="C2729" s="27"/>
      <c r="D2729" s="27"/>
      <c r="E2729" s="27"/>
      <c r="F2729" s="27"/>
      <c r="G2729" s="27"/>
      <c r="H2729" s="27"/>
      <c r="I2729" s="27"/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/>
      <c r="W2729" s="27"/>
      <c r="X2729" s="27"/>
      <c r="Y2729" s="27"/>
      <c r="Z2729" s="17"/>
      <c r="AA2729" s="17"/>
      <c r="AB2729" s="17"/>
      <c r="AC2729" s="17"/>
      <c r="AD2729" s="27"/>
    </row>
    <row r="2730" ht="15.75" customHeight="1">
      <c r="A2730" s="27"/>
      <c r="B2730" s="27"/>
      <c r="C2730" s="27"/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  <c r="Z2730" s="17"/>
      <c r="AA2730" s="17"/>
      <c r="AB2730" s="17"/>
      <c r="AC2730" s="17"/>
      <c r="AD2730" s="27"/>
    </row>
    <row r="2731" ht="15.75" customHeight="1">
      <c r="A2731" s="27"/>
      <c r="B2731" s="27"/>
      <c r="C2731" s="27"/>
      <c r="D2731" s="27"/>
      <c r="E2731" s="27"/>
      <c r="F2731" s="27"/>
      <c r="G2731" s="27"/>
      <c r="H2731" s="27"/>
      <c r="I2731" s="27"/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7"/>
      <c r="X2731" s="27"/>
      <c r="Y2731" s="27"/>
      <c r="Z2731" s="17"/>
      <c r="AA2731" s="17"/>
      <c r="AB2731" s="17"/>
      <c r="AC2731" s="17"/>
      <c r="AD2731" s="27"/>
    </row>
    <row r="2732" ht="15.75" customHeight="1">
      <c r="A2732" s="27"/>
      <c r="B2732" s="27"/>
      <c r="C2732" s="27"/>
      <c r="D2732" s="27"/>
      <c r="E2732" s="27"/>
      <c r="F2732" s="27"/>
      <c r="G2732" s="27"/>
      <c r="H2732" s="27"/>
      <c r="I2732" s="27"/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  <c r="T2732" s="27"/>
      <c r="U2732" s="27"/>
      <c r="V2732" s="27"/>
      <c r="W2732" s="27"/>
      <c r="X2732" s="27"/>
      <c r="Y2732" s="27"/>
      <c r="Z2732" s="17"/>
      <c r="AA2732" s="17"/>
      <c r="AB2732" s="17"/>
      <c r="AC2732" s="17"/>
      <c r="AD2732" s="27"/>
    </row>
    <row r="2733" ht="15.75" customHeight="1">
      <c r="A2733" s="27"/>
      <c r="B2733" s="27"/>
      <c r="C2733" s="27"/>
      <c r="D2733" s="27"/>
      <c r="E2733" s="27"/>
      <c r="F2733" s="27"/>
      <c r="G2733" s="27"/>
      <c r="H2733" s="27"/>
      <c r="I2733" s="27"/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  <c r="T2733" s="27"/>
      <c r="U2733" s="27"/>
      <c r="V2733" s="27"/>
      <c r="W2733" s="27"/>
      <c r="X2733" s="27"/>
      <c r="Y2733" s="27"/>
      <c r="Z2733" s="17"/>
      <c r="AA2733" s="17"/>
      <c r="AB2733" s="17"/>
      <c r="AC2733" s="17"/>
      <c r="AD2733" s="27"/>
    </row>
    <row r="2734" ht="15.75" customHeight="1">
      <c r="A2734" s="27"/>
      <c r="B2734" s="27"/>
      <c r="C2734" s="27"/>
      <c r="D2734" s="27"/>
      <c r="E2734" s="27"/>
      <c r="F2734" s="27"/>
      <c r="G2734" s="27"/>
      <c r="H2734" s="27"/>
      <c r="I2734" s="27"/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7"/>
      <c r="X2734" s="27"/>
      <c r="Y2734" s="27"/>
      <c r="Z2734" s="17"/>
      <c r="AA2734" s="17"/>
      <c r="AB2734" s="17"/>
      <c r="AC2734" s="17"/>
      <c r="AD2734" s="27"/>
    </row>
    <row r="2735" ht="15.75" customHeight="1">
      <c r="A2735" s="27"/>
      <c r="B2735" s="27"/>
      <c r="C2735" s="27"/>
      <c r="D2735" s="27"/>
      <c r="E2735" s="27"/>
      <c r="F2735" s="27"/>
      <c r="G2735" s="27"/>
      <c r="H2735" s="27"/>
      <c r="I2735" s="27"/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7"/>
      <c r="X2735" s="27"/>
      <c r="Y2735" s="27"/>
      <c r="Z2735" s="17"/>
      <c r="AA2735" s="17"/>
      <c r="AB2735" s="17"/>
      <c r="AC2735" s="17"/>
      <c r="AD2735" s="27"/>
    </row>
    <row r="2736" ht="15.75" customHeight="1">
      <c r="A2736" s="27"/>
      <c r="B2736" s="27"/>
      <c r="C2736" s="27"/>
      <c r="D2736" s="27"/>
      <c r="E2736" s="27"/>
      <c r="F2736" s="27"/>
      <c r="G2736" s="27"/>
      <c r="H2736" s="27"/>
      <c r="I2736" s="27"/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7"/>
      <c r="X2736" s="27"/>
      <c r="Y2736" s="27"/>
      <c r="Z2736" s="17"/>
      <c r="AA2736" s="17"/>
      <c r="AB2736" s="17"/>
      <c r="AC2736" s="17"/>
      <c r="AD2736" s="27"/>
    </row>
    <row r="2737" ht="15.75" customHeight="1">
      <c r="A2737" s="27"/>
      <c r="B2737" s="27"/>
      <c r="C2737" s="27"/>
      <c r="D2737" s="27"/>
      <c r="E2737" s="27"/>
      <c r="F2737" s="27"/>
      <c r="G2737" s="27"/>
      <c r="H2737" s="27"/>
      <c r="I2737" s="27"/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7"/>
      <c r="X2737" s="27"/>
      <c r="Y2737" s="27"/>
      <c r="Z2737" s="17"/>
      <c r="AA2737" s="17"/>
      <c r="AB2737" s="17"/>
      <c r="AC2737" s="17"/>
      <c r="AD2737" s="27"/>
    </row>
    <row r="2738" ht="15.75" customHeight="1">
      <c r="A2738" s="27"/>
      <c r="B2738" s="27"/>
      <c r="C2738" s="27"/>
      <c r="D2738" s="27"/>
      <c r="E2738" s="27"/>
      <c r="F2738" s="27"/>
      <c r="G2738" s="27"/>
      <c r="H2738" s="27"/>
      <c r="I2738" s="27"/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7"/>
      <c r="X2738" s="27"/>
      <c r="Y2738" s="27"/>
      <c r="Z2738" s="17"/>
      <c r="AA2738" s="17"/>
      <c r="AB2738" s="17"/>
      <c r="AC2738" s="17"/>
      <c r="AD2738" s="27"/>
    </row>
    <row r="2739" ht="15.75" customHeight="1">
      <c r="A2739" s="27"/>
      <c r="B2739" s="27"/>
      <c r="C2739" s="27"/>
      <c r="D2739" s="27"/>
      <c r="E2739" s="27"/>
      <c r="F2739" s="27"/>
      <c r="G2739" s="27"/>
      <c r="H2739" s="27"/>
      <c r="I2739" s="27"/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  <c r="T2739" s="27"/>
      <c r="U2739" s="27"/>
      <c r="V2739" s="27"/>
      <c r="W2739" s="27"/>
      <c r="X2739" s="27"/>
      <c r="Y2739" s="27"/>
      <c r="Z2739" s="17"/>
      <c r="AA2739" s="17"/>
      <c r="AB2739" s="17"/>
      <c r="AC2739" s="17"/>
      <c r="AD2739" s="27"/>
    </row>
    <row r="2740" ht="15.75" customHeight="1">
      <c r="A2740" s="27"/>
      <c r="B2740" s="27"/>
      <c r="C2740" s="27"/>
      <c r="D2740" s="27"/>
      <c r="E2740" s="27"/>
      <c r="F2740" s="27"/>
      <c r="G2740" s="27"/>
      <c r="H2740" s="27"/>
      <c r="I2740" s="27"/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  <c r="T2740" s="27"/>
      <c r="U2740" s="27"/>
      <c r="V2740" s="27"/>
      <c r="W2740" s="27"/>
      <c r="X2740" s="27"/>
      <c r="Y2740" s="27"/>
      <c r="Z2740" s="17"/>
      <c r="AA2740" s="17"/>
      <c r="AB2740" s="17"/>
      <c r="AC2740" s="17"/>
      <c r="AD2740" s="27"/>
    </row>
    <row r="2741" ht="15.75" customHeight="1">
      <c r="A2741" s="27"/>
      <c r="B2741" s="27"/>
      <c r="C2741" s="27"/>
      <c r="D2741" s="27"/>
      <c r="E2741" s="27"/>
      <c r="F2741" s="27"/>
      <c r="G2741" s="27"/>
      <c r="H2741" s="27"/>
      <c r="I2741" s="27"/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7"/>
      <c r="X2741" s="27"/>
      <c r="Y2741" s="27"/>
      <c r="Z2741" s="17"/>
      <c r="AA2741" s="17"/>
      <c r="AB2741" s="17"/>
      <c r="AC2741" s="17"/>
      <c r="AD2741" s="27"/>
    </row>
    <row r="2742" ht="15.75" customHeight="1">
      <c r="A2742" s="27"/>
      <c r="B2742" s="27"/>
      <c r="C2742" s="27"/>
      <c r="D2742" s="27"/>
      <c r="E2742" s="27"/>
      <c r="F2742" s="27"/>
      <c r="G2742" s="27"/>
      <c r="H2742" s="27"/>
      <c r="I2742" s="27"/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7"/>
      <c r="X2742" s="27"/>
      <c r="Y2742" s="27"/>
      <c r="Z2742" s="17"/>
      <c r="AA2742" s="17"/>
      <c r="AB2742" s="17"/>
      <c r="AC2742" s="17"/>
      <c r="AD2742" s="27"/>
    </row>
    <row r="2743" ht="15.75" customHeight="1">
      <c r="A2743" s="27"/>
      <c r="B2743" s="27"/>
      <c r="C2743" s="27"/>
      <c r="D2743" s="27"/>
      <c r="E2743" s="27"/>
      <c r="F2743" s="27"/>
      <c r="G2743" s="27"/>
      <c r="H2743" s="27"/>
      <c r="I2743" s="27"/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17"/>
      <c r="AA2743" s="17"/>
      <c r="AB2743" s="17"/>
      <c r="AC2743" s="17"/>
      <c r="AD2743" s="27"/>
    </row>
    <row r="2744" ht="15.75" customHeight="1">
      <c r="A2744" s="27"/>
      <c r="B2744" s="27"/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17"/>
      <c r="AA2744" s="17"/>
      <c r="AB2744" s="17"/>
      <c r="AC2744" s="17"/>
      <c r="AD2744" s="27"/>
    </row>
    <row r="2745" ht="15.75" customHeight="1">
      <c r="A2745" s="27"/>
      <c r="B2745" s="27"/>
      <c r="C2745" s="27"/>
      <c r="D2745" s="27"/>
      <c r="E2745" s="27"/>
      <c r="F2745" s="27"/>
      <c r="G2745" s="27"/>
      <c r="H2745" s="27"/>
      <c r="I2745" s="27"/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7"/>
      <c r="X2745" s="27"/>
      <c r="Y2745" s="27"/>
      <c r="Z2745" s="17"/>
      <c r="AA2745" s="17"/>
      <c r="AB2745" s="17"/>
      <c r="AC2745" s="17"/>
      <c r="AD2745" s="27"/>
    </row>
    <row r="2746" ht="15.75" customHeight="1">
      <c r="A2746" s="27"/>
      <c r="B2746" s="27"/>
      <c r="C2746" s="27"/>
      <c r="D2746" s="27"/>
      <c r="E2746" s="27"/>
      <c r="F2746" s="27"/>
      <c r="G2746" s="27"/>
      <c r="H2746" s="27"/>
      <c r="I2746" s="27"/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17"/>
      <c r="AA2746" s="17"/>
      <c r="AB2746" s="17"/>
      <c r="AC2746" s="17"/>
      <c r="AD2746" s="27"/>
    </row>
    <row r="2747" ht="15.75" customHeight="1">
      <c r="A2747" s="27"/>
      <c r="B2747" s="27"/>
      <c r="C2747" s="27"/>
      <c r="D2747" s="27"/>
      <c r="E2747" s="27"/>
      <c r="F2747" s="27"/>
      <c r="G2747" s="27"/>
      <c r="H2747" s="27"/>
      <c r="I2747" s="27"/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7"/>
      <c r="X2747" s="27"/>
      <c r="Y2747" s="27"/>
      <c r="Z2747" s="17"/>
      <c r="AA2747" s="17"/>
      <c r="AB2747" s="17"/>
      <c r="AC2747" s="17"/>
      <c r="AD2747" s="27"/>
    </row>
    <row r="2748" ht="15.75" customHeight="1">
      <c r="A2748" s="27"/>
      <c r="B2748" s="27"/>
      <c r="C2748" s="27"/>
      <c r="D2748" s="27"/>
      <c r="E2748" s="27"/>
      <c r="F2748" s="27"/>
      <c r="G2748" s="27"/>
      <c r="H2748" s="27"/>
      <c r="I2748" s="27"/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7"/>
      <c r="X2748" s="27"/>
      <c r="Y2748" s="27"/>
      <c r="Z2748" s="17"/>
      <c r="AA2748" s="17"/>
      <c r="AB2748" s="17"/>
      <c r="AC2748" s="17"/>
      <c r="AD2748" s="27"/>
    </row>
    <row r="2749" ht="15.75" customHeight="1">
      <c r="A2749" s="27"/>
      <c r="B2749" s="27"/>
      <c r="C2749" s="27"/>
      <c r="D2749" s="27"/>
      <c r="E2749" s="27"/>
      <c r="F2749" s="27"/>
      <c r="G2749" s="27"/>
      <c r="H2749" s="27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17"/>
      <c r="AA2749" s="17"/>
      <c r="AB2749" s="17"/>
      <c r="AC2749" s="17"/>
      <c r="AD2749" s="27"/>
    </row>
    <row r="2750" ht="15.75" customHeight="1">
      <c r="A2750" s="27"/>
      <c r="B2750" s="27"/>
      <c r="C2750" s="27"/>
      <c r="D2750" s="27"/>
      <c r="E2750" s="27"/>
      <c r="F2750" s="27"/>
      <c r="G2750" s="27"/>
      <c r="H2750" s="27"/>
      <c r="I2750" s="27"/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17"/>
      <c r="AA2750" s="17"/>
      <c r="AB2750" s="17"/>
      <c r="AC2750" s="17"/>
      <c r="AD2750" s="27"/>
    </row>
    <row r="2751" ht="15.75" customHeight="1">
      <c r="A2751" s="27"/>
      <c r="B2751" s="27"/>
      <c r="C2751" s="27"/>
      <c r="D2751" s="27"/>
      <c r="E2751" s="27"/>
      <c r="F2751" s="27"/>
      <c r="G2751" s="27"/>
      <c r="H2751" s="27"/>
      <c r="I2751" s="27"/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17"/>
      <c r="AA2751" s="17"/>
      <c r="AB2751" s="17"/>
      <c r="AC2751" s="17"/>
      <c r="AD2751" s="27"/>
    </row>
    <row r="2752" ht="15.75" customHeight="1">
      <c r="A2752" s="27"/>
      <c r="B2752" s="27"/>
      <c r="C2752" s="27"/>
      <c r="D2752" s="27"/>
      <c r="E2752" s="27"/>
      <c r="F2752" s="27"/>
      <c r="G2752" s="27"/>
      <c r="H2752" s="27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7"/>
      <c r="X2752" s="27"/>
      <c r="Y2752" s="27"/>
      <c r="Z2752" s="17"/>
      <c r="AA2752" s="17"/>
      <c r="AB2752" s="17"/>
      <c r="AC2752" s="17"/>
      <c r="AD2752" s="27"/>
    </row>
    <row r="2753" ht="15.75" customHeight="1">
      <c r="A2753" s="27"/>
      <c r="B2753" s="27"/>
      <c r="C2753" s="27"/>
      <c r="D2753" s="27"/>
      <c r="E2753" s="27"/>
      <c r="F2753" s="27"/>
      <c r="G2753" s="27"/>
      <c r="H2753" s="27"/>
      <c r="I2753" s="27"/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7"/>
      <c r="X2753" s="27"/>
      <c r="Y2753" s="27"/>
      <c r="Z2753" s="17"/>
      <c r="AA2753" s="17"/>
      <c r="AB2753" s="17"/>
      <c r="AC2753" s="17"/>
      <c r="AD2753" s="27"/>
    </row>
    <row r="2754" ht="15.75" customHeight="1">
      <c r="A2754" s="27"/>
      <c r="B2754" s="27"/>
      <c r="C2754" s="27"/>
      <c r="D2754" s="27"/>
      <c r="E2754" s="27"/>
      <c r="F2754" s="27"/>
      <c r="G2754" s="27"/>
      <c r="H2754" s="27"/>
      <c r="I2754" s="27"/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7"/>
      <c r="X2754" s="27"/>
      <c r="Y2754" s="27"/>
      <c r="Z2754" s="17"/>
      <c r="AA2754" s="17"/>
      <c r="AB2754" s="17"/>
      <c r="AC2754" s="17"/>
      <c r="AD2754" s="27"/>
    </row>
    <row r="2755" ht="15.75" customHeight="1">
      <c r="A2755" s="27"/>
      <c r="B2755" s="27"/>
      <c r="C2755" s="27"/>
      <c r="D2755" s="27"/>
      <c r="E2755" s="27"/>
      <c r="F2755" s="27"/>
      <c r="G2755" s="27"/>
      <c r="H2755" s="27"/>
      <c r="I2755" s="27"/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7"/>
      <c r="X2755" s="27"/>
      <c r="Y2755" s="27"/>
      <c r="Z2755" s="17"/>
      <c r="AA2755" s="17"/>
      <c r="AB2755" s="17"/>
      <c r="AC2755" s="17"/>
      <c r="AD2755" s="27"/>
    </row>
    <row r="2756" ht="15.75" customHeight="1">
      <c r="A2756" s="27"/>
      <c r="B2756" s="27"/>
      <c r="C2756" s="27"/>
      <c r="D2756" s="27"/>
      <c r="E2756" s="27"/>
      <c r="F2756" s="27"/>
      <c r="G2756" s="27"/>
      <c r="H2756" s="27"/>
      <c r="I2756" s="27"/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7"/>
      <c r="X2756" s="27"/>
      <c r="Y2756" s="27"/>
      <c r="Z2756" s="17"/>
      <c r="AA2756" s="17"/>
      <c r="AB2756" s="17"/>
      <c r="AC2756" s="17"/>
      <c r="AD2756" s="27"/>
    </row>
    <row r="2757" ht="15.75" customHeight="1">
      <c r="A2757" s="27"/>
      <c r="B2757" s="27"/>
      <c r="C2757" s="27"/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  <c r="Z2757" s="17"/>
      <c r="AA2757" s="17"/>
      <c r="AB2757" s="17"/>
      <c r="AC2757" s="17"/>
      <c r="AD2757" s="27"/>
    </row>
    <row r="2758" ht="15.75" customHeight="1">
      <c r="A2758" s="27"/>
      <c r="B2758" s="27"/>
      <c r="C2758" s="27"/>
      <c r="D2758" s="27"/>
      <c r="E2758" s="27"/>
      <c r="F2758" s="27"/>
      <c r="G2758" s="27"/>
      <c r="H2758" s="27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7"/>
      <c r="X2758" s="27"/>
      <c r="Y2758" s="27"/>
      <c r="Z2758" s="17"/>
      <c r="AA2758" s="17"/>
      <c r="AB2758" s="17"/>
      <c r="AC2758" s="17"/>
      <c r="AD2758" s="27"/>
    </row>
    <row r="2759" ht="15.75" customHeight="1">
      <c r="A2759" s="27"/>
      <c r="B2759" s="27"/>
      <c r="C2759" s="27"/>
      <c r="D2759" s="27"/>
      <c r="E2759" s="27"/>
      <c r="F2759" s="27"/>
      <c r="G2759" s="27"/>
      <c r="H2759" s="27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17"/>
      <c r="AA2759" s="17"/>
      <c r="AB2759" s="17"/>
      <c r="AC2759" s="17"/>
      <c r="AD2759" s="27"/>
    </row>
    <row r="2760" ht="15.75" customHeight="1">
      <c r="A2760" s="27"/>
      <c r="B2760" s="27"/>
      <c r="C2760" s="27"/>
      <c r="D2760" s="27"/>
      <c r="E2760" s="27"/>
      <c r="F2760" s="27"/>
      <c r="G2760" s="27"/>
      <c r="H2760" s="27"/>
      <c r="I2760" s="27"/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7"/>
      <c r="X2760" s="27"/>
      <c r="Y2760" s="27"/>
      <c r="Z2760" s="17"/>
      <c r="AA2760" s="17"/>
      <c r="AB2760" s="17"/>
      <c r="AC2760" s="17"/>
      <c r="AD2760" s="27"/>
    </row>
    <row r="2761" ht="15.75" customHeight="1">
      <c r="A2761" s="27"/>
      <c r="B2761" s="27"/>
      <c r="C2761" s="27"/>
      <c r="D2761" s="27"/>
      <c r="E2761" s="27"/>
      <c r="F2761" s="27"/>
      <c r="G2761" s="27"/>
      <c r="H2761" s="27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7"/>
      <c r="X2761" s="27"/>
      <c r="Y2761" s="27"/>
      <c r="Z2761" s="17"/>
      <c r="AA2761" s="17"/>
      <c r="AB2761" s="17"/>
      <c r="AC2761" s="17"/>
      <c r="AD2761" s="27"/>
    </row>
    <row r="2762" ht="15.75" customHeight="1">
      <c r="A2762" s="27"/>
      <c r="B2762" s="27"/>
      <c r="C2762" s="27"/>
      <c r="D2762" s="27"/>
      <c r="E2762" s="27"/>
      <c r="F2762" s="27"/>
      <c r="G2762" s="27"/>
      <c r="H2762" s="27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17"/>
      <c r="AA2762" s="17"/>
      <c r="AB2762" s="17"/>
      <c r="AC2762" s="17"/>
      <c r="AD2762" s="27"/>
    </row>
    <row r="2763" ht="15.75" customHeight="1">
      <c r="A2763" s="27"/>
      <c r="B2763" s="27"/>
      <c r="C2763" s="27"/>
      <c r="D2763" s="27"/>
      <c r="E2763" s="27"/>
      <c r="F2763" s="27"/>
      <c r="G2763" s="27"/>
      <c r="H2763" s="27"/>
      <c r="I2763" s="27"/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7"/>
      <c r="X2763" s="27"/>
      <c r="Y2763" s="27"/>
      <c r="Z2763" s="17"/>
      <c r="AA2763" s="17"/>
      <c r="AB2763" s="17"/>
      <c r="AC2763" s="17"/>
      <c r="AD2763" s="27"/>
    </row>
    <row r="2764" ht="15.75" customHeight="1">
      <c r="A2764" s="27"/>
      <c r="B2764" s="27"/>
      <c r="C2764" s="27"/>
      <c r="D2764" s="27"/>
      <c r="E2764" s="27"/>
      <c r="F2764" s="27"/>
      <c r="G2764" s="27"/>
      <c r="H2764" s="27"/>
      <c r="I2764" s="27"/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7"/>
      <c r="X2764" s="27"/>
      <c r="Y2764" s="27"/>
      <c r="Z2764" s="17"/>
      <c r="AA2764" s="17"/>
      <c r="AB2764" s="17"/>
      <c r="AC2764" s="17"/>
      <c r="AD2764" s="27"/>
    </row>
    <row r="2765" ht="15.75" customHeight="1">
      <c r="A2765" s="27"/>
      <c r="B2765" s="27"/>
      <c r="C2765" s="27"/>
      <c r="D2765" s="27"/>
      <c r="E2765" s="27"/>
      <c r="F2765" s="27"/>
      <c r="G2765" s="27"/>
      <c r="H2765" s="27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7"/>
      <c r="X2765" s="27"/>
      <c r="Y2765" s="27"/>
      <c r="Z2765" s="17"/>
      <c r="AA2765" s="17"/>
      <c r="AB2765" s="17"/>
      <c r="AC2765" s="17"/>
      <c r="AD2765" s="27"/>
    </row>
    <row r="2766" ht="15.75" customHeight="1">
      <c r="A2766" s="27"/>
      <c r="B2766" s="27"/>
      <c r="C2766" s="27"/>
      <c r="D2766" s="27"/>
      <c r="E2766" s="27"/>
      <c r="F2766" s="27"/>
      <c r="G2766" s="27"/>
      <c r="H2766" s="27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7"/>
      <c r="X2766" s="27"/>
      <c r="Y2766" s="27"/>
      <c r="Z2766" s="17"/>
      <c r="AA2766" s="17"/>
      <c r="AB2766" s="17"/>
      <c r="AC2766" s="17"/>
      <c r="AD2766" s="27"/>
    </row>
    <row r="2767" ht="15.75" customHeight="1">
      <c r="A2767" s="27"/>
      <c r="B2767" s="27"/>
      <c r="C2767" s="27"/>
      <c r="D2767" s="27"/>
      <c r="E2767" s="27"/>
      <c r="F2767" s="27"/>
      <c r="G2767" s="27"/>
      <c r="H2767" s="27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7"/>
      <c r="X2767" s="27"/>
      <c r="Y2767" s="27"/>
      <c r="Z2767" s="17"/>
      <c r="AA2767" s="17"/>
      <c r="AB2767" s="17"/>
      <c r="AC2767" s="17"/>
      <c r="AD2767" s="27"/>
    </row>
    <row r="2768" ht="15.75" customHeight="1">
      <c r="A2768" s="27"/>
      <c r="B2768" s="27"/>
      <c r="C2768" s="27"/>
      <c r="D2768" s="27"/>
      <c r="E2768" s="27"/>
      <c r="F2768" s="27"/>
      <c r="G2768" s="27"/>
      <c r="H2768" s="27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17"/>
      <c r="AA2768" s="17"/>
      <c r="AB2768" s="17"/>
      <c r="AC2768" s="17"/>
      <c r="AD2768" s="27"/>
    </row>
    <row r="2769" ht="15.75" customHeight="1">
      <c r="A2769" s="27"/>
      <c r="B2769" s="27"/>
      <c r="C2769" s="27"/>
      <c r="D2769" s="27"/>
      <c r="E2769" s="27"/>
      <c r="F2769" s="27"/>
      <c r="G2769" s="27"/>
      <c r="H2769" s="27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7"/>
      <c r="X2769" s="27"/>
      <c r="Y2769" s="27"/>
      <c r="Z2769" s="17"/>
      <c r="AA2769" s="17"/>
      <c r="AB2769" s="17"/>
      <c r="AC2769" s="17"/>
      <c r="AD2769" s="27"/>
    </row>
    <row r="2770" ht="15.75" customHeight="1">
      <c r="A2770" s="27"/>
      <c r="B2770" s="27"/>
      <c r="C2770" s="27"/>
      <c r="D2770" s="27"/>
      <c r="E2770" s="27"/>
      <c r="F2770" s="27"/>
      <c r="G2770" s="27"/>
      <c r="H2770" s="27"/>
      <c r="I2770" s="27"/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7"/>
      <c r="X2770" s="27"/>
      <c r="Y2770" s="27"/>
      <c r="Z2770" s="17"/>
      <c r="AA2770" s="17"/>
      <c r="AB2770" s="17"/>
      <c r="AC2770" s="17"/>
      <c r="AD2770" s="27"/>
    </row>
    <row r="2771" ht="15.75" customHeight="1">
      <c r="A2771" s="27"/>
      <c r="B2771" s="27"/>
      <c r="C2771" s="27"/>
      <c r="D2771" s="27"/>
      <c r="E2771" s="27"/>
      <c r="F2771" s="27"/>
      <c r="G2771" s="27"/>
      <c r="H2771" s="27"/>
      <c r="I2771" s="27"/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7"/>
      <c r="X2771" s="27"/>
      <c r="Y2771" s="27"/>
      <c r="Z2771" s="17"/>
      <c r="AA2771" s="17"/>
      <c r="AB2771" s="17"/>
      <c r="AC2771" s="17"/>
      <c r="AD2771" s="27"/>
    </row>
    <row r="2772" ht="15.75" customHeight="1">
      <c r="A2772" s="27"/>
      <c r="B2772" s="27"/>
      <c r="C2772" s="27"/>
      <c r="D2772" s="27"/>
      <c r="E2772" s="27"/>
      <c r="F2772" s="27"/>
      <c r="G2772" s="27"/>
      <c r="H2772" s="27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7"/>
      <c r="X2772" s="27"/>
      <c r="Y2772" s="27"/>
      <c r="Z2772" s="17"/>
      <c r="AA2772" s="17"/>
      <c r="AB2772" s="17"/>
      <c r="AC2772" s="17"/>
      <c r="AD2772" s="27"/>
    </row>
    <row r="2773" ht="15.75" customHeight="1">
      <c r="A2773" s="27"/>
      <c r="B2773" s="27"/>
      <c r="C2773" s="27"/>
      <c r="D2773" s="27"/>
      <c r="E2773" s="27"/>
      <c r="F2773" s="27"/>
      <c r="G2773" s="27"/>
      <c r="H2773" s="27"/>
      <c r="I2773" s="27"/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17"/>
      <c r="AA2773" s="17"/>
      <c r="AB2773" s="17"/>
      <c r="AC2773" s="17"/>
      <c r="AD2773" s="27"/>
    </row>
    <row r="2774" ht="15.75" customHeight="1">
      <c r="A2774" s="27"/>
      <c r="B2774" s="27"/>
      <c r="C2774" s="27"/>
      <c r="D2774" s="27"/>
      <c r="E2774" s="27"/>
      <c r="F2774" s="27"/>
      <c r="G2774" s="27"/>
      <c r="H2774" s="27"/>
      <c r="I2774" s="27"/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7"/>
      <c r="X2774" s="27"/>
      <c r="Y2774" s="27"/>
      <c r="Z2774" s="17"/>
      <c r="AA2774" s="17"/>
      <c r="AB2774" s="17"/>
      <c r="AC2774" s="17"/>
      <c r="AD2774" s="27"/>
    </row>
    <row r="2775" ht="15.75" customHeight="1">
      <c r="A2775" s="27"/>
      <c r="B2775" s="27"/>
      <c r="C2775" s="27"/>
      <c r="D2775" s="27"/>
      <c r="E2775" s="27"/>
      <c r="F2775" s="27"/>
      <c r="G2775" s="27"/>
      <c r="H2775" s="27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7"/>
      <c r="X2775" s="27"/>
      <c r="Y2775" s="27"/>
      <c r="Z2775" s="17"/>
      <c r="AA2775" s="17"/>
      <c r="AB2775" s="17"/>
      <c r="AC2775" s="17"/>
      <c r="AD2775" s="27"/>
    </row>
    <row r="2776" ht="15.75" customHeight="1">
      <c r="A2776" s="27"/>
      <c r="B2776" s="27"/>
      <c r="C2776" s="27"/>
      <c r="D2776" s="27"/>
      <c r="E2776" s="27"/>
      <c r="F2776" s="27"/>
      <c r="G2776" s="27"/>
      <c r="H2776" s="27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17"/>
      <c r="AA2776" s="17"/>
      <c r="AB2776" s="17"/>
      <c r="AC2776" s="17"/>
      <c r="AD2776" s="27"/>
    </row>
    <row r="2777" ht="15.75" customHeight="1">
      <c r="A2777" s="27"/>
      <c r="B2777" s="27"/>
      <c r="C2777" s="27"/>
      <c r="D2777" s="27"/>
      <c r="E2777" s="27"/>
      <c r="F2777" s="27"/>
      <c r="G2777" s="27"/>
      <c r="H2777" s="27"/>
      <c r="I2777" s="27"/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7"/>
      <c r="X2777" s="27"/>
      <c r="Y2777" s="27"/>
      <c r="Z2777" s="17"/>
      <c r="AA2777" s="17"/>
      <c r="AB2777" s="17"/>
      <c r="AC2777" s="17"/>
      <c r="AD2777" s="27"/>
    </row>
    <row r="2778" ht="15.75" customHeight="1">
      <c r="A2778" s="27"/>
      <c r="B2778" s="27"/>
      <c r="C2778" s="27"/>
      <c r="D2778" s="27"/>
      <c r="E2778" s="27"/>
      <c r="F2778" s="27"/>
      <c r="G2778" s="27"/>
      <c r="H2778" s="27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7"/>
      <c r="X2778" s="27"/>
      <c r="Y2778" s="27"/>
      <c r="Z2778" s="17"/>
      <c r="AA2778" s="17"/>
      <c r="AB2778" s="17"/>
      <c r="AC2778" s="17"/>
      <c r="AD2778" s="27"/>
    </row>
    <row r="2779" ht="15.75" customHeight="1">
      <c r="A2779" s="27"/>
      <c r="B2779" s="27"/>
      <c r="C2779" s="27"/>
      <c r="D2779" s="27"/>
      <c r="E2779" s="27"/>
      <c r="F2779" s="27"/>
      <c r="G2779" s="27"/>
      <c r="H2779" s="27"/>
      <c r="I2779" s="27"/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7"/>
      <c r="X2779" s="27"/>
      <c r="Y2779" s="27"/>
      <c r="Z2779" s="17"/>
      <c r="AA2779" s="17"/>
      <c r="AB2779" s="17"/>
      <c r="AC2779" s="17"/>
      <c r="AD2779" s="27"/>
    </row>
    <row r="2780" ht="15.75" customHeight="1">
      <c r="A2780" s="27"/>
      <c r="B2780" s="27"/>
      <c r="C2780" s="27"/>
      <c r="D2780" s="27"/>
      <c r="E2780" s="27"/>
      <c r="F2780" s="27"/>
      <c r="G2780" s="27"/>
      <c r="H2780" s="27"/>
      <c r="I2780" s="27"/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7"/>
      <c r="X2780" s="27"/>
      <c r="Y2780" s="27"/>
      <c r="Z2780" s="17"/>
      <c r="AA2780" s="17"/>
      <c r="AB2780" s="17"/>
      <c r="AC2780" s="17"/>
      <c r="AD2780" s="27"/>
    </row>
    <row r="2781" ht="15.75" customHeight="1">
      <c r="A2781" s="27"/>
      <c r="B2781" s="27"/>
      <c r="C2781" s="27"/>
      <c r="D2781" s="27"/>
      <c r="E2781" s="27"/>
      <c r="F2781" s="27"/>
      <c r="G2781" s="27"/>
      <c r="H2781" s="27"/>
      <c r="I2781" s="27"/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17"/>
      <c r="AA2781" s="17"/>
      <c r="AB2781" s="17"/>
      <c r="AC2781" s="17"/>
      <c r="AD2781" s="27"/>
    </row>
    <row r="2782" ht="15.75" customHeight="1">
      <c r="A2782" s="27"/>
      <c r="B2782" s="27"/>
      <c r="C2782" s="27"/>
      <c r="D2782" s="27"/>
      <c r="E2782" s="27"/>
      <c r="F2782" s="27"/>
      <c r="G2782" s="27"/>
      <c r="H2782" s="27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17"/>
      <c r="AA2782" s="17"/>
      <c r="AB2782" s="17"/>
      <c r="AC2782" s="17"/>
      <c r="AD2782" s="27"/>
    </row>
    <row r="2783" ht="15.75" customHeight="1">
      <c r="A2783" s="27"/>
      <c r="B2783" s="27"/>
      <c r="C2783" s="27"/>
      <c r="D2783" s="27"/>
      <c r="E2783" s="27"/>
      <c r="F2783" s="27"/>
      <c r="G2783" s="27"/>
      <c r="H2783" s="27"/>
      <c r="I2783" s="27"/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17"/>
      <c r="AA2783" s="17"/>
      <c r="AB2783" s="17"/>
      <c r="AC2783" s="17"/>
      <c r="AD2783" s="27"/>
    </row>
    <row r="2784" ht="15.75" customHeight="1">
      <c r="A2784" s="27"/>
      <c r="B2784" s="27"/>
      <c r="C2784" s="27"/>
      <c r="D2784" s="27"/>
      <c r="E2784" s="27"/>
      <c r="F2784" s="27"/>
      <c r="G2784" s="27"/>
      <c r="H2784" s="27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17"/>
      <c r="AA2784" s="17"/>
      <c r="AB2784" s="17"/>
      <c r="AC2784" s="17"/>
      <c r="AD2784" s="27"/>
    </row>
    <row r="2785" ht="15.75" customHeight="1">
      <c r="A2785" s="27"/>
      <c r="B2785" s="27"/>
      <c r="C2785" s="27"/>
      <c r="D2785" s="27"/>
      <c r="E2785" s="27"/>
      <c r="F2785" s="27"/>
      <c r="G2785" s="27"/>
      <c r="H2785" s="27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7"/>
      <c r="X2785" s="27"/>
      <c r="Y2785" s="27"/>
      <c r="Z2785" s="17"/>
      <c r="AA2785" s="17"/>
      <c r="AB2785" s="17"/>
      <c r="AC2785" s="17"/>
      <c r="AD2785" s="27"/>
    </row>
    <row r="2786" ht="15.75" customHeight="1">
      <c r="A2786" s="27"/>
      <c r="B2786" s="27"/>
      <c r="C2786" s="27"/>
      <c r="D2786" s="27"/>
      <c r="E2786" s="27"/>
      <c r="F2786" s="27"/>
      <c r="G2786" s="27"/>
      <c r="H2786" s="27"/>
      <c r="I2786" s="27"/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17"/>
      <c r="AA2786" s="17"/>
      <c r="AB2786" s="17"/>
      <c r="AC2786" s="17"/>
      <c r="AD2786" s="27"/>
    </row>
    <row r="2787" ht="15.75" customHeight="1">
      <c r="A2787" s="27"/>
      <c r="B2787" s="27"/>
      <c r="C2787" s="27"/>
      <c r="D2787" s="27"/>
      <c r="E2787" s="27"/>
      <c r="F2787" s="27"/>
      <c r="G2787" s="27"/>
      <c r="H2787" s="27"/>
      <c r="I2787" s="27"/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7"/>
      <c r="X2787" s="27"/>
      <c r="Y2787" s="27"/>
      <c r="Z2787" s="17"/>
      <c r="AA2787" s="17"/>
      <c r="AB2787" s="17"/>
      <c r="AC2787" s="17"/>
      <c r="AD2787" s="27"/>
    </row>
    <row r="2788" ht="15.75" customHeight="1">
      <c r="A2788" s="27"/>
      <c r="B2788" s="27"/>
      <c r="C2788" s="27"/>
      <c r="D2788" s="27"/>
      <c r="E2788" s="27"/>
      <c r="F2788" s="27"/>
      <c r="G2788" s="27"/>
      <c r="H2788" s="27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7"/>
      <c r="X2788" s="27"/>
      <c r="Y2788" s="27"/>
      <c r="Z2788" s="17"/>
      <c r="AA2788" s="17"/>
      <c r="AB2788" s="17"/>
      <c r="AC2788" s="17"/>
      <c r="AD2788" s="27"/>
    </row>
    <row r="2789" ht="15.75" customHeight="1">
      <c r="A2789" s="27"/>
      <c r="B2789" s="27"/>
      <c r="C2789" s="27"/>
      <c r="D2789" s="27"/>
      <c r="E2789" s="27"/>
      <c r="F2789" s="27"/>
      <c r="G2789" s="27"/>
      <c r="H2789" s="27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7"/>
      <c r="X2789" s="27"/>
      <c r="Y2789" s="27"/>
      <c r="Z2789" s="17"/>
      <c r="AA2789" s="17"/>
      <c r="AB2789" s="17"/>
      <c r="AC2789" s="17"/>
      <c r="AD2789" s="27"/>
    </row>
    <row r="2790" ht="15.75" customHeight="1">
      <c r="A2790" s="27"/>
      <c r="B2790" s="27"/>
      <c r="C2790" s="27"/>
      <c r="D2790" s="27"/>
      <c r="E2790" s="27"/>
      <c r="F2790" s="27"/>
      <c r="G2790" s="27"/>
      <c r="H2790" s="27"/>
      <c r="I2790" s="27"/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7"/>
      <c r="X2790" s="27"/>
      <c r="Y2790" s="27"/>
      <c r="Z2790" s="17"/>
      <c r="AA2790" s="17"/>
      <c r="AB2790" s="17"/>
      <c r="AC2790" s="17"/>
      <c r="AD2790" s="27"/>
    </row>
    <row r="2791" ht="15.75" customHeight="1">
      <c r="A2791" s="27"/>
      <c r="B2791" s="27"/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17"/>
      <c r="AA2791" s="17"/>
      <c r="AB2791" s="17"/>
      <c r="AC2791" s="17"/>
      <c r="AD2791" s="27"/>
    </row>
    <row r="2792" ht="15.75" customHeight="1">
      <c r="A2792" s="27"/>
      <c r="B2792" s="27"/>
      <c r="C2792" s="27"/>
      <c r="D2792" s="27"/>
      <c r="E2792" s="27"/>
      <c r="F2792" s="27"/>
      <c r="G2792" s="27"/>
      <c r="H2792" s="27"/>
      <c r="I2792" s="27"/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7"/>
      <c r="X2792" s="27"/>
      <c r="Y2792" s="27"/>
      <c r="Z2792" s="17"/>
      <c r="AA2792" s="17"/>
      <c r="AB2792" s="17"/>
      <c r="AC2792" s="17"/>
      <c r="AD2792" s="27"/>
    </row>
    <row r="2793" ht="15.75" customHeight="1">
      <c r="A2793" s="27"/>
      <c r="B2793" s="27"/>
      <c r="C2793" s="27"/>
      <c r="D2793" s="27"/>
      <c r="E2793" s="27"/>
      <c r="F2793" s="27"/>
      <c r="G2793" s="27"/>
      <c r="H2793" s="27"/>
      <c r="I2793" s="27"/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7"/>
      <c r="X2793" s="27"/>
      <c r="Y2793" s="27"/>
      <c r="Z2793" s="17"/>
      <c r="AA2793" s="17"/>
      <c r="AB2793" s="17"/>
      <c r="AC2793" s="17"/>
      <c r="AD2793" s="27"/>
    </row>
    <row r="2794" ht="15.75" customHeight="1">
      <c r="A2794" s="27"/>
      <c r="B2794" s="27"/>
      <c r="C2794" s="27"/>
      <c r="D2794" s="27"/>
      <c r="E2794" s="27"/>
      <c r="F2794" s="27"/>
      <c r="G2794" s="27"/>
      <c r="H2794" s="27"/>
      <c r="I2794" s="27"/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7"/>
      <c r="X2794" s="27"/>
      <c r="Y2794" s="27"/>
      <c r="Z2794" s="17"/>
      <c r="AA2794" s="17"/>
      <c r="AB2794" s="17"/>
      <c r="AC2794" s="17"/>
      <c r="AD2794" s="27"/>
    </row>
    <row r="2795" ht="15.75" customHeight="1">
      <c r="A2795" s="27"/>
      <c r="B2795" s="27"/>
      <c r="C2795" s="27"/>
      <c r="D2795" s="27"/>
      <c r="E2795" s="27"/>
      <c r="F2795" s="27"/>
      <c r="G2795" s="27"/>
      <c r="H2795" s="27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7"/>
      <c r="X2795" s="27"/>
      <c r="Y2795" s="27"/>
      <c r="Z2795" s="17"/>
      <c r="AA2795" s="17"/>
      <c r="AB2795" s="17"/>
      <c r="AC2795" s="17"/>
      <c r="AD2795" s="27"/>
    </row>
    <row r="2796" ht="15.75" customHeight="1">
      <c r="A2796" s="27"/>
      <c r="B2796" s="27"/>
      <c r="C2796" s="27"/>
      <c r="D2796" s="27"/>
      <c r="E2796" s="27"/>
      <c r="F2796" s="27"/>
      <c r="G2796" s="27"/>
      <c r="H2796" s="27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7"/>
      <c r="X2796" s="27"/>
      <c r="Y2796" s="27"/>
      <c r="Z2796" s="17"/>
      <c r="AA2796" s="17"/>
      <c r="AB2796" s="17"/>
      <c r="AC2796" s="17"/>
      <c r="AD2796" s="27"/>
    </row>
    <row r="2797" ht="15.75" customHeight="1">
      <c r="A2797" s="27"/>
      <c r="B2797" s="27"/>
      <c r="C2797" s="27"/>
      <c r="D2797" s="27"/>
      <c r="E2797" s="27"/>
      <c r="F2797" s="27"/>
      <c r="G2797" s="27"/>
      <c r="H2797" s="27"/>
      <c r="I2797" s="27"/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17"/>
      <c r="AA2797" s="17"/>
      <c r="AB2797" s="17"/>
      <c r="AC2797" s="17"/>
      <c r="AD2797" s="27"/>
    </row>
    <row r="2798" ht="15.75" customHeight="1">
      <c r="A2798" s="27"/>
      <c r="B2798" s="27"/>
      <c r="C2798" s="27"/>
      <c r="D2798" s="27"/>
      <c r="E2798" s="27"/>
      <c r="F2798" s="27"/>
      <c r="G2798" s="27"/>
      <c r="H2798" s="27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7"/>
      <c r="X2798" s="27"/>
      <c r="Y2798" s="27"/>
      <c r="Z2798" s="17"/>
      <c r="AA2798" s="17"/>
      <c r="AB2798" s="17"/>
      <c r="AC2798" s="17"/>
      <c r="AD2798" s="27"/>
    </row>
    <row r="2799" ht="15.75" customHeight="1">
      <c r="A2799" s="27"/>
      <c r="B2799" s="27"/>
      <c r="C2799" s="27"/>
      <c r="D2799" s="27"/>
      <c r="E2799" s="27"/>
      <c r="F2799" s="27"/>
      <c r="G2799" s="27"/>
      <c r="H2799" s="27"/>
      <c r="I2799" s="27"/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7"/>
      <c r="X2799" s="27"/>
      <c r="Y2799" s="27"/>
      <c r="Z2799" s="17"/>
      <c r="AA2799" s="17"/>
      <c r="AB2799" s="17"/>
      <c r="AC2799" s="17"/>
      <c r="AD2799" s="27"/>
    </row>
    <row r="2800" ht="15.75" customHeight="1">
      <c r="A2800" s="27"/>
      <c r="B2800" s="27"/>
      <c r="C2800" s="27"/>
      <c r="D2800" s="27"/>
      <c r="E2800" s="27"/>
      <c r="F2800" s="27"/>
      <c r="G2800" s="27"/>
      <c r="H2800" s="27"/>
      <c r="I2800" s="27"/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17"/>
      <c r="AA2800" s="17"/>
      <c r="AB2800" s="17"/>
      <c r="AC2800" s="17"/>
      <c r="AD2800" s="27"/>
    </row>
    <row r="2801" ht="15.75" customHeight="1">
      <c r="A2801" s="27"/>
      <c r="B2801" s="27"/>
      <c r="C2801" s="27"/>
      <c r="D2801" s="27"/>
      <c r="E2801" s="27"/>
      <c r="F2801" s="27"/>
      <c r="G2801" s="27"/>
      <c r="H2801" s="27"/>
      <c r="I2801" s="27"/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7"/>
      <c r="X2801" s="27"/>
      <c r="Y2801" s="27"/>
      <c r="Z2801" s="17"/>
      <c r="AA2801" s="17"/>
      <c r="AB2801" s="17"/>
      <c r="AC2801" s="17"/>
      <c r="AD2801" s="27"/>
    </row>
    <row r="2802" ht="15.75" customHeight="1">
      <c r="A2802" s="27"/>
      <c r="B2802" s="27"/>
      <c r="C2802" s="27"/>
      <c r="D2802" s="27"/>
      <c r="E2802" s="27"/>
      <c r="F2802" s="27"/>
      <c r="G2802" s="27"/>
      <c r="H2802" s="27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7"/>
      <c r="X2802" s="27"/>
      <c r="Y2802" s="27"/>
      <c r="Z2802" s="17"/>
      <c r="AA2802" s="17"/>
      <c r="AB2802" s="17"/>
      <c r="AC2802" s="17"/>
      <c r="AD2802" s="27"/>
    </row>
    <row r="2803" ht="15.75" customHeight="1">
      <c r="A2803" s="27"/>
      <c r="B2803" s="27"/>
      <c r="C2803" s="27"/>
      <c r="D2803" s="27"/>
      <c r="E2803" s="27"/>
      <c r="F2803" s="27"/>
      <c r="G2803" s="27"/>
      <c r="H2803" s="27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7"/>
      <c r="X2803" s="27"/>
      <c r="Y2803" s="27"/>
      <c r="Z2803" s="17"/>
      <c r="AA2803" s="17"/>
      <c r="AB2803" s="17"/>
      <c r="AC2803" s="17"/>
      <c r="AD2803" s="27"/>
    </row>
    <row r="2804" ht="15.75" customHeight="1">
      <c r="A2804" s="27"/>
      <c r="B2804" s="27"/>
      <c r="C2804" s="27"/>
      <c r="D2804" s="27"/>
      <c r="E2804" s="27"/>
      <c r="F2804" s="27"/>
      <c r="G2804" s="27"/>
      <c r="H2804" s="27"/>
      <c r="I2804" s="27"/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  <c r="T2804" s="27"/>
      <c r="U2804" s="27"/>
      <c r="V2804" s="27"/>
      <c r="W2804" s="27"/>
      <c r="X2804" s="27"/>
      <c r="Y2804" s="27"/>
      <c r="Z2804" s="17"/>
      <c r="AA2804" s="17"/>
      <c r="AB2804" s="17"/>
      <c r="AC2804" s="17"/>
      <c r="AD2804" s="27"/>
    </row>
    <row r="2805" ht="15.75" customHeight="1">
      <c r="A2805" s="27"/>
      <c r="B2805" s="27"/>
      <c r="C2805" s="27"/>
      <c r="D2805" s="27"/>
      <c r="E2805" s="27"/>
      <c r="F2805" s="27"/>
      <c r="G2805" s="27"/>
      <c r="H2805" s="27"/>
      <c r="I2805" s="27"/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7"/>
      <c r="X2805" s="27"/>
      <c r="Y2805" s="27"/>
      <c r="Z2805" s="17"/>
      <c r="AA2805" s="17"/>
      <c r="AB2805" s="17"/>
      <c r="AC2805" s="17"/>
      <c r="AD2805" s="27"/>
    </row>
    <row r="2806" ht="15.75" customHeight="1">
      <c r="A2806" s="27"/>
      <c r="B2806" s="27"/>
      <c r="C2806" s="27"/>
      <c r="D2806" s="27"/>
      <c r="E2806" s="27"/>
      <c r="F2806" s="27"/>
      <c r="G2806" s="27"/>
      <c r="H2806" s="27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  <c r="T2806" s="27"/>
      <c r="U2806" s="27"/>
      <c r="V2806" s="27"/>
      <c r="W2806" s="27"/>
      <c r="X2806" s="27"/>
      <c r="Y2806" s="27"/>
      <c r="Z2806" s="17"/>
      <c r="AA2806" s="17"/>
      <c r="AB2806" s="17"/>
      <c r="AC2806" s="17"/>
      <c r="AD2806" s="27"/>
    </row>
    <row r="2807" ht="15.75" customHeight="1">
      <c r="A2807" s="27"/>
      <c r="B2807" s="27"/>
      <c r="C2807" s="27"/>
      <c r="D2807" s="27"/>
      <c r="E2807" s="27"/>
      <c r="F2807" s="27"/>
      <c r="G2807" s="27"/>
      <c r="H2807" s="27"/>
      <c r="I2807" s="27"/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  <c r="T2807" s="27"/>
      <c r="U2807" s="27"/>
      <c r="V2807" s="27"/>
      <c r="W2807" s="27"/>
      <c r="X2807" s="27"/>
      <c r="Y2807" s="27"/>
      <c r="Z2807" s="17"/>
      <c r="AA2807" s="17"/>
      <c r="AB2807" s="17"/>
      <c r="AC2807" s="17"/>
      <c r="AD2807" s="27"/>
    </row>
    <row r="2808" ht="15.75" customHeight="1">
      <c r="A2808" s="27"/>
      <c r="B2808" s="27"/>
      <c r="C2808" s="27"/>
      <c r="D2808" s="27"/>
      <c r="E2808" s="27"/>
      <c r="F2808" s="27"/>
      <c r="G2808" s="27"/>
      <c r="H2808" s="27"/>
      <c r="I2808" s="27"/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  <c r="T2808" s="27"/>
      <c r="U2808" s="27"/>
      <c r="V2808" s="27"/>
      <c r="W2808" s="27"/>
      <c r="X2808" s="27"/>
      <c r="Y2808" s="27"/>
      <c r="Z2808" s="17"/>
      <c r="AA2808" s="17"/>
      <c r="AB2808" s="17"/>
      <c r="AC2808" s="17"/>
      <c r="AD2808" s="27"/>
    </row>
    <row r="2809" ht="15.75" customHeight="1">
      <c r="A2809" s="27"/>
      <c r="B2809" s="27"/>
      <c r="C2809" s="27"/>
      <c r="D2809" s="27"/>
      <c r="E2809" s="27"/>
      <c r="F2809" s="27"/>
      <c r="G2809" s="27"/>
      <c r="H2809" s="27"/>
      <c r="I2809" s="27"/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  <c r="T2809" s="27"/>
      <c r="U2809" s="27"/>
      <c r="V2809" s="27"/>
      <c r="W2809" s="27"/>
      <c r="X2809" s="27"/>
      <c r="Y2809" s="27"/>
      <c r="Z2809" s="17"/>
      <c r="AA2809" s="17"/>
      <c r="AB2809" s="17"/>
      <c r="AC2809" s="17"/>
      <c r="AD2809" s="27"/>
    </row>
    <row r="2810" ht="15.75" customHeight="1">
      <c r="A2810" s="27"/>
      <c r="B2810" s="27"/>
      <c r="C2810" s="27"/>
      <c r="D2810" s="27"/>
      <c r="E2810" s="27"/>
      <c r="F2810" s="27"/>
      <c r="G2810" s="27"/>
      <c r="H2810" s="27"/>
      <c r="I2810" s="27"/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  <c r="T2810" s="27"/>
      <c r="U2810" s="27"/>
      <c r="V2810" s="27"/>
      <c r="W2810" s="27"/>
      <c r="X2810" s="27"/>
      <c r="Y2810" s="27"/>
      <c r="Z2810" s="17"/>
      <c r="AA2810" s="17"/>
      <c r="AB2810" s="17"/>
      <c r="AC2810" s="17"/>
      <c r="AD2810" s="27"/>
    </row>
    <row r="2811" ht="15.75" customHeight="1">
      <c r="A2811" s="27"/>
      <c r="B2811" s="27"/>
      <c r="C2811" s="27"/>
      <c r="D2811" s="27"/>
      <c r="E2811" s="27"/>
      <c r="F2811" s="27"/>
      <c r="G2811" s="27"/>
      <c r="H2811" s="27"/>
      <c r="I2811" s="27"/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  <c r="T2811" s="27"/>
      <c r="U2811" s="27"/>
      <c r="V2811" s="27"/>
      <c r="W2811" s="27"/>
      <c r="X2811" s="27"/>
      <c r="Y2811" s="27"/>
      <c r="Z2811" s="17"/>
      <c r="AA2811" s="17"/>
      <c r="AB2811" s="17"/>
      <c r="AC2811" s="17"/>
      <c r="AD2811" s="27"/>
    </row>
    <row r="2812" ht="15.75" customHeight="1">
      <c r="A2812" s="27"/>
      <c r="B2812" s="27"/>
      <c r="C2812" s="27"/>
      <c r="D2812" s="27"/>
      <c r="E2812" s="27"/>
      <c r="F2812" s="27"/>
      <c r="G2812" s="27"/>
      <c r="H2812" s="27"/>
      <c r="I2812" s="27"/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  <c r="T2812" s="27"/>
      <c r="U2812" s="27"/>
      <c r="V2812" s="27"/>
      <c r="W2812" s="27"/>
      <c r="X2812" s="27"/>
      <c r="Y2812" s="27"/>
      <c r="Z2812" s="17"/>
      <c r="AA2812" s="17"/>
      <c r="AB2812" s="17"/>
      <c r="AC2812" s="17"/>
      <c r="AD2812" s="27"/>
    </row>
    <row r="2813" ht="15.75" customHeight="1">
      <c r="A2813" s="27"/>
      <c r="B2813" s="27"/>
      <c r="C2813" s="27"/>
      <c r="D2813" s="27"/>
      <c r="E2813" s="27"/>
      <c r="F2813" s="27"/>
      <c r="G2813" s="27"/>
      <c r="H2813" s="27"/>
      <c r="I2813" s="27"/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7"/>
      <c r="X2813" s="27"/>
      <c r="Y2813" s="27"/>
      <c r="Z2813" s="17"/>
      <c r="AA2813" s="17"/>
      <c r="AB2813" s="17"/>
      <c r="AC2813" s="17"/>
      <c r="AD2813" s="27"/>
    </row>
    <row r="2814" ht="15.75" customHeight="1">
      <c r="A2814" s="27"/>
      <c r="B2814" s="27"/>
      <c r="C2814" s="27"/>
      <c r="D2814" s="27"/>
      <c r="E2814" s="27"/>
      <c r="F2814" s="27"/>
      <c r="G2814" s="27"/>
      <c r="H2814" s="27"/>
      <c r="I2814" s="27"/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  <c r="T2814" s="27"/>
      <c r="U2814" s="27"/>
      <c r="V2814" s="27"/>
      <c r="W2814" s="27"/>
      <c r="X2814" s="27"/>
      <c r="Y2814" s="27"/>
      <c r="Z2814" s="17"/>
      <c r="AA2814" s="17"/>
      <c r="AB2814" s="17"/>
      <c r="AC2814" s="17"/>
      <c r="AD2814" s="27"/>
    </row>
    <row r="2815" ht="15.75" customHeight="1">
      <c r="A2815" s="27"/>
      <c r="B2815" s="27"/>
      <c r="C2815" s="27"/>
      <c r="D2815" s="27"/>
      <c r="E2815" s="27"/>
      <c r="F2815" s="27"/>
      <c r="G2815" s="27"/>
      <c r="H2815" s="27"/>
      <c r="I2815" s="27"/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  <c r="T2815" s="27"/>
      <c r="U2815" s="27"/>
      <c r="V2815" s="27"/>
      <c r="W2815" s="27"/>
      <c r="X2815" s="27"/>
      <c r="Y2815" s="27"/>
      <c r="Z2815" s="17"/>
      <c r="AA2815" s="17"/>
      <c r="AB2815" s="17"/>
      <c r="AC2815" s="17"/>
      <c r="AD2815" s="27"/>
    </row>
    <row r="2816" ht="15.75" customHeight="1">
      <c r="A2816" s="27"/>
      <c r="B2816" s="27"/>
      <c r="C2816" s="27"/>
      <c r="D2816" s="27"/>
      <c r="E2816" s="27"/>
      <c r="F2816" s="27"/>
      <c r="G2816" s="27"/>
      <c r="H2816" s="27"/>
      <c r="I2816" s="27"/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  <c r="T2816" s="27"/>
      <c r="U2816" s="27"/>
      <c r="V2816" s="27"/>
      <c r="W2816" s="27"/>
      <c r="X2816" s="27"/>
      <c r="Y2816" s="27"/>
      <c r="Z2816" s="17"/>
      <c r="AA2816" s="17"/>
      <c r="AB2816" s="17"/>
      <c r="AC2816" s="17"/>
      <c r="AD2816" s="27"/>
    </row>
    <row r="2817" ht="15.75" customHeight="1">
      <c r="A2817" s="27"/>
      <c r="B2817" s="27"/>
      <c r="C2817" s="27"/>
      <c r="D2817" s="27"/>
      <c r="E2817" s="27"/>
      <c r="F2817" s="27"/>
      <c r="G2817" s="27"/>
      <c r="H2817" s="27"/>
      <c r="I2817" s="27"/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7"/>
      <c r="X2817" s="27"/>
      <c r="Y2817" s="27"/>
      <c r="Z2817" s="17"/>
      <c r="AA2817" s="17"/>
      <c r="AB2817" s="17"/>
      <c r="AC2817" s="17"/>
      <c r="AD2817" s="27"/>
    </row>
    <row r="2818" ht="15.75" customHeight="1">
      <c r="A2818" s="27"/>
      <c r="B2818" s="27"/>
      <c r="C2818" s="27"/>
      <c r="D2818" s="27"/>
      <c r="E2818" s="27"/>
      <c r="F2818" s="27"/>
      <c r="G2818" s="27"/>
      <c r="H2818" s="27"/>
      <c r="I2818" s="27"/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7"/>
      <c r="X2818" s="27"/>
      <c r="Y2818" s="27"/>
      <c r="Z2818" s="17"/>
      <c r="AA2818" s="17"/>
      <c r="AB2818" s="17"/>
      <c r="AC2818" s="17"/>
      <c r="AD2818" s="27"/>
    </row>
    <row r="2819" ht="15.75" customHeight="1">
      <c r="A2819" s="27"/>
      <c r="B2819" s="27"/>
      <c r="C2819" s="27"/>
      <c r="D2819" s="27"/>
      <c r="E2819" s="27"/>
      <c r="F2819" s="27"/>
      <c r="G2819" s="27"/>
      <c r="H2819" s="27"/>
      <c r="I2819" s="27"/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  <c r="T2819" s="27"/>
      <c r="U2819" s="27"/>
      <c r="V2819" s="27"/>
      <c r="W2819" s="27"/>
      <c r="X2819" s="27"/>
      <c r="Y2819" s="27"/>
      <c r="Z2819" s="17"/>
      <c r="AA2819" s="17"/>
      <c r="AB2819" s="17"/>
      <c r="AC2819" s="17"/>
      <c r="AD2819" s="27"/>
    </row>
    <row r="2820" ht="15.75" customHeight="1">
      <c r="A2820" s="27"/>
      <c r="B2820" s="27"/>
      <c r="C2820" s="27"/>
      <c r="D2820" s="27"/>
      <c r="E2820" s="27"/>
      <c r="F2820" s="27"/>
      <c r="G2820" s="27"/>
      <c r="H2820" s="27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  <c r="T2820" s="27"/>
      <c r="U2820" s="27"/>
      <c r="V2820" s="27"/>
      <c r="W2820" s="27"/>
      <c r="X2820" s="27"/>
      <c r="Y2820" s="27"/>
      <c r="Z2820" s="17"/>
      <c r="AA2820" s="17"/>
      <c r="AB2820" s="17"/>
      <c r="AC2820" s="17"/>
      <c r="AD2820" s="27"/>
    </row>
    <row r="2821" ht="15.75" customHeight="1">
      <c r="A2821" s="27"/>
      <c r="B2821" s="27"/>
      <c r="C2821" s="27"/>
      <c r="D2821" s="27"/>
      <c r="E2821" s="27"/>
      <c r="F2821" s="27"/>
      <c r="G2821" s="27"/>
      <c r="H2821" s="27"/>
      <c r="I2821" s="27"/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7"/>
      <c r="X2821" s="27"/>
      <c r="Y2821" s="27"/>
      <c r="Z2821" s="17"/>
      <c r="AA2821" s="17"/>
      <c r="AB2821" s="17"/>
      <c r="AC2821" s="17"/>
      <c r="AD2821" s="27"/>
    </row>
    <row r="2822" ht="15.75" customHeight="1">
      <c r="A2822" s="27"/>
      <c r="B2822" s="27"/>
      <c r="C2822" s="27"/>
      <c r="D2822" s="27"/>
      <c r="E2822" s="27"/>
      <c r="F2822" s="27"/>
      <c r="G2822" s="27"/>
      <c r="H2822" s="27"/>
      <c r="I2822" s="27"/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  <c r="T2822" s="27"/>
      <c r="U2822" s="27"/>
      <c r="V2822" s="27"/>
      <c r="W2822" s="27"/>
      <c r="X2822" s="27"/>
      <c r="Y2822" s="27"/>
      <c r="Z2822" s="17"/>
      <c r="AA2822" s="17"/>
      <c r="AB2822" s="17"/>
      <c r="AC2822" s="17"/>
      <c r="AD2822" s="27"/>
    </row>
    <row r="2823" ht="15.75" customHeight="1">
      <c r="A2823" s="27"/>
      <c r="B2823" s="27"/>
      <c r="C2823" s="27"/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17"/>
      <c r="AA2823" s="17"/>
      <c r="AB2823" s="17"/>
      <c r="AC2823" s="17"/>
      <c r="AD2823" s="27"/>
    </row>
    <row r="2824" ht="15.75" customHeight="1">
      <c r="A2824" s="27"/>
      <c r="B2824" s="27"/>
      <c r="C2824" s="27"/>
      <c r="D2824" s="27"/>
      <c r="E2824" s="27"/>
      <c r="F2824" s="27"/>
      <c r="G2824" s="27"/>
      <c r="H2824" s="27"/>
      <c r="I2824" s="27"/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  <c r="T2824" s="27"/>
      <c r="U2824" s="27"/>
      <c r="V2824" s="27"/>
      <c r="W2824" s="27"/>
      <c r="X2824" s="27"/>
      <c r="Y2824" s="27"/>
      <c r="Z2824" s="17"/>
      <c r="AA2824" s="17"/>
      <c r="AB2824" s="17"/>
      <c r="AC2824" s="17"/>
      <c r="AD2824" s="27"/>
    </row>
    <row r="2825" ht="15.75" customHeight="1">
      <c r="A2825" s="27"/>
      <c r="B2825" s="27"/>
      <c r="C2825" s="27"/>
      <c r="D2825" s="27"/>
      <c r="E2825" s="27"/>
      <c r="F2825" s="27"/>
      <c r="G2825" s="27"/>
      <c r="H2825" s="27"/>
      <c r="I2825" s="27"/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7"/>
      <c r="X2825" s="27"/>
      <c r="Y2825" s="27"/>
      <c r="Z2825" s="17"/>
      <c r="AA2825" s="17"/>
      <c r="AB2825" s="17"/>
      <c r="AC2825" s="17"/>
      <c r="AD2825" s="27"/>
    </row>
    <row r="2826" ht="15.75" customHeight="1">
      <c r="A2826" s="27"/>
      <c r="B2826" s="27"/>
      <c r="C2826" s="27"/>
      <c r="D2826" s="27"/>
      <c r="E2826" s="27"/>
      <c r="F2826" s="27"/>
      <c r="G2826" s="27"/>
      <c r="H2826" s="27"/>
      <c r="I2826" s="27"/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17"/>
      <c r="AA2826" s="17"/>
      <c r="AB2826" s="17"/>
      <c r="AC2826" s="17"/>
      <c r="AD2826" s="27"/>
    </row>
    <row r="2827" ht="15.75" customHeight="1">
      <c r="A2827" s="27"/>
      <c r="B2827" s="27"/>
      <c r="C2827" s="27"/>
      <c r="D2827" s="27"/>
      <c r="E2827" s="27"/>
      <c r="F2827" s="27"/>
      <c r="G2827" s="27"/>
      <c r="H2827" s="27"/>
      <c r="I2827" s="27"/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7"/>
      <c r="X2827" s="27"/>
      <c r="Y2827" s="27"/>
      <c r="Z2827" s="17"/>
      <c r="AA2827" s="17"/>
      <c r="AB2827" s="17"/>
      <c r="AC2827" s="17"/>
      <c r="AD2827" s="27"/>
    </row>
    <row r="2828" ht="15.75" customHeight="1">
      <c r="A2828" s="27"/>
      <c r="B2828" s="27"/>
      <c r="C2828" s="27"/>
      <c r="D2828" s="27"/>
      <c r="E2828" s="27"/>
      <c r="F2828" s="27"/>
      <c r="G2828" s="27"/>
      <c r="H2828" s="27"/>
      <c r="I2828" s="27"/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7"/>
      <c r="X2828" s="27"/>
      <c r="Y2828" s="27"/>
      <c r="Z2828" s="17"/>
      <c r="AA2828" s="17"/>
      <c r="AB2828" s="17"/>
      <c r="AC2828" s="17"/>
      <c r="AD2828" s="27"/>
    </row>
    <row r="2829" ht="15.75" customHeight="1">
      <c r="A2829" s="27"/>
      <c r="B2829" s="27"/>
      <c r="C2829" s="27"/>
      <c r="D2829" s="27"/>
      <c r="E2829" s="27"/>
      <c r="F2829" s="27"/>
      <c r="G2829" s="27"/>
      <c r="H2829" s="27"/>
      <c r="I2829" s="27"/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7"/>
      <c r="X2829" s="27"/>
      <c r="Y2829" s="27"/>
      <c r="Z2829" s="17"/>
      <c r="AA2829" s="17"/>
      <c r="AB2829" s="17"/>
      <c r="AC2829" s="17"/>
      <c r="AD2829" s="27"/>
    </row>
    <row r="2830" ht="15.75" customHeight="1">
      <c r="A2830" s="27"/>
      <c r="B2830" s="27"/>
      <c r="C2830" s="27"/>
      <c r="D2830" s="27"/>
      <c r="E2830" s="27"/>
      <c r="F2830" s="27"/>
      <c r="G2830" s="27"/>
      <c r="H2830" s="27"/>
      <c r="I2830" s="27"/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  <c r="T2830" s="27"/>
      <c r="U2830" s="27"/>
      <c r="V2830" s="27"/>
      <c r="W2830" s="27"/>
      <c r="X2830" s="27"/>
      <c r="Y2830" s="27"/>
      <c r="Z2830" s="17"/>
      <c r="AA2830" s="17"/>
      <c r="AB2830" s="17"/>
      <c r="AC2830" s="17"/>
      <c r="AD2830" s="27"/>
    </row>
    <row r="2831" ht="15.75" customHeight="1">
      <c r="A2831" s="27"/>
      <c r="B2831" s="27"/>
      <c r="C2831" s="27"/>
      <c r="D2831" s="27"/>
      <c r="E2831" s="27"/>
      <c r="F2831" s="27"/>
      <c r="G2831" s="27"/>
      <c r="H2831" s="27"/>
      <c r="I2831" s="27"/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  <c r="T2831" s="27"/>
      <c r="U2831" s="27"/>
      <c r="V2831" s="27"/>
      <c r="W2831" s="27"/>
      <c r="X2831" s="27"/>
      <c r="Y2831" s="27"/>
      <c r="Z2831" s="17"/>
      <c r="AA2831" s="17"/>
      <c r="AB2831" s="17"/>
      <c r="AC2831" s="17"/>
      <c r="AD2831" s="27"/>
    </row>
    <row r="2832" ht="15.75" customHeight="1">
      <c r="A2832" s="27"/>
      <c r="B2832" s="27"/>
      <c r="C2832" s="27"/>
      <c r="D2832" s="27"/>
      <c r="E2832" s="27"/>
      <c r="F2832" s="27"/>
      <c r="G2832" s="27"/>
      <c r="H2832" s="27"/>
      <c r="I2832" s="27"/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7"/>
      <c r="X2832" s="27"/>
      <c r="Y2832" s="27"/>
      <c r="Z2832" s="17"/>
      <c r="AA2832" s="17"/>
      <c r="AB2832" s="17"/>
      <c r="AC2832" s="17"/>
      <c r="AD2832" s="27"/>
    </row>
    <row r="2833" ht="15.75" customHeight="1">
      <c r="A2833" s="27"/>
      <c r="B2833" s="27"/>
      <c r="C2833" s="27"/>
      <c r="D2833" s="27"/>
      <c r="E2833" s="27"/>
      <c r="F2833" s="27"/>
      <c r="G2833" s="27"/>
      <c r="H2833" s="27"/>
      <c r="I2833" s="27"/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  <c r="T2833" s="27"/>
      <c r="U2833" s="27"/>
      <c r="V2833" s="27"/>
      <c r="W2833" s="27"/>
      <c r="X2833" s="27"/>
      <c r="Y2833" s="27"/>
      <c r="Z2833" s="17"/>
      <c r="AA2833" s="17"/>
      <c r="AB2833" s="17"/>
      <c r="AC2833" s="17"/>
      <c r="AD2833" s="27"/>
    </row>
    <row r="2834" ht="15.75" customHeight="1">
      <c r="A2834" s="27"/>
      <c r="B2834" s="27"/>
      <c r="C2834" s="27"/>
      <c r="D2834" s="27"/>
      <c r="E2834" s="27"/>
      <c r="F2834" s="27"/>
      <c r="G2834" s="27"/>
      <c r="H2834" s="27"/>
      <c r="I2834" s="27"/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  <c r="T2834" s="27"/>
      <c r="U2834" s="27"/>
      <c r="V2834" s="27"/>
      <c r="W2834" s="27"/>
      <c r="X2834" s="27"/>
      <c r="Y2834" s="27"/>
      <c r="Z2834" s="17"/>
      <c r="AA2834" s="17"/>
      <c r="AB2834" s="17"/>
      <c r="AC2834" s="17"/>
      <c r="AD2834" s="27"/>
    </row>
    <row r="2835" ht="15.75" customHeight="1">
      <c r="A2835" s="27"/>
      <c r="B2835" s="27"/>
      <c r="C2835" s="27"/>
      <c r="D2835" s="27"/>
      <c r="E2835" s="27"/>
      <c r="F2835" s="27"/>
      <c r="G2835" s="27"/>
      <c r="H2835" s="27"/>
      <c r="I2835" s="27"/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17"/>
      <c r="AA2835" s="17"/>
      <c r="AB2835" s="17"/>
      <c r="AC2835" s="17"/>
      <c r="AD2835" s="27"/>
    </row>
    <row r="2836" ht="15.75" customHeight="1">
      <c r="A2836" s="27"/>
      <c r="B2836" s="27"/>
      <c r="C2836" s="27"/>
      <c r="D2836" s="27"/>
      <c r="E2836" s="27"/>
      <c r="F2836" s="27"/>
      <c r="G2836" s="27"/>
      <c r="H2836" s="27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7"/>
      <c r="X2836" s="27"/>
      <c r="Y2836" s="27"/>
      <c r="Z2836" s="17"/>
      <c r="AA2836" s="17"/>
      <c r="AB2836" s="17"/>
      <c r="AC2836" s="17"/>
      <c r="AD2836" s="27"/>
    </row>
    <row r="2837" ht="15.75" customHeight="1">
      <c r="A2837" s="27"/>
      <c r="B2837" s="27"/>
      <c r="C2837" s="27"/>
      <c r="D2837" s="27"/>
      <c r="E2837" s="27"/>
      <c r="F2837" s="27"/>
      <c r="G2837" s="27"/>
      <c r="H2837" s="27"/>
      <c r="I2837" s="27"/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  <c r="T2837" s="27"/>
      <c r="U2837" s="27"/>
      <c r="V2837" s="27"/>
      <c r="W2837" s="27"/>
      <c r="X2837" s="27"/>
      <c r="Y2837" s="27"/>
      <c r="Z2837" s="17"/>
      <c r="AA2837" s="17"/>
      <c r="AB2837" s="17"/>
      <c r="AC2837" s="17"/>
      <c r="AD2837" s="27"/>
    </row>
    <row r="2838" ht="15.75" customHeight="1">
      <c r="A2838" s="27"/>
      <c r="B2838" s="27"/>
      <c r="C2838" s="27"/>
      <c r="D2838" s="27"/>
      <c r="E2838" s="27"/>
      <c r="F2838" s="27"/>
      <c r="G2838" s="27"/>
      <c r="H2838" s="27"/>
      <c r="I2838" s="27"/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17"/>
      <c r="AA2838" s="17"/>
      <c r="AB2838" s="17"/>
      <c r="AC2838" s="17"/>
      <c r="AD2838" s="27"/>
    </row>
    <row r="2839" ht="15.75" customHeight="1">
      <c r="A2839" s="27"/>
      <c r="B2839" s="27"/>
      <c r="C2839" s="27"/>
      <c r="D2839" s="27"/>
      <c r="E2839" s="27"/>
      <c r="F2839" s="27"/>
      <c r="G2839" s="27"/>
      <c r="H2839" s="27"/>
      <c r="I2839" s="27"/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7"/>
      <c r="X2839" s="27"/>
      <c r="Y2839" s="27"/>
      <c r="Z2839" s="17"/>
      <c r="AA2839" s="17"/>
      <c r="AB2839" s="17"/>
      <c r="AC2839" s="17"/>
      <c r="AD2839" s="27"/>
    </row>
    <row r="2840" ht="15.75" customHeight="1">
      <c r="A2840" s="27"/>
      <c r="B2840" s="27"/>
      <c r="C2840" s="27"/>
      <c r="D2840" s="27"/>
      <c r="E2840" s="27"/>
      <c r="F2840" s="27"/>
      <c r="G2840" s="27"/>
      <c r="H2840" s="27"/>
      <c r="I2840" s="27"/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  <c r="T2840" s="27"/>
      <c r="U2840" s="27"/>
      <c r="V2840" s="27"/>
      <c r="W2840" s="27"/>
      <c r="X2840" s="27"/>
      <c r="Y2840" s="27"/>
      <c r="Z2840" s="17"/>
      <c r="AA2840" s="17"/>
      <c r="AB2840" s="17"/>
      <c r="AC2840" s="17"/>
      <c r="AD2840" s="27"/>
    </row>
    <row r="2841" ht="15.75" customHeight="1">
      <c r="A2841" s="27"/>
      <c r="B2841" s="27"/>
      <c r="C2841" s="27"/>
      <c r="D2841" s="27"/>
      <c r="E2841" s="27"/>
      <c r="F2841" s="27"/>
      <c r="G2841" s="27"/>
      <c r="H2841" s="27"/>
      <c r="I2841" s="27"/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  <c r="T2841" s="27"/>
      <c r="U2841" s="27"/>
      <c r="V2841" s="27"/>
      <c r="W2841" s="27"/>
      <c r="X2841" s="27"/>
      <c r="Y2841" s="27"/>
      <c r="Z2841" s="17"/>
      <c r="AA2841" s="17"/>
      <c r="AB2841" s="17"/>
      <c r="AC2841" s="17"/>
      <c r="AD2841" s="27"/>
    </row>
    <row r="2842" ht="15.75" customHeight="1">
      <c r="A2842" s="27"/>
      <c r="B2842" s="27"/>
      <c r="C2842" s="27"/>
      <c r="D2842" s="27"/>
      <c r="E2842" s="27"/>
      <c r="F2842" s="27"/>
      <c r="G2842" s="27"/>
      <c r="H2842" s="27"/>
      <c r="I2842" s="27"/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  <c r="T2842" s="27"/>
      <c r="U2842" s="27"/>
      <c r="V2842" s="27"/>
      <c r="W2842" s="27"/>
      <c r="X2842" s="27"/>
      <c r="Y2842" s="27"/>
      <c r="Z2842" s="17"/>
      <c r="AA2842" s="17"/>
      <c r="AB2842" s="17"/>
      <c r="AC2842" s="17"/>
      <c r="AD2842" s="27"/>
    </row>
    <row r="2843" ht="15.75" customHeight="1">
      <c r="A2843" s="27"/>
      <c r="B2843" s="27"/>
      <c r="C2843" s="27"/>
      <c r="D2843" s="27"/>
      <c r="E2843" s="27"/>
      <c r="F2843" s="27"/>
      <c r="G2843" s="27"/>
      <c r="H2843" s="27"/>
      <c r="I2843" s="27"/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7"/>
      <c r="X2843" s="27"/>
      <c r="Y2843" s="27"/>
      <c r="Z2843" s="17"/>
      <c r="AA2843" s="17"/>
      <c r="AB2843" s="17"/>
      <c r="AC2843" s="17"/>
      <c r="AD2843" s="27"/>
    </row>
    <row r="2844" ht="15.75" customHeight="1">
      <c r="A2844" s="27"/>
      <c r="B2844" s="27"/>
      <c r="C2844" s="27"/>
      <c r="D2844" s="27"/>
      <c r="E2844" s="27"/>
      <c r="F2844" s="27"/>
      <c r="G2844" s="27"/>
      <c r="H2844" s="27"/>
      <c r="I2844" s="27"/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  <c r="T2844" s="27"/>
      <c r="U2844" s="27"/>
      <c r="V2844" s="27"/>
      <c r="W2844" s="27"/>
      <c r="X2844" s="27"/>
      <c r="Y2844" s="27"/>
      <c r="Z2844" s="17"/>
      <c r="AA2844" s="17"/>
      <c r="AB2844" s="17"/>
      <c r="AC2844" s="17"/>
      <c r="AD2844" s="27"/>
    </row>
    <row r="2845" ht="15.75" customHeight="1">
      <c r="A2845" s="27"/>
      <c r="B2845" s="27"/>
      <c r="C2845" s="27"/>
      <c r="D2845" s="27"/>
      <c r="E2845" s="27"/>
      <c r="F2845" s="27"/>
      <c r="G2845" s="27"/>
      <c r="H2845" s="27"/>
      <c r="I2845" s="27"/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7"/>
      <c r="X2845" s="27"/>
      <c r="Y2845" s="27"/>
      <c r="Z2845" s="17"/>
      <c r="AA2845" s="17"/>
      <c r="AB2845" s="17"/>
      <c r="AC2845" s="17"/>
      <c r="AD2845" s="27"/>
    </row>
    <row r="2846" ht="15.75" customHeight="1">
      <c r="A2846" s="27"/>
      <c r="B2846" s="27"/>
      <c r="C2846" s="27"/>
      <c r="D2846" s="27"/>
      <c r="E2846" s="27"/>
      <c r="F2846" s="27"/>
      <c r="G2846" s="27"/>
      <c r="H2846" s="27"/>
      <c r="I2846" s="27"/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7"/>
      <c r="X2846" s="27"/>
      <c r="Y2846" s="27"/>
      <c r="Z2846" s="17"/>
      <c r="AA2846" s="17"/>
      <c r="AB2846" s="17"/>
      <c r="AC2846" s="17"/>
      <c r="AD2846" s="27"/>
    </row>
    <row r="2847" ht="15.75" customHeight="1">
      <c r="A2847" s="27"/>
      <c r="B2847" s="27"/>
      <c r="C2847" s="27"/>
      <c r="D2847" s="27"/>
      <c r="E2847" s="27"/>
      <c r="F2847" s="27"/>
      <c r="G2847" s="27"/>
      <c r="H2847" s="27"/>
      <c r="I2847" s="27"/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  <c r="T2847" s="27"/>
      <c r="U2847" s="27"/>
      <c r="V2847" s="27"/>
      <c r="W2847" s="27"/>
      <c r="X2847" s="27"/>
      <c r="Y2847" s="27"/>
      <c r="Z2847" s="17"/>
      <c r="AA2847" s="17"/>
      <c r="AB2847" s="17"/>
      <c r="AC2847" s="17"/>
      <c r="AD2847" s="27"/>
    </row>
    <row r="2848" ht="15.75" customHeight="1">
      <c r="A2848" s="27"/>
      <c r="B2848" s="27"/>
      <c r="C2848" s="27"/>
      <c r="D2848" s="27"/>
      <c r="E2848" s="27"/>
      <c r="F2848" s="27"/>
      <c r="G2848" s="27"/>
      <c r="H2848" s="27"/>
      <c r="I2848" s="27"/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7"/>
      <c r="X2848" s="27"/>
      <c r="Y2848" s="27"/>
      <c r="Z2848" s="17"/>
      <c r="AA2848" s="17"/>
      <c r="AB2848" s="17"/>
      <c r="AC2848" s="17"/>
      <c r="AD2848" s="27"/>
    </row>
    <row r="2849" ht="15.75" customHeight="1">
      <c r="A2849" s="27"/>
      <c r="B2849" s="27"/>
      <c r="C2849" s="27"/>
      <c r="D2849" s="27"/>
      <c r="E2849" s="27"/>
      <c r="F2849" s="27"/>
      <c r="G2849" s="27"/>
      <c r="H2849" s="27"/>
      <c r="I2849" s="27"/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  <c r="T2849" s="27"/>
      <c r="U2849" s="27"/>
      <c r="V2849" s="27"/>
      <c r="W2849" s="27"/>
      <c r="X2849" s="27"/>
      <c r="Y2849" s="27"/>
      <c r="Z2849" s="17"/>
      <c r="AA2849" s="17"/>
      <c r="AB2849" s="17"/>
      <c r="AC2849" s="17"/>
      <c r="AD2849" s="27"/>
    </row>
    <row r="2850" ht="15.75" customHeight="1">
      <c r="A2850" s="27"/>
      <c r="B2850" s="27"/>
      <c r="C2850" s="27"/>
      <c r="D2850" s="27"/>
      <c r="E2850" s="27"/>
      <c r="F2850" s="27"/>
      <c r="G2850" s="27"/>
      <c r="H2850" s="27"/>
      <c r="I2850" s="27"/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17"/>
      <c r="AA2850" s="17"/>
      <c r="AB2850" s="17"/>
      <c r="AC2850" s="17"/>
      <c r="AD2850" s="27"/>
    </row>
    <row r="2851" ht="15.75" customHeight="1">
      <c r="A2851" s="27"/>
      <c r="B2851" s="27"/>
      <c r="C2851" s="27"/>
      <c r="D2851" s="27"/>
      <c r="E2851" s="27"/>
      <c r="F2851" s="27"/>
      <c r="G2851" s="27"/>
      <c r="H2851" s="27"/>
      <c r="I2851" s="27"/>
      <c r="J2851" s="27"/>
      <c r="K2851" s="27"/>
      <c r="L2851" s="27"/>
      <c r="M2851" s="27"/>
      <c r="N2851" s="27"/>
      <c r="O2851" s="27"/>
      <c r="P2851" s="27"/>
      <c r="Q2851" s="27"/>
      <c r="R2851" s="27"/>
      <c r="S2851" s="27"/>
      <c r="T2851" s="27"/>
      <c r="U2851" s="27"/>
      <c r="V2851" s="27"/>
      <c r="W2851" s="27"/>
      <c r="X2851" s="27"/>
      <c r="Y2851" s="27"/>
      <c r="Z2851" s="17"/>
      <c r="AA2851" s="17"/>
      <c r="AB2851" s="17"/>
      <c r="AC2851" s="17"/>
      <c r="AD2851" s="27"/>
    </row>
    <row r="2852" ht="15.75" customHeight="1">
      <c r="A2852" s="27"/>
      <c r="B2852" s="27"/>
      <c r="C2852" s="27"/>
      <c r="D2852" s="27"/>
      <c r="E2852" s="27"/>
      <c r="F2852" s="27"/>
      <c r="G2852" s="27"/>
      <c r="H2852" s="27"/>
      <c r="I2852" s="27"/>
      <c r="J2852" s="27"/>
      <c r="K2852" s="27"/>
      <c r="L2852" s="27"/>
      <c r="M2852" s="27"/>
      <c r="N2852" s="27"/>
      <c r="O2852" s="27"/>
      <c r="P2852" s="27"/>
      <c r="Q2852" s="27"/>
      <c r="R2852" s="27"/>
      <c r="S2852" s="27"/>
      <c r="T2852" s="27"/>
      <c r="U2852" s="27"/>
      <c r="V2852" s="27"/>
      <c r="W2852" s="27"/>
      <c r="X2852" s="27"/>
      <c r="Y2852" s="27"/>
      <c r="Z2852" s="17"/>
      <c r="AA2852" s="17"/>
      <c r="AB2852" s="17"/>
      <c r="AC2852" s="17"/>
      <c r="AD2852" s="27"/>
    </row>
    <row r="2853" ht="15.75" customHeight="1">
      <c r="A2853" s="27"/>
      <c r="B2853" s="27"/>
      <c r="C2853" s="27"/>
      <c r="D2853" s="27"/>
      <c r="E2853" s="27"/>
      <c r="F2853" s="27"/>
      <c r="G2853" s="27"/>
      <c r="H2853" s="27"/>
      <c r="I2853" s="27"/>
      <c r="J2853" s="27"/>
      <c r="K2853" s="27"/>
      <c r="L2853" s="27"/>
      <c r="M2853" s="27"/>
      <c r="N2853" s="27"/>
      <c r="O2853" s="27"/>
      <c r="P2853" s="27"/>
      <c r="Q2853" s="27"/>
      <c r="R2853" s="27"/>
      <c r="S2853" s="27"/>
      <c r="T2853" s="27"/>
      <c r="U2853" s="27"/>
      <c r="V2853" s="27"/>
      <c r="W2853" s="27"/>
      <c r="X2853" s="27"/>
      <c r="Y2853" s="27"/>
      <c r="Z2853" s="17"/>
      <c r="AA2853" s="17"/>
      <c r="AB2853" s="17"/>
      <c r="AC2853" s="17"/>
      <c r="AD2853" s="27"/>
    </row>
    <row r="2854" ht="15.75" customHeight="1">
      <c r="A2854" s="27"/>
      <c r="B2854" s="27"/>
      <c r="C2854" s="27"/>
      <c r="D2854" s="27"/>
      <c r="E2854" s="27"/>
      <c r="F2854" s="27"/>
      <c r="G2854" s="27"/>
      <c r="H2854" s="27"/>
      <c r="I2854" s="27"/>
      <c r="J2854" s="27"/>
      <c r="K2854" s="27"/>
      <c r="L2854" s="27"/>
      <c r="M2854" s="27"/>
      <c r="N2854" s="27"/>
      <c r="O2854" s="27"/>
      <c r="P2854" s="27"/>
      <c r="Q2854" s="27"/>
      <c r="R2854" s="27"/>
      <c r="S2854" s="27"/>
      <c r="T2854" s="27"/>
      <c r="U2854" s="27"/>
      <c r="V2854" s="27"/>
      <c r="W2854" s="27"/>
      <c r="X2854" s="27"/>
      <c r="Y2854" s="27"/>
      <c r="Z2854" s="17"/>
      <c r="AA2854" s="17"/>
      <c r="AB2854" s="17"/>
      <c r="AC2854" s="17"/>
      <c r="AD2854" s="27"/>
    </row>
    <row r="2855" ht="15.75" customHeight="1">
      <c r="A2855" s="27"/>
      <c r="B2855" s="27"/>
      <c r="C2855" s="27"/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7"/>
      <c r="X2855" s="27"/>
      <c r="Y2855" s="27"/>
      <c r="Z2855" s="17"/>
      <c r="AA2855" s="17"/>
      <c r="AB2855" s="17"/>
      <c r="AC2855" s="17"/>
      <c r="AD2855" s="27"/>
    </row>
    <row r="2856" ht="15.75" customHeight="1">
      <c r="A2856" s="27"/>
      <c r="B2856" s="27"/>
      <c r="C2856" s="27"/>
      <c r="D2856" s="27"/>
      <c r="E2856" s="27"/>
      <c r="F2856" s="27"/>
      <c r="G2856" s="27"/>
      <c r="H2856" s="27"/>
      <c r="I2856" s="27"/>
      <c r="J2856" s="27"/>
      <c r="K2856" s="27"/>
      <c r="L2856" s="27"/>
      <c r="M2856" s="27"/>
      <c r="N2856" s="27"/>
      <c r="O2856" s="27"/>
      <c r="P2856" s="27"/>
      <c r="Q2856" s="27"/>
      <c r="R2856" s="27"/>
      <c r="S2856" s="27"/>
      <c r="T2856" s="27"/>
      <c r="U2856" s="27"/>
      <c r="V2856" s="27"/>
      <c r="W2856" s="27"/>
      <c r="X2856" s="27"/>
      <c r="Y2856" s="27"/>
      <c r="Z2856" s="17"/>
      <c r="AA2856" s="17"/>
      <c r="AB2856" s="17"/>
      <c r="AC2856" s="17"/>
      <c r="AD2856" s="27"/>
    </row>
    <row r="2857" ht="15.75" customHeight="1">
      <c r="A2857" s="27"/>
      <c r="B2857" s="27"/>
      <c r="C2857" s="27"/>
      <c r="D2857" s="27"/>
      <c r="E2857" s="27"/>
      <c r="F2857" s="27"/>
      <c r="G2857" s="27"/>
      <c r="H2857" s="27"/>
      <c r="I2857" s="27"/>
      <c r="J2857" s="27"/>
      <c r="K2857" s="27"/>
      <c r="L2857" s="27"/>
      <c r="M2857" s="27"/>
      <c r="N2857" s="27"/>
      <c r="O2857" s="27"/>
      <c r="P2857" s="27"/>
      <c r="Q2857" s="27"/>
      <c r="R2857" s="27"/>
      <c r="S2857" s="27"/>
      <c r="T2857" s="27"/>
      <c r="U2857" s="27"/>
      <c r="V2857" s="27"/>
      <c r="W2857" s="27"/>
      <c r="X2857" s="27"/>
      <c r="Y2857" s="27"/>
      <c r="Z2857" s="17"/>
      <c r="AA2857" s="17"/>
      <c r="AB2857" s="17"/>
      <c r="AC2857" s="17"/>
      <c r="AD2857" s="27"/>
    </row>
    <row r="2858" ht="15.75" customHeight="1">
      <c r="A2858" s="27"/>
      <c r="B2858" s="27"/>
      <c r="C2858" s="27"/>
      <c r="D2858" s="27"/>
      <c r="E2858" s="27"/>
      <c r="F2858" s="27"/>
      <c r="G2858" s="27"/>
      <c r="H2858" s="27"/>
      <c r="I2858" s="27"/>
      <c r="J2858" s="27"/>
      <c r="K2858" s="27"/>
      <c r="L2858" s="27"/>
      <c r="M2858" s="27"/>
      <c r="N2858" s="27"/>
      <c r="O2858" s="27"/>
      <c r="P2858" s="27"/>
      <c r="Q2858" s="27"/>
      <c r="R2858" s="27"/>
      <c r="S2858" s="27"/>
      <c r="T2858" s="27"/>
      <c r="U2858" s="27"/>
      <c r="V2858" s="27"/>
      <c r="W2858" s="27"/>
      <c r="X2858" s="27"/>
      <c r="Y2858" s="27"/>
      <c r="Z2858" s="17"/>
      <c r="AA2858" s="17"/>
      <c r="AB2858" s="17"/>
      <c r="AC2858" s="17"/>
      <c r="AD2858" s="27"/>
    </row>
    <row r="2859" ht="15.75" customHeight="1">
      <c r="A2859" s="27"/>
      <c r="B2859" s="27"/>
      <c r="C2859" s="27"/>
      <c r="D2859" s="27"/>
      <c r="E2859" s="27"/>
      <c r="F2859" s="27"/>
      <c r="G2859" s="27"/>
      <c r="H2859" s="27"/>
      <c r="I2859" s="27"/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  <c r="T2859" s="27"/>
      <c r="U2859" s="27"/>
      <c r="V2859" s="27"/>
      <c r="W2859" s="27"/>
      <c r="X2859" s="27"/>
      <c r="Y2859" s="27"/>
      <c r="Z2859" s="17"/>
      <c r="AA2859" s="17"/>
      <c r="AB2859" s="17"/>
      <c r="AC2859" s="17"/>
      <c r="AD2859" s="27"/>
    </row>
    <row r="2860" ht="15.75" customHeight="1">
      <c r="A2860" s="27"/>
      <c r="B2860" s="27"/>
      <c r="C2860" s="27"/>
      <c r="D2860" s="27"/>
      <c r="E2860" s="27"/>
      <c r="F2860" s="27"/>
      <c r="G2860" s="27"/>
      <c r="H2860" s="27"/>
      <c r="I2860" s="27"/>
      <c r="J2860" s="27"/>
      <c r="K2860" s="27"/>
      <c r="L2860" s="27"/>
      <c r="M2860" s="27"/>
      <c r="N2860" s="27"/>
      <c r="O2860" s="27"/>
      <c r="P2860" s="27"/>
      <c r="Q2860" s="27"/>
      <c r="R2860" s="27"/>
      <c r="S2860" s="27"/>
      <c r="T2860" s="27"/>
      <c r="U2860" s="27"/>
      <c r="V2860" s="27"/>
      <c r="W2860" s="27"/>
      <c r="X2860" s="27"/>
      <c r="Y2860" s="27"/>
      <c r="Z2860" s="17"/>
      <c r="AA2860" s="17"/>
      <c r="AB2860" s="17"/>
      <c r="AC2860" s="17"/>
      <c r="AD2860" s="27"/>
    </row>
    <row r="2861" ht="15.75" customHeight="1">
      <c r="A2861" s="27"/>
      <c r="B2861" s="27"/>
      <c r="C2861" s="27"/>
      <c r="D2861" s="27"/>
      <c r="E2861" s="27"/>
      <c r="F2861" s="27"/>
      <c r="G2861" s="27"/>
      <c r="H2861" s="27"/>
      <c r="I2861" s="27"/>
      <c r="J2861" s="27"/>
      <c r="K2861" s="27"/>
      <c r="L2861" s="27"/>
      <c r="M2861" s="27"/>
      <c r="N2861" s="27"/>
      <c r="O2861" s="27"/>
      <c r="P2861" s="27"/>
      <c r="Q2861" s="27"/>
      <c r="R2861" s="27"/>
      <c r="S2861" s="27"/>
      <c r="T2861" s="27"/>
      <c r="U2861" s="27"/>
      <c r="V2861" s="27"/>
      <c r="W2861" s="27"/>
      <c r="X2861" s="27"/>
      <c r="Y2861" s="27"/>
      <c r="Z2861" s="17"/>
      <c r="AA2861" s="17"/>
      <c r="AB2861" s="17"/>
      <c r="AC2861" s="17"/>
      <c r="AD2861" s="27"/>
    </row>
    <row r="2862" ht="15.75" customHeight="1">
      <c r="A2862" s="27"/>
      <c r="B2862" s="27"/>
      <c r="C2862" s="27"/>
      <c r="D2862" s="27"/>
      <c r="E2862" s="27"/>
      <c r="F2862" s="27"/>
      <c r="G2862" s="27"/>
      <c r="H2862" s="27"/>
      <c r="I2862" s="27"/>
      <c r="J2862" s="27"/>
      <c r="K2862" s="27"/>
      <c r="L2862" s="27"/>
      <c r="M2862" s="27"/>
      <c r="N2862" s="27"/>
      <c r="O2862" s="27"/>
      <c r="P2862" s="27"/>
      <c r="Q2862" s="27"/>
      <c r="R2862" s="27"/>
      <c r="S2862" s="27"/>
      <c r="T2862" s="27"/>
      <c r="U2862" s="27"/>
      <c r="V2862" s="27"/>
      <c r="W2862" s="27"/>
      <c r="X2862" s="27"/>
      <c r="Y2862" s="27"/>
      <c r="Z2862" s="17"/>
      <c r="AA2862" s="17"/>
      <c r="AB2862" s="17"/>
      <c r="AC2862" s="17"/>
      <c r="AD2862" s="27"/>
    </row>
    <row r="2863" ht="15.75" customHeight="1">
      <c r="A2863" s="27"/>
      <c r="B2863" s="27"/>
      <c r="C2863" s="27"/>
      <c r="D2863" s="27"/>
      <c r="E2863" s="27"/>
      <c r="F2863" s="27"/>
      <c r="G2863" s="27"/>
      <c r="H2863" s="27"/>
      <c r="I2863" s="27"/>
      <c r="J2863" s="27"/>
      <c r="K2863" s="27"/>
      <c r="L2863" s="27"/>
      <c r="M2863" s="27"/>
      <c r="N2863" s="27"/>
      <c r="O2863" s="27"/>
      <c r="P2863" s="27"/>
      <c r="Q2863" s="27"/>
      <c r="R2863" s="27"/>
      <c r="S2863" s="27"/>
      <c r="T2863" s="27"/>
      <c r="U2863" s="27"/>
      <c r="V2863" s="27"/>
      <c r="W2863" s="27"/>
      <c r="X2863" s="27"/>
      <c r="Y2863" s="27"/>
      <c r="Z2863" s="17"/>
      <c r="AA2863" s="17"/>
      <c r="AB2863" s="17"/>
      <c r="AC2863" s="17"/>
      <c r="AD2863" s="27"/>
    </row>
    <row r="2864" ht="15.75" customHeight="1">
      <c r="A2864" s="27"/>
      <c r="B2864" s="27"/>
      <c r="C2864" s="27"/>
      <c r="D2864" s="27"/>
      <c r="E2864" s="27"/>
      <c r="F2864" s="27"/>
      <c r="G2864" s="27"/>
      <c r="H2864" s="27"/>
      <c r="I2864" s="27"/>
      <c r="J2864" s="27"/>
      <c r="K2864" s="27"/>
      <c r="L2864" s="27"/>
      <c r="M2864" s="27"/>
      <c r="N2864" s="27"/>
      <c r="O2864" s="27"/>
      <c r="P2864" s="27"/>
      <c r="Q2864" s="27"/>
      <c r="R2864" s="27"/>
      <c r="S2864" s="27"/>
      <c r="T2864" s="27"/>
      <c r="U2864" s="27"/>
      <c r="V2864" s="27"/>
      <c r="W2864" s="27"/>
      <c r="X2864" s="27"/>
      <c r="Y2864" s="27"/>
      <c r="Z2864" s="17"/>
      <c r="AA2864" s="17"/>
      <c r="AB2864" s="17"/>
      <c r="AC2864" s="17"/>
      <c r="AD2864" s="27"/>
    </row>
    <row r="2865" ht="15.75" customHeight="1">
      <c r="A2865" s="27"/>
      <c r="B2865" s="27"/>
      <c r="C2865" s="27"/>
      <c r="D2865" s="27"/>
      <c r="E2865" s="27"/>
      <c r="F2865" s="27"/>
      <c r="G2865" s="27"/>
      <c r="H2865" s="27"/>
      <c r="I2865" s="27"/>
      <c r="J2865" s="27"/>
      <c r="K2865" s="27"/>
      <c r="L2865" s="27"/>
      <c r="M2865" s="27"/>
      <c r="N2865" s="27"/>
      <c r="O2865" s="27"/>
      <c r="P2865" s="27"/>
      <c r="Q2865" s="27"/>
      <c r="R2865" s="27"/>
      <c r="S2865" s="27"/>
      <c r="T2865" s="27"/>
      <c r="U2865" s="27"/>
      <c r="V2865" s="27"/>
      <c r="W2865" s="27"/>
      <c r="X2865" s="27"/>
      <c r="Y2865" s="27"/>
      <c r="Z2865" s="17"/>
      <c r="AA2865" s="17"/>
      <c r="AB2865" s="17"/>
      <c r="AC2865" s="17"/>
      <c r="AD2865" s="27"/>
    </row>
    <row r="2866" ht="15.75" customHeight="1">
      <c r="A2866" s="27"/>
      <c r="B2866" s="27"/>
      <c r="C2866" s="27"/>
      <c r="D2866" s="27"/>
      <c r="E2866" s="27"/>
      <c r="F2866" s="27"/>
      <c r="G2866" s="27"/>
      <c r="H2866" s="27"/>
      <c r="I2866" s="27"/>
      <c r="J2866" s="27"/>
      <c r="K2866" s="27"/>
      <c r="L2866" s="27"/>
      <c r="M2866" s="27"/>
      <c r="N2866" s="27"/>
      <c r="O2866" s="27"/>
      <c r="P2866" s="27"/>
      <c r="Q2866" s="27"/>
      <c r="R2866" s="27"/>
      <c r="S2866" s="27"/>
      <c r="T2866" s="27"/>
      <c r="U2866" s="27"/>
      <c r="V2866" s="27"/>
      <c r="W2866" s="27"/>
      <c r="X2866" s="27"/>
      <c r="Y2866" s="27"/>
      <c r="Z2866" s="17"/>
      <c r="AA2866" s="17"/>
      <c r="AB2866" s="17"/>
      <c r="AC2866" s="17"/>
      <c r="AD2866" s="27"/>
    </row>
    <row r="2867" ht="15.75" customHeight="1">
      <c r="A2867" s="27"/>
      <c r="B2867" s="27"/>
      <c r="C2867" s="27"/>
      <c r="D2867" s="27"/>
      <c r="E2867" s="27"/>
      <c r="F2867" s="27"/>
      <c r="G2867" s="27"/>
      <c r="H2867" s="27"/>
      <c r="I2867" s="27"/>
      <c r="J2867" s="27"/>
      <c r="K2867" s="27"/>
      <c r="L2867" s="27"/>
      <c r="M2867" s="27"/>
      <c r="N2867" s="27"/>
      <c r="O2867" s="27"/>
      <c r="P2867" s="27"/>
      <c r="Q2867" s="27"/>
      <c r="R2867" s="27"/>
      <c r="S2867" s="27"/>
      <c r="T2867" s="27"/>
      <c r="U2867" s="27"/>
      <c r="V2867" s="27"/>
      <c r="W2867" s="27"/>
      <c r="X2867" s="27"/>
      <c r="Y2867" s="27"/>
      <c r="Z2867" s="17"/>
      <c r="AA2867" s="17"/>
      <c r="AB2867" s="17"/>
      <c r="AC2867" s="17"/>
      <c r="AD2867" s="27"/>
    </row>
    <row r="2868" ht="15.75" customHeight="1">
      <c r="A2868" s="27"/>
      <c r="B2868" s="27"/>
      <c r="C2868" s="27"/>
      <c r="D2868" s="27"/>
      <c r="E2868" s="27"/>
      <c r="F2868" s="27"/>
      <c r="G2868" s="27"/>
      <c r="H2868" s="27"/>
      <c r="I2868" s="27"/>
      <c r="J2868" s="27"/>
      <c r="K2868" s="27"/>
      <c r="L2868" s="27"/>
      <c r="M2868" s="27"/>
      <c r="N2868" s="27"/>
      <c r="O2868" s="27"/>
      <c r="P2868" s="27"/>
      <c r="Q2868" s="27"/>
      <c r="R2868" s="27"/>
      <c r="S2868" s="27"/>
      <c r="T2868" s="27"/>
      <c r="U2868" s="27"/>
      <c r="V2868" s="27"/>
      <c r="W2868" s="27"/>
      <c r="X2868" s="27"/>
      <c r="Y2868" s="27"/>
      <c r="Z2868" s="17"/>
      <c r="AA2868" s="17"/>
      <c r="AB2868" s="17"/>
      <c r="AC2868" s="17"/>
      <c r="AD2868" s="27"/>
    </row>
    <row r="2869" ht="15.75" customHeight="1">
      <c r="A2869" s="27"/>
      <c r="B2869" s="27"/>
      <c r="C2869" s="27"/>
      <c r="D2869" s="27"/>
      <c r="E2869" s="27"/>
      <c r="F2869" s="27"/>
      <c r="G2869" s="27"/>
      <c r="H2869" s="27"/>
      <c r="I2869" s="27"/>
      <c r="J2869" s="27"/>
      <c r="K2869" s="27"/>
      <c r="L2869" s="27"/>
      <c r="M2869" s="27"/>
      <c r="N2869" s="27"/>
      <c r="O2869" s="27"/>
      <c r="P2869" s="27"/>
      <c r="Q2869" s="27"/>
      <c r="R2869" s="27"/>
      <c r="S2869" s="27"/>
      <c r="T2869" s="27"/>
      <c r="U2869" s="27"/>
      <c r="V2869" s="27"/>
      <c r="W2869" s="27"/>
      <c r="X2869" s="27"/>
      <c r="Y2869" s="27"/>
      <c r="Z2869" s="17"/>
      <c r="AA2869" s="17"/>
      <c r="AB2869" s="17"/>
      <c r="AC2869" s="17"/>
      <c r="AD2869" s="27"/>
    </row>
    <row r="2870" ht="15.75" customHeight="1">
      <c r="A2870" s="27"/>
      <c r="B2870" s="27"/>
      <c r="C2870" s="27"/>
      <c r="D2870" s="27"/>
      <c r="E2870" s="27"/>
      <c r="F2870" s="27"/>
      <c r="G2870" s="27"/>
      <c r="H2870" s="27"/>
      <c r="I2870" s="27"/>
      <c r="J2870" s="27"/>
      <c r="K2870" s="27"/>
      <c r="L2870" s="27"/>
      <c r="M2870" s="27"/>
      <c r="N2870" s="27"/>
      <c r="O2870" s="27"/>
      <c r="P2870" s="27"/>
      <c r="Q2870" s="27"/>
      <c r="R2870" s="27"/>
      <c r="S2870" s="27"/>
      <c r="T2870" s="27"/>
      <c r="U2870" s="27"/>
      <c r="V2870" s="27"/>
      <c r="W2870" s="27"/>
      <c r="X2870" s="27"/>
      <c r="Y2870" s="27"/>
      <c r="Z2870" s="17"/>
      <c r="AA2870" s="17"/>
      <c r="AB2870" s="17"/>
      <c r="AC2870" s="17"/>
      <c r="AD2870" s="27"/>
    </row>
    <row r="2871" ht="15.75" customHeight="1">
      <c r="A2871" s="27"/>
      <c r="B2871" s="27"/>
      <c r="C2871" s="27"/>
      <c r="D2871" s="27"/>
      <c r="E2871" s="27"/>
      <c r="F2871" s="27"/>
      <c r="G2871" s="27"/>
      <c r="H2871" s="27"/>
      <c r="I2871" s="27"/>
      <c r="J2871" s="27"/>
      <c r="K2871" s="27"/>
      <c r="L2871" s="27"/>
      <c r="M2871" s="27"/>
      <c r="N2871" s="27"/>
      <c r="O2871" s="27"/>
      <c r="P2871" s="27"/>
      <c r="Q2871" s="27"/>
      <c r="R2871" s="27"/>
      <c r="S2871" s="27"/>
      <c r="T2871" s="27"/>
      <c r="U2871" s="27"/>
      <c r="V2871" s="27"/>
      <c r="W2871" s="27"/>
      <c r="X2871" s="27"/>
      <c r="Y2871" s="27"/>
      <c r="Z2871" s="17"/>
      <c r="AA2871" s="17"/>
      <c r="AB2871" s="17"/>
      <c r="AC2871" s="17"/>
      <c r="AD2871" s="27"/>
    </row>
    <row r="2872" ht="15.75" customHeight="1">
      <c r="A2872" s="27"/>
      <c r="B2872" s="27"/>
      <c r="C2872" s="27"/>
      <c r="D2872" s="27"/>
      <c r="E2872" s="27"/>
      <c r="F2872" s="27"/>
      <c r="G2872" s="27"/>
      <c r="H2872" s="27"/>
      <c r="I2872" s="27"/>
      <c r="J2872" s="27"/>
      <c r="K2872" s="27"/>
      <c r="L2872" s="27"/>
      <c r="M2872" s="27"/>
      <c r="N2872" s="27"/>
      <c r="O2872" s="27"/>
      <c r="P2872" s="27"/>
      <c r="Q2872" s="27"/>
      <c r="R2872" s="27"/>
      <c r="S2872" s="27"/>
      <c r="T2872" s="27"/>
      <c r="U2872" s="27"/>
      <c r="V2872" s="27"/>
      <c r="W2872" s="27"/>
      <c r="X2872" s="27"/>
      <c r="Y2872" s="27"/>
      <c r="Z2872" s="17"/>
      <c r="AA2872" s="17"/>
      <c r="AB2872" s="17"/>
      <c r="AC2872" s="17"/>
      <c r="AD2872" s="27"/>
    </row>
    <row r="2873" ht="15.75" customHeight="1">
      <c r="A2873" s="27"/>
      <c r="B2873" s="27"/>
      <c r="C2873" s="27"/>
      <c r="D2873" s="27"/>
      <c r="E2873" s="27"/>
      <c r="F2873" s="27"/>
      <c r="G2873" s="27"/>
      <c r="H2873" s="27"/>
      <c r="I2873" s="27"/>
      <c r="J2873" s="27"/>
      <c r="K2873" s="27"/>
      <c r="L2873" s="27"/>
      <c r="M2873" s="27"/>
      <c r="N2873" s="27"/>
      <c r="O2873" s="27"/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17"/>
      <c r="AA2873" s="17"/>
      <c r="AB2873" s="17"/>
      <c r="AC2873" s="17"/>
      <c r="AD2873" s="27"/>
    </row>
    <row r="2874" ht="15.75" customHeight="1">
      <c r="A2874" s="27"/>
      <c r="B2874" s="27"/>
      <c r="C2874" s="27"/>
      <c r="D2874" s="27"/>
      <c r="E2874" s="27"/>
      <c r="F2874" s="27"/>
      <c r="G2874" s="27"/>
      <c r="H2874" s="27"/>
      <c r="I2874" s="27"/>
      <c r="J2874" s="27"/>
      <c r="K2874" s="27"/>
      <c r="L2874" s="27"/>
      <c r="M2874" s="27"/>
      <c r="N2874" s="27"/>
      <c r="O2874" s="27"/>
      <c r="P2874" s="27"/>
      <c r="Q2874" s="27"/>
      <c r="R2874" s="27"/>
      <c r="S2874" s="27"/>
      <c r="T2874" s="27"/>
      <c r="U2874" s="27"/>
      <c r="V2874" s="27"/>
      <c r="W2874" s="27"/>
      <c r="X2874" s="27"/>
      <c r="Y2874" s="27"/>
      <c r="Z2874" s="17"/>
      <c r="AA2874" s="17"/>
      <c r="AB2874" s="17"/>
      <c r="AC2874" s="17"/>
      <c r="AD2874" s="27"/>
    </row>
    <row r="2875" ht="15.75" customHeight="1">
      <c r="A2875" s="27"/>
      <c r="B2875" s="27"/>
      <c r="C2875" s="27"/>
      <c r="D2875" s="27"/>
      <c r="E2875" s="27"/>
      <c r="F2875" s="27"/>
      <c r="G2875" s="27"/>
      <c r="H2875" s="27"/>
      <c r="I2875" s="27"/>
      <c r="J2875" s="27"/>
      <c r="K2875" s="27"/>
      <c r="L2875" s="27"/>
      <c r="M2875" s="27"/>
      <c r="N2875" s="27"/>
      <c r="O2875" s="27"/>
      <c r="P2875" s="27"/>
      <c r="Q2875" s="27"/>
      <c r="R2875" s="27"/>
      <c r="S2875" s="27"/>
      <c r="T2875" s="27"/>
      <c r="U2875" s="27"/>
      <c r="V2875" s="27"/>
      <c r="W2875" s="27"/>
      <c r="X2875" s="27"/>
      <c r="Y2875" s="27"/>
      <c r="Z2875" s="17"/>
      <c r="AA2875" s="17"/>
      <c r="AB2875" s="17"/>
      <c r="AC2875" s="17"/>
      <c r="AD2875" s="27"/>
    </row>
    <row r="2876" ht="15.75" customHeight="1">
      <c r="A2876" s="27"/>
      <c r="B2876" s="27"/>
      <c r="C2876" s="27"/>
      <c r="D2876" s="27"/>
      <c r="E2876" s="27"/>
      <c r="F2876" s="27"/>
      <c r="G2876" s="27"/>
      <c r="H2876" s="27"/>
      <c r="I2876" s="27"/>
      <c r="J2876" s="27"/>
      <c r="K2876" s="27"/>
      <c r="L2876" s="27"/>
      <c r="M2876" s="27"/>
      <c r="N2876" s="27"/>
      <c r="O2876" s="27"/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17"/>
      <c r="AA2876" s="17"/>
      <c r="AB2876" s="17"/>
      <c r="AC2876" s="17"/>
      <c r="AD2876" s="27"/>
    </row>
    <row r="2877" ht="15.75" customHeight="1">
      <c r="A2877" s="27"/>
      <c r="B2877" s="27"/>
      <c r="C2877" s="27"/>
      <c r="D2877" s="27"/>
      <c r="E2877" s="27"/>
      <c r="F2877" s="27"/>
      <c r="G2877" s="27"/>
      <c r="H2877" s="27"/>
      <c r="I2877" s="27"/>
      <c r="J2877" s="27"/>
      <c r="K2877" s="27"/>
      <c r="L2877" s="27"/>
      <c r="M2877" s="27"/>
      <c r="N2877" s="27"/>
      <c r="O2877" s="27"/>
      <c r="P2877" s="27"/>
      <c r="Q2877" s="27"/>
      <c r="R2877" s="27"/>
      <c r="S2877" s="27"/>
      <c r="T2877" s="27"/>
      <c r="U2877" s="27"/>
      <c r="V2877" s="27"/>
      <c r="W2877" s="27"/>
      <c r="X2877" s="27"/>
      <c r="Y2877" s="27"/>
      <c r="Z2877" s="17"/>
      <c r="AA2877" s="17"/>
      <c r="AB2877" s="17"/>
      <c r="AC2877" s="17"/>
      <c r="AD2877" s="27"/>
    </row>
    <row r="2878" ht="15.75" customHeight="1">
      <c r="A2878" s="27"/>
      <c r="B2878" s="27"/>
      <c r="C2878" s="27"/>
      <c r="D2878" s="27"/>
      <c r="E2878" s="27"/>
      <c r="F2878" s="27"/>
      <c r="G2878" s="27"/>
      <c r="H2878" s="27"/>
      <c r="I2878" s="27"/>
      <c r="J2878" s="27"/>
      <c r="K2878" s="27"/>
      <c r="L2878" s="27"/>
      <c r="M2878" s="27"/>
      <c r="N2878" s="27"/>
      <c r="O2878" s="27"/>
      <c r="P2878" s="27"/>
      <c r="Q2878" s="27"/>
      <c r="R2878" s="27"/>
      <c r="S2878" s="27"/>
      <c r="T2878" s="27"/>
      <c r="U2878" s="27"/>
      <c r="V2878" s="27"/>
      <c r="W2878" s="27"/>
      <c r="X2878" s="27"/>
      <c r="Y2878" s="27"/>
      <c r="Z2878" s="17"/>
      <c r="AA2878" s="17"/>
      <c r="AB2878" s="17"/>
      <c r="AC2878" s="17"/>
      <c r="AD2878" s="27"/>
    </row>
    <row r="2879" ht="15.75" customHeight="1">
      <c r="A2879" s="27"/>
      <c r="B2879" s="27"/>
      <c r="C2879" s="27"/>
      <c r="D2879" s="27"/>
      <c r="E2879" s="27"/>
      <c r="F2879" s="27"/>
      <c r="G2879" s="27"/>
      <c r="H2879" s="27"/>
      <c r="I2879" s="27"/>
      <c r="J2879" s="27"/>
      <c r="K2879" s="27"/>
      <c r="L2879" s="27"/>
      <c r="M2879" s="27"/>
      <c r="N2879" s="27"/>
      <c r="O2879" s="27"/>
      <c r="P2879" s="27"/>
      <c r="Q2879" s="27"/>
      <c r="R2879" s="27"/>
      <c r="S2879" s="27"/>
      <c r="T2879" s="27"/>
      <c r="U2879" s="27"/>
      <c r="V2879" s="27"/>
      <c r="W2879" s="27"/>
      <c r="X2879" s="27"/>
      <c r="Y2879" s="27"/>
      <c r="Z2879" s="17"/>
      <c r="AA2879" s="17"/>
      <c r="AB2879" s="17"/>
      <c r="AC2879" s="17"/>
      <c r="AD2879" s="27"/>
    </row>
    <row r="2880" ht="15.75" customHeight="1">
      <c r="A2880" s="27"/>
      <c r="B2880" s="27"/>
      <c r="C2880" s="27"/>
      <c r="D2880" s="27"/>
      <c r="E2880" s="27"/>
      <c r="F2880" s="27"/>
      <c r="G2880" s="27"/>
      <c r="H2880" s="27"/>
      <c r="I2880" s="27"/>
      <c r="J2880" s="27"/>
      <c r="K2880" s="27"/>
      <c r="L2880" s="27"/>
      <c r="M2880" s="27"/>
      <c r="N2880" s="27"/>
      <c r="O2880" s="27"/>
      <c r="P2880" s="27"/>
      <c r="Q2880" s="27"/>
      <c r="R2880" s="27"/>
      <c r="S2880" s="27"/>
      <c r="T2880" s="27"/>
      <c r="U2880" s="27"/>
      <c r="V2880" s="27"/>
      <c r="W2880" s="27"/>
      <c r="X2880" s="27"/>
      <c r="Y2880" s="27"/>
      <c r="Z2880" s="17"/>
      <c r="AA2880" s="17"/>
      <c r="AB2880" s="17"/>
      <c r="AC2880" s="17"/>
      <c r="AD2880" s="27"/>
    </row>
    <row r="2881" ht="15.75" customHeight="1">
      <c r="A2881" s="27"/>
      <c r="B2881" s="27"/>
      <c r="C2881" s="27"/>
      <c r="D2881" s="27"/>
      <c r="E2881" s="27"/>
      <c r="F2881" s="27"/>
      <c r="G2881" s="27"/>
      <c r="H2881" s="27"/>
      <c r="I2881" s="27"/>
      <c r="J2881" s="27"/>
      <c r="K2881" s="27"/>
      <c r="L2881" s="27"/>
      <c r="M2881" s="27"/>
      <c r="N2881" s="27"/>
      <c r="O2881" s="27"/>
      <c r="P2881" s="27"/>
      <c r="Q2881" s="27"/>
      <c r="R2881" s="27"/>
      <c r="S2881" s="27"/>
      <c r="T2881" s="27"/>
      <c r="U2881" s="27"/>
      <c r="V2881" s="27"/>
      <c r="W2881" s="27"/>
      <c r="X2881" s="27"/>
      <c r="Y2881" s="27"/>
      <c r="Z2881" s="17"/>
      <c r="AA2881" s="17"/>
      <c r="AB2881" s="17"/>
      <c r="AC2881" s="17"/>
      <c r="AD2881" s="27"/>
    </row>
    <row r="2882" ht="15.75" customHeight="1">
      <c r="A2882" s="27"/>
      <c r="B2882" s="27"/>
      <c r="C2882" s="27"/>
      <c r="D2882" s="27"/>
      <c r="E2882" s="27"/>
      <c r="F2882" s="27"/>
      <c r="G2882" s="27"/>
      <c r="H2882" s="27"/>
      <c r="I2882" s="27"/>
      <c r="J2882" s="27"/>
      <c r="K2882" s="27"/>
      <c r="L2882" s="27"/>
      <c r="M2882" s="27"/>
      <c r="N2882" s="27"/>
      <c r="O2882" s="27"/>
      <c r="P2882" s="27"/>
      <c r="Q2882" s="27"/>
      <c r="R2882" s="27"/>
      <c r="S2882" s="27"/>
      <c r="T2882" s="27"/>
      <c r="U2882" s="27"/>
      <c r="V2882" s="27"/>
      <c r="W2882" s="27"/>
      <c r="X2882" s="27"/>
      <c r="Y2882" s="27"/>
      <c r="Z2882" s="17"/>
      <c r="AA2882" s="17"/>
      <c r="AB2882" s="17"/>
      <c r="AC2882" s="17"/>
      <c r="AD2882" s="27"/>
    </row>
    <row r="2883" ht="15.75" customHeight="1">
      <c r="A2883" s="27"/>
      <c r="B2883" s="27"/>
      <c r="C2883" s="27"/>
      <c r="D2883" s="27"/>
      <c r="E2883" s="27"/>
      <c r="F2883" s="27"/>
      <c r="G2883" s="27"/>
      <c r="H2883" s="27"/>
      <c r="I2883" s="27"/>
      <c r="J2883" s="27"/>
      <c r="K2883" s="27"/>
      <c r="L2883" s="27"/>
      <c r="M2883" s="27"/>
      <c r="N2883" s="27"/>
      <c r="O2883" s="27"/>
      <c r="P2883" s="27"/>
      <c r="Q2883" s="27"/>
      <c r="R2883" s="27"/>
      <c r="S2883" s="27"/>
      <c r="T2883" s="27"/>
      <c r="U2883" s="27"/>
      <c r="V2883" s="27"/>
      <c r="W2883" s="27"/>
      <c r="X2883" s="27"/>
      <c r="Y2883" s="27"/>
      <c r="Z2883" s="17"/>
      <c r="AA2883" s="17"/>
      <c r="AB2883" s="17"/>
      <c r="AC2883" s="17"/>
      <c r="AD2883" s="27"/>
    </row>
    <row r="2884" ht="15.75" customHeight="1">
      <c r="A2884" s="27"/>
      <c r="B2884" s="27"/>
      <c r="C2884" s="27"/>
      <c r="D2884" s="27"/>
      <c r="E2884" s="27"/>
      <c r="F2884" s="27"/>
      <c r="G2884" s="27"/>
      <c r="H2884" s="27"/>
      <c r="I2884" s="27"/>
      <c r="J2884" s="27"/>
      <c r="K2884" s="27"/>
      <c r="L2884" s="27"/>
      <c r="M2884" s="27"/>
      <c r="N2884" s="27"/>
      <c r="O2884" s="27"/>
      <c r="P2884" s="27"/>
      <c r="Q2884" s="27"/>
      <c r="R2884" s="27"/>
      <c r="S2884" s="27"/>
      <c r="T2884" s="27"/>
      <c r="U2884" s="27"/>
      <c r="V2884" s="27"/>
      <c r="W2884" s="27"/>
      <c r="X2884" s="27"/>
      <c r="Y2884" s="27"/>
      <c r="Z2884" s="17"/>
      <c r="AA2884" s="17"/>
      <c r="AB2884" s="17"/>
      <c r="AC2884" s="17"/>
      <c r="AD2884" s="27"/>
    </row>
    <row r="2885" ht="15.75" customHeight="1">
      <c r="A2885" s="27"/>
      <c r="B2885" s="27"/>
      <c r="C2885" s="27"/>
      <c r="D2885" s="27"/>
      <c r="E2885" s="27"/>
      <c r="F2885" s="27"/>
      <c r="G2885" s="27"/>
      <c r="H2885" s="27"/>
      <c r="I2885" s="27"/>
      <c r="J2885" s="27"/>
      <c r="K2885" s="27"/>
      <c r="L2885" s="27"/>
      <c r="M2885" s="27"/>
      <c r="N2885" s="27"/>
      <c r="O2885" s="27"/>
      <c r="P2885" s="27"/>
      <c r="Q2885" s="27"/>
      <c r="R2885" s="27"/>
      <c r="S2885" s="27"/>
      <c r="T2885" s="27"/>
      <c r="U2885" s="27"/>
      <c r="V2885" s="27"/>
      <c r="W2885" s="27"/>
      <c r="X2885" s="27"/>
      <c r="Y2885" s="27"/>
      <c r="Z2885" s="17"/>
      <c r="AA2885" s="17"/>
      <c r="AB2885" s="17"/>
      <c r="AC2885" s="17"/>
      <c r="AD2885" s="27"/>
    </row>
    <row r="2886" ht="15.75" customHeight="1">
      <c r="A2886" s="27"/>
      <c r="B2886" s="27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  <c r="Z2886" s="17"/>
      <c r="AA2886" s="17"/>
      <c r="AB2886" s="17"/>
      <c r="AC2886" s="17"/>
      <c r="AD2886" s="27"/>
    </row>
    <row r="2887" ht="15.75" customHeight="1">
      <c r="A2887" s="27"/>
      <c r="B2887" s="27"/>
      <c r="C2887" s="27"/>
      <c r="D2887" s="27"/>
      <c r="E2887" s="27"/>
      <c r="F2887" s="27"/>
      <c r="G2887" s="27"/>
      <c r="H2887" s="27"/>
      <c r="I2887" s="27"/>
      <c r="J2887" s="27"/>
      <c r="K2887" s="27"/>
      <c r="L2887" s="27"/>
      <c r="M2887" s="27"/>
      <c r="N2887" s="27"/>
      <c r="O2887" s="27"/>
      <c r="P2887" s="27"/>
      <c r="Q2887" s="27"/>
      <c r="R2887" s="27"/>
      <c r="S2887" s="27"/>
      <c r="T2887" s="27"/>
      <c r="U2887" s="27"/>
      <c r="V2887" s="27"/>
      <c r="W2887" s="27"/>
      <c r="X2887" s="27"/>
      <c r="Y2887" s="27"/>
      <c r="Z2887" s="17"/>
      <c r="AA2887" s="17"/>
      <c r="AB2887" s="17"/>
      <c r="AC2887" s="17"/>
      <c r="AD2887" s="27"/>
    </row>
    <row r="2888" ht="15.75" customHeight="1">
      <c r="A2888" s="27"/>
      <c r="B2888" s="27"/>
      <c r="C2888" s="27"/>
      <c r="D2888" s="27"/>
      <c r="E2888" s="27"/>
      <c r="F2888" s="27"/>
      <c r="G2888" s="27"/>
      <c r="H2888" s="27"/>
      <c r="I2888" s="27"/>
      <c r="J2888" s="27"/>
      <c r="K2888" s="27"/>
      <c r="L2888" s="27"/>
      <c r="M2888" s="27"/>
      <c r="N2888" s="27"/>
      <c r="O2888" s="27"/>
      <c r="P2888" s="27"/>
      <c r="Q2888" s="27"/>
      <c r="R2888" s="27"/>
      <c r="S2888" s="27"/>
      <c r="T2888" s="27"/>
      <c r="U2888" s="27"/>
      <c r="V2888" s="27"/>
      <c r="W2888" s="27"/>
      <c r="X2888" s="27"/>
      <c r="Y2888" s="27"/>
      <c r="Z2888" s="17"/>
      <c r="AA2888" s="17"/>
      <c r="AB2888" s="17"/>
      <c r="AC2888" s="17"/>
      <c r="AD2888" s="27"/>
    </row>
    <row r="2889" ht="15.75" customHeight="1">
      <c r="A2889" s="27"/>
      <c r="B2889" s="27"/>
      <c r="C2889" s="27"/>
      <c r="D2889" s="27"/>
      <c r="E2889" s="27"/>
      <c r="F2889" s="27"/>
      <c r="G2889" s="27"/>
      <c r="H2889" s="27"/>
      <c r="I2889" s="27"/>
      <c r="J2889" s="27"/>
      <c r="K2889" s="27"/>
      <c r="L2889" s="27"/>
      <c r="M2889" s="27"/>
      <c r="N2889" s="27"/>
      <c r="O2889" s="27"/>
      <c r="P2889" s="27"/>
      <c r="Q2889" s="27"/>
      <c r="R2889" s="27"/>
      <c r="S2889" s="27"/>
      <c r="T2889" s="27"/>
      <c r="U2889" s="27"/>
      <c r="V2889" s="27"/>
      <c r="W2889" s="27"/>
      <c r="X2889" s="27"/>
      <c r="Y2889" s="27"/>
      <c r="Z2889" s="17"/>
      <c r="AA2889" s="17"/>
      <c r="AB2889" s="17"/>
      <c r="AC2889" s="17"/>
      <c r="AD2889" s="27"/>
    </row>
    <row r="2890" ht="15.75" customHeight="1">
      <c r="A2890" s="27"/>
      <c r="B2890" s="27"/>
      <c r="C2890" s="27"/>
      <c r="D2890" s="27"/>
      <c r="E2890" s="27"/>
      <c r="F2890" s="27"/>
      <c r="G2890" s="27"/>
      <c r="H2890" s="27"/>
      <c r="I2890" s="27"/>
      <c r="J2890" s="27"/>
      <c r="K2890" s="27"/>
      <c r="L2890" s="27"/>
      <c r="M2890" s="27"/>
      <c r="N2890" s="27"/>
      <c r="O2890" s="27"/>
      <c r="P2890" s="27"/>
      <c r="Q2890" s="27"/>
      <c r="R2890" s="27"/>
      <c r="S2890" s="27"/>
      <c r="T2890" s="27"/>
      <c r="U2890" s="27"/>
      <c r="V2890" s="27"/>
      <c r="W2890" s="27"/>
      <c r="X2890" s="27"/>
      <c r="Y2890" s="27"/>
      <c r="Z2890" s="17"/>
      <c r="AA2890" s="17"/>
      <c r="AB2890" s="17"/>
      <c r="AC2890" s="17"/>
      <c r="AD2890" s="27"/>
    </row>
    <row r="2891" ht="15.75" customHeight="1">
      <c r="A2891" s="27"/>
      <c r="B2891" s="27"/>
      <c r="C2891" s="27"/>
      <c r="D2891" s="27"/>
      <c r="E2891" s="27"/>
      <c r="F2891" s="27"/>
      <c r="G2891" s="27"/>
      <c r="H2891" s="27"/>
      <c r="I2891" s="27"/>
      <c r="J2891" s="27"/>
      <c r="K2891" s="27"/>
      <c r="L2891" s="27"/>
      <c r="M2891" s="27"/>
      <c r="N2891" s="27"/>
      <c r="O2891" s="27"/>
      <c r="P2891" s="27"/>
      <c r="Q2891" s="27"/>
      <c r="R2891" s="27"/>
      <c r="S2891" s="27"/>
      <c r="T2891" s="27"/>
      <c r="U2891" s="27"/>
      <c r="V2891" s="27"/>
      <c r="W2891" s="27"/>
      <c r="X2891" s="27"/>
      <c r="Y2891" s="27"/>
      <c r="Z2891" s="17"/>
      <c r="AA2891" s="17"/>
      <c r="AB2891" s="17"/>
      <c r="AC2891" s="17"/>
      <c r="AD2891" s="27"/>
    </row>
    <row r="2892" ht="15.75" customHeight="1">
      <c r="A2892" s="27"/>
      <c r="B2892" s="27"/>
      <c r="C2892" s="27"/>
      <c r="D2892" s="27"/>
      <c r="E2892" s="27"/>
      <c r="F2892" s="27"/>
      <c r="G2892" s="27"/>
      <c r="H2892" s="27"/>
      <c r="I2892" s="27"/>
      <c r="J2892" s="27"/>
      <c r="K2892" s="27"/>
      <c r="L2892" s="27"/>
      <c r="M2892" s="27"/>
      <c r="N2892" s="27"/>
      <c r="O2892" s="27"/>
      <c r="P2892" s="27"/>
      <c r="Q2892" s="27"/>
      <c r="R2892" s="27"/>
      <c r="S2892" s="27"/>
      <c r="T2892" s="27"/>
      <c r="U2892" s="27"/>
      <c r="V2892" s="27"/>
      <c r="W2892" s="27"/>
      <c r="X2892" s="27"/>
      <c r="Y2892" s="27"/>
      <c r="Z2892" s="17"/>
      <c r="AA2892" s="17"/>
      <c r="AB2892" s="17"/>
      <c r="AC2892" s="17"/>
      <c r="AD2892" s="27"/>
    </row>
    <row r="2893" ht="15.75" customHeight="1">
      <c r="A2893" s="27"/>
      <c r="B2893" s="27"/>
      <c r="C2893" s="27"/>
      <c r="D2893" s="27"/>
      <c r="E2893" s="27"/>
      <c r="F2893" s="27"/>
      <c r="G2893" s="27"/>
      <c r="H2893" s="27"/>
      <c r="I2893" s="27"/>
      <c r="J2893" s="27"/>
      <c r="K2893" s="27"/>
      <c r="L2893" s="27"/>
      <c r="M2893" s="27"/>
      <c r="N2893" s="27"/>
      <c r="O2893" s="27"/>
      <c r="P2893" s="27"/>
      <c r="Q2893" s="27"/>
      <c r="R2893" s="27"/>
      <c r="S2893" s="27"/>
      <c r="T2893" s="27"/>
      <c r="U2893" s="27"/>
      <c r="V2893" s="27"/>
      <c r="W2893" s="27"/>
      <c r="X2893" s="27"/>
      <c r="Y2893" s="27"/>
      <c r="Z2893" s="17"/>
      <c r="AA2893" s="17"/>
      <c r="AB2893" s="17"/>
      <c r="AC2893" s="17"/>
      <c r="AD2893" s="27"/>
    </row>
    <row r="2894" ht="15.75" customHeight="1">
      <c r="A2894" s="27"/>
      <c r="B2894" s="27"/>
      <c r="C2894" s="27"/>
      <c r="D2894" s="27"/>
      <c r="E2894" s="27"/>
      <c r="F2894" s="27"/>
      <c r="G2894" s="27"/>
      <c r="H2894" s="27"/>
      <c r="I2894" s="27"/>
      <c r="J2894" s="27"/>
      <c r="K2894" s="27"/>
      <c r="L2894" s="27"/>
      <c r="M2894" s="27"/>
      <c r="N2894" s="27"/>
      <c r="O2894" s="27"/>
      <c r="P2894" s="27"/>
      <c r="Q2894" s="27"/>
      <c r="R2894" s="27"/>
      <c r="S2894" s="27"/>
      <c r="T2894" s="27"/>
      <c r="U2894" s="27"/>
      <c r="V2894" s="27"/>
      <c r="W2894" s="27"/>
      <c r="X2894" s="27"/>
      <c r="Y2894" s="27"/>
      <c r="Z2894" s="17"/>
      <c r="AA2894" s="17"/>
      <c r="AB2894" s="17"/>
      <c r="AC2894" s="17"/>
      <c r="AD2894" s="27"/>
    </row>
    <row r="2895" ht="15.75" customHeight="1">
      <c r="A2895" s="27"/>
      <c r="B2895" s="27"/>
      <c r="C2895" s="27"/>
      <c r="D2895" s="27"/>
      <c r="E2895" s="27"/>
      <c r="F2895" s="27"/>
      <c r="G2895" s="27"/>
      <c r="H2895" s="27"/>
      <c r="I2895" s="27"/>
      <c r="J2895" s="27"/>
      <c r="K2895" s="27"/>
      <c r="L2895" s="27"/>
      <c r="M2895" s="27"/>
      <c r="N2895" s="27"/>
      <c r="O2895" s="27"/>
      <c r="P2895" s="27"/>
      <c r="Q2895" s="27"/>
      <c r="R2895" s="27"/>
      <c r="S2895" s="27"/>
      <c r="T2895" s="27"/>
      <c r="U2895" s="27"/>
      <c r="V2895" s="27"/>
      <c r="W2895" s="27"/>
      <c r="X2895" s="27"/>
      <c r="Y2895" s="27"/>
      <c r="Z2895" s="17"/>
      <c r="AA2895" s="17"/>
      <c r="AB2895" s="17"/>
      <c r="AC2895" s="17"/>
      <c r="AD2895" s="27"/>
    </row>
    <row r="2896" ht="15.75" customHeight="1">
      <c r="A2896" s="27"/>
      <c r="B2896" s="27"/>
      <c r="C2896" s="27"/>
      <c r="D2896" s="27"/>
      <c r="E2896" s="27"/>
      <c r="F2896" s="27"/>
      <c r="G2896" s="27"/>
      <c r="H2896" s="27"/>
      <c r="I2896" s="27"/>
      <c r="J2896" s="27"/>
      <c r="K2896" s="27"/>
      <c r="L2896" s="27"/>
      <c r="M2896" s="27"/>
      <c r="N2896" s="27"/>
      <c r="O2896" s="27"/>
      <c r="P2896" s="27"/>
      <c r="Q2896" s="27"/>
      <c r="R2896" s="27"/>
      <c r="S2896" s="27"/>
      <c r="T2896" s="27"/>
      <c r="U2896" s="27"/>
      <c r="V2896" s="27"/>
      <c r="W2896" s="27"/>
      <c r="X2896" s="27"/>
      <c r="Y2896" s="27"/>
      <c r="Z2896" s="17"/>
      <c r="AA2896" s="17"/>
      <c r="AB2896" s="17"/>
      <c r="AC2896" s="17"/>
      <c r="AD2896" s="27"/>
    </row>
    <row r="2897" ht="15.75" customHeight="1">
      <c r="A2897" s="27"/>
      <c r="B2897" s="27"/>
      <c r="C2897" s="27"/>
      <c r="D2897" s="27"/>
      <c r="E2897" s="27"/>
      <c r="F2897" s="27"/>
      <c r="G2897" s="27"/>
      <c r="H2897" s="27"/>
      <c r="I2897" s="27"/>
      <c r="J2897" s="27"/>
      <c r="K2897" s="27"/>
      <c r="L2897" s="27"/>
      <c r="M2897" s="27"/>
      <c r="N2897" s="27"/>
      <c r="O2897" s="27"/>
      <c r="P2897" s="27"/>
      <c r="Q2897" s="27"/>
      <c r="R2897" s="27"/>
      <c r="S2897" s="27"/>
      <c r="T2897" s="27"/>
      <c r="U2897" s="27"/>
      <c r="V2897" s="27"/>
      <c r="W2897" s="27"/>
      <c r="X2897" s="27"/>
      <c r="Y2897" s="27"/>
      <c r="Z2897" s="17"/>
      <c r="AA2897" s="17"/>
      <c r="AB2897" s="17"/>
      <c r="AC2897" s="17"/>
      <c r="AD2897" s="27"/>
    </row>
    <row r="2898" ht="15.75" customHeight="1">
      <c r="A2898" s="27"/>
      <c r="B2898" s="27"/>
      <c r="C2898" s="27"/>
      <c r="D2898" s="27"/>
      <c r="E2898" s="27"/>
      <c r="F2898" s="27"/>
      <c r="G2898" s="27"/>
      <c r="H2898" s="27"/>
      <c r="I2898" s="27"/>
      <c r="J2898" s="27"/>
      <c r="K2898" s="27"/>
      <c r="L2898" s="27"/>
      <c r="M2898" s="27"/>
      <c r="N2898" s="27"/>
      <c r="O2898" s="27"/>
      <c r="P2898" s="27"/>
      <c r="Q2898" s="27"/>
      <c r="R2898" s="27"/>
      <c r="S2898" s="27"/>
      <c r="T2898" s="27"/>
      <c r="U2898" s="27"/>
      <c r="V2898" s="27"/>
      <c r="W2898" s="27"/>
      <c r="X2898" s="27"/>
      <c r="Y2898" s="27"/>
      <c r="Z2898" s="17"/>
      <c r="AA2898" s="17"/>
      <c r="AB2898" s="17"/>
      <c r="AC2898" s="17"/>
      <c r="AD2898" s="27"/>
    </row>
    <row r="2899" ht="15.75" customHeight="1">
      <c r="A2899" s="27"/>
      <c r="B2899" s="27"/>
      <c r="C2899" s="27"/>
      <c r="D2899" s="27"/>
      <c r="E2899" s="27"/>
      <c r="F2899" s="27"/>
      <c r="G2899" s="27"/>
      <c r="H2899" s="27"/>
      <c r="I2899" s="27"/>
      <c r="J2899" s="27"/>
      <c r="K2899" s="27"/>
      <c r="L2899" s="27"/>
      <c r="M2899" s="27"/>
      <c r="N2899" s="27"/>
      <c r="O2899" s="27"/>
      <c r="P2899" s="27"/>
      <c r="Q2899" s="27"/>
      <c r="R2899" s="27"/>
      <c r="S2899" s="27"/>
      <c r="T2899" s="27"/>
      <c r="U2899" s="27"/>
      <c r="V2899" s="27"/>
      <c r="W2899" s="27"/>
      <c r="X2899" s="27"/>
      <c r="Y2899" s="27"/>
      <c r="Z2899" s="17"/>
      <c r="AA2899" s="17"/>
      <c r="AB2899" s="17"/>
      <c r="AC2899" s="17"/>
      <c r="AD2899" s="27"/>
    </row>
    <row r="2900" ht="15.75" customHeight="1">
      <c r="A2900" s="27"/>
      <c r="B2900" s="27"/>
      <c r="C2900" s="27"/>
      <c r="D2900" s="27"/>
      <c r="E2900" s="27"/>
      <c r="F2900" s="27"/>
      <c r="G2900" s="27"/>
      <c r="H2900" s="27"/>
      <c r="I2900" s="27"/>
      <c r="J2900" s="27"/>
      <c r="K2900" s="27"/>
      <c r="L2900" s="27"/>
      <c r="M2900" s="27"/>
      <c r="N2900" s="27"/>
      <c r="O2900" s="27"/>
      <c r="P2900" s="27"/>
      <c r="Q2900" s="27"/>
      <c r="R2900" s="27"/>
      <c r="S2900" s="27"/>
      <c r="T2900" s="27"/>
      <c r="U2900" s="27"/>
      <c r="V2900" s="27"/>
      <c r="W2900" s="27"/>
      <c r="X2900" s="27"/>
      <c r="Y2900" s="27"/>
      <c r="Z2900" s="17"/>
      <c r="AA2900" s="17"/>
      <c r="AB2900" s="17"/>
      <c r="AC2900" s="17"/>
      <c r="AD2900" s="27"/>
    </row>
    <row r="2901" ht="15.75" customHeight="1">
      <c r="A2901" s="27"/>
      <c r="B2901" s="27"/>
      <c r="C2901" s="27"/>
      <c r="D2901" s="27"/>
      <c r="E2901" s="27"/>
      <c r="F2901" s="27"/>
      <c r="G2901" s="27"/>
      <c r="H2901" s="27"/>
      <c r="I2901" s="27"/>
      <c r="J2901" s="27"/>
      <c r="K2901" s="27"/>
      <c r="L2901" s="27"/>
      <c r="M2901" s="27"/>
      <c r="N2901" s="27"/>
      <c r="O2901" s="27"/>
      <c r="P2901" s="27"/>
      <c r="Q2901" s="27"/>
      <c r="R2901" s="27"/>
      <c r="S2901" s="27"/>
      <c r="T2901" s="27"/>
      <c r="U2901" s="27"/>
      <c r="V2901" s="27"/>
      <c r="W2901" s="27"/>
      <c r="X2901" s="27"/>
      <c r="Y2901" s="27"/>
      <c r="Z2901" s="17"/>
      <c r="AA2901" s="17"/>
      <c r="AB2901" s="17"/>
      <c r="AC2901" s="17"/>
      <c r="AD2901" s="27"/>
    </row>
    <row r="2902" ht="15.75" customHeight="1">
      <c r="A2902" s="27"/>
      <c r="B2902" s="27"/>
      <c r="C2902" s="27"/>
      <c r="D2902" s="27"/>
      <c r="E2902" s="27"/>
      <c r="F2902" s="27"/>
      <c r="G2902" s="27"/>
      <c r="H2902" s="27"/>
      <c r="I2902" s="27"/>
      <c r="J2902" s="27"/>
      <c r="K2902" s="27"/>
      <c r="L2902" s="27"/>
      <c r="M2902" s="27"/>
      <c r="N2902" s="27"/>
      <c r="O2902" s="27"/>
      <c r="P2902" s="27"/>
      <c r="Q2902" s="27"/>
      <c r="R2902" s="27"/>
      <c r="S2902" s="27"/>
      <c r="T2902" s="27"/>
      <c r="U2902" s="27"/>
      <c r="V2902" s="27"/>
      <c r="W2902" s="27"/>
      <c r="X2902" s="27"/>
      <c r="Y2902" s="27"/>
      <c r="Z2902" s="17"/>
      <c r="AA2902" s="17"/>
      <c r="AB2902" s="17"/>
      <c r="AC2902" s="17"/>
      <c r="AD2902" s="27"/>
    </row>
    <row r="2903" ht="15.75" customHeight="1">
      <c r="A2903" s="27"/>
      <c r="B2903" s="27"/>
      <c r="C2903" s="27"/>
      <c r="D2903" s="27"/>
      <c r="E2903" s="27"/>
      <c r="F2903" s="27"/>
      <c r="G2903" s="27"/>
      <c r="H2903" s="27"/>
      <c r="I2903" s="27"/>
      <c r="J2903" s="27"/>
      <c r="K2903" s="27"/>
      <c r="L2903" s="27"/>
      <c r="M2903" s="27"/>
      <c r="N2903" s="27"/>
      <c r="O2903" s="27"/>
      <c r="P2903" s="27"/>
      <c r="Q2903" s="27"/>
      <c r="R2903" s="27"/>
      <c r="S2903" s="27"/>
      <c r="T2903" s="27"/>
      <c r="U2903" s="27"/>
      <c r="V2903" s="27"/>
      <c r="W2903" s="27"/>
      <c r="X2903" s="27"/>
      <c r="Y2903" s="27"/>
      <c r="Z2903" s="17"/>
      <c r="AA2903" s="17"/>
      <c r="AB2903" s="17"/>
      <c r="AC2903" s="17"/>
      <c r="AD2903" s="27"/>
    </row>
    <row r="2904" ht="15.75" customHeight="1">
      <c r="A2904" s="27"/>
      <c r="B2904" s="27"/>
      <c r="C2904" s="27"/>
      <c r="D2904" s="27"/>
      <c r="E2904" s="27"/>
      <c r="F2904" s="27"/>
      <c r="G2904" s="27"/>
      <c r="H2904" s="27"/>
      <c r="I2904" s="27"/>
      <c r="J2904" s="27"/>
      <c r="K2904" s="27"/>
      <c r="L2904" s="27"/>
      <c r="M2904" s="27"/>
      <c r="N2904" s="27"/>
      <c r="O2904" s="27"/>
      <c r="P2904" s="27"/>
      <c r="Q2904" s="27"/>
      <c r="R2904" s="27"/>
      <c r="S2904" s="27"/>
      <c r="T2904" s="27"/>
      <c r="U2904" s="27"/>
      <c r="V2904" s="27"/>
      <c r="W2904" s="27"/>
      <c r="X2904" s="27"/>
      <c r="Y2904" s="27"/>
      <c r="Z2904" s="17"/>
      <c r="AA2904" s="17"/>
      <c r="AB2904" s="17"/>
      <c r="AC2904" s="17"/>
      <c r="AD2904" s="27"/>
    </row>
    <row r="2905" ht="15.75" customHeight="1">
      <c r="A2905" s="27"/>
      <c r="B2905" s="27"/>
      <c r="C2905" s="27"/>
      <c r="D2905" s="27"/>
      <c r="E2905" s="27"/>
      <c r="F2905" s="27"/>
      <c r="G2905" s="27"/>
      <c r="H2905" s="27"/>
      <c r="I2905" s="27"/>
      <c r="J2905" s="27"/>
      <c r="K2905" s="27"/>
      <c r="L2905" s="27"/>
      <c r="M2905" s="27"/>
      <c r="N2905" s="27"/>
      <c r="O2905" s="27"/>
      <c r="P2905" s="27"/>
      <c r="Q2905" s="27"/>
      <c r="R2905" s="27"/>
      <c r="S2905" s="27"/>
      <c r="T2905" s="27"/>
      <c r="U2905" s="27"/>
      <c r="V2905" s="27"/>
      <c r="W2905" s="27"/>
      <c r="X2905" s="27"/>
      <c r="Y2905" s="27"/>
      <c r="Z2905" s="17"/>
      <c r="AA2905" s="17"/>
      <c r="AB2905" s="17"/>
      <c r="AC2905" s="17"/>
      <c r="AD2905" s="27"/>
    </row>
    <row r="2906" ht="15.75" customHeight="1">
      <c r="A2906" s="27"/>
      <c r="B2906" s="27"/>
      <c r="C2906" s="27"/>
      <c r="D2906" s="27"/>
      <c r="E2906" s="27"/>
      <c r="F2906" s="27"/>
      <c r="G2906" s="27"/>
      <c r="H2906" s="27"/>
      <c r="I2906" s="27"/>
      <c r="J2906" s="27"/>
      <c r="K2906" s="27"/>
      <c r="L2906" s="27"/>
      <c r="M2906" s="27"/>
      <c r="N2906" s="27"/>
      <c r="O2906" s="27"/>
      <c r="P2906" s="27"/>
      <c r="Q2906" s="27"/>
      <c r="R2906" s="27"/>
      <c r="S2906" s="27"/>
      <c r="T2906" s="27"/>
      <c r="U2906" s="27"/>
      <c r="V2906" s="27"/>
      <c r="W2906" s="27"/>
      <c r="X2906" s="27"/>
      <c r="Y2906" s="27"/>
      <c r="Z2906" s="17"/>
      <c r="AA2906" s="17"/>
      <c r="AB2906" s="17"/>
      <c r="AC2906" s="17"/>
      <c r="AD2906" s="27"/>
    </row>
    <row r="2907" ht="15.75" customHeight="1">
      <c r="A2907" s="27"/>
      <c r="B2907" s="27"/>
      <c r="C2907" s="27"/>
      <c r="D2907" s="27"/>
      <c r="E2907" s="27"/>
      <c r="F2907" s="27"/>
      <c r="G2907" s="27"/>
      <c r="H2907" s="27"/>
      <c r="I2907" s="27"/>
      <c r="J2907" s="27"/>
      <c r="K2907" s="27"/>
      <c r="L2907" s="27"/>
      <c r="M2907" s="27"/>
      <c r="N2907" s="27"/>
      <c r="O2907" s="27"/>
      <c r="P2907" s="27"/>
      <c r="Q2907" s="27"/>
      <c r="R2907" s="27"/>
      <c r="S2907" s="27"/>
      <c r="T2907" s="27"/>
      <c r="U2907" s="27"/>
      <c r="V2907" s="27"/>
      <c r="W2907" s="27"/>
      <c r="X2907" s="27"/>
      <c r="Y2907" s="27"/>
      <c r="Z2907" s="17"/>
      <c r="AA2907" s="17"/>
      <c r="AB2907" s="17"/>
      <c r="AC2907" s="17"/>
      <c r="AD2907" s="27"/>
    </row>
    <row r="2908" ht="15.75" customHeight="1">
      <c r="A2908" s="27"/>
      <c r="B2908" s="27"/>
      <c r="C2908" s="27"/>
      <c r="D2908" s="27"/>
      <c r="E2908" s="27"/>
      <c r="F2908" s="27"/>
      <c r="G2908" s="27"/>
      <c r="H2908" s="27"/>
      <c r="I2908" s="27"/>
      <c r="J2908" s="27"/>
      <c r="K2908" s="27"/>
      <c r="L2908" s="27"/>
      <c r="M2908" s="27"/>
      <c r="N2908" s="27"/>
      <c r="O2908" s="27"/>
      <c r="P2908" s="27"/>
      <c r="Q2908" s="27"/>
      <c r="R2908" s="27"/>
      <c r="S2908" s="27"/>
      <c r="T2908" s="27"/>
      <c r="U2908" s="27"/>
      <c r="V2908" s="27"/>
      <c r="W2908" s="27"/>
      <c r="X2908" s="27"/>
      <c r="Y2908" s="27"/>
      <c r="Z2908" s="17"/>
      <c r="AA2908" s="17"/>
      <c r="AB2908" s="17"/>
      <c r="AC2908" s="17"/>
      <c r="AD2908" s="27"/>
    </row>
    <row r="2909" ht="15.75" customHeight="1">
      <c r="A2909" s="27"/>
      <c r="B2909" s="27"/>
      <c r="C2909" s="27"/>
      <c r="D2909" s="27"/>
      <c r="E2909" s="27"/>
      <c r="F2909" s="27"/>
      <c r="G2909" s="27"/>
      <c r="H2909" s="27"/>
      <c r="I2909" s="27"/>
      <c r="J2909" s="27"/>
      <c r="K2909" s="27"/>
      <c r="L2909" s="27"/>
      <c r="M2909" s="27"/>
      <c r="N2909" s="27"/>
      <c r="O2909" s="27"/>
      <c r="P2909" s="27"/>
      <c r="Q2909" s="27"/>
      <c r="R2909" s="27"/>
      <c r="S2909" s="27"/>
      <c r="T2909" s="27"/>
      <c r="U2909" s="27"/>
      <c r="V2909" s="27"/>
      <c r="W2909" s="27"/>
      <c r="X2909" s="27"/>
      <c r="Y2909" s="27"/>
      <c r="Z2909" s="17"/>
      <c r="AA2909" s="17"/>
      <c r="AB2909" s="17"/>
      <c r="AC2909" s="17"/>
      <c r="AD2909" s="27"/>
    </row>
    <row r="2910" ht="15.75" customHeight="1">
      <c r="A2910" s="27"/>
      <c r="B2910" s="27"/>
      <c r="C2910" s="27"/>
      <c r="D2910" s="27"/>
      <c r="E2910" s="27"/>
      <c r="F2910" s="27"/>
      <c r="G2910" s="27"/>
      <c r="H2910" s="27"/>
      <c r="I2910" s="27"/>
      <c r="J2910" s="27"/>
      <c r="K2910" s="27"/>
      <c r="L2910" s="27"/>
      <c r="M2910" s="27"/>
      <c r="N2910" s="27"/>
      <c r="O2910" s="27"/>
      <c r="P2910" s="27"/>
      <c r="Q2910" s="27"/>
      <c r="R2910" s="27"/>
      <c r="S2910" s="27"/>
      <c r="T2910" s="27"/>
      <c r="U2910" s="27"/>
      <c r="V2910" s="27"/>
      <c r="W2910" s="27"/>
      <c r="X2910" s="27"/>
      <c r="Y2910" s="27"/>
      <c r="Z2910" s="17"/>
      <c r="AA2910" s="17"/>
      <c r="AB2910" s="17"/>
      <c r="AC2910" s="17"/>
      <c r="AD2910" s="27"/>
    </row>
    <row r="2911" ht="15.75" customHeight="1">
      <c r="A2911" s="27"/>
      <c r="B2911" s="27"/>
      <c r="C2911" s="27"/>
      <c r="D2911" s="27"/>
      <c r="E2911" s="27"/>
      <c r="F2911" s="27"/>
      <c r="G2911" s="27"/>
      <c r="H2911" s="27"/>
      <c r="I2911" s="27"/>
      <c r="J2911" s="27"/>
      <c r="K2911" s="27"/>
      <c r="L2911" s="27"/>
      <c r="M2911" s="27"/>
      <c r="N2911" s="27"/>
      <c r="O2911" s="27"/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17"/>
      <c r="AA2911" s="17"/>
      <c r="AB2911" s="17"/>
      <c r="AC2911" s="17"/>
      <c r="AD2911" s="27"/>
    </row>
    <row r="2912" ht="15.75" customHeight="1">
      <c r="A2912" s="27"/>
      <c r="B2912" s="27"/>
      <c r="C2912" s="27"/>
      <c r="D2912" s="27"/>
      <c r="E2912" s="27"/>
      <c r="F2912" s="27"/>
      <c r="G2912" s="27"/>
      <c r="H2912" s="27"/>
      <c r="I2912" s="27"/>
      <c r="J2912" s="27"/>
      <c r="K2912" s="27"/>
      <c r="L2912" s="27"/>
      <c r="M2912" s="27"/>
      <c r="N2912" s="27"/>
      <c r="O2912" s="27"/>
      <c r="P2912" s="27"/>
      <c r="Q2912" s="27"/>
      <c r="R2912" s="27"/>
      <c r="S2912" s="27"/>
      <c r="T2912" s="27"/>
      <c r="U2912" s="27"/>
      <c r="V2912" s="27"/>
      <c r="W2912" s="27"/>
      <c r="X2912" s="27"/>
      <c r="Y2912" s="27"/>
      <c r="Z2912" s="17"/>
      <c r="AA2912" s="17"/>
      <c r="AB2912" s="17"/>
      <c r="AC2912" s="17"/>
      <c r="AD2912" s="27"/>
    </row>
    <row r="2913" ht="15.75" customHeight="1">
      <c r="A2913" s="27"/>
      <c r="B2913" s="27"/>
      <c r="C2913" s="27"/>
      <c r="D2913" s="27"/>
      <c r="E2913" s="27"/>
      <c r="F2913" s="27"/>
      <c r="G2913" s="27"/>
      <c r="H2913" s="27"/>
      <c r="I2913" s="27"/>
      <c r="J2913" s="27"/>
      <c r="K2913" s="27"/>
      <c r="L2913" s="27"/>
      <c r="M2913" s="27"/>
      <c r="N2913" s="27"/>
      <c r="O2913" s="27"/>
      <c r="P2913" s="27"/>
      <c r="Q2913" s="27"/>
      <c r="R2913" s="27"/>
      <c r="S2913" s="27"/>
      <c r="T2913" s="27"/>
      <c r="U2913" s="27"/>
      <c r="V2913" s="27"/>
      <c r="W2913" s="27"/>
      <c r="X2913" s="27"/>
      <c r="Y2913" s="27"/>
      <c r="Z2913" s="17"/>
      <c r="AA2913" s="17"/>
      <c r="AB2913" s="17"/>
      <c r="AC2913" s="17"/>
      <c r="AD2913" s="27"/>
    </row>
    <row r="2914" ht="15.75" customHeight="1">
      <c r="A2914" s="27"/>
      <c r="B2914" s="27"/>
      <c r="C2914" s="27"/>
      <c r="D2914" s="27"/>
      <c r="E2914" s="27"/>
      <c r="F2914" s="27"/>
      <c r="G2914" s="27"/>
      <c r="H2914" s="27"/>
      <c r="I2914" s="27"/>
      <c r="J2914" s="27"/>
      <c r="K2914" s="27"/>
      <c r="L2914" s="27"/>
      <c r="M2914" s="27"/>
      <c r="N2914" s="27"/>
      <c r="O2914" s="27"/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17"/>
      <c r="AA2914" s="17"/>
      <c r="AB2914" s="17"/>
      <c r="AC2914" s="17"/>
      <c r="AD2914" s="27"/>
    </row>
    <row r="2915" ht="15.75" customHeight="1">
      <c r="A2915" s="27"/>
      <c r="B2915" s="27"/>
      <c r="C2915" s="27"/>
      <c r="D2915" s="27"/>
      <c r="E2915" s="27"/>
      <c r="F2915" s="27"/>
      <c r="G2915" s="27"/>
      <c r="H2915" s="27"/>
      <c r="I2915" s="27"/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  <c r="T2915" s="27"/>
      <c r="U2915" s="27"/>
      <c r="V2915" s="27"/>
      <c r="W2915" s="27"/>
      <c r="X2915" s="27"/>
      <c r="Y2915" s="27"/>
      <c r="Z2915" s="17"/>
      <c r="AA2915" s="17"/>
      <c r="AB2915" s="17"/>
      <c r="AC2915" s="17"/>
      <c r="AD2915" s="27"/>
    </row>
    <row r="2916" ht="15.75" customHeight="1">
      <c r="A2916" s="27"/>
      <c r="B2916" s="27"/>
      <c r="C2916" s="27"/>
      <c r="D2916" s="27"/>
      <c r="E2916" s="27"/>
      <c r="F2916" s="27"/>
      <c r="G2916" s="27"/>
      <c r="H2916" s="27"/>
      <c r="I2916" s="27"/>
      <c r="J2916" s="27"/>
      <c r="K2916" s="27"/>
      <c r="L2916" s="27"/>
      <c r="M2916" s="27"/>
      <c r="N2916" s="27"/>
      <c r="O2916" s="27"/>
      <c r="P2916" s="27"/>
      <c r="Q2916" s="27"/>
      <c r="R2916" s="27"/>
      <c r="S2916" s="27"/>
      <c r="T2916" s="27"/>
      <c r="U2916" s="27"/>
      <c r="V2916" s="27"/>
      <c r="W2916" s="27"/>
      <c r="X2916" s="27"/>
      <c r="Y2916" s="27"/>
      <c r="Z2916" s="17"/>
      <c r="AA2916" s="17"/>
      <c r="AB2916" s="17"/>
      <c r="AC2916" s="17"/>
      <c r="AD2916" s="27"/>
    </row>
    <row r="2917" ht="15.75" customHeight="1">
      <c r="A2917" s="27"/>
      <c r="B2917" s="27"/>
      <c r="C2917" s="27"/>
      <c r="D2917" s="27"/>
      <c r="E2917" s="27"/>
      <c r="F2917" s="27"/>
      <c r="G2917" s="27"/>
      <c r="H2917" s="27"/>
      <c r="I2917" s="27"/>
      <c r="J2917" s="27"/>
      <c r="K2917" s="27"/>
      <c r="L2917" s="27"/>
      <c r="M2917" s="27"/>
      <c r="N2917" s="27"/>
      <c r="O2917" s="27"/>
      <c r="P2917" s="27"/>
      <c r="Q2917" s="27"/>
      <c r="R2917" s="27"/>
      <c r="S2917" s="27"/>
      <c r="T2917" s="27"/>
      <c r="U2917" s="27"/>
      <c r="V2917" s="27"/>
      <c r="W2917" s="27"/>
      <c r="X2917" s="27"/>
      <c r="Y2917" s="27"/>
      <c r="Z2917" s="17"/>
      <c r="AA2917" s="17"/>
      <c r="AB2917" s="17"/>
      <c r="AC2917" s="17"/>
      <c r="AD2917" s="27"/>
    </row>
    <row r="2918" ht="15.75" customHeight="1">
      <c r="A2918" s="27"/>
      <c r="B2918" s="27"/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  <c r="T2918" s="27"/>
      <c r="U2918" s="27"/>
      <c r="V2918" s="27"/>
      <c r="W2918" s="27"/>
      <c r="X2918" s="27"/>
      <c r="Y2918" s="27"/>
      <c r="Z2918" s="17"/>
      <c r="AA2918" s="17"/>
      <c r="AB2918" s="17"/>
      <c r="AC2918" s="17"/>
      <c r="AD2918" s="27"/>
    </row>
    <row r="2919" ht="15.75" customHeight="1">
      <c r="A2919" s="27"/>
      <c r="B2919" s="27"/>
      <c r="C2919" s="27"/>
      <c r="D2919" s="27"/>
      <c r="E2919" s="27"/>
      <c r="F2919" s="27"/>
      <c r="G2919" s="27"/>
      <c r="H2919" s="27"/>
      <c r="I2919" s="27"/>
      <c r="J2919" s="27"/>
      <c r="K2919" s="27"/>
      <c r="L2919" s="27"/>
      <c r="M2919" s="27"/>
      <c r="N2919" s="27"/>
      <c r="O2919" s="27"/>
      <c r="P2919" s="27"/>
      <c r="Q2919" s="27"/>
      <c r="R2919" s="27"/>
      <c r="S2919" s="27"/>
      <c r="T2919" s="27"/>
      <c r="U2919" s="27"/>
      <c r="V2919" s="27"/>
      <c r="W2919" s="27"/>
      <c r="X2919" s="27"/>
      <c r="Y2919" s="27"/>
      <c r="Z2919" s="17"/>
      <c r="AA2919" s="17"/>
      <c r="AB2919" s="17"/>
      <c r="AC2919" s="17"/>
      <c r="AD2919" s="27"/>
    </row>
    <row r="2920" ht="15.75" customHeight="1">
      <c r="A2920" s="27"/>
      <c r="B2920" s="27"/>
      <c r="C2920" s="27"/>
      <c r="D2920" s="27"/>
      <c r="E2920" s="27"/>
      <c r="F2920" s="27"/>
      <c r="G2920" s="27"/>
      <c r="H2920" s="27"/>
      <c r="I2920" s="27"/>
      <c r="J2920" s="27"/>
      <c r="K2920" s="27"/>
      <c r="L2920" s="27"/>
      <c r="M2920" s="27"/>
      <c r="N2920" s="27"/>
      <c r="O2920" s="27"/>
      <c r="P2920" s="27"/>
      <c r="Q2920" s="27"/>
      <c r="R2920" s="27"/>
      <c r="S2920" s="27"/>
      <c r="T2920" s="27"/>
      <c r="U2920" s="27"/>
      <c r="V2920" s="27"/>
      <c r="W2920" s="27"/>
      <c r="X2920" s="27"/>
      <c r="Y2920" s="27"/>
      <c r="Z2920" s="17"/>
      <c r="AA2920" s="17"/>
      <c r="AB2920" s="17"/>
      <c r="AC2920" s="17"/>
      <c r="AD2920" s="27"/>
    </row>
    <row r="2921" ht="15.75" customHeight="1">
      <c r="A2921" s="27"/>
      <c r="B2921" s="27"/>
      <c r="C2921" s="27"/>
      <c r="D2921" s="27"/>
      <c r="E2921" s="27"/>
      <c r="F2921" s="27"/>
      <c r="G2921" s="27"/>
      <c r="H2921" s="27"/>
      <c r="I2921" s="27"/>
      <c r="J2921" s="27"/>
      <c r="K2921" s="27"/>
      <c r="L2921" s="27"/>
      <c r="M2921" s="27"/>
      <c r="N2921" s="27"/>
      <c r="O2921" s="27"/>
      <c r="P2921" s="27"/>
      <c r="Q2921" s="27"/>
      <c r="R2921" s="27"/>
      <c r="S2921" s="27"/>
      <c r="T2921" s="27"/>
      <c r="U2921" s="27"/>
      <c r="V2921" s="27"/>
      <c r="W2921" s="27"/>
      <c r="X2921" s="27"/>
      <c r="Y2921" s="27"/>
      <c r="Z2921" s="17"/>
      <c r="AA2921" s="17"/>
      <c r="AB2921" s="17"/>
      <c r="AC2921" s="17"/>
      <c r="AD2921" s="27"/>
    </row>
    <row r="2922" ht="15.75" customHeight="1">
      <c r="A2922" s="27"/>
      <c r="B2922" s="27"/>
      <c r="C2922" s="27"/>
      <c r="D2922" s="27"/>
      <c r="E2922" s="27"/>
      <c r="F2922" s="27"/>
      <c r="G2922" s="27"/>
      <c r="H2922" s="27"/>
      <c r="I2922" s="27"/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  <c r="T2922" s="27"/>
      <c r="U2922" s="27"/>
      <c r="V2922" s="27"/>
      <c r="W2922" s="27"/>
      <c r="X2922" s="27"/>
      <c r="Y2922" s="27"/>
      <c r="Z2922" s="17"/>
      <c r="AA2922" s="17"/>
      <c r="AB2922" s="17"/>
      <c r="AC2922" s="17"/>
      <c r="AD2922" s="27"/>
    </row>
    <row r="2923" ht="15.75" customHeight="1">
      <c r="A2923" s="27"/>
      <c r="B2923" s="27"/>
      <c r="C2923" s="27"/>
      <c r="D2923" s="27"/>
      <c r="E2923" s="27"/>
      <c r="F2923" s="27"/>
      <c r="G2923" s="27"/>
      <c r="H2923" s="27"/>
      <c r="I2923" s="27"/>
      <c r="J2923" s="27"/>
      <c r="K2923" s="27"/>
      <c r="L2923" s="27"/>
      <c r="M2923" s="27"/>
      <c r="N2923" s="27"/>
      <c r="O2923" s="27"/>
      <c r="P2923" s="27"/>
      <c r="Q2923" s="27"/>
      <c r="R2923" s="27"/>
      <c r="S2923" s="27"/>
      <c r="T2923" s="27"/>
      <c r="U2923" s="27"/>
      <c r="V2923" s="27"/>
      <c r="W2923" s="27"/>
      <c r="X2923" s="27"/>
      <c r="Y2923" s="27"/>
      <c r="Z2923" s="17"/>
      <c r="AA2923" s="17"/>
      <c r="AB2923" s="17"/>
      <c r="AC2923" s="17"/>
      <c r="AD2923" s="27"/>
    </row>
    <row r="2924" ht="15.75" customHeight="1">
      <c r="A2924" s="27"/>
      <c r="B2924" s="27"/>
      <c r="C2924" s="27"/>
      <c r="D2924" s="27"/>
      <c r="E2924" s="27"/>
      <c r="F2924" s="27"/>
      <c r="G2924" s="27"/>
      <c r="H2924" s="27"/>
      <c r="I2924" s="27"/>
      <c r="J2924" s="27"/>
      <c r="K2924" s="27"/>
      <c r="L2924" s="27"/>
      <c r="M2924" s="27"/>
      <c r="N2924" s="27"/>
      <c r="O2924" s="27"/>
      <c r="P2924" s="27"/>
      <c r="Q2924" s="27"/>
      <c r="R2924" s="27"/>
      <c r="S2924" s="27"/>
      <c r="T2924" s="27"/>
      <c r="U2924" s="27"/>
      <c r="V2924" s="27"/>
      <c r="W2924" s="27"/>
      <c r="X2924" s="27"/>
      <c r="Y2924" s="27"/>
      <c r="Z2924" s="17"/>
      <c r="AA2924" s="17"/>
      <c r="AB2924" s="17"/>
      <c r="AC2924" s="17"/>
      <c r="AD2924" s="27"/>
    </row>
    <row r="2925" ht="15.75" customHeight="1">
      <c r="A2925" s="27"/>
      <c r="B2925" s="27"/>
      <c r="C2925" s="27"/>
      <c r="D2925" s="27"/>
      <c r="E2925" s="27"/>
      <c r="F2925" s="27"/>
      <c r="G2925" s="27"/>
      <c r="H2925" s="27"/>
      <c r="I2925" s="27"/>
      <c r="J2925" s="27"/>
      <c r="K2925" s="27"/>
      <c r="L2925" s="27"/>
      <c r="M2925" s="27"/>
      <c r="N2925" s="27"/>
      <c r="O2925" s="27"/>
      <c r="P2925" s="27"/>
      <c r="Q2925" s="27"/>
      <c r="R2925" s="27"/>
      <c r="S2925" s="27"/>
      <c r="T2925" s="27"/>
      <c r="U2925" s="27"/>
      <c r="V2925" s="27"/>
      <c r="W2925" s="27"/>
      <c r="X2925" s="27"/>
      <c r="Y2925" s="27"/>
      <c r="Z2925" s="17"/>
      <c r="AA2925" s="17"/>
      <c r="AB2925" s="17"/>
      <c r="AC2925" s="17"/>
      <c r="AD2925" s="27"/>
    </row>
    <row r="2926" ht="15.75" customHeight="1">
      <c r="A2926" s="27"/>
      <c r="B2926" s="27"/>
      <c r="C2926" s="27"/>
      <c r="D2926" s="27"/>
      <c r="E2926" s="27"/>
      <c r="F2926" s="27"/>
      <c r="G2926" s="27"/>
      <c r="H2926" s="27"/>
      <c r="I2926" s="27"/>
      <c r="J2926" s="27"/>
      <c r="K2926" s="27"/>
      <c r="L2926" s="27"/>
      <c r="M2926" s="27"/>
      <c r="N2926" s="27"/>
      <c r="O2926" s="27"/>
      <c r="P2926" s="27"/>
      <c r="Q2926" s="27"/>
      <c r="R2926" s="27"/>
      <c r="S2926" s="27"/>
      <c r="T2926" s="27"/>
      <c r="U2926" s="27"/>
      <c r="V2926" s="27"/>
      <c r="W2926" s="27"/>
      <c r="X2926" s="27"/>
      <c r="Y2926" s="27"/>
      <c r="Z2926" s="17"/>
      <c r="AA2926" s="17"/>
      <c r="AB2926" s="17"/>
      <c r="AC2926" s="17"/>
      <c r="AD2926" s="27"/>
    </row>
    <row r="2927" ht="15.75" customHeight="1">
      <c r="A2927" s="27"/>
      <c r="B2927" s="27"/>
      <c r="C2927" s="27"/>
      <c r="D2927" s="27"/>
      <c r="E2927" s="27"/>
      <c r="F2927" s="27"/>
      <c r="G2927" s="27"/>
      <c r="H2927" s="27"/>
      <c r="I2927" s="27"/>
      <c r="J2927" s="27"/>
      <c r="K2927" s="27"/>
      <c r="L2927" s="27"/>
      <c r="M2927" s="27"/>
      <c r="N2927" s="27"/>
      <c r="O2927" s="27"/>
      <c r="P2927" s="27"/>
      <c r="Q2927" s="27"/>
      <c r="R2927" s="27"/>
      <c r="S2927" s="27"/>
      <c r="T2927" s="27"/>
      <c r="U2927" s="27"/>
      <c r="V2927" s="27"/>
      <c r="W2927" s="27"/>
      <c r="X2927" s="27"/>
      <c r="Y2927" s="27"/>
      <c r="Z2927" s="17"/>
      <c r="AA2927" s="17"/>
      <c r="AB2927" s="17"/>
      <c r="AC2927" s="17"/>
      <c r="AD2927" s="27"/>
    </row>
    <row r="2928" ht="15.75" customHeight="1">
      <c r="A2928" s="27"/>
      <c r="B2928" s="27"/>
      <c r="C2928" s="27"/>
      <c r="D2928" s="27"/>
      <c r="E2928" s="27"/>
      <c r="F2928" s="27"/>
      <c r="G2928" s="27"/>
      <c r="H2928" s="27"/>
      <c r="I2928" s="27"/>
      <c r="J2928" s="27"/>
      <c r="K2928" s="27"/>
      <c r="L2928" s="27"/>
      <c r="M2928" s="27"/>
      <c r="N2928" s="27"/>
      <c r="O2928" s="27"/>
      <c r="P2928" s="27"/>
      <c r="Q2928" s="27"/>
      <c r="R2928" s="27"/>
      <c r="S2928" s="27"/>
      <c r="T2928" s="27"/>
      <c r="U2928" s="27"/>
      <c r="V2928" s="27"/>
      <c r="W2928" s="27"/>
      <c r="X2928" s="27"/>
      <c r="Y2928" s="27"/>
      <c r="Z2928" s="17"/>
      <c r="AA2928" s="17"/>
      <c r="AB2928" s="17"/>
      <c r="AC2928" s="17"/>
      <c r="AD2928" s="27"/>
    </row>
    <row r="2929" ht="15.75" customHeight="1">
      <c r="A2929" s="27"/>
      <c r="B2929" s="27"/>
      <c r="C2929" s="27"/>
      <c r="D2929" s="27"/>
      <c r="E2929" s="27"/>
      <c r="F2929" s="27"/>
      <c r="G2929" s="27"/>
      <c r="H2929" s="27"/>
      <c r="I2929" s="27"/>
      <c r="J2929" s="27"/>
      <c r="K2929" s="27"/>
      <c r="L2929" s="27"/>
      <c r="M2929" s="27"/>
      <c r="N2929" s="27"/>
      <c r="O2929" s="27"/>
      <c r="P2929" s="27"/>
      <c r="Q2929" s="27"/>
      <c r="R2929" s="27"/>
      <c r="S2929" s="27"/>
      <c r="T2929" s="27"/>
      <c r="U2929" s="27"/>
      <c r="V2929" s="27"/>
      <c r="W2929" s="27"/>
      <c r="X2929" s="27"/>
      <c r="Y2929" s="27"/>
      <c r="Z2929" s="17"/>
      <c r="AA2929" s="17"/>
      <c r="AB2929" s="17"/>
      <c r="AC2929" s="17"/>
      <c r="AD2929" s="27"/>
    </row>
    <row r="2930" ht="15.75" customHeight="1">
      <c r="A2930" s="27"/>
      <c r="B2930" s="27"/>
      <c r="C2930" s="27"/>
      <c r="D2930" s="27"/>
      <c r="E2930" s="27"/>
      <c r="F2930" s="27"/>
      <c r="G2930" s="27"/>
      <c r="H2930" s="27"/>
      <c r="I2930" s="27"/>
      <c r="J2930" s="27"/>
      <c r="K2930" s="27"/>
      <c r="L2930" s="27"/>
      <c r="M2930" s="27"/>
      <c r="N2930" s="27"/>
      <c r="O2930" s="27"/>
      <c r="P2930" s="27"/>
      <c r="Q2930" s="27"/>
      <c r="R2930" s="27"/>
      <c r="S2930" s="27"/>
      <c r="T2930" s="27"/>
      <c r="U2930" s="27"/>
      <c r="V2930" s="27"/>
      <c r="W2930" s="27"/>
      <c r="X2930" s="27"/>
      <c r="Y2930" s="27"/>
      <c r="Z2930" s="17"/>
      <c r="AA2930" s="17"/>
      <c r="AB2930" s="17"/>
      <c r="AC2930" s="17"/>
      <c r="AD2930" s="27"/>
    </row>
    <row r="2931" ht="15.75" customHeight="1">
      <c r="A2931" s="27"/>
      <c r="B2931" s="27"/>
      <c r="C2931" s="27"/>
      <c r="D2931" s="27"/>
      <c r="E2931" s="27"/>
      <c r="F2931" s="27"/>
      <c r="G2931" s="27"/>
      <c r="H2931" s="27"/>
      <c r="I2931" s="27"/>
      <c r="J2931" s="27"/>
      <c r="K2931" s="27"/>
      <c r="L2931" s="27"/>
      <c r="M2931" s="27"/>
      <c r="N2931" s="27"/>
      <c r="O2931" s="27"/>
      <c r="P2931" s="27"/>
      <c r="Q2931" s="27"/>
      <c r="R2931" s="27"/>
      <c r="S2931" s="27"/>
      <c r="T2931" s="27"/>
      <c r="U2931" s="27"/>
      <c r="V2931" s="27"/>
      <c r="W2931" s="27"/>
      <c r="X2931" s="27"/>
      <c r="Y2931" s="27"/>
      <c r="Z2931" s="17"/>
      <c r="AA2931" s="17"/>
      <c r="AB2931" s="17"/>
      <c r="AC2931" s="17"/>
      <c r="AD2931" s="27"/>
    </row>
    <row r="2932" ht="15.75" customHeight="1">
      <c r="A2932" s="27"/>
      <c r="B2932" s="27"/>
      <c r="C2932" s="27"/>
      <c r="D2932" s="27"/>
      <c r="E2932" s="27"/>
      <c r="F2932" s="27"/>
      <c r="G2932" s="27"/>
      <c r="H2932" s="27"/>
      <c r="I2932" s="27"/>
      <c r="J2932" s="27"/>
      <c r="K2932" s="27"/>
      <c r="L2932" s="27"/>
      <c r="M2932" s="27"/>
      <c r="N2932" s="27"/>
      <c r="O2932" s="27"/>
      <c r="P2932" s="27"/>
      <c r="Q2932" s="27"/>
      <c r="R2932" s="27"/>
      <c r="S2932" s="27"/>
      <c r="T2932" s="27"/>
      <c r="U2932" s="27"/>
      <c r="V2932" s="27"/>
      <c r="W2932" s="27"/>
      <c r="X2932" s="27"/>
      <c r="Y2932" s="27"/>
      <c r="Z2932" s="17"/>
      <c r="AA2932" s="17"/>
      <c r="AB2932" s="17"/>
      <c r="AC2932" s="17"/>
      <c r="AD2932" s="27"/>
    </row>
    <row r="2933" ht="15.75" customHeight="1">
      <c r="A2933" s="27"/>
      <c r="B2933" s="27"/>
      <c r="C2933" s="27"/>
      <c r="D2933" s="27"/>
      <c r="E2933" s="27"/>
      <c r="F2933" s="27"/>
      <c r="G2933" s="27"/>
      <c r="H2933" s="27"/>
      <c r="I2933" s="27"/>
      <c r="J2933" s="27"/>
      <c r="K2933" s="27"/>
      <c r="L2933" s="27"/>
      <c r="M2933" s="27"/>
      <c r="N2933" s="27"/>
      <c r="O2933" s="27"/>
      <c r="P2933" s="27"/>
      <c r="Q2933" s="27"/>
      <c r="R2933" s="27"/>
      <c r="S2933" s="27"/>
      <c r="T2933" s="27"/>
      <c r="U2933" s="27"/>
      <c r="V2933" s="27"/>
      <c r="W2933" s="27"/>
      <c r="X2933" s="27"/>
      <c r="Y2933" s="27"/>
      <c r="Z2933" s="17"/>
      <c r="AA2933" s="17"/>
      <c r="AB2933" s="17"/>
      <c r="AC2933" s="17"/>
      <c r="AD2933" s="27"/>
    </row>
    <row r="2934" ht="15.75" customHeight="1">
      <c r="A2934" s="27"/>
      <c r="B2934" s="27"/>
      <c r="C2934" s="27"/>
      <c r="D2934" s="27"/>
      <c r="E2934" s="27"/>
      <c r="F2934" s="27"/>
      <c r="G2934" s="27"/>
      <c r="H2934" s="27"/>
      <c r="I2934" s="27"/>
      <c r="J2934" s="27"/>
      <c r="K2934" s="27"/>
      <c r="L2934" s="27"/>
      <c r="M2934" s="27"/>
      <c r="N2934" s="27"/>
      <c r="O2934" s="27"/>
      <c r="P2934" s="27"/>
      <c r="Q2934" s="27"/>
      <c r="R2934" s="27"/>
      <c r="S2934" s="27"/>
      <c r="T2934" s="27"/>
      <c r="U2934" s="27"/>
      <c r="V2934" s="27"/>
      <c r="W2934" s="27"/>
      <c r="X2934" s="27"/>
      <c r="Y2934" s="27"/>
      <c r="Z2934" s="17"/>
      <c r="AA2934" s="17"/>
      <c r="AB2934" s="17"/>
      <c r="AC2934" s="17"/>
      <c r="AD2934" s="27"/>
    </row>
    <row r="2935" ht="15.75" customHeight="1">
      <c r="A2935" s="27"/>
      <c r="B2935" s="27"/>
      <c r="C2935" s="27"/>
      <c r="D2935" s="27"/>
      <c r="E2935" s="27"/>
      <c r="F2935" s="27"/>
      <c r="G2935" s="27"/>
      <c r="H2935" s="27"/>
      <c r="I2935" s="27"/>
      <c r="J2935" s="27"/>
      <c r="K2935" s="27"/>
      <c r="L2935" s="27"/>
      <c r="M2935" s="27"/>
      <c r="N2935" s="27"/>
      <c r="O2935" s="27"/>
      <c r="P2935" s="27"/>
      <c r="Q2935" s="27"/>
      <c r="R2935" s="27"/>
      <c r="S2935" s="27"/>
      <c r="T2935" s="27"/>
      <c r="U2935" s="27"/>
      <c r="V2935" s="27"/>
      <c r="W2935" s="27"/>
      <c r="X2935" s="27"/>
      <c r="Y2935" s="27"/>
      <c r="Z2935" s="17"/>
      <c r="AA2935" s="17"/>
      <c r="AB2935" s="17"/>
      <c r="AC2935" s="17"/>
      <c r="AD2935" s="27"/>
    </row>
    <row r="2936" ht="15.75" customHeight="1">
      <c r="A2936" s="27"/>
      <c r="B2936" s="27"/>
      <c r="C2936" s="27"/>
      <c r="D2936" s="27"/>
      <c r="E2936" s="27"/>
      <c r="F2936" s="27"/>
      <c r="G2936" s="27"/>
      <c r="H2936" s="27"/>
      <c r="I2936" s="27"/>
      <c r="J2936" s="27"/>
      <c r="K2936" s="27"/>
      <c r="L2936" s="27"/>
      <c r="M2936" s="27"/>
      <c r="N2936" s="27"/>
      <c r="O2936" s="27"/>
      <c r="P2936" s="27"/>
      <c r="Q2936" s="27"/>
      <c r="R2936" s="27"/>
      <c r="S2936" s="27"/>
      <c r="T2936" s="27"/>
      <c r="U2936" s="27"/>
      <c r="V2936" s="27"/>
      <c r="W2936" s="27"/>
      <c r="X2936" s="27"/>
      <c r="Y2936" s="27"/>
      <c r="Z2936" s="17"/>
      <c r="AA2936" s="17"/>
      <c r="AB2936" s="17"/>
      <c r="AC2936" s="17"/>
      <c r="AD2936" s="27"/>
    </row>
    <row r="2937" ht="15.75" customHeight="1">
      <c r="A2937" s="27"/>
      <c r="B2937" s="27"/>
      <c r="C2937" s="27"/>
      <c r="D2937" s="27"/>
      <c r="E2937" s="27"/>
      <c r="F2937" s="27"/>
      <c r="G2937" s="27"/>
      <c r="H2937" s="27"/>
      <c r="I2937" s="27"/>
      <c r="J2937" s="27"/>
      <c r="K2937" s="27"/>
      <c r="L2937" s="27"/>
      <c r="M2937" s="27"/>
      <c r="N2937" s="27"/>
      <c r="O2937" s="27"/>
      <c r="P2937" s="27"/>
      <c r="Q2937" s="27"/>
      <c r="R2937" s="27"/>
      <c r="S2937" s="27"/>
      <c r="T2937" s="27"/>
      <c r="U2937" s="27"/>
      <c r="V2937" s="27"/>
      <c r="W2937" s="27"/>
      <c r="X2937" s="27"/>
      <c r="Y2937" s="27"/>
      <c r="Z2937" s="17"/>
      <c r="AA2937" s="17"/>
      <c r="AB2937" s="17"/>
      <c r="AC2937" s="17"/>
      <c r="AD2937" s="27"/>
    </row>
    <row r="2938" ht="15.75" customHeight="1">
      <c r="A2938" s="27"/>
      <c r="B2938" s="27"/>
      <c r="C2938" s="27"/>
      <c r="D2938" s="27"/>
      <c r="E2938" s="27"/>
      <c r="F2938" s="27"/>
      <c r="G2938" s="27"/>
      <c r="H2938" s="27"/>
      <c r="I2938" s="27"/>
      <c r="J2938" s="27"/>
      <c r="K2938" s="27"/>
      <c r="L2938" s="27"/>
      <c r="M2938" s="27"/>
      <c r="N2938" s="27"/>
      <c r="O2938" s="27"/>
      <c r="P2938" s="27"/>
      <c r="Q2938" s="27"/>
      <c r="R2938" s="27"/>
      <c r="S2938" s="27"/>
      <c r="T2938" s="27"/>
      <c r="U2938" s="27"/>
      <c r="V2938" s="27"/>
      <c r="W2938" s="27"/>
      <c r="X2938" s="27"/>
      <c r="Y2938" s="27"/>
      <c r="Z2938" s="17"/>
      <c r="AA2938" s="17"/>
      <c r="AB2938" s="17"/>
      <c r="AC2938" s="17"/>
      <c r="AD2938" s="27"/>
    </row>
    <row r="2939" ht="15.75" customHeight="1">
      <c r="A2939" s="27"/>
      <c r="B2939" s="27"/>
      <c r="C2939" s="27"/>
      <c r="D2939" s="27"/>
      <c r="E2939" s="27"/>
      <c r="F2939" s="27"/>
      <c r="G2939" s="27"/>
      <c r="H2939" s="27"/>
      <c r="I2939" s="27"/>
      <c r="J2939" s="27"/>
      <c r="K2939" s="27"/>
      <c r="L2939" s="27"/>
      <c r="M2939" s="27"/>
      <c r="N2939" s="27"/>
      <c r="O2939" s="27"/>
      <c r="P2939" s="27"/>
      <c r="Q2939" s="27"/>
      <c r="R2939" s="27"/>
      <c r="S2939" s="27"/>
      <c r="T2939" s="27"/>
      <c r="U2939" s="27"/>
      <c r="V2939" s="27"/>
      <c r="W2939" s="27"/>
      <c r="X2939" s="27"/>
      <c r="Y2939" s="27"/>
      <c r="Z2939" s="17"/>
      <c r="AA2939" s="17"/>
      <c r="AB2939" s="17"/>
      <c r="AC2939" s="17"/>
      <c r="AD2939" s="27"/>
    </row>
    <row r="2940" ht="15.75" customHeight="1">
      <c r="A2940" s="27"/>
      <c r="B2940" s="27"/>
      <c r="C2940" s="27"/>
      <c r="D2940" s="27"/>
      <c r="E2940" s="27"/>
      <c r="F2940" s="27"/>
      <c r="G2940" s="27"/>
      <c r="H2940" s="27"/>
      <c r="I2940" s="27"/>
      <c r="J2940" s="27"/>
      <c r="K2940" s="27"/>
      <c r="L2940" s="27"/>
      <c r="M2940" s="27"/>
      <c r="N2940" s="27"/>
      <c r="O2940" s="27"/>
      <c r="P2940" s="27"/>
      <c r="Q2940" s="27"/>
      <c r="R2940" s="27"/>
      <c r="S2940" s="27"/>
      <c r="T2940" s="27"/>
      <c r="U2940" s="27"/>
      <c r="V2940" s="27"/>
      <c r="W2940" s="27"/>
      <c r="X2940" s="27"/>
      <c r="Y2940" s="27"/>
      <c r="Z2940" s="17"/>
      <c r="AA2940" s="17"/>
      <c r="AB2940" s="17"/>
      <c r="AC2940" s="17"/>
      <c r="AD2940" s="27"/>
    </row>
    <row r="2941" ht="15.75" customHeight="1">
      <c r="A2941" s="27"/>
      <c r="B2941" s="27"/>
      <c r="C2941" s="27"/>
      <c r="D2941" s="27"/>
      <c r="E2941" s="27"/>
      <c r="F2941" s="27"/>
      <c r="G2941" s="27"/>
      <c r="H2941" s="27"/>
      <c r="I2941" s="27"/>
      <c r="J2941" s="27"/>
      <c r="K2941" s="27"/>
      <c r="L2941" s="27"/>
      <c r="M2941" s="27"/>
      <c r="N2941" s="27"/>
      <c r="O2941" s="27"/>
      <c r="P2941" s="27"/>
      <c r="Q2941" s="27"/>
      <c r="R2941" s="27"/>
      <c r="S2941" s="27"/>
      <c r="T2941" s="27"/>
      <c r="U2941" s="27"/>
      <c r="V2941" s="27"/>
      <c r="W2941" s="27"/>
      <c r="X2941" s="27"/>
      <c r="Y2941" s="27"/>
      <c r="Z2941" s="17"/>
      <c r="AA2941" s="17"/>
      <c r="AB2941" s="17"/>
      <c r="AC2941" s="17"/>
      <c r="AD2941" s="27"/>
    </row>
    <row r="2942" ht="15.75" customHeight="1">
      <c r="A2942" s="27"/>
      <c r="B2942" s="27"/>
      <c r="C2942" s="27"/>
      <c r="D2942" s="27"/>
      <c r="E2942" s="27"/>
      <c r="F2942" s="27"/>
      <c r="G2942" s="27"/>
      <c r="H2942" s="27"/>
      <c r="I2942" s="27"/>
      <c r="J2942" s="27"/>
      <c r="K2942" s="27"/>
      <c r="L2942" s="27"/>
      <c r="M2942" s="27"/>
      <c r="N2942" s="27"/>
      <c r="O2942" s="27"/>
      <c r="P2942" s="27"/>
      <c r="Q2942" s="27"/>
      <c r="R2942" s="27"/>
      <c r="S2942" s="27"/>
      <c r="T2942" s="27"/>
      <c r="U2942" s="27"/>
      <c r="V2942" s="27"/>
      <c r="W2942" s="27"/>
      <c r="X2942" s="27"/>
      <c r="Y2942" s="27"/>
      <c r="Z2942" s="17"/>
      <c r="AA2942" s="17"/>
      <c r="AB2942" s="17"/>
      <c r="AC2942" s="17"/>
      <c r="AD2942" s="27"/>
    </row>
    <row r="2943" ht="15.75" customHeight="1">
      <c r="A2943" s="27"/>
      <c r="B2943" s="27"/>
      <c r="C2943" s="27"/>
      <c r="D2943" s="27"/>
      <c r="E2943" s="27"/>
      <c r="F2943" s="27"/>
      <c r="G2943" s="27"/>
      <c r="H2943" s="27"/>
      <c r="I2943" s="27"/>
      <c r="J2943" s="27"/>
      <c r="K2943" s="27"/>
      <c r="L2943" s="27"/>
      <c r="M2943" s="27"/>
      <c r="N2943" s="27"/>
      <c r="O2943" s="27"/>
      <c r="P2943" s="27"/>
      <c r="Q2943" s="27"/>
      <c r="R2943" s="27"/>
      <c r="S2943" s="27"/>
      <c r="T2943" s="27"/>
      <c r="U2943" s="27"/>
      <c r="V2943" s="27"/>
      <c r="W2943" s="27"/>
      <c r="X2943" s="27"/>
      <c r="Y2943" s="27"/>
      <c r="Z2943" s="17"/>
      <c r="AA2943" s="17"/>
      <c r="AB2943" s="17"/>
      <c r="AC2943" s="17"/>
      <c r="AD2943" s="27"/>
    </row>
    <row r="2944" ht="15.75" customHeight="1">
      <c r="A2944" s="27"/>
      <c r="B2944" s="27"/>
      <c r="C2944" s="27"/>
      <c r="D2944" s="27"/>
      <c r="E2944" s="27"/>
      <c r="F2944" s="27"/>
      <c r="G2944" s="27"/>
      <c r="H2944" s="27"/>
      <c r="I2944" s="27"/>
      <c r="J2944" s="27"/>
      <c r="K2944" s="27"/>
      <c r="L2944" s="27"/>
      <c r="M2944" s="27"/>
      <c r="N2944" s="27"/>
      <c r="O2944" s="27"/>
      <c r="P2944" s="27"/>
      <c r="Q2944" s="27"/>
      <c r="R2944" s="27"/>
      <c r="S2944" s="27"/>
      <c r="T2944" s="27"/>
      <c r="U2944" s="27"/>
      <c r="V2944" s="27"/>
      <c r="W2944" s="27"/>
      <c r="X2944" s="27"/>
      <c r="Y2944" s="27"/>
      <c r="Z2944" s="17"/>
      <c r="AA2944" s="17"/>
      <c r="AB2944" s="17"/>
      <c r="AC2944" s="17"/>
      <c r="AD2944" s="27"/>
    </row>
    <row r="2945" ht="15.75" customHeight="1">
      <c r="A2945" s="27"/>
      <c r="B2945" s="27"/>
      <c r="C2945" s="27"/>
      <c r="D2945" s="27"/>
      <c r="E2945" s="27"/>
      <c r="F2945" s="27"/>
      <c r="G2945" s="27"/>
      <c r="H2945" s="27"/>
      <c r="I2945" s="27"/>
      <c r="J2945" s="27"/>
      <c r="K2945" s="27"/>
      <c r="L2945" s="27"/>
      <c r="M2945" s="27"/>
      <c r="N2945" s="27"/>
      <c r="O2945" s="27"/>
      <c r="P2945" s="27"/>
      <c r="Q2945" s="27"/>
      <c r="R2945" s="27"/>
      <c r="S2945" s="27"/>
      <c r="T2945" s="27"/>
      <c r="U2945" s="27"/>
      <c r="V2945" s="27"/>
      <c r="W2945" s="27"/>
      <c r="X2945" s="27"/>
      <c r="Y2945" s="27"/>
      <c r="Z2945" s="17"/>
      <c r="AA2945" s="17"/>
      <c r="AB2945" s="17"/>
      <c r="AC2945" s="17"/>
      <c r="AD2945" s="27"/>
    </row>
    <row r="2946" ht="15.75" customHeight="1">
      <c r="A2946" s="27"/>
      <c r="B2946" s="27"/>
      <c r="C2946" s="27"/>
      <c r="D2946" s="27"/>
      <c r="E2946" s="27"/>
      <c r="F2946" s="27"/>
      <c r="G2946" s="27"/>
      <c r="H2946" s="27"/>
      <c r="I2946" s="27"/>
      <c r="J2946" s="27"/>
      <c r="K2946" s="27"/>
      <c r="L2946" s="27"/>
      <c r="M2946" s="27"/>
      <c r="N2946" s="27"/>
      <c r="O2946" s="27"/>
      <c r="P2946" s="27"/>
      <c r="Q2946" s="27"/>
      <c r="R2946" s="27"/>
      <c r="S2946" s="27"/>
      <c r="T2946" s="27"/>
      <c r="U2946" s="27"/>
      <c r="V2946" s="27"/>
      <c r="W2946" s="27"/>
      <c r="X2946" s="27"/>
      <c r="Y2946" s="27"/>
      <c r="Z2946" s="17"/>
      <c r="AA2946" s="17"/>
      <c r="AB2946" s="17"/>
      <c r="AC2946" s="17"/>
      <c r="AD2946" s="27"/>
    </row>
    <row r="2947" ht="15.75" customHeight="1">
      <c r="A2947" s="27"/>
      <c r="B2947" s="27"/>
      <c r="C2947" s="27"/>
      <c r="D2947" s="27"/>
      <c r="E2947" s="27"/>
      <c r="F2947" s="27"/>
      <c r="G2947" s="27"/>
      <c r="H2947" s="27"/>
      <c r="I2947" s="27"/>
      <c r="J2947" s="27"/>
      <c r="K2947" s="27"/>
      <c r="L2947" s="27"/>
      <c r="M2947" s="27"/>
      <c r="N2947" s="27"/>
      <c r="O2947" s="27"/>
      <c r="P2947" s="27"/>
      <c r="Q2947" s="27"/>
      <c r="R2947" s="27"/>
      <c r="S2947" s="27"/>
      <c r="T2947" s="27"/>
      <c r="U2947" s="27"/>
      <c r="V2947" s="27"/>
      <c r="W2947" s="27"/>
      <c r="X2947" s="27"/>
      <c r="Y2947" s="27"/>
      <c r="Z2947" s="17"/>
      <c r="AA2947" s="17"/>
      <c r="AB2947" s="17"/>
      <c r="AC2947" s="17"/>
      <c r="AD2947" s="27"/>
    </row>
    <row r="2948" ht="15.75" customHeight="1">
      <c r="A2948" s="27"/>
      <c r="B2948" s="27"/>
      <c r="C2948" s="27"/>
      <c r="D2948" s="27"/>
      <c r="E2948" s="27"/>
      <c r="F2948" s="27"/>
      <c r="G2948" s="27"/>
      <c r="H2948" s="27"/>
      <c r="I2948" s="27"/>
      <c r="J2948" s="27"/>
      <c r="K2948" s="27"/>
      <c r="L2948" s="27"/>
      <c r="M2948" s="27"/>
      <c r="N2948" s="27"/>
      <c r="O2948" s="27"/>
      <c r="P2948" s="27"/>
      <c r="Q2948" s="27"/>
      <c r="R2948" s="27"/>
      <c r="S2948" s="27"/>
      <c r="T2948" s="27"/>
      <c r="U2948" s="27"/>
      <c r="V2948" s="27"/>
      <c r="W2948" s="27"/>
      <c r="X2948" s="27"/>
      <c r="Y2948" s="27"/>
      <c r="Z2948" s="17"/>
      <c r="AA2948" s="17"/>
      <c r="AB2948" s="17"/>
      <c r="AC2948" s="17"/>
      <c r="AD2948" s="27"/>
    </row>
    <row r="2949" ht="15.75" customHeight="1">
      <c r="A2949" s="27"/>
      <c r="B2949" s="27"/>
      <c r="C2949" s="27"/>
      <c r="D2949" s="27"/>
      <c r="E2949" s="27"/>
      <c r="F2949" s="27"/>
      <c r="G2949" s="27"/>
      <c r="H2949" s="27"/>
      <c r="I2949" s="27"/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17"/>
      <c r="AA2949" s="17"/>
      <c r="AB2949" s="17"/>
      <c r="AC2949" s="17"/>
      <c r="AD2949" s="27"/>
    </row>
    <row r="2950" ht="15.75" customHeight="1">
      <c r="A2950" s="27"/>
      <c r="B2950" s="27"/>
      <c r="C2950" s="27"/>
      <c r="D2950" s="27"/>
      <c r="E2950" s="27"/>
      <c r="F2950" s="27"/>
      <c r="G2950" s="27"/>
      <c r="H2950" s="27"/>
      <c r="I2950" s="27"/>
      <c r="J2950" s="27"/>
      <c r="K2950" s="27"/>
      <c r="L2950" s="27"/>
      <c r="M2950" s="27"/>
      <c r="N2950" s="27"/>
      <c r="O2950" s="27"/>
      <c r="P2950" s="27"/>
      <c r="Q2950" s="27"/>
      <c r="R2950" s="27"/>
      <c r="S2950" s="27"/>
      <c r="T2950" s="27"/>
      <c r="U2950" s="27"/>
      <c r="V2950" s="27"/>
      <c r="W2950" s="27"/>
      <c r="X2950" s="27"/>
      <c r="Y2950" s="27"/>
      <c r="Z2950" s="17"/>
      <c r="AA2950" s="17"/>
      <c r="AB2950" s="17"/>
      <c r="AC2950" s="17"/>
      <c r="AD2950" s="27"/>
    </row>
    <row r="2951" ht="15.75" customHeight="1">
      <c r="A2951" s="27"/>
      <c r="B2951" s="27"/>
      <c r="C2951" s="27"/>
      <c r="D2951" s="27"/>
      <c r="E2951" s="27"/>
      <c r="F2951" s="27"/>
      <c r="G2951" s="27"/>
      <c r="H2951" s="27"/>
      <c r="I2951" s="27"/>
      <c r="J2951" s="27"/>
      <c r="K2951" s="27"/>
      <c r="L2951" s="27"/>
      <c r="M2951" s="27"/>
      <c r="N2951" s="27"/>
      <c r="O2951" s="27"/>
      <c r="P2951" s="27"/>
      <c r="Q2951" s="27"/>
      <c r="R2951" s="27"/>
      <c r="S2951" s="27"/>
      <c r="T2951" s="27"/>
      <c r="U2951" s="27"/>
      <c r="V2951" s="27"/>
      <c r="W2951" s="27"/>
      <c r="X2951" s="27"/>
      <c r="Y2951" s="27"/>
      <c r="Z2951" s="17"/>
      <c r="AA2951" s="17"/>
      <c r="AB2951" s="17"/>
      <c r="AC2951" s="17"/>
      <c r="AD2951" s="27"/>
    </row>
    <row r="2952" ht="15.75" customHeight="1">
      <c r="A2952" s="27"/>
      <c r="B2952" s="27"/>
      <c r="C2952" s="27"/>
      <c r="D2952" s="27"/>
      <c r="E2952" s="27"/>
      <c r="F2952" s="27"/>
      <c r="G2952" s="27"/>
      <c r="H2952" s="27"/>
      <c r="I2952" s="27"/>
      <c r="J2952" s="27"/>
      <c r="K2952" s="27"/>
      <c r="L2952" s="27"/>
      <c r="M2952" s="27"/>
      <c r="N2952" s="27"/>
      <c r="O2952" s="27"/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17"/>
      <c r="AA2952" s="17"/>
      <c r="AB2952" s="17"/>
      <c r="AC2952" s="17"/>
      <c r="AD2952" s="27"/>
    </row>
    <row r="2953" ht="15.75" customHeight="1">
      <c r="A2953" s="27"/>
      <c r="B2953" s="27"/>
      <c r="C2953" s="27"/>
      <c r="D2953" s="27"/>
      <c r="E2953" s="27"/>
      <c r="F2953" s="27"/>
      <c r="G2953" s="27"/>
      <c r="H2953" s="27"/>
      <c r="I2953" s="27"/>
      <c r="J2953" s="27"/>
      <c r="K2953" s="27"/>
      <c r="L2953" s="27"/>
      <c r="M2953" s="27"/>
      <c r="N2953" s="27"/>
      <c r="O2953" s="27"/>
      <c r="P2953" s="27"/>
      <c r="Q2953" s="27"/>
      <c r="R2953" s="27"/>
      <c r="S2953" s="27"/>
      <c r="T2953" s="27"/>
      <c r="U2953" s="27"/>
      <c r="V2953" s="27"/>
      <c r="W2953" s="27"/>
      <c r="X2953" s="27"/>
      <c r="Y2953" s="27"/>
      <c r="Z2953" s="17"/>
      <c r="AA2953" s="17"/>
      <c r="AB2953" s="17"/>
      <c r="AC2953" s="17"/>
      <c r="AD2953" s="27"/>
    </row>
    <row r="2954" ht="15.75" customHeight="1">
      <c r="A2954" s="27"/>
      <c r="B2954" s="27"/>
      <c r="C2954" s="27"/>
      <c r="D2954" s="27"/>
      <c r="E2954" s="27"/>
      <c r="F2954" s="27"/>
      <c r="G2954" s="27"/>
      <c r="H2954" s="27"/>
      <c r="I2954" s="27"/>
      <c r="J2954" s="27"/>
      <c r="K2954" s="27"/>
      <c r="L2954" s="27"/>
      <c r="M2954" s="27"/>
      <c r="N2954" s="27"/>
      <c r="O2954" s="27"/>
      <c r="P2954" s="27"/>
      <c r="Q2954" s="27"/>
      <c r="R2954" s="27"/>
      <c r="S2954" s="27"/>
      <c r="T2954" s="27"/>
      <c r="U2954" s="27"/>
      <c r="V2954" s="27"/>
      <c r="W2954" s="27"/>
      <c r="X2954" s="27"/>
      <c r="Y2954" s="27"/>
      <c r="Z2954" s="17"/>
      <c r="AA2954" s="17"/>
      <c r="AB2954" s="17"/>
      <c r="AC2954" s="17"/>
      <c r="AD2954" s="27"/>
    </row>
    <row r="2955" ht="15.75" customHeight="1">
      <c r="A2955" s="27"/>
      <c r="B2955" s="27"/>
      <c r="C2955" s="27"/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7"/>
      <c r="X2955" s="27"/>
      <c r="Y2955" s="27"/>
      <c r="Z2955" s="17"/>
      <c r="AA2955" s="17"/>
      <c r="AB2955" s="17"/>
      <c r="AC2955" s="17"/>
      <c r="AD2955" s="27"/>
    </row>
    <row r="2956" ht="15.75" customHeight="1">
      <c r="A2956" s="27"/>
      <c r="B2956" s="27"/>
      <c r="C2956" s="27"/>
      <c r="D2956" s="27"/>
      <c r="E2956" s="27"/>
      <c r="F2956" s="27"/>
      <c r="G2956" s="27"/>
      <c r="H2956" s="27"/>
      <c r="I2956" s="27"/>
      <c r="J2956" s="27"/>
      <c r="K2956" s="27"/>
      <c r="L2956" s="27"/>
      <c r="M2956" s="27"/>
      <c r="N2956" s="27"/>
      <c r="O2956" s="27"/>
      <c r="P2956" s="27"/>
      <c r="Q2956" s="27"/>
      <c r="R2956" s="27"/>
      <c r="S2956" s="27"/>
      <c r="T2956" s="27"/>
      <c r="U2956" s="27"/>
      <c r="V2956" s="27"/>
      <c r="W2956" s="27"/>
      <c r="X2956" s="27"/>
      <c r="Y2956" s="27"/>
      <c r="Z2956" s="17"/>
      <c r="AA2956" s="17"/>
      <c r="AB2956" s="17"/>
      <c r="AC2956" s="17"/>
      <c r="AD2956" s="27"/>
    </row>
    <row r="2957" ht="15.75" customHeight="1">
      <c r="A2957" s="27"/>
      <c r="B2957" s="27"/>
      <c r="C2957" s="27"/>
      <c r="D2957" s="27"/>
      <c r="E2957" s="27"/>
      <c r="F2957" s="27"/>
      <c r="G2957" s="27"/>
      <c r="H2957" s="27"/>
      <c r="I2957" s="27"/>
      <c r="J2957" s="27"/>
      <c r="K2957" s="27"/>
      <c r="L2957" s="27"/>
      <c r="M2957" s="27"/>
      <c r="N2957" s="27"/>
      <c r="O2957" s="27"/>
      <c r="P2957" s="27"/>
      <c r="Q2957" s="27"/>
      <c r="R2957" s="27"/>
      <c r="S2957" s="27"/>
      <c r="T2957" s="27"/>
      <c r="U2957" s="27"/>
      <c r="V2957" s="27"/>
      <c r="W2957" s="27"/>
      <c r="X2957" s="27"/>
      <c r="Y2957" s="27"/>
      <c r="Z2957" s="17"/>
      <c r="AA2957" s="17"/>
      <c r="AB2957" s="17"/>
      <c r="AC2957" s="17"/>
      <c r="AD2957" s="27"/>
    </row>
    <row r="2958" ht="15.75" customHeight="1">
      <c r="A2958" s="27"/>
      <c r="B2958" s="27"/>
      <c r="C2958" s="27"/>
      <c r="D2958" s="27"/>
      <c r="E2958" s="27"/>
      <c r="F2958" s="27"/>
      <c r="G2958" s="27"/>
      <c r="H2958" s="27"/>
      <c r="I2958" s="27"/>
      <c r="J2958" s="27"/>
      <c r="K2958" s="27"/>
      <c r="L2958" s="27"/>
      <c r="M2958" s="27"/>
      <c r="N2958" s="27"/>
      <c r="O2958" s="27"/>
      <c r="P2958" s="27"/>
      <c r="Q2958" s="27"/>
      <c r="R2958" s="27"/>
      <c r="S2958" s="27"/>
      <c r="T2958" s="27"/>
      <c r="U2958" s="27"/>
      <c r="V2958" s="27"/>
      <c r="W2958" s="27"/>
      <c r="X2958" s="27"/>
      <c r="Y2958" s="27"/>
      <c r="Z2958" s="17"/>
      <c r="AA2958" s="17"/>
      <c r="AB2958" s="17"/>
      <c r="AC2958" s="17"/>
      <c r="AD2958" s="27"/>
    </row>
    <row r="2959" ht="15.75" customHeight="1">
      <c r="A2959" s="27"/>
      <c r="B2959" s="27"/>
      <c r="C2959" s="27"/>
      <c r="D2959" s="27"/>
      <c r="E2959" s="27"/>
      <c r="F2959" s="27"/>
      <c r="G2959" s="27"/>
      <c r="H2959" s="27"/>
      <c r="I2959" s="27"/>
      <c r="J2959" s="27"/>
      <c r="K2959" s="27"/>
      <c r="L2959" s="27"/>
      <c r="M2959" s="27"/>
      <c r="N2959" s="27"/>
      <c r="O2959" s="27"/>
      <c r="P2959" s="27"/>
      <c r="Q2959" s="27"/>
      <c r="R2959" s="27"/>
      <c r="S2959" s="27"/>
      <c r="T2959" s="27"/>
      <c r="U2959" s="27"/>
      <c r="V2959" s="27"/>
      <c r="W2959" s="27"/>
      <c r="X2959" s="27"/>
      <c r="Y2959" s="27"/>
      <c r="Z2959" s="17"/>
      <c r="AA2959" s="17"/>
      <c r="AB2959" s="17"/>
      <c r="AC2959" s="17"/>
      <c r="AD2959" s="27"/>
    </row>
    <row r="2960" ht="15.75" customHeight="1">
      <c r="A2960" s="27"/>
      <c r="B2960" s="27"/>
      <c r="C2960" s="27"/>
      <c r="D2960" s="27"/>
      <c r="E2960" s="27"/>
      <c r="F2960" s="27"/>
      <c r="G2960" s="27"/>
      <c r="H2960" s="27"/>
      <c r="I2960" s="27"/>
      <c r="J2960" s="27"/>
      <c r="K2960" s="27"/>
      <c r="L2960" s="27"/>
      <c r="M2960" s="27"/>
      <c r="N2960" s="27"/>
      <c r="O2960" s="27"/>
      <c r="P2960" s="27"/>
      <c r="Q2960" s="27"/>
      <c r="R2960" s="27"/>
      <c r="S2960" s="27"/>
      <c r="T2960" s="27"/>
      <c r="U2960" s="27"/>
      <c r="V2960" s="27"/>
      <c r="W2960" s="27"/>
      <c r="X2960" s="27"/>
      <c r="Y2960" s="27"/>
      <c r="Z2960" s="17"/>
      <c r="AA2960" s="17"/>
      <c r="AB2960" s="17"/>
      <c r="AC2960" s="17"/>
      <c r="AD2960" s="27"/>
    </row>
    <row r="2961" ht="15.75" customHeight="1">
      <c r="A2961" s="27"/>
      <c r="B2961" s="27"/>
      <c r="C2961" s="27"/>
      <c r="D2961" s="27"/>
      <c r="E2961" s="27"/>
      <c r="F2961" s="27"/>
      <c r="G2961" s="27"/>
      <c r="H2961" s="27"/>
      <c r="I2961" s="27"/>
      <c r="J2961" s="27"/>
      <c r="K2961" s="27"/>
      <c r="L2961" s="27"/>
      <c r="M2961" s="27"/>
      <c r="N2961" s="27"/>
      <c r="O2961" s="27"/>
      <c r="P2961" s="27"/>
      <c r="Q2961" s="27"/>
      <c r="R2961" s="27"/>
      <c r="S2961" s="27"/>
      <c r="T2961" s="27"/>
      <c r="U2961" s="27"/>
      <c r="V2961" s="27"/>
      <c r="W2961" s="27"/>
      <c r="X2961" s="27"/>
      <c r="Y2961" s="27"/>
      <c r="Z2961" s="17"/>
      <c r="AA2961" s="17"/>
      <c r="AB2961" s="17"/>
      <c r="AC2961" s="17"/>
      <c r="AD2961" s="27"/>
    </row>
    <row r="2962" ht="15.75" customHeight="1">
      <c r="A2962" s="27"/>
      <c r="B2962" s="27"/>
      <c r="C2962" s="27"/>
      <c r="D2962" s="27"/>
      <c r="E2962" s="27"/>
      <c r="F2962" s="27"/>
      <c r="G2962" s="27"/>
      <c r="H2962" s="27"/>
      <c r="I2962" s="27"/>
      <c r="J2962" s="27"/>
      <c r="K2962" s="27"/>
      <c r="L2962" s="27"/>
      <c r="M2962" s="27"/>
      <c r="N2962" s="27"/>
      <c r="O2962" s="27"/>
      <c r="P2962" s="27"/>
      <c r="Q2962" s="27"/>
      <c r="R2962" s="27"/>
      <c r="S2962" s="27"/>
      <c r="T2962" s="27"/>
      <c r="U2962" s="27"/>
      <c r="V2962" s="27"/>
      <c r="W2962" s="27"/>
      <c r="X2962" s="27"/>
      <c r="Y2962" s="27"/>
      <c r="Z2962" s="17"/>
      <c r="AA2962" s="17"/>
      <c r="AB2962" s="17"/>
      <c r="AC2962" s="17"/>
      <c r="AD2962" s="27"/>
    </row>
    <row r="2963" ht="15.75" customHeight="1">
      <c r="A2963" s="27"/>
      <c r="B2963" s="27"/>
      <c r="C2963" s="27"/>
      <c r="D2963" s="27"/>
      <c r="E2963" s="27"/>
      <c r="F2963" s="27"/>
      <c r="G2963" s="27"/>
      <c r="H2963" s="27"/>
      <c r="I2963" s="27"/>
      <c r="J2963" s="27"/>
      <c r="K2963" s="27"/>
      <c r="L2963" s="27"/>
      <c r="M2963" s="27"/>
      <c r="N2963" s="27"/>
      <c r="O2963" s="27"/>
      <c r="P2963" s="27"/>
      <c r="Q2963" s="27"/>
      <c r="R2963" s="27"/>
      <c r="S2963" s="27"/>
      <c r="T2963" s="27"/>
      <c r="U2963" s="27"/>
      <c r="V2963" s="27"/>
      <c r="W2963" s="27"/>
      <c r="X2963" s="27"/>
      <c r="Y2963" s="27"/>
      <c r="Z2963" s="17"/>
      <c r="AA2963" s="17"/>
      <c r="AB2963" s="17"/>
      <c r="AC2963" s="17"/>
      <c r="AD2963" s="27"/>
    </row>
    <row r="2964" ht="15.75" customHeight="1">
      <c r="A2964" s="27"/>
      <c r="B2964" s="27"/>
      <c r="C2964" s="27"/>
      <c r="D2964" s="27"/>
      <c r="E2964" s="27"/>
      <c r="F2964" s="27"/>
      <c r="G2964" s="27"/>
      <c r="H2964" s="27"/>
      <c r="I2964" s="27"/>
      <c r="J2964" s="27"/>
      <c r="K2964" s="27"/>
      <c r="L2964" s="27"/>
      <c r="M2964" s="27"/>
      <c r="N2964" s="27"/>
      <c r="O2964" s="27"/>
      <c r="P2964" s="27"/>
      <c r="Q2964" s="27"/>
      <c r="R2964" s="27"/>
      <c r="S2964" s="27"/>
      <c r="T2964" s="27"/>
      <c r="U2964" s="27"/>
      <c r="V2964" s="27"/>
      <c r="W2964" s="27"/>
      <c r="X2964" s="27"/>
      <c r="Y2964" s="27"/>
      <c r="Z2964" s="17"/>
      <c r="AA2964" s="17"/>
      <c r="AB2964" s="17"/>
      <c r="AC2964" s="17"/>
      <c r="AD2964" s="27"/>
    </row>
    <row r="2965" ht="15.75" customHeight="1">
      <c r="A2965" s="27"/>
      <c r="B2965" s="27"/>
      <c r="C2965" s="27"/>
      <c r="D2965" s="27"/>
      <c r="E2965" s="27"/>
      <c r="F2965" s="27"/>
      <c r="G2965" s="27"/>
      <c r="H2965" s="27"/>
      <c r="I2965" s="27"/>
      <c r="J2965" s="27"/>
      <c r="K2965" s="27"/>
      <c r="L2965" s="27"/>
      <c r="M2965" s="27"/>
      <c r="N2965" s="27"/>
      <c r="O2965" s="27"/>
      <c r="P2965" s="27"/>
      <c r="Q2965" s="27"/>
      <c r="R2965" s="27"/>
      <c r="S2965" s="27"/>
      <c r="T2965" s="27"/>
      <c r="U2965" s="27"/>
      <c r="V2965" s="27"/>
      <c r="W2965" s="27"/>
      <c r="X2965" s="27"/>
      <c r="Y2965" s="27"/>
      <c r="Z2965" s="17"/>
      <c r="AA2965" s="17"/>
      <c r="AB2965" s="17"/>
      <c r="AC2965" s="17"/>
      <c r="AD2965" s="27"/>
    </row>
    <row r="2966" ht="15.75" customHeight="1">
      <c r="A2966" s="27"/>
      <c r="B2966" s="27"/>
      <c r="C2966" s="27"/>
      <c r="D2966" s="27"/>
      <c r="E2966" s="27"/>
      <c r="F2966" s="27"/>
      <c r="G2966" s="27"/>
      <c r="H2966" s="27"/>
      <c r="I2966" s="27"/>
      <c r="J2966" s="27"/>
      <c r="K2966" s="27"/>
      <c r="L2966" s="27"/>
      <c r="M2966" s="27"/>
      <c r="N2966" s="27"/>
      <c r="O2966" s="27"/>
      <c r="P2966" s="27"/>
      <c r="Q2966" s="27"/>
      <c r="R2966" s="27"/>
      <c r="S2966" s="27"/>
      <c r="T2966" s="27"/>
      <c r="U2966" s="27"/>
      <c r="V2966" s="27"/>
      <c r="W2966" s="27"/>
      <c r="X2966" s="27"/>
      <c r="Y2966" s="27"/>
      <c r="Z2966" s="17"/>
      <c r="AA2966" s="17"/>
      <c r="AB2966" s="17"/>
      <c r="AC2966" s="17"/>
      <c r="AD2966" s="27"/>
    </row>
    <row r="2967" ht="15.75" customHeight="1">
      <c r="A2967" s="27"/>
      <c r="B2967" s="27"/>
      <c r="C2967" s="27"/>
      <c r="D2967" s="27"/>
      <c r="E2967" s="27"/>
      <c r="F2967" s="27"/>
      <c r="G2967" s="27"/>
      <c r="H2967" s="27"/>
      <c r="I2967" s="27"/>
      <c r="J2967" s="27"/>
      <c r="K2967" s="27"/>
      <c r="L2967" s="27"/>
      <c r="M2967" s="27"/>
      <c r="N2967" s="27"/>
      <c r="O2967" s="27"/>
      <c r="P2967" s="27"/>
      <c r="Q2967" s="27"/>
      <c r="R2967" s="27"/>
      <c r="S2967" s="27"/>
      <c r="T2967" s="27"/>
      <c r="U2967" s="27"/>
      <c r="V2967" s="27"/>
      <c r="W2967" s="27"/>
      <c r="X2967" s="27"/>
      <c r="Y2967" s="27"/>
      <c r="Z2967" s="17"/>
      <c r="AA2967" s="17"/>
      <c r="AB2967" s="17"/>
      <c r="AC2967" s="17"/>
      <c r="AD2967" s="27"/>
    </row>
    <row r="2968" ht="15.75" customHeight="1">
      <c r="A2968" s="27"/>
      <c r="B2968" s="27"/>
      <c r="C2968" s="27"/>
      <c r="D2968" s="27"/>
      <c r="E2968" s="27"/>
      <c r="F2968" s="27"/>
      <c r="G2968" s="27"/>
      <c r="H2968" s="27"/>
      <c r="I2968" s="27"/>
      <c r="J2968" s="27"/>
      <c r="K2968" s="27"/>
      <c r="L2968" s="27"/>
      <c r="M2968" s="27"/>
      <c r="N2968" s="27"/>
      <c r="O2968" s="27"/>
      <c r="P2968" s="27"/>
      <c r="Q2968" s="27"/>
      <c r="R2968" s="27"/>
      <c r="S2968" s="27"/>
      <c r="T2968" s="27"/>
      <c r="U2968" s="27"/>
      <c r="V2968" s="27"/>
      <c r="W2968" s="27"/>
      <c r="X2968" s="27"/>
      <c r="Y2968" s="27"/>
      <c r="Z2968" s="17"/>
      <c r="AA2968" s="17"/>
      <c r="AB2968" s="17"/>
      <c r="AC2968" s="17"/>
      <c r="AD2968" s="27"/>
    </row>
    <row r="2969" ht="15.75" customHeight="1">
      <c r="A2969" s="27"/>
      <c r="B2969" s="27"/>
      <c r="C2969" s="27"/>
      <c r="D2969" s="27"/>
      <c r="E2969" s="27"/>
      <c r="F2969" s="27"/>
      <c r="G2969" s="27"/>
      <c r="H2969" s="27"/>
      <c r="I2969" s="27"/>
      <c r="J2969" s="27"/>
      <c r="K2969" s="27"/>
      <c r="L2969" s="27"/>
      <c r="M2969" s="27"/>
      <c r="N2969" s="27"/>
      <c r="O2969" s="27"/>
      <c r="P2969" s="27"/>
      <c r="Q2969" s="27"/>
      <c r="R2969" s="27"/>
      <c r="S2969" s="27"/>
      <c r="T2969" s="27"/>
      <c r="U2969" s="27"/>
      <c r="V2969" s="27"/>
      <c r="W2969" s="27"/>
      <c r="X2969" s="27"/>
      <c r="Y2969" s="27"/>
      <c r="Z2969" s="17"/>
      <c r="AA2969" s="17"/>
      <c r="AB2969" s="17"/>
      <c r="AC2969" s="17"/>
      <c r="AD2969" s="27"/>
    </row>
    <row r="2970" ht="15.75" customHeight="1">
      <c r="A2970" s="27"/>
      <c r="B2970" s="27"/>
      <c r="C2970" s="27"/>
      <c r="D2970" s="27"/>
      <c r="E2970" s="27"/>
      <c r="F2970" s="27"/>
      <c r="G2970" s="27"/>
      <c r="H2970" s="27"/>
      <c r="I2970" s="27"/>
      <c r="J2970" s="27"/>
      <c r="K2970" s="27"/>
      <c r="L2970" s="27"/>
      <c r="M2970" s="27"/>
      <c r="N2970" s="27"/>
      <c r="O2970" s="27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17"/>
      <c r="AA2970" s="17"/>
      <c r="AB2970" s="17"/>
      <c r="AC2970" s="17"/>
      <c r="AD2970" s="27"/>
    </row>
    <row r="2971" ht="15.75" customHeight="1">
      <c r="A2971" s="27"/>
      <c r="B2971" s="27"/>
      <c r="C2971" s="27"/>
      <c r="D2971" s="27"/>
      <c r="E2971" s="27"/>
      <c r="F2971" s="27"/>
      <c r="G2971" s="27"/>
      <c r="H2971" s="27"/>
      <c r="I2971" s="27"/>
      <c r="J2971" s="27"/>
      <c r="K2971" s="27"/>
      <c r="L2971" s="27"/>
      <c r="M2971" s="27"/>
      <c r="N2971" s="27"/>
      <c r="O2971" s="27"/>
      <c r="P2971" s="27"/>
      <c r="Q2971" s="27"/>
      <c r="R2971" s="27"/>
      <c r="S2971" s="27"/>
      <c r="T2971" s="27"/>
      <c r="U2971" s="27"/>
      <c r="V2971" s="27"/>
      <c r="W2971" s="27"/>
      <c r="X2971" s="27"/>
      <c r="Y2971" s="27"/>
      <c r="Z2971" s="17"/>
      <c r="AA2971" s="17"/>
      <c r="AB2971" s="17"/>
      <c r="AC2971" s="17"/>
      <c r="AD2971" s="27"/>
    </row>
    <row r="2972" ht="15.75" customHeight="1">
      <c r="A2972" s="27"/>
      <c r="B2972" s="27"/>
      <c r="C2972" s="27"/>
      <c r="D2972" s="27"/>
      <c r="E2972" s="27"/>
      <c r="F2972" s="27"/>
      <c r="G2972" s="27"/>
      <c r="H2972" s="27"/>
      <c r="I2972" s="27"/>
      <c r="J2972" s="27"/>
      <c r="K2972" s="27"/>
      <c r="L2972" s="27"/>
      <c r="M2972" s="27"/>
      <c r="N2972" s="27"/>
      <c r="O2972" s="27"/>
      <c r="P2972" s="27"/>
      <c r="Q2972" s="27"/>
      <c r="R2972" s="27"/>
      <c r="S2972" s="27"/>
      <c r="T2972" s="27"/>
      <c r="U2972" s="27"/>
      <c r="V2972" s="27"/>
      <c r="W2972" s="27"/>
      <c r="X2972" s="27"/>
      <c r="Y2972" s="27"/>
      <c r="Z2972" s="17"/>
      <c r="AA2972" s="17"/>
      <c r="AB2972" s="17"/>
      <c r="AC2972" s="17"/>
      <c r="AD2972" s="27"/>
    </row>
    <row r="2973" ht="15.75" customHeight="1">
      <c r="A2973" s="27"/>
      <c r="B2973" s="27"/>
      <c r="C2973" s="27"/>
      <c r="D2973" s="27"/>
      <c r="E2973" s="27"/>
      <c r="F2973" s="27"/>
      <c r="G2973" s="27"/>
      <c r="H2973" s="27"/>
      <c r="I2973" s="27"/>
      <c r="J2973" s="27"/>
      <c r="K2973" s="27"/>
      <c r="L2973" s="27"/>
      <c r="M2973" s="27"/>
      <c r="N2973" s="27"/>
      <c r="O2973" s="27"/>
      <c r="P2973" s="27"/>
      <c r="Q2973" s="27"/>
      <c r="R2973" s="27"/>
      <c r="S2973" s="27"/>
      <c r="T2973" s="27"/>
      <c r="U2973" s="27"/>
      <c r="V2973" s="27"/>
      <c r="W2973" s="27"/>
      <c r="X2973" s="27"/>
      <c r="Y2973" s="27"/>
      <c r="Z2973" s="17"/>
      <c r="AA2973" s="17"/>
      <c r="AB2973" s="17"/>
      <c r="AC2973" s="17"/>
      <c r="AD2973" s="27"/>
    </row>
    <row r="2974" ht="15.75" customHeight="1">
      <c r="A2974" s="27"/>
      <c r="B2974" s="27"/>
      <c r="C2974" s="27"/>
      <c r="D2974" s="27"/>
      <c r="E2974" s="27"/>
      <c r="F2974" s="27"/>
      <c r="G2974" s="27"/>
      <c r="H2974" s="27"/>
      <c r="I2974" s="27"/>
      <c r="J2974" s="27"/>
      <c r="K2974" s="27"/>
      <c r="L2974" s="27"/>
      <c r="M2974" s="27"/>
      <c r="N2974" s="27"/>
      <c r="O2974" s="27"/>
      <c r="P2974" s="27"/>
      <c r="Q2974" s="27"/>
      <c r="R2974" s="27"/>
      <c r="S2974" s="27"/>
      <c r="T2974" s="27"/>
      <c r="U2974" s="27"/>
      <c r="V2974" s="27"/>
      <c r="W2974" s="27"/>
      <c r="X2974" s="27"/>
      <c r="Y2974" s="27"/>
      <c r="Z2974" s="17"/>
      <c r="AA2974" s="17"/>
      <c r="AB2974" s="17"/>
      <c r="AC2974" s="17"/>
      <c r="AD2974" s="27"/>
    </row>
    <row r="2975" ht="15.75" customHeight="1">
      <c r="A2975" s="27"/>
      <c r="B2975" s="27"/>
      <c r="C2975" s="27"/>
      <c r="D2975" s="27"/>
      <c r="E2975" s="27"/>
      <c r="F2975" s="27"/>
      <c r="G2975" s="27"/>
      <c r="H2975" s="27"/>
      <c r="I2975" s="27"/>
      <c r="J2975" s="27"/>
      <c r="K2975" s="27"/>
      <c r="L2975" s="27"/>
      <c r="M2975" s="27"/>
      <c r="N2975" s="27"/>
      <c r="O2975" s="27"/>
      <c r="P2975" s="27"/>
      <c r="Q2975" s="27"/>
      <c r="R2975" s="27"/>
      <c r="S2975" s="27"/>
      <c r="T2975" s="27"/>
      <c r="U2975" s="27"/>
      <c r="V2975" s="27"/>
      <c r="W2975" s="27"/>
      <c r="X2975" s="27"/>
      <c r="Y2975" s="27"/>
      <c r="Z2975" s="17"/>
      <c r="AA2975" s="17"/>
      <c r="AB2975" s="17"/>
      <c r="AC2975" s="17"/>
      <c r="AD2975" s="27"/>
    </row>
    <row r="2976" ht="15.75" customHeight="1">
      <c r="A2976" s="27"/>
      <c r="B2976" s="27"/>
      <c r="C2976" s="27"/>
      <c r="D2976" s="27"/>
      <c r="E2976" s="27"/>
      <c r="F2976" s="27"/>
      <c r="G2976" s="27"/>
      <c r="H2976" s="27"/>
      <c r="I2976" s="27"/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  <c r="T2976" s="27"/>
      <c r="U2976" s="27"/>
      <c r="V2976" s="27"/>
      <c r="W2976" s="27"/>
      <c r="X2976" s="27"/>
      <c r="Y2976" s="27"/>
      <c r="Z2976" s="17"/>
      <c r="AA2976" s="17"/>
      <c r="AB2976" s="17"/>
      <c r="AC2976" s="17"/>
      <c r="AD2976" s="27"/>
    </row>
    <row r="2977" ht="15.75" customHeight="1">
      <c r="A2977" s="27"/>
      <c r="B2977" s="27"/>
      <c r="C2977" s="27"/>
      <c r="D2977" s="27"/>
      <c r="E2977" s="27"/>
      <c r="F2977" s="27"/>
      <c r="G2977" s="27"/>
      <c r="H2977" s="27"/>
      <c r="I2977" s="27"/>
      <c r="J2977" s="27"/>
      <c r="K2977" s="27"/>
      <c r="L2977" s="27"/>
      <c r="M2977" s="27"/>
      <c r="N2977" s="27"/>
      <c r="O2977" s="27"/>
      <c r="P2977" s="27"/>
      <c r="Q2977" s="27"/>
      <c r="R2977" s="27"/>
      <c r="S2977" s="27"/>
      <c r="T2977" s="27"/>
      <c r="U2977" s="27"/>
      <c r="V2977" s="27"/>
      <c r="W2977" s="27"/>
      <c r="X2977" s="27"/>
      <c r="Y2977" s="27"/>
      <c r="Z2977" s="17"/>
      <c r="AA2977" s="17"/>
      <c r="AB2977" s="17"/>
      <c r="AC2977" s="17"/>
      <c r="AD2977" s="27"/>
    </row>
    <row r="2978" ht="15.75" customHeight="1">
      <c r="A2978" s="27"/>
      <c r="B2978" s="27"/>
      <c r="C2978" s="27"/>
      <c r="D2978" s="27"/>
      <c r="E2978" s="27"/>
      <c r="F2978" s="27"/>
      <c r="G2978" s="27"/>
      <c r="H2978" s="27"/>
      <c r="I2978" s="27"/>
      <c r="J2978" s="27"/>
      <c r="K2978" s="27"/>
      <c r="L2978" s="27"/>
      <c r="M2978" s="27"/>
      <c r="N2978" s="27"/>
      <c r="O2978" s="27"/>
      <c r="P2978" s="27"/>
      <c r="Q2978" s="27"/>
      <c r="R2978" s="27"/>
      <c r="S2978" s="27"/>
      <c r="T2978" s="27"/>
      <c r="U2978" s="27"/>
      <c r="V2978" s="27"/>
      <c r="W2978" s="27"/>
      <c r="X2978" s="27"/>
      <c r="Y2978" s="27"/>
      <c r="Z2978" s="17"/>
      <c r="AA2978" s="17"/>
      <c r="AB2978" s="17"/>
      <c r="AC2978" s="17"/>
      <c r="AD2978" s="27"/>
    </row>
    <row r="2979" ht="15.75" customHeight="1">
      <c r="A2979" s="27"/>
      <c r="B2979" s="27"/>
      <c r="C2979" s="27"/>
      <c r="D2979" s="27"/>
      <c r="E2979" s="27"/>
      <c r="F2979" s="27"/>
      <c r="G2979" s="27"/>
      <c r="H2979" s="27"/>
      <c r="I2979" s="27"/>
      <c r="J2979" s="27"/>
      <c r="K2979" s="27"/>
      <c r="L2979" s="27"/>
      <c r="M2979" s="27"/>
      <c r="N2979" s="27"/>
      <c r="O2979" s="27"/>
      <c r="P2979" s="27"/>
      <c r="Q2979" s="27"/>
      <c r="R2979" s="27"/>
      <c r="S2979" s="27"/>
      <c r="T2979" s="27"/>
      <c r="U2979" s="27"/>
      <c r="V2979" s="27"/>
      <c r="W2979" s="27"/>
      <c r="X2979" s="27"/>
      <c r="Y2979" s="27"/>
      <c r="Z2979" s="17"/>
      <c r="AA2979" s="17"/>
      <c r="AB2979" s="17"/>
      <c r="AC2979" s="17"/>
      <c r="AD2979" s="27"/>
    </row>
    <row r="2980" ht="15.75" customHeight="1">
      <c r="A2980" s="27"/>
      <c r="B2980" s="27"/>
      <c r="C2980" s="27"/>
      <c r="D2980" s="27"/>
      <c r="E2980" s="27"/>
      <c r="F2980" s="27"/>
      <c r="G2980" s="27"/>
      <c r="H2980" s="27"/>
      <c r="I2980" s="27"/>
      <c r="J2980" s="27"/>
      <c r="K2980" s="27"/>
      <c r="L2980" s="27"/>
      <c r="M2980" s="27"/>
      <c r="N2980" s="27"/>
      <c r="O2980" s="27"/>
      <c r="P2980" s="27"/>
      <c r="Q2980" s="27"/>
      <c r="R2980" s="27"/>
      <c r="S2980" s="27"/>
      <c r="T2980" s="27"/>
      <c r="U2980" s="27"/>
      <c r="V2980" s="27"/>
      <c r="W2980" s="27"/>
      <c r="X2980" s="27"/>
      <c r="Y2980" s="27"/>
      <c r="Z2980" s="17"/>
      <c r="AA2980" s="17"/>
      <c r="AB2980" s="17"/>
      <c r="AC2980" s="17"/>
      <c r="AD2980" s="27"/>
    </row>
    <row r="2981" ht="15.75" customHeight="1">
      <c r="A2981" s="27"/>
      <c r="B2981" s="27"/>
      <c r="C2981" s="27"/>
      <c r="D2981" s="27"/>
      <c r="E2981" s="27"/>
      <c r="F2981" s="27"/>
      <c r="G2981" s="27"/>
      <c r="H2981" s="27"/>
      <c r="I2981" s="27"/>
      <c r="J2981" s="27"/>
      <c r="K2981" s="27"/>
      <c r="L2981" s="27"/>
      <c r="M2981" s="27"/>
      <c r="N2981" s="27"/>
      <c r="O2981" s="27"/>
      <c r="P2981" s="27"/>
      <c r="Q2981" s="27"/>
      <c r="R2981" s="27"/>
      <c r="S2981" s="27"/>
      <c r="T2981" s="27"/>
      <c r="U2981" s="27"/>
      <c r="V2981" s="27"/>
      <c r="W2981" s="27"/>
      <c r="X2981" s="27"/>
      <c r="Y2981" s="27"/>
      <c r="Z2981" s="17"/>
      <c r="AA2981" s="17"/>
      <c r="AB2981" s="17"/>
      <c r="AC2981" s="17"/>
      <c r="AD2981" s="27"/>
    </row>
    <row r="2982" ht="15.75" customHeight="1">
      <c r="A2982" s="27"/>
      <c r="B2982" s="27"/>
      <c r="C2982" s="27"/>
      <c r="D2982" s="27"/>
      <c r="E2982" s="27"/>
      <c r="F2982" s="27"/>
      <c r="G2982" s="27"/>
      <c r="H2982" s="27"/>
      <c r="I2982" s="27"/>
      <c r="J2982" s="27"/>
      <c r="K2982" s="27"/>
      <c r="L2982" s="27"/>
      <c r="M2982" s="27"/>
      <c r="N2982" s="27"/>
      <c r="O2982" s="27"/>
      <c r="P2982" s="27"/>
      <c r="Q2982" s="27"/>
      <c r="R2982" s="27"/>
      <c r="S2982" s="27"/>
      <c r="T2982" s="27"/>
      <c r="U2982" s="27"/>
      <c r="V2982" s="27"/>
      <c r="W2982" s="27"/>
      <c r="X2982" s="27"/>
      <c r="Y2982" s="27"/>
      <c r="Z2982" s="17"/>
      <c r="AA2982" s="17"/>
      <c r="AB2982" s="17"/>
      <c r="AC2982" s="17"/>
      <c r="AD2982" s="27"/>
    </row>
    <row r="2983" ht="15.75" customHeight="1">
      <c r="A2983" s="27"/>
      <c r="B2983" s="27"/>
      <c r="C2983" s="27"/>
      <c r="D2983" s="27"/>
      <c r="E2983" s="27"/>
      <c r="F2983" s="27"/>
      <c r="G2983" s="27"/>
      <c r="H2983" s="27"/>
      <c r="I2983" s="27"/>
      <c r="J2983" s="27"/>
      <c r="K2983" s="27"/>
      <c r="L2983" s="27"/>
      <c r="M2983" s="27"/>
      <c r="N2983" s="27"/>
      <c r="O2983" s="27"/>
      <c r="P2983" s="27"/>
      <c r="Q2983" s="27"/>
      <c r="R2983" s="27"/>
      <c r="S2983" s="27"/>
      <c r="T2983" s="27"/>
      <c r="U2983" s="27"/>
      <c r="V2983" s="27"/>
      <c r="W2983" s="27"/>
      <c r="X2983" s="27"/>
      <c r="Y2983" s="27"/>
      <c r="Z2983" s="17"/>
      <c r="AA2983" s="17"/>
      <c r="AB2983" s="17"/>
      <c r="AC2983" s="17"/>
      <c r="AD2983" s="27"/>
    </row>
    <row r="2984" ht="15.75" customHeight="1">
      <c r="A2984" s="27"/>
      <c r="B2984" s="27"/>
      <c r="C2984" s="27"/>
      <c r="D2984" s="27"/>
      <c r="E2984" s="27"/>
      <c r="F2984" s="27"/>
      <c r="G2984" s="27"/>
      <c r="H2984" s="27"/>
      <c r="I2984" s="27"/>
      <c r="J2984" s="27"/>
      <c r="K2984" s="27"/>
      <c r="L2984" s="27"/>
      <c r="M2984" s="27"/>
      <c r="N2984" s="27"/>
      <c r="O2984" s="27"/>
      <c r="P2984" s="27"/>
      <c r="Q2984" s="27"/>
      <c r="R2984" s="27"/>
      <c r="S2984" s="27"/>
      <c r="T2984" s="27"/>
      <c r="U2984" s="27"/>
      <c r="V2984" s="27"/>
      <c r="W2984" s="27"/>
      <c r="X2984" s="27"/>
      <c r="Y2984" s="27"/>
      <c r="Z2984" s="17"/>
      <c r="AA2984" s="17"/>
      <c r="AB2984" s="17"/>
      <c r="AC2984" s="17"/>
      <c r="AD2984" s="27"/>
    </row>
    <row r="2985" ht="15.75" customHeight="1">
      <c r="A2985" s="27"/>
      <c r="B2985" s="27"/>
      <c r="C2985" s="27"/>
      <c r="D2985" s="27"/>
      <c r="E2985" s="27"/>
      <c r="F2985" s="27"/>
      <c r="G2985" s="27"/>
      <c r="H2985" s="27"/>
      <c r="I2985" s="27"/>
      <c r="J2985" s="27"/>
      <c r="K2985" s="27"/>
      <c r="L2985" s="27"/>
      <c r="M2985" s="27"/>
      <c r="N2985" s="27"/>
      <c r="O2985" s="27"/>
      <c r="P2985" s="27"/>
      <c r="Q2985" s="27"/>
      <c r="R2985" s="27"/>
      <c r="S2985" s="27"/>
      <c r="T2985" s="27"/>
      <c r="U2985" s="27"/>
      <c r="V2985" s="27"/>
      <c r="W2985" s="27"/>
      <c r="X2985" s="27"/>
      <c r="Y2985" s="27"/>
      <c r="Z2985" s="17"/>
      <c r="AA2985" s="17"/>
      <c r="AB2985" s="17"/>
      <c r="AC2985" s="17"/>
      <c r="AD2985" s="27"/>
    </row>
    <row r="2986" ht="15.75" customHeight="1">
      <c r="A2986" s="27"/>
      <c r="B2986" s="27"/>
      <c r="C2986" s="27"/>
      <c r="D2986" s="27"/>
      <c r="E2986" s="27"/>
      <c r="F2986" s="27"/>
      <c r="G2986" s="27"/>
      <c r="H2986" s="27"/>
      <c r="I2986" s="27"/>
      <c r="J2986" s="27"/>
      <c r="K2986" s="27"/>
      <c r="L2986" s="27"/>
      <c r="M2986" s="27"/>
      <c r="N2986" s="27"/>
      <c r="O2986" s="27"/>
      <c r="P2986" s="27"/>
      <c r="Q2986" s="27"/>
      <c r="R2986" s="27"/>
      <c r="S2986" s="27"/>
      <c r="T2986" s="27"/>
      <c r="U2986" s="27"/>
      <c r="V2986" s="27"/>
      <c r="W2986" s="27"/>
      <c r="X2986" s="27"/>
      <c r="Y2986" s="27"/>
      <c r="Z2986" s="17"/>
      <c r="AA2986" s="17"/>
      <c r="AB2986" s="17"/>
      <c r="AC2986" s="17"/>
      <c r="AD2986" s="27"/>
    </row>
    <row r="2987" ht="15.75" customHeight="1">
      <c r="A2987" s="27"/>
      <c r="B2987" s="27"/>
      <c r="C2987" s="27"/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17"/>
      <c r="AA2987" s="17"/>
      <c r="AB2987" s="17"/>
      <c r="AC2987" s="17"/>
      <c r="AD2987" s="27"/>
    </row>
    <row r="2988" ht="15.75" customHeight="1">
      <c r="A2988" s="27"/>
      <c r="B2988" s="27"/>
      <c r="C2988" s="27"/>
      <c r="D2988" s="27"/>
      <c r="E2988" s="27"/>
      <c r="F2988" s="27"/>
      <c r="G2988" s="27"/>
      <c r="H2988" s="27"/>
      <c r="I2988" s="27"/>
      <c r="J2988" s="27"/>
      <c r="K2988" s="27"/>
      <c r="L2988" s="27"/>
      <c r="M2988" s="27"/>
      <c r="N2988" s="27"/>
      <c r="O2988" s="27"/>
      <c r="P2988" s="27"/>
      <c r="Q2988" s="27"/>
      <c r="R2988" s="27"/>
      <c r="S2988" s="27"/>
      <c r="T2988" s="27"/>
      <c r="U2988" s="27"/>
      <c r="V2988" s="27"/>
      <c r="W2988" s="27"/>
      <c r="X2988" s="27"/>
      <c r="Y2988" s="27"/>
      <c r="Z2988" s="17"/>
      <c r="AA2988" s="17"/>
      <c r="AB2988" s="17"/>
      <c r="AC2988" s="17"/>
      <c r="AD2988" s="27"/>
    </row>
    <row r="2989" ht="15.75" customHeight="1">
      <c r="A2989" s="27"/>
      <c r="B2989" s="27"/>
      <c r="C2989" s="27"/>
      <c r="D2989" s="27"/>
      <c r="E2989" s="27"/>
      <c r="F2989" s="27"/>
      <c r="G2989" s="27"/>
      <c r="H2989" s="27"/>
      <c r="I2989" s="27"/>
      <c r="J2989" s="27"/>
      <c r="K2989" s="27"/>
      <c r="L2989" s="27"/>
      <c r="M2989" s="27"/>
      <c r="N2989" s="27"/>
      <c r="O2989" s="27"/>
      <c r="P2989" s="27"/>
      <c r="Q2989" s="27"/>
      <c r="R2989" s="27"/>
      <c r="S2989" s="27"/>
      <c r="T2989" s="27"/>
      <c r="U2989" s="27"/>
      <c r="V2989" s="27"/>
      <c r="W2989" s="27"/>
      <c r="X2989" s="27"/>
      <c r="Y2989" s="27"/>
      <c r="Z2989" s="17"/>
      <c r="AA2989" s="17"/>
      <c r="AB2989" s="17"/>
      <c r="AC2989" s="17"/>
      <c r="AD2989" s="27"/>
    </row>
    <row r="2990" ht="15.75" customHeight="1">
      <c r="A2990" s="27"/>
      <c r="B2990" s="27"/>
      <c r="C2990" s="27"/>
      <c r="D2990" s="27"/>
      <c r="E2990" s="27"/>
      <c r="F2990" s="27"/>
      <c r="G2990" s="27"/>
      <c r="H2990" s="27"/>
      <c r="I2990" s="27"/>
      <c r="J2990" s="27"/>
      <c r="K2990" s="27"/>
      <c r="L2990" s="27"/>
      <c r="M2990" s="27"/>
      <c r="N2990" s="27"/>
      <c r="O2990" s="27"/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17"/>
      <c r="AA2990" s="17"/>
      <c r="AB2990" s="17"/>
      <c r="AC2990" s="17"/>
      <c r="AD2990" s="27"/>
    </row>
    <row r="2991" ht="15.75" customHeight="1">
      <c r="A2991" s="27"/>
      <c r="B2991" s="27"/>
      <c r="C2991" s="27"/>
      <c r="D2991" s="27"/>
      <c r="E2991" s="27"/>
      <c r="F2991" s="27"/>
      <c r="G2991" s="27"/>
      <c r="H2991" s="27"/>
      <c r="I2991" s="27"/>
      <c r="J2991" s="27"/>
      <c r="K2991" s="27"/>
      <c r="L2991" s="27"/>
      <c r="M2991" s="27"/>
      <c r="N2991" s="27"/>
      <c r="O2991" s="27"/>
      <c r="P2991" s="27"/>
      <c r="Q2991" s="27"/>
      <c r="R2991" s="27"/>
      <c r="S2991" s="27"/>
      <c r="T2991" s="27"/>
      <c r="U2991" s="27"/>
      <c r="V2991" s="27"/>
      <c r="W2991" s="27"/>
      <c r="X2991" s="27"/>
      <c r="Y2991" s="27"/>
      <c r="Z2991" s="17"/>
      <c r="AA2991" s="17"/>
      <c r="AB2991" s="17"/>
      <c r="AC2991" s="17"/>
      <c r="AD2991" s="27"/>
    </row>
    <row r="2992" ht="15.75" customHeight="1">
      <c r="A2992" s="27"/>
      <c r="B2992" s="27"/>
      <c r="C2992" s="27"/>
      <c r="D2992" s="27"/>
      <c r="E2992" s="27"/>
      <c r="F2992" s="27"/>
      <c r="G2992" s="27"/>
      <c r="H2992" s="27"/>
      <c r="I2992" s="27"/>
      <c r="J2992" s="27"/>
      <c r="K2992" s="27"/>
      <c r="L2992" s="27"/>
      <c r="M2992" s="27"/>
      <c r="N2992" s="27"/>
      <c r="O2992" s="27"/>
      <c r="P2992" s="27"/>
      <c r="Q2992" s="27"/>
      <c r="R2992" s="27"/>
      <c r="S2992" s="27"/>
      <c r="T2992" s="27"/>
      <c r="U2992" s="27"/>
      <c r="V2992" s="27"/>
      <c r="W2992" s="27"/>
      <c r="X2992" s="27"/>
      <c r="Y2992" s="27"/>
      <c r="Z2992" s="17"/>
      <c r="AA2992" s="17"/>
      <c r="AB2992" s="17"/>
      <c r="AC2992" s="17"/>
      <c r="AD2992" s="27"/>
    </row>
    <row r="2993" ht="15.75" customHeight="1">
      <c r="A2993" s="27"/>
      <c r="B2993" s="27"/>
      <c r="C2993" s="27"/>
      <c r="D2993" s="27"/>
      <c r="E2993" s="27"/>
      <c r="F2993" s="27"/>
      <c r="G2993" s="27"/>
      <c r="H2993" s="27"/>
      <c r="I2993" s="27"/>
      <c r="J2993" s="27"/>
      <c r="K2993" s="27"/>
      <c r="L2993" s="27"/>
      <c r="M2993" s="27"/>
      <c r="N2993" s="27"/>
      <c r="O2993" s="27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17"/>
      <c r="AA2993" s="17"/>
      <c r="AB2993" s="17"/>
      <c r="AC2993" s="17"/>
      <c r="AD2993" s="27"/>
    </row>
    <row r="2994" ht="15.75" customHeight="1">
      <c r="A2994" s="27"/>
      <c r="B2994" s="27"/>
      <c r="C2994" s="27"/>
      <c r="D2994" s="27"/>
      <c r="E2994" s="27"/>
      <c r="F2994" s="27"/>
      <c r="G2994" s="27"/>
      <c r="H2994" s="27"/>
      <c r="I2994" s="27"/>
      <c r="J2994" s="27"/>
      <c r="K2994" s="27"/>
      <c r="L2994" s="27"/>
      <c r="M2994" s="27"/>
      <c r="N2994" s="27"/>
      <c r="O2994" s="27"/>
      <c r="P2994" s="27"/>
      <c r="Q2994" s="27"/>
      <c r="R2994" s="27"/>
      <c r="S2994" s="27"/>
      <c r="T2994" s="27"/>
      <c r="U2994" s="27"/>
      <c r="V2994" s="27"/>
      <c r="W2994" s="27"/>
      <c r="X2994" s="27"/>
      <c r="Y2994" s="27"/>
      <c r="Z2994" s="17"/>
      <c r="AA2994" s="17"/>
      <c r="AB2994" s="17"/>
      <c r="AC2994" s="17"/>
      <c r="AD2994" s="27"/>
    </row>
    <row r="2995" ht="15.75" customHeight="1">
      <c r="A2995" s="27"/>
      <c r="B2995" s="27"/>
      <c r="C2995" s="27"/>
      <c r="D2995" s="27"/>
      <c r="E2995" s="27"/>
      <c r="F2995" s="27"/>
      <c r="G2995" s="27"/>
      <c r="H2995" s="27"/>
      <c r="I2995" s="27"/>
      <c r="J2995" s="27"/>
      <c r="K2995" s="27"/>
      <c r="L2995" s="27"/>
      <c r="M2995" s="27"/>
      <c r="N2995" s="27"/>
      <c r="O2995" s="27"/>
      <c r="P2995" s="27"/>
      <c r="Q2995" s="27"/>
      <c r="R2995" s="27"/>
      <c r="S2995" s="27"/>
      <c r="T2995" s="27"/>
      <c r="U2995" s="27"/>
      <c r="V2995" s="27"/>
      <c r="W2995" s="27"/>
      <c r="X2995" s="27"/>
      <c r="Y2995" s="27"/>
      <c r="Z2995" s="17"/>
      <c r="AA2995" s="17"/>
      <c r="AB2995" s="17"/>
      <c r="AC2995" s="17"/>
      <c r="AD2995" s="27"/>
    </row>
    <row r="2996" ht="15.75" customHeight="1">
      <c r="A2996" s="27"/>
      <c r="B2996" s="27"/>
      <c r="C2996" s="27"/>
      <c r="D2996" s="27"/>
      <c r="E2996" s="27"/>
      <c r="F2996" s="27"/>
      <c r="G2996" s="27"/>
      <c r="H2996" s="27"/>
      <c r="I2996" s="27"/>
      <c r="J2996" s="27"/>
      <c r="K2996" s="27"/>
      <c r="L2996" s="27"/>
      <c r="M2996" s="27"/>
      <c r="N2996" s="27"/>
      <c r="O2996" s="27"/>
      <c r="P2996" s="27"/>
      <c r="Q2996" s="27"/>
      <c r="R2996" s="27"/>
      <c r="S2996" s="27"/>
      <c r="T2996" s="27"/>
      <c r="U2996" s="27"/>
      <c r="V2996" s="27"/>
      <c r="W2996" s="27"/>
      <c r="X2996" s="27"/>
      <c r="Y2996" s="27"/>
      <c r="Z2996" s="17"/>
      <c r="AA2996" s="17"/>
      <c r="AB2996" s="17"/>
      <c r="AC2996" s="17"/>
      <c r="AD2996" s="27"/>
    </row>
    <row r="2997" ht="15.75" customHeight="1">
      <c r="A2997" s="27"/>
      <c r="B2997" s="27"/>
      <c r="C2997" s="27"/>
      <c r="D2997" s="27"/>
      <c r="E2997" s="27"/>
      <c r="F2997" s="27"/>
      <c r="G2997" s="27"/>
      <c r="H2997" s="27"/>
      <c r="I2997" s="27"/>
      <c r="J2997" s="27"/>
      <c r="K2997" s="27"/>
      <c r="L2997" s="27"/>
      <c r="M2997" s="27"/>
      <c r="N2997" s="27"/>
      <c r="O2997" s="27"/>
      <c r="P2997" s="27"/>
      <c r="Q2997" s="27"/>
      <c r="R2997" s="27"/>
      <c r="S2997" s="27"/>
      <c r="T2997" s="27"/>
      <c r="U2997" s="27"/>
      <c r="V2997" s="27"/>
      <c r="W2997" s="27"/>
      <c r="X2997" s="27"/>
      <c r="Y2997" s="27"/>
      <c r="Z2997" s="17"/>
      <c r="AA2997" s="17"/>
      <c r="AB2997" s="17"/>
      <c r="AC2997" s="17"/>
      <c r="AD2997" s="27"/>
    </row>
    <row r="2998" ht="15.75" customHeight="1">
      <c r="A2998" s="27"/>
      <c r="B2998" s="27"/>
      <c r="C2998" s="27"/>
      <c r="D2998" s="27"/>
      <c r="E2998" s="27"/>
      <c r="F2998" s="27"/>
      <c r="G2998" s="27"/>
      <c r="H2998" s="27"/>
      <c r="I2998" s="27"/>
      <c r="J2998" s="27"/>
      <c r="K2998" s="27"/>
      <c r="L2998" s="27"/>
      <c r="M2998" s="27"/>
      <c r="N2998" s="27"/>
      <c r="O2998" s="27"/>
      <c r="P2998" s="27"/>
      <c r="Q2998" s="27"/>
      <c r="R2998" s="27"/>
      <c r="S2998" s="27"/>
      <c r="T2998" s="27"/>
      <c r="U2998" s="27"/>
      <c r="V2998" s="27"/>
      <c r="W2998" s="27"/>
      <c r="X2998" s="27"/>
      <c r="Y2998" s="27"/>
      <c r="Z2998" s="17"/>
      <c r="AA2998" s="17"/>
      <c r="AB2998" s="17"/>
      <c r="AC2998" s="17"/>
      <c r="AD2998" s="27"/>
    </row>
    <row r="2999" ht="15.75" customHeight="1">
      <c r="A2999" s="27"/>
      <c r="B2999" s="27"/>
      <c r="C2999" s="27"/>
      <c r="D2999" s="27"/>
      <c r="E2999" s="27"/>
      <c r="F2999" s="27"/>
      <c r="G2999" s="27"/>
      <c r="H2999" s="27"/>
      <c r="I2999" s="27"/>
      <c r="J2999" s="27"/>
      <c r="K2999" s="27"/>
      <c r="L2999" s="27"/>
      <c r="M2999" s="27"/>
      <c r="N2999" s="27"/>
      <c r="O2999" s="27"/>
      <c r="P2999" s="27"/>
      <c r="Q2999" s="27"/>
      <c r="R2999" s="27"/>
      <c r="S2999" s="27"/>
      <c r="T2999" s="27"/>
      <c r="U2999" s="27"/>
      <c r="V2999" s="27"/>
      <c r="W2999" s="27"/>
      <c r="X2999" s="27"/>
      <c r="Y2999" s="27"/>
      <c r="Z2999" s="17"/>
      <c r="AA2999" s="17"/>
      <c r="AB2999" s="17"/>
      <c r="AC2999" s="17"/>
      <c r="AD2999" s="27"/>
    </row>
    <row r="3000" ht="15.75" customHeight="1">
      <c r="A3000" s="27"/>
      <c r="B3000" s="27"/>
      <c r="C3000" s="27"/>
      <c r="D3000" s="27"/>
      <c r="E3000" s="27"/>
      <c r="F3000" s="27"/>
      <c r="G3000" s="27"/>
      <c r="H3000" s="27"/>
      <c r="I3000" s="27"/>
      <c r="J3000" s="27"/>
      <c r="K3000" s="27"/>
      <c r="L3000" s="27"/>
      <c r="M3000" s="27"/>
      <c r="N3000" s="27"/>
      <c r="O3000" s="27"/>
      <c r="P3000" s="27"/>
      <c r="Q3000" s="27"/>
      <c r="R3000" s="27"/>
      <c r="S3000" s="27"/>
      <c r="T3000" s="27"/>
      <c r="U3000" s="27"/>
      <c r="V3000" s="27"/>
      <c r="W3000" s="27"/>
      <c r="X3000" s="27"/>
      <c r="Y3000" s="27"/>
      <c r="Z3000" s="17"/>
      <c r="AA3000" s="17"/>
      <c r="AB3000" s="17"/>
      <c r="AC3000" s="17"/>
      <c r="AD3000" s="27"/>
    </row>
    <row r="3001" ht="15.75" customHeight="1">
      <c r="A3001" s="27"/>
      <c r="B3001" s="27"/>
      <c r="C3001" s="27"/>
      <c r="D3001" s="27"/>
      <c r="E3001" s="27"/>
      <c r="F3001" s="27"/>
      <c r="G3001" s="27"/>
      <c r="H3001" s="27"/>
      <c r="I3001" s="27"/>
      <c r="J3001" s="27"/>
      <c r="K3001" s="27"/>
      <c r="L3001" s="27"/>
      <c r="M3001" s="27"/>
      <c r="N3001" s="27"/>
      <c r="O3001" s="27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17"/>
      <c r="AA3001" s="17"/>
      <c r="AB3001" s="17"/>
      <c r="AC3001" s="17"/>
      <c r="AD3001" s="27"/>
    </row>
    <row r="3002" ht="15.75" customHeight="1">
      <c r="A3002" s="27"/>
      <c r="B3002" s="27"/>
      <c r="C3002" s="27"/>
      <c r="D3002" s="27"/>
      <c r="E3002" s="27"/>
      <c r="F3002" s="27"/>
      <c r="G3002" s="27"/>
      <c r="H3002" s="27"/>
      <c r="I3002" s="27"/>
      <c r="J3002" s="27"/>
      <c r="K3002" s="27"/>
      <c r="L3002" s="27"/>
      <c r="M3002" s="27"/>
      <c r="N3002" s="27"/>
      <c r="O3002" s="27"/>
      <c r="P3002" s="27"/>
      <c r="Q3002" s="27"/>
      <c r="R3002" s="27"/>
      <c r="S3002" s="27"/>
      <c r="T3002" s="27"/>
      <c r="U3002" s="27"/>
      <c r="V3002" s="27"/>
      <c r="W3002" s="27"/>
      <c r="X3002" s="27"/>
      <c r="Y3002" s="27"/>
      <c r="Z3002" s="17"/>
      <c r="AA3002" s="17"/>
      <c r="AB3002" s="17"/>
      <c r="AC3002" s="17"/>
      <c r="AD3002" s="27"/>
    </row>
    <row r="3003" ht="15.75" customHeight="1">
      <c r="A3003" s="27"/>
      <c r="B3003" s="27"/>
      <c r="C3003" s="27"/>
      <c r="D3003" s="27"/>
      <c r="E3003" s="27"/>
      <c r="F3003" s="27"/>
      <c r="G3003" s="27"/>
      <c r="H3003" s="27"/>
      <c r="I3003" s="27"/>
      <c r="J3003" s="27"/>
      <c r="K3003" s="27"/>
      <c r="L3003" s="27"/>
      <c r="M3003" s="27"/>
      <c r="N3003" s="27"/>
      <c r="O3003" s="27"/>
      <c r="P3003" s="27"/>
      <c r="Q3003" s="27"/>
      <c r="R3003" s="27"/>
      <c r="S3003" s="27"/>
      <c r="T3003" s="27"/>
      <c r="U3003" s="27"/>
      <c r="V3003" s="27"/>
      <c r="W3003" s="27"/>
      <c r="X3003" s="27"/>
      <c r="Y3003" s="27"/>
      <c r="Z3003" s="17"/>
      <c r="AA3003" s="17"/>
      <c r="AB3003" s="17"/>
      <c r="AC3003" s="17"/>
      <c r="AD3003" s="27"/>
    </row>
    <row r="3004" ht="15.75" customHeight="1">
      <c r="A3004" s="27"/>
      <c r="B3004" s="27"/>
      <c r="C3004" s="27"/>
      <c r="D3004" s="27"/>
      <c r="E3004" s="27"/>
      <c r="F3004" s="27"/>
      <c r="G3004" s="27"/>
      <c r="H3004" s="27"/>
      <c r="I3004" s="27"/>
      <c r="J3004" s="27"/>
      <c r="K3004" s="27"/>
      <c r="L3004" s="27"/>
      <c r="M3004" s="27"/>
      <c r="N3004" s="27"/>
      <c r="O3004" s="27"/>
      <c r="P3004" s="27"/>
      <c r="Q3004" s="27"/>
      <c r="R3004" s="27"/>
      <c r="S3004" s="27"/>
      <c r="T3004" s="27"/>
      <c r="U3004" s="27"/>
      <c r="V3004" s="27"/>
      <c r="W3004" s="27"/>
      <c r="X3004" s="27"/>
      <c r="Y3004" s="27"/>
      <c r="Z3004" s="17"/>
      <c r="AA3004" s="17"/>
      <c r="AB3004" s="17"/>
      <c r="AC3004" s="17"/>
      <c r="AD3004" s="27"/>
    </row>
    <row r="3005" ht="15.75" customHeight="1">
      <c r="A3005" s="27"/>
      <c r="B3005" s="27"/>
      <c r="C3005" s="27"/>
      <c r="D3005" s="27"/>
      <c r="E3005" s="27"/>
      <c r="F3005" s="27"/>
      <c r="G3005" s="27"/>
      <c r="H3005" s="27"/>
      <c r="I3005" s="27"/>
      <c r="J3005" s="27"/>
      <c r="K3005" s="27"/>
      <c r="L3005" s="27"/>
      <c r="M3005" s="27"/>
      <c r="N3005" s="27"/>
      <c r="O3005" s="27"/>
      <c r="P3005" s="27"/>
      <c r="Q3005" s="27"/>
      <c r="R3005" s="27"/>
      <c r="S3005" s="27"/>
      <c r="T3005" s="27"/>
      <c r="U3005" s="27"/>
      <c r="V3005" s="27"/>
      <c r="W3005" s="27"/>
      <c r="X3005" s="27"/>
      <c r="Y3005" s="27"/>
      <c r="Z3005" s="17"/>
      <c r="AA3005" s="17"/>
      <c r="AB3005" s="17"/>
      <c r="AC3005" s="17"/>
      <c r="AD3005" s="27"/>
    </row>
  </sheetData>
  <autoFilter ref="$A$1:$X$1654"/>
  <conditionalFormatting sqref="E1039:E1105 E1107:E1236 E1238:E1289 E1291:E3005">
    <cfRule type="cellIs" dxfId="5" priority="1" operator="equal">
      <formula>"cook"</formula>
    </cfRule>
  </conditionalFormatting>
  <conditionalFormatting sqref="E1039:E1105 E1107:E1236 E1238:E1289 E1291:E3005">
    <cfRule type="cellIs" dxfId="6" priority="2" operator="equal">
      <formula>"cold"</formula>
    </cfRule>
  </conditionalFormatting>
  <conditionalFormatting sqref="E1039:E1105 E1107:E1236 E1238:E1289 E1291:E3005">
    <cfRule type="cellIs" dxfId="7" priority="3" operator="equal">
      <formula>"hot"</formula>
    </cfRule>
  </conditionalFormatting>
  <conditionalFormatting sqref="E1237">
    <cfRule type="cellIs" dxfId="5" priority="4" operator="equal">
      <formula>"cook"</formula>
    </cfRule>
  </conditionalFormatting>
  <conditionalFormatting sqref="E1237">
    <cfRule type="cellIs" dxfId="6" priority="5" operator="equal">
      <formula>"cold"</formula>
    </cfRule>
  </conditionalFormatting>
  <conditionalFormatting sqref="E1237">
    <cfRule type="cellIs" dxfId="7" priority="6" operator="equal">
      <formula>"hot"</formula>
    </cfRule>
  </conditionalFormatting>
  <conditionalFormatting sqref="E1290">
    <cfRule type="cellIs" dxfId="5" priority="7" operator="equal">
      <formula>"cook"</formula>
    </cfRule>
  </conditionalFormatting>
  <conditionalFormatting sqref="E1290">
    <cfRule type="cellIs" dxfId="6" priority="8" operator="equal">
      <formula>"cold"</formula>
    </cfRule>
  </conditionalFormatting>
  <conditionalFormatting sqref="E1290">
    <cfRule type="cellIs" dxfId="7" priority="9" operator="equal">
      <formula>"hot"</formula>
    </cfRule>
  </conditionalFormatting>
  <conditionalFormatting sqref="X2:X3005">
    <cfRule type="cellIs" dxfId="4" priority="10" operator="equal">
      <formula>0</formula>
    </cfRule>
  </conditionalFormatting>
  <conditionalFormatting sqref="T2:T3005">
    <cfRule type="cellIs" dxfId="8" priority="11" operator="between">
      <formula>2.5</formula>
      <formula>2.999</formula>
    </cfRule>
  </conditionalFormatting>
  <conditionalFormatting sqref="T2:T3005">
    <cfRule type="cellIs" dxfId="9" priority="12" operator="between">
      <formula>3</formula>
      <formula>4</formula>
    </cfRule>
  </conditionalFormatting>
  <conditionalFormatting sqref="S2:S3005">
    <cfRule type="cellIs" dxfId="10" priority="13" operator="between">
      <formula>4.41</formula>
      <formula>3.88</formula>
    </cfRule>
  </conditionalFormatting>
  <conditionalFormatting sqref="S2:S3005">
    <cfRule type="cellIs" dxfId="11" priority="14" operator="between">
      <formula>4.41</formula>
      <formula>4.94</formula>
    </cfRule>
  </conditionalFormatting>
  <conditionalFormatting sqref="S2:S3005">
    <cfRule type="cellIs" dxfId="8" priority="15" operator="between">
      <formula>5.47</formula>
      <formula>4.94</formula>
    </cfRule>
  </conditionalFormatting>
  <conditionalFormatting sqref="S2:S3005">
    <cfRule type="cellIs" dxfId="9" priority="16" operator="between">
      <formula>5.9999</formula>
      <formula>5.47</formula>
    </cfRule>
  </conditionalFormatting>
  <conditionalFormatting sqref="S2:S3005">
    <cfRule type="cellIs" dxfId="12" priority="17" operator="greaterThanOrEqual">
      <formula>6</formula>
    </cfRule>
  </conditionalFormatting>
  <conditionalFormatting sqref="V2:V3005">
    <cfRule type="cellIs" dxfId="13" priority="18" operator="between">
      <formula>0.05</formula>
      <formula>0.15</formula>
    </cfRule>
  </conditionalFormatting>
  <conditionalFormatting sqref="AA2:AA897 AC2:AC897 AA899:AA975 AC899:AC975">
    <cfRule type="cellIs" dxfId="14" priority="19" operator="greaterThan">
      <formula>3.99</formula>
    </cfRule>
  </conditionalFormatting>
  <conditionalFormatting sqref="AA2:AA897 AC2:AC897 AA899:AA975 AC899:AC975">
    <cfRule type="cellIs" dxfId="15" priority="20" operator="greaterThan">
      <formula>2.99</formula>
    </cfRule>
  </conditionalFormatting>
  <conditionalFormatting sqref="AA2:AA897 AC2:AC897 AA899:AA975 AC899:AC975">
    <cfRule type="cellIs" dxfId="16" priority="21" operator="greaterThan">
      <formula>1</formula>
    </cfRule>
  </conditionalFormatting>
  <conditionalFormatting sqref="R2:R3005">
    <cfRule type="cellIs" dxfId="12" priority="22" operator="greaterThan">
      <formula>170</formula>
    </cfRule>
  </conditionalFormatting>
  <conditionalFormatting sqref="R2:R3005">
    <cfRule type="cellIs" dxfId="9" priority="23" operator="between">
      <formula>155</formula>
      <formula>170</formula>
    </cfRule>
  </conditionalFormatting>
  <conditionalFormatting sqref="R2:R3005">
    <cfRule type="cellIs" dxfId="8" priority="24" operator="between">
      <formula>140</formula>
      <formula>155</formula>
    </cfRule>
  </conditionalFormatting>
  <conditionalFormatting sqref="R2:R3005">
    <cfRule type="cellIs" dxfId="11" priority="25" operator="between">
      <formula>125</formula>
      <formula>140</formula>
    </cfRule>
  </conditionalFormatting>
  <conditionalFormatting sqref="R2:R3005">
    <cfRule type="cellIs" dxfId="10" priority="26" operator="between">
      <formula>110</formula>
      <formula>125</formula>
    </cfRule>
  </conditionalFormatting>
  <conditionalFormatting sqref="T898">
    <cfRule type="cellIs" dxfId="17" priority="27" operator="between">
      <formula>2.5</formula>
      <formula>4.5</formula>
    </cfRule>
  </conditionalFormatting>
  <conditionalFormatting sqref="S898">
    <cfRule type="cellIs" dxfId="10" priority="28" operator="between">
      <formula>4.41</formula>
      <formula>3.88</formula>
    </cfRule>
  </conditionalFormatting>
  <conditionalFormatting sqref="S898">
    <cfRule type="cellIs" dxfId="11" priority="29" operator="between">
      <formula>4.41</formula>
      <formula>4.94</formula>
    </cfRule>
  </conditionalFormatting>
  <conditionalFormatting sqref="S898">
    <cfRule type="cellIs" dxfId="17" priority="30" operator="between">
      <formula>5.47</formula>
      <formula>4.94</formula>
    </cfRule>
  </conditionalFormatting>
  <conditionalFormatting sqref="S898">
    <cfRule type="cellIs" dxfId="18" priority="31" operator="between">
      <formula>5.9999</formula>
      <formula>5.47</formula>
    </cfRule>
  </conditionalFormatting>
  <conditionalFormatting sqref="S898">
    <cfRule type="cellIs" dxfId="19" priority="32" operator="greaterThanOrEqual">
      <formula>6</formula>
    </cfRule>
  </conditionalFormatting>
  <conditionalFormatting sqref="AA898 AC898">
    <cfRule type="cellIs" dxfId="14" priority="33" operator="greaterThan">
      <formula>3.99</formula>
    </cfRule>
  </conditionalFormatting>
  <conditionalFormatting sqref="AA898 AC898">
    <cfRule type="cellIs" dxfId="15" priority="34" operator="greaterThan">
      <formula>2.99</formula>
    </cfRule>
  </conditionalFormatting>
  <conditionalFormatting sqref="AA898 AC898">
    <cfRule type="cellIs" dxfId="16" priority="35" operator="greaterThan">
      <formula>1</formula>
    </cfRule>
  </conditionalFormatting>
  <conditionalFormatting sqref="R898">
    <cfRule type="cellIs" dxfId="19" priority="36" operator="greaterThan">
      <formula>170</formula>
    </cfRule>
  </conditionalFormatting>
  <conditionalFormatting sqref="R898">
    <cfRule type="cellIs" dxfId="20" priority="37" operator="between">
      <formula>155</formula>
      <formula>170</formula>
    </cfRule>
  </conditionalFormatting>
  <conditionalFormatting sqref="R898">
    <cfRule type="cellIs" dxfId="21" priority="38" operator="between">
      <formula>140</formula>
      <formula>155</formula>
    </cfRule>
  </conditionalFormatting>
  <conditionalFormatting sqref="R898">
    <cfRule type="cellIs" dxfId="11" priority="39" operator="between">
      <formula>125</formula>
      <formula>140</formula>
    </cfRule>
  </conditionalFormatting>
  <conditionalFormatting sqref="R898">
    <cfRule type="cellIs" dxfId="10" priority="40" operator="between">
      <formula>110</formula>
      <formula>125</formula>
    </cfRule>
  </conditionalFormatting>
  <conditionalFormatting sqref="U2:U3005">
    <cfRule type="cellIs" dxfId="22" priority="41" operator="between">
      <formula>0.7</formula>
      <formula>1</formula>
    </cfRule>
  </conditionalFormatting>
  <conditionalFormatting sqref="U2:U3005">
    <cfRule type="cellIs" dxfId="12" priority="42" operator="between">
      <formula>0.6</formula>
      <formula>0.7</formula>
    </cfRule>
  </conditionalFormatting>
  <conditionalFormatting sqref="U2:U3005">
    <cfRule type="cellIs" dxfId="9" priority="43" operator="between">
      <formula>0.5</formula>
      <formula>0.6</formula>
    </cfRule>
  </conditionalFormatting>
  <conditionalFormatting sqref="U2:U3005">
    <cfRule type="cellIs" dxfId="8" priority="44" operator="between">
      <formula>0.4</formula>
      <formula>0.5</formula>
    </cfRule>
  </conditionalFormatting>
  <conditionalFormatting sqref="V2:V3005">
    <cfRule type="cellIs" dxfId="23" priority="45" operator="between">
      <formula>0.15</formula>
      <formula>0.25</formula>
    </cfRule>
  </conditionalFormatting>
  <conditionalFormatting sqref="W2:W3005">
    <cfRule type="cellIs" dxfId="24" priority="46" operator="greaterThan">
      <formula>1.25</formula>
    </cfRule>
  </conditionalFormatting>
  <conditionalFormatting sqref="W2:W3005">
    <cfRule type="cellIs" dxfId="2" priority="47" operator="greaterThan">
      <formula>1</formula>
    </cfRule>
  </conditionalFormatting>
  <conditionalFormatting sqref="W2:W3005">
    <cfRule type="cellIs" dxfId="1" priority="48" operator="greaterThan">
      <formula>0.64</formula>
    </cfRule>
  </conditionalFormatting>
  <conditionalFormatting sqref="T2:T3005">
    <cfRule type="cellIs" dxfId="8" priority="49" operator="between">
      <formula>4.001</formula>
      <formula>4.5</formula>
    </cfRule>
  </conditionalFormatting>
  <printOptions/>
  <pageMargins bottom="0.75" footer="0.0" header="0.0" left="0.7" right="0.7" top="0.75"/>
  <pageSetup fitToHeight="0" orientation="landscape"/>
  <headerFooter>
    <oddHeader>&amp;CHiker Food Chart (calorie density plus nutritional performance) - Presented by Gear Skeptic</oddHeader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18.43"/>
    <col customWidth="1" min="3" max="3" width="16.57"/>
    <col customWidth="1" min="4" max="23" width="8.71"/>
  </cols>
  <sheetData>
    <row r="1">
      <c r="A1" s="106" t="s">
        <v>564</v>
      </c>
      <c r="B1" s="107" t="s">
        <v>565</v>
      </c>
      <c r="C1" s="108" t="s">
        <v>566</v>
      </c>
      <c r="D1" s="19"/>
      <c r="E1" s="109" t="s">
        <v>567</v>
      </c>
      <c r="F1" s="110"/>
      <c r="G1" s="111"/>
      <c r="H1" s="112" t="s">
        <v>570</v>
      </c>
      <c r="I1" s="110"/>
      <c r="J1" s="11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15" t="s">
        <v>571</v>
      </c>
      <c r="B2" s="116" t="s">
        <v>572</v>
      </c>
      <c r="C2" s="117" t="s">
        <v>573</v>
      </c>
      <c r="D2" s="19"/>
      <c r="E2" s="118" t="s">
        <v>574</v>
      </c>
      <c r="H2" s="17" t="s">
        <v>575</v>
      </c>
      <c r="J2" s="8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19" t="s">
        <v>576</v>
      </c>
      <c r="B3" s="120" t="s">
        <v>577</v>
      </c>
      <c r="C3" s="121" t="s">
        <v>578</v>
      </c>
      <c r="D3" s="19"/>
      <c r="E3" s="122" t="s">
        <v>576</v>
      </c>
      <c r="F3" s="123"/>
      <c r="G3" s="124"/>
      <c r="H3" s="125" t="s">
        <v>581</v>
      </c>
      <c r="I3" s="123"/>
      <c r="J3" s="12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127" t="s">
        <v>582</v>
      </c>
      <c r="B4" s="128" t="s">
        <v>583</v>
      </c>
      <c r="C4" s="129" t="s">
        <v>584</v>
      </c>
      <c r="D4" s="19"/>
      <c r="E4" s="130" t="s">
        <v>585</v>
      </c>
      <c r="F4" s="123"/>
      <c r="G4" s="124"/>
      <c r="H4" s="131" t="s">
        <v>588</v>
      </c>
      <c r="I4" s="123"/>
      <c r="J4" s="12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32" t="s">
        <v>589</v>
      </c>
      <c r="B5" s="133" t="s">
        <v>590</v>
      </c>
      <c r="C5" s="134" t="s">
        <v>591</v>
      </c>
      <c r="D5" s="17"/>
      <c r="E5" s="135" t="s">
        <v>592</v>
      </c>
      <c r="F5" s="123"/>
      <c r="G5" s="124"/>
      <c r="H5" s="136" t="s">
        <v>593</v>
      </c>
      <c r="I5" s="123"/>
      <c r="J5" s="12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37" t="s">
        <v>594</v>
      </c>
      <c r="B6" s="138" t="s">
        <v>597</v>
      </c>
      <c r="C6" s="139" t="s">
        <v>598</v>
      </c>
      <c r="D6" s="17"/>
      <c r="E6" s="140" t="s">
        <v>599</v>
      </c>
      <c r="F6" s="141"/>
      <c r="G6" s="142"/>
      <c r="H6" s="144" t="s">
        <v>600</v>
      </c>
      <c r="I6" s="141"/>
      <c r="J6" s="14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47" t="s">
        <v>603</v>
      </c>
      <c r="B7" s="149" t="s">
        <v>604</v>
      </c>
      <c r="C7" s="151" t="s">
        <v>605</v>
      </c>
      <c r="D7" s="17"/>
      <c r="E7" s="17"/>
      <c r="F7" s="15"/>
      <c r="G7" s="17"/>
      <c r="H7" s="17"/>
      <c r="I7" s="17"/>
      <c r="J7" s="1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3"/>
      <c r="B8" s="3"/>
      <c r="C8" s="17"/>
      <c r="D8" s="17"/>
      <c r="E8" s="17"/>
      <c r="F8" s="15"/>
      <c r="G8" s="17"/>
      <c r="H8" s="17"/>
      <c r="I8" s="17"/>
      <c r="J8" s="1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106" t="s">
        <v>618</v>
      </c>
      <c r="B9" s="157" t="s">
        <v>620</v>
      </c>
      <c r="C9" s="17"/>
      <c r="D9" s="17"/>
      <c r="E9" s="109" t="s">
        <v>621</v>
      </c>
      <c r="F9" s="110"/>
      <c r="G9" s="111"/>
      <c r="H9" s="112" t="s">
        <v>622</v>
      </c>
      <c r="I9" s="110"/>
      <c r="J9" s="11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18" t="s">
        <v>625</v>
      </c>
      <c r="B10" s="161" t="s">
        <v>626</v>
      </c>
      <c r="C10" s="17"/>
      <c r="D10" s="17"/>
      <c r="E10" s="118" t="s">
        <v>574</v>
      </c>
      <c r="H10" s="17" t="s">
        <v>627</v>
      </c>
      <c r="J10" s="8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32" t="s">
        <v>585</v>
      </c>
      <c r="B11" s="164" t="s">
        <v>631</v>
      </c>
      <c r="C11" s="17"/>
      <c r="D11" s="17"/>
      <c r="E11" s="166" t="s">
        <v>632</v>
      </c>
      <c r="F11" s="123"/>
      <c r="G11" s="124"/>
      <c r="H11" s="167" t="s">
        <v>636</v>
      </c>
      <c r="I11" s="123"/>
      <c r="J11" s="12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137" t="s">
        <v>645</v>
      </c>
      <c r="B12" s="168" t="s">
        <v>646</v>
      </c>
      <c r="C12" s="17"/>
      <c r="D12" s="17"/>
      <c r="E12" s="169" t="s">
        <v>648</v>
      </c>
      <c r="F12" s="123"/>
      <c r="G12" s="124"/>
      <c r="H12" s="170" t="s">
        <v>650</v>
      </c>
      <c r="I12" s="123"/>
      <c r="J12" s="12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132" t="s">
        <v>585</v>
      </c>
      <c r="B13" s="164" t="s">
        <v>654</v>
      </c>
      <c r="C13" s="17"/>
      <c r="D13" s="17"/>
      <c r="E13" s="172" t="s">
        <v>599</v>
      </c>
      <c r="F13" s="66"/>
      <c r="G13" s="66"/>
      <c r="H13" s="173" t="s">
        <v>658</v>
      </c>
      <c r="I13" s="66"/>
      <c r="J13" s="8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72" t="s">
        <v>625</v>
      </c>
      <c r="B14" s="174" t="s">
        <v>664</v>
      </c>
      <c r="C14" s="17"/>
      <c r="D14" s="17"/>
      <c r="E14" s="17"/>
      <c r="F14" s="15"/>
      <c r="G14" s="17"/>
      <c r="H14" s="17"/>
      <c r="I14" s="17"/>
      <c r="J14" s="1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/>
      <c r="B15" s="3"/>
      <c r="C15" s="17"/>
      <c r="D15" s="17"/>
      <c r="E15" s="109" t="s">
        <v>670</v>
      </c>
      <c r="F15" s="110"/>
      <c r="G15" s="111"/>
      <c r="H15" s="112" t="s">
        <v>674</v>
      </c>
      <c r="I15" s="110"/>
      <c r="J15" s="11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106" t="s">
        <v>678</v>
      </c>
      <c r="B16" s="107" t="s">
        <v>565</v>
      </c>
      <c r="C16" s="108" t="s">
        <v>566</v>
      </c>
      <c r="D16" s="17"/>
      <c r="E16" s="118" t="s">
        <v>681</v>
      </c>
      <c r="H16" s="17" t="s">
        <v>682</v>
      </c>
      <c r="J16" s="8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18" t="s">
        <v>685</v>
      </c>
      <c r="B17" s="22">
        <v>113.0</v>
      </c>
      <c r="C17" s="175">
        <v>4.0</v>
      </c>
      <c r="D17" s="17"/>
      <c r="E17" s="176" t="s">
        <v>691</v>
      </c>
      <c r="F17" s="123"/>
      <c r="G17" s="124"/>
      <c r="H17" s="177" t="s">
        <v>693</v>
      </c>
      <c r="I17" s="123"/>
      <c r="J17" s="12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118" t="s">
        <v>20</v>
      </c>
      <c r="B18" s="22">
        <v>113.0</v>
      </c>
      <c r="C18" s="175">
        <v>4.0</v>
      </c>
      <c r="D18" s="17"/>
      <c r="E18" s="178" t="s">
        <v>698</v>
      </c>
      <c r="F18" s="123"/>
      <c r="G18" s="124"/>
      <c r="H18" s="179" t="s">
        <v>701</v>
      </c>
      <c r="I18" s="123"/>
      <c r="J18" s="12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172" t="s">
        <v>12</v>
      </c>
      <c r="B19" s="180">
        <v>255.0</v>
      </c>
      <c r="C19" s="181">
        <v>9.0</v>
      </c>
      <c r="D19" s="17"/>
      <c r="E19" s="182" t="s">
        <v>571</v>
      </c>
      <c r="F19" s="141"/>
      <c r="G19" s="142"/>
      <c r="H19" s="183" t="s">
        <v>707</v>
      </c>
      <c r="I19" s="141"/>
      <c r="J19" s="14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2">
    <mergeCell ref="E1:G1"/>
    <mergeCell ref="H1:J1"/>
    <mergeCell ref="E2:G2"/>
    <mergeCell ref="H2:J2"/>
    <mergeCell ref="E3:G3"/>
    <mergeCell ref="H3:J3"/>
    <mergeCell ref="H4:J4"/>
    <mergeCell ref="E13:G13"/>
    <mergeCell ref="E15:G15"/>
    <mergeCell ref="E16:G16"/>
    <mergeCell ref="E17:G17"/>
    <mergeCell ref="E18:G18"/>
    <mergeCell ref="E19:G19"/>
    <mergeCell ref="E4:G4"/>
    <mergeCell ref="E5:G5"/>
    <mergeCell ref="E6:G6"/>
    <mergeCell ref="E9:G9"/>
    <mergeCell ref="E10:G10"/>
    <mergeCell ref="E11:G11"/>
    <mergeCell ref="E12:G12"/>
    <mergeCell ref="H15:J15"/>
    <mergeCell ref="H16:J16"/>
    <mergeCell ref="H17:J17"/>
    <mergeCell ref="H18:J18"/>
    <mergeCell ref="H19:J19"/>
    <mergeCell ref="H5:J5"/>
    <mergeCell ref="H6:J6"/>
    <mergeCell ref="H9:J9"/>
    <mergeCell ref="H10:J10"/>
    <mergeCell ref="H11:J11"/>
    <mergeCell ref="H12:J12"/>
    <mergeCell ref="H13:J1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33.14"/>
    <col customWidth="1" min="3" max="3" width="8.71"/>
    <col customWidth="1" min="4" max="4" width="7.71"/>
    <col customWidth="1" min="5" max="5" width="8.43"/>
    <col customWidth="1" min="6" max="10" width="6.14"/>
    <col customWidth="1" min="11" max="11" width="7.57"/>
    <col customWidth="1" min="12" max="16" width="6.14"/>
    <col customWidth="1" min="17" max="17" width="8.14"/>
    <col customWidth="1" min="18" max="18" width="8.57"/>
    <col customWidth="1" min="19" max="19" width="73.86"/>
    <col customWidth="1" min="20" max="26" width="8.71"/>
  </cols>
  <sheetData>
    <row r="1">
      <c r="A1" s="143" t="s">
        <v>3</v>
      </c>
      <c r="B1" s="143" t="s">
        <v>4</v>
      </c>
      <c r="C1" s="146" t="s">
        <v>601</v>
      </c>
      <c r="D1" s="146" t="s">
        <v>602</v>
      </c>
      <c r="E1" s="148" t="s">
        <v>11</v>
      </c>
      <c r="F1" s="146" t="s">
        <v>12</v>
      </c>
      <c r="G1" s="150" t="s">
        <v>15</v>
      </c>
      <c r="H1" s="150" t="s">
        <v>16</v>
      </c>
      <c r="I1" s="150" t="s">
        <v>17</v>
      </c>
      <c r="J1" s="150" t="s">
        <v>19</v>
      </c>
      <c r="K1" s="146" t="s">
        <v>20</v>
      </c>
      <c r="L1" s="152" t="s">
        <v>606</v>
      </c>
      <c r="M1" s="153" t="s">
        <v>610</v>
      </c>
      <c r="N1" s="146" t="s">
        <v>611</v>
      </c>
      <c r="O1" s="146" t="s">
        <v>612</v>
      </c>
      <c r="P1" s="146" t="s">
        <v>613</v>
      </c>
      <c r="Q1" s="146" t="s">
        <v>614</v>
      </c>
      <c r="R1" s="154" t="s">
        <v>615</v>
      </c>
      <c r="S1" s="143" t="s">
        <v>616</v>
      </c>
      <c r="T1" s="155"/>
      <c r="U1" s="155"/>
      <c r="V1" s="155"/>
      <c r="W1" s="155"/>
      <c r="X1" s="155"/>
      <c r="Y1" s="155"/>
      <c r="Z1" s="155"/>
    </row>
    <row r="2">
      <c r="A2" s="156" t="s">
        <v>617</v>
      </c>
      <c r="B2" s="16" t="s">
        <v>619</v>
      </c>
      <c r="C2" s="86">
        <v>12.0</v>
      </c>
      <c r="D2" s="17">
        <v>15.0</v>
      </c>
      <c r="E2" s="158">
        <v>50.0</v>
      </c>
      <c r="F2" s="17"/>
      <c r="G2" s="20">
        <v>13.0</v>
      </c>
      <c r="H2" s="20"/>
      <c r="I2" s="20">
        <v>4.0</v>
      </c>
      <c r="J2" s="20"/>
      <c r="K2" s="21"/>
      <c r="L2" s="159">
        <v>270.0</v>
      </c>
      <c r="M2" s="160">
        <v>0.0</v>
      </c>
      <c r="N2" s="17">
        <v>31.0</v>
      </c>
      <c r="O2" s="17">
        <v>27.0</v>
      </c>
      <c r="P2" s="17"/>
      <c r="Q2" s="19" t="str">
        <f t="shared" ref="Q2:Q139" si="1">L2/M2</f>
        <v>#DIV/0!</v>
      </c>
      <c r="R2" s="162"/>
      <c r="S2" s="156" t="s">
        <v>628</v>
      </c>
    </row>
    <row r="3">
      <c r="A3" s="156" t="s">
        <v>629</v>
      </c>
      <c r="B3" s="16" t="s">
        <v>630</v>
      </c>
      <c r="C3" s="163"/>
      <c r="D3" s="17">
        <v>5.0</v>
      </c>
      <c r="E3" s="158">
        <v>12.0</v>
      </c>
      <c r="F3" s="17"/>
      <c r="G3" s="20">
        <v>3.0</v>
      </c>
      <c r="H3" s="20"/>
      <c r="I3" s="20">
        <v>0.2</v>
      </c>
      <c r="J3" s="20"/>
      <c r="K3" s="21"/>
      <c r="L3" s="159">
        <v>128.0</v>
      </c>
      <c r="M3" s="160">
        <v>0.0</v>
      </c>
      <c r="N3" s="17"/>
      <c r="O3" s="17"/>
      <c r="P3" s="17"/>
      <c r="Q3" s="19" t="str">
        <f t="shared" si="1"/>
        <v>#DIV/0!</v>
      </c>
      <c r="R3" s="162"/>
      <c r="S3" s="156" t="s">
        <v>633</v>
      </c>
    </row>
    <row r="4">
      <c r="A4" s="156" t="s">
        <v>634</v>
      </c>
      <c r="B4" s="165" t="s">
        <v>635</v>
      </c>
      <c r="C4" s="86">
        <v>8.0</v>
      </c>
      <c r="D4" s="17"/>
      <c r="E4" s="158"/>
      <c r="F4" s="17"/>
      <c r="G4" s="20"/>
      <c r="H4" s="20"/>
      <c r="I4" s="20"/>
      <c r="J4" s="20"/>
      <c r="K4" s="21"/>
      <c r="L4" s="159">
        <v>10.0</v>
      </c>
      <c r="M4" s="160">
        <v>0.0</v>
      </c>
      <c r="N4" s="17"/>
      <c r="O4" s="17"/>
      <c r="P4" s="17"/>
      <c r="Q4" s="19" t="str">
        <f t="shared" si="1"/>
        <v>#DIV/0!</v>
      </c>
      <c r="R4" s="162">
        <v>60.0</v>
      </c>
      <c r="S4" s="156" t="s">
        <v>637</v>
      </c>
    </row>
    <row r="5">
      <c r="A5" s="156" t="s">
        <v>638</v>
      </c>
      <c r="B5" s="16" t="s">
        <v>639</v>
      </c>
      <c r="C5" s="163"/>
      <c r="D5" s="17">
        <v>8.42</v>
      </c>
      <c r="E5" s="158"/>
      <c r="F5" s="17"/>
      <c r="G5" s="20"/>
      <c r="H5" s="20"/>
      <c r="I5" s="20"/>
      <c r="J5" s="20"/>
      <c r="K5" s="21"/>
      <c r="L5" s="159">
        <v>0.0</v>
      </c>
      <c r="M5" s="160">
        <v>0.0</v>
      </c>
      <c r="N5" s="17">
        <v>70.0</v>
      </c>
      <c r="O5" s="17">
        <v>5.0</v>
      </c>
      <c r="P5" s="17"/>
      <c r="Q5" s="19" t="str">
        <f t="shared" si="1"/>
        <v>#DIV/0!</v>
      </c>
      <c r="R5" s="162"/>
      <c r="S5" s="156" t="s">
        <v>642</v>
      </c>
    </row>
    <row r="6">
      <c r="A6" s="156" t="s">
        <v>643</v>
      </c>
      <c r="B6" s="16" t="s">
        <v>644</v>
      </c>
      <c r="C6" s="163"/>
      <c r="D6" s="17">
        <v>13.0</v>
      </c>
      <c r="E6" s="158">
        <v>25.0</v>
      </c>
      <c r="F6" s="17"/>
      <c r="G6" s="20">
        <v>6.0</v>
      </c>
      <c r="H6" s="20"/>
      <c r="I6" s="20">
        <v>5.0</v>
      </c>
      <c r="J6" s="20"/>
      <c r="K6" s="21"/>
      <c r="L6" s="159">
        <v>1620.0</v>
      </c>
      <c r="M6" s="160">
        <v>94.0</v>
      </c>
      <c r="N6" s="17"/>
      <c r="O6" s="17">
        <v>16.0</v>
      </c>
      <c r="P6" s="17"/>
      <c r="Q6" s="19">
        <f t="shared" si="1"/>
        <v>17.23404255</v>
      </c>
      <c r="R6" s="162"/>
    </row>
    <row r="7">
      <c r="A7" s="156" t="s">
        <v>617</v>
      </c>
      <c r="B7" s="16" t="s">
        <v>647</v>
      </c>
      <c r="C7" s="86">
        <v>16.0</v>
      </c>
      <c r="D7" s="17">
        <v>25.0</v>
      </c>
      <c r="E7" s="158">
        <v>80.0</v>
      </c>
      <c r="F7" s="17"/>
      <c r="G7" s="20">
        <v>17.0</v>
      </c>
      <c r="H7" s="20"/>
      <c r="I7" s="20">
        <v>14.0</v>
      </c>
      <c r="J7" s="20"/>
      <c r="K7" s="21"/>
      <c r="L7" s="159">
        <v>1720.0</v>
      </c>
      <c r="M7" s="160">
        <v>150.0</v>
      </c>
      <c r="N7" s="17">
        <v>3.0</v>
      </c>
      <c r="O7" s="17"/>
      <c r="P7" s="17"/>
      <c r="Q7" s="19">
        <f t="shared" si="1"/>
        <v>11.46666667</v>
      </c>
      <c r="R7" s="162"/>
    </row>
    <row r="8">
      <c r="A8" s="156" t="s">
        <v>617</v>
      </c>
      <c r="B8" s="16" t="s">
        <v>649</v>
      </c>
      <c r="C8" s="86">
        <v>12.0</v>
      </c>
      <c r="D8" s="17">
        <v>22.0</v>
      </c>
      <c r="E8" s="158">
        <v>80.0</v>
      </c>
      <c r="F8" s="17"/>
      <c r="G8" s="20">
        <v>20.0</v>
      </c>
      <c r="H8" s="20"/>
      <c r="I8" s="20">
        <v>18.0</v>
      </c>
      <c r="J8" s="20"/>
      <c r="K8" s="21"/>
      <c r="L8" s="159">
        <v>380.0</v>
      </c>
      <c r="M8" s="160">
        <v>38.0</v>
      </c>
      <c r="N8" s="17">
        <v>43.0</v>
      </c>
      <c r="O8" s="17">
        <v>38.0</v>
      </c>
      <c r="P8" s="17"/>
      <c r="Q8" s="19">
        <f t="shared" si="1"/>
        <v>10</v>
      </c>
      <c r="R8" s="162"/>
      <c r="S8" s="156" t="s">
        <v>651</v>
      </c>
    </row>
    <row r="9">
      <c r="A9" s="156" t="s">
        <v>652</v>
      </c>
      <c r="B9" s="16" t="s">
        <v>653</v>
      </c>
      <c r="C9" s="86">
        <v>16.0</v>
      </c>
      <c r="D9" s="17">
        <v>40.0</v>
      </c>
      <c r="E9" s="158">
        <v>146.0</v>
      </c>
      <c r="F9" s="17"/>
      <c r="G9" s="20">
        <v>36.0</v>
      </c>
      <c r="H9" s="20"/>
      <c r="I9" s="20">
        <v>6.7</v>
      </c>
      <c r="J9" s="20"/>
      <c r="K9" s="21"/>
      <c r="L9" s="159">
        <v>500.0</v>
      </c>
      <c r="M9" s="160">
        <v>60.0</v>
      </c>
      <c r="N9" s="17">
        <v>27.0</v>
      </c>
      <c r="O9" s="17">
        <v>5.0</v>
      </c>
      <c r="P9" s="17"/>
      <c r="Q9" s="19">
        <f t="shared" si="1"/>
        <v>8.333333333</v>
      </c>
      <c r="R9" s="162"/>
    </row>
    <row r="10">
      <c r="A10" s="156" t="s">
        <v>655</v>
      </c>
      <c r="B10" s="171">
        <v>1500.0</v>
      </c>
      <c r="C10" s="86">
        <v>16.0</v>
      </c>
      <c r="D10" s="17">
        <v>20.0</v>
      </c>
      <c r="E10" s="158">
        <v>61.0</v>
      </c>
      <c r="F10" s="17"/>
      <c r="G10" s="20">
        <v>15.4</v>
      </c>
      <c r="H10" s="20"/>
      <c r="I10" s="20">
        <v>15.1</v>
      </c>
      <c r="J10" s="20"/>
      <c r="K10" s="21"/>
      <c r="L10" s="159">
        <v>750.0</v>
      </c>
      <c r="M10" s="160">
        <v>125.0</v>
      </c>
      <c r="N10" s="17">
        <v>24.0</v>
      </c>
      <c r="O10" s="17">
        <v>12.0</v>
      </c>
      <c r="P10" s="17"/>
      <c r="Q10" s="19">
        <f t="shared" si="1"/>
        <v>6</v>
      </c>
      <c r="R10" s="162"/>
    </row>
    <row r="11">
      <c r="A11" s="156" t="s">
        <v>659</v>
      </c>
      <c r="B11" s="16" t="s">
        <v>660</v>
      </c>
      <c r="C11" s="86">
        <v>16.0</v>
      </c>
      <c r="D11" s="17">
        <v>7.0</v>
      </c>
      <c r="E11" s="158">
        <v>10.0</v>
      </c>
      <c r="F11" s="17"/>
      <c r="G11" s="20"/>
      <c r="H11" s="20"/>
      <c r="I11" s="20"/>
      <c r="J11" s="20"/>
      <c r="K11" s="21"/>
      <c r="L11" s="159">
        <v>138.0</v>
      </c>
      <c r="M11" s="160">
        <v>25.0</v>
      </c>
      <c r="N11" s="17"/>
      <c r="O11" s="17">
        <v>4.0</v>
      </c>
      <c r="P11" s="17">
        <v>150.0</v>
      </c>
      <c r="Q11" s="19">
        <f t="shared" si="1"/>
        <v>5.52</v>
      </c>
      <c r="R11" s="162"/>
      <c r="S11" s="156" t="s">
        <v>661</v>
      </c>
    </row>
    <row r="12">
      <c r="A12" s="156" t="s">
        <v>662</v>
      </c>
      <c r="B12" s="16" t="s">
        <v>663</v>
      </c>
      <c r="C12" s="86">
        <v>16.0</v>
      </c>
      <c r="D12" s="17">
        <v>6.0</v>
      </c>
      <c r="E12" s="158">
        <v>10.0</v>
      </c>
      <c r="F12" s="17"/>
      <c r="G12" s="20">
        <v>2.0</v>
      </c>
      <c r="H12" s="20"/>
      <c r="I12" s="20">
        <v>0.0</v>
      </c>
      <c r="J12" s="20"/>
      <c r="K12" s="21"/>
      <c r="L12" s="159">
        <v>1000.0</v>
      </c>
      <c r="M12" s="160">
        <v>200.0</v>
      </c>
      <c r="N12" s="17"/>
      <c r="O12" s="17">
        <v>60.0</v>
      </c>
      <c r="P12" s="17"/>
      <c r="Q12" s="19">
        <f t="shared" si="1"/>
        <v>5</v>
      </c>
      <c r="R12" s="162"/>
    </row>
    <row r="13">
      <c r="A13" s="156" t="s">
        <v>665</v>
      </c>
      <c r="B13" s="16" t="s">
        <v>666</v>
      </c>
      <c r="C13" s="17">
        <v>15.0</v>
      </c>
      <c r="D13" s="17">
        <v>24.1</v>
      </c>
      <c r="E13" s="158">
        <v>80.0</v>
      </c>
      <c r="F13" s="17"/>
      <c r="G13" s="20">
        <v>20.0</v>
      </c>
      <c r="H13" s="20"/>
      <c r="I13" s="20"/>
      <c r="J13" s="20"/>
      <c r="K13" s="21"/>
      <c r="L13" s="159">
        <v>350.0</v>
      </c>
      <c r="M13" s="160">
        <v>70.0</v>
      </c>
      <c r="N13" s="17">
        <v>50.0</v>
      </c>
      <c r="O13" s="17">
        <v>10.0</v>
      </c>
      <c r="P13" s="17"/>
      <c r="Q13" s="19">
        <f t="shared" si="1"/>
        <v>5</v>
      </c>
      <c r="R13" s="162"/>
      <c r="S13" s="156" t="s">
        <v>667</v>
      </c>
    </row>
    <row r="14">
      <c r="A14" s="156" t="s">
        <v>668</v>
      </c>
      <c r="B14" s="16" t="s">
        <v>669</v>
      </c>
      <c r="C14" s="86">
        <v>8.0</v>
      </c>
      <c r="D14" s="17">
        <v>15.0</v>
      </c>
      <c r="E14" s="158"/>
      <c r="F14" s="17"/>
      <c r="G14" s="20"/>
      <c r="H14" s="20"/>
      <c r="I14" s="20"/>
      <c r="J14" s="20"/>
      <c r="K14" s="21"/>
      <c r="L14" s="159">
        <v>200.0</v>
      </c>
      <c r="M14" s="160">
        <v>40.0</v>
      </c>
      <c r="N14" s="17"/>
      <c r="O14" s="17">
        <v>50.0</v>
      </c>
      <c r="P14" s="17"/>
      <c r="Q14" s="19">
        <f t="shared" si="1"/>
        <v>5</v>
      </c>
      <c r="R14" s="162"/>
      <c r="S14" s="156" t="s">
        <v>675</v>
      </c>
    </row>
    <row r="15">
      <c r="A15" s="156" t="s">
        <v>676</v>
      </c>
      <c r="B15" s="16" t="s">
        <v>677</v>
      </c>
      <c r="C15" s="17">
        <v>12.0</v>
      </c>
      <c r="D15" s="17">
        <v>16.0</v>
      </c>
      <c r="E15" s="158">
        <v>60.0</v>
      </c>
      <c r="F15" s="17"/>
      <c r="G15" s="20">
        <v>15.0</v>
      </c>
      <c r="H15" s="20"/>
      <c r="I15" s="20">
        <v>14.0</v>
      </c>
      <c r="J15" s="20"/>
      <c r="K15" s="21"/>
      <c r="L15" s="159">
        <v>180.0</v>
      </c>
      <c r="M15" s="160">
        <v>38.0</v>
      </c>
      <c r="N15" s="17">
        <v>33.0</v>
      </c>
      <c r="O15" s="17">
        <v>16.0</v>
      </c>
      <c r="P15" s="17"/>
      <c r="Q15" s="19">
        <f t="shared" si="1"/>
        <v>4.736842105</v>
      </c>
      <c r="R15" s="162"/>
    </row>
    <row r="16">
      <c r="A16" s="156" t="s">
        <v>679</v>
      </c>
      <c r="B16" s="16" t="s">
        <v>680</v>
      </c>
      <c r="C16" s="86">
        <v>12.0</v>
      </c>
      <c r="D16" s="17">
        <v>15.0</v>
      </c>
      <c r="E16" s="158"/>
      <c r="F16" s="17"/>
      <c r="G16" s="20"/>
      <c r="H16" s="20"/>
      <c r="I16" s="20"/>
      <c r="J16" s="20"/>
      <c r="K16" s="21"/>
      <c r="L16" s="159">
        <v>250.0</v>
      </c>
      <c r="M16" s="160">
        <v>54.0</v>
      </c>
      <c r="N16" s="17">
        <v>60.0</v>
      </c>
      <c r="O16" s="17">
        <v>47.0</v>
      </c>
      <c r="P16" s="17"/>
      <c r="Q16" s="19">
        <f t="shared" si="1"/>
        <v>4.62962963</v>
      </c>
      <c r="R16" s="162"/>
      <c r="S16" s="156" t="s">
        <v>683</v>
      </c>
    </row>
    <row r="17">
      <c r="A17" s="156" t="s">
        <v>684</v>
      </c>
      <c r="B17" s="16" t="s">
        <v>630</v>
      </c>
      <c r="C17" s="17">
        <v>8.0</v>
      </c>
      <c r="D17" s="17">
        <v>2.0</v>
      </c>
      <c r="E17" s="158"/>
      <c r="F17" s="17"/>
      <c r="G17" s="20"/>
      <c r="H17" s="20"/>
      <c r="I17" s="20"/>
      <c r="J17" s="20"/>
      <c r="K17" s="21"/>
      <c r="L17" s="159">
        <v>180.0</v>
      </c>
      <c r="M17" s="160">
        <v>40.0</v>
      </c>
      <c r="N17" s="17"/>
      <c r="O17" s="17">
        <v>20.0</v>
      </c>
      <c r="P17" s="17">
        <v>260.0</v>
      </c>
      <c r="Q17" s="19">
        <f t="shared" si="1"/>
        <v>4.5</v>
      </c>
      <c r="R17" s="162"/>
      <c r="S17" s="156" t="s">
        <v>686</v>
      </c>
    </row>
    <row r="18">
      <c r="A18" s="156" t="s">
        <v>687</v>
      </c>
      <c r="B18" s="16" t="s">
        <v>688</v>
      </c>
      <c r="C18" s="17">
        <v>8.0</v>
      </c>
      <c r="D18" s="17">
        <v>7.0</v>
      </c>
      <c r="E18" s="158">
        <v>5.0</v>
      </c>
      <c r="F18" s="17"/>
      <c r="G18" s="20">
        <v>1.0</v>
      </c>
      <c r="H18" s="20"/>
      <c r="I18" s="20"/>
      <c r="J18" s="20"/>
      <c r="K18" s="21"/>
      <c r="L18" s="159">
        <v>140.0</v>
      </c>
      <c r="M18" s="160">
        <v>33.0</v>
      </c>
      <c r="N18" s="17">
        <v>18.0</v>
      </c>
      <c r="O18" s="17">
        <v>5.0</v>
      </c>
      <c r="P18" s="17"/>
      <c r="Q18" s="19">
        <f t="shared" si="1"/>
        <v>4.242424242</v>
      </c>
      <c r="R18" s="162"/>
      <c r="S18" s="156" t="s">
        <v>692</v>
      </c>
    </row>
    <row r="19">
      <c r="A19" s="156" t="s">
        <v>655</v>
      </c>
      <c r="B19" s="171">
        <v>1000.0</v>
      </c>
      <c r="C19" s="86">
        <v>16.0</v>
      </c>
      <c r="D19" s="17">
        <v>20.0</v>
      </c>
      <c r="E19" s="158">
        <v>65.0</v>
      </c>
      <c r="F19" s="17"/>
      <c r="G19" s="20">
        <v>16.5</v>
      </c>
      <c r="H19" s="20"/>
      <c r="I19" s="20">
        <v>16.0</v>
      </c>
      <c r="J19" s="20"/>
      <c r="K19" s="21"/>
      <c r="L19" s="159">
        <v>500.0</v>
      </c>
      <c r="M19" s="160">
        <v>125.0</v>
      </c>
      <c r="N19" s="17">
        <v>24.0</v>
      </c>
      <c r="O19" s="17">
        <v>12.0</v>
      </c>
      <c r="P19" s="17"/>
      <c r="Q19" s="19">
        <f t="shared" si="1"/>
        <v>4</v>
      </c>
      <c r="R19" s="162"/>
    </row>
    <row r="20">
      <c r="A20" s="156" t="s">
        <v>694</v>
      </c>
      <c r="B20" s="16" t="s">
        <v>695</v>
      </c>
      <c r="C20" s="86">
        <v>16.0</v>
      </c>
      <c r="D20" s="17">
        <v>5.1</v>
      </c>
      <c r="E20" s="158">
        <v>10.0</v>
      </c>
      <c r="F20" s="17"/>
      <c r="G20" s="20">
        <v>1.0</v>
      </c>
      <c r="H20" s="20"/>
      <c r="I20" s="20"/>
      <c r="J20" s="20"/>
      <c r="K20" s="21"/>
      <c r="L20" s="159">
        <v>360.0</v>
      </c>
      <c r="M20" s="160">
        <v>100.0</v>
      </c>
      <c r="N20" s="17">
        <v>13.0</v>
      </c>
      <c r="O20" s="17">
        <v>25.0</v>
      </c>
      <c r="P20" s="17"/>
      <c r="Q20" s="19">
        <f t="shared" si="1"/>
        <v>3.6</v>
      </c>
      <c r="R20" s="162"/>
    </row>
    <row r="21" ht="15.75" customHeight="1">
      <c r="A21" s="156" t="s">
        <v>696</v>
      </c>
      <c r="B21" s="156" t="s">
        <v>697</v>
      </c>
      <c r="C21" s="163"/>
      <c r="D21" s="17"/>
      <c r="E21" s="158"/>
      <c r="F21" s="17"/>
      <c r="G21" s="20"/>
      <c r="H21" s="20"/>
      <c r="I21" s="20"/>
      <c r="J21" s="20"/>
      <c r="K21" s="21"/>
      <c r="L21" s="159">
        <v>190.0</v>
      </c>
      <c r="M21" s="160">
        <v>53.0</v>
      </c>
      <c r="N21" s="17">
        <v>14.0</v>
      </c>
      <c r="O21" s="17">
        <v>7.0</v>
      </c>
      <c r="P21" s="17">
        <v>50.0</v>
      </c>
      <c r="Q21" s="19">
        <f t="shared" si="1"/>
        <v>3.58490566</v>
      </c>
      <c r="R21" s="162"/>
      <c r="S21" s="156" t="s">
        <v>699</v>
      </c>
    </row>
    <row r="22" ht="15.75" customHeight="1">
      <c r="A22" s="156" t="s">
        <v>696</v>
      </c>
      <c r="B22" s="156" t="s">
        <v>700</v>
      </c>
      <c r="C22" s="163"/>
      <c r="D22" s="17"/>
      <c r="E22" s="158"/>
      <c r="F22" s="17"/>
      <c r="G22" s="20"/>
      <c r="H22" s="20"/>
      <c r="I22" s="20"/>
      <c r="J22" s="20"/>
      <c r="K22" s="21"/>
      <c r="L22" s="159">
        <v>190.0</v>
      </c>
      <c r="M22" s="160">
        <v>53.0</v>
      </c>
      <c r="N22" s="17">
        <v>14.0</v>
      </c>
      <c r="O22" s="17">
        <v>7.0</v>
      </c>
      <c r="P22" s="17">
        <v>50.0</v>
      </c>
      <c r="Q22" s="19">
        <f t="shared" si="1"/>
        <v>3.58490566</v>
      </c>
      <c r="R22" s="162">
        <v>30.0</v>
      </c>
      <c r="S22" s="156" t="s">
        <v>699</v>
      </c>
    </row>
    <row r="23" ht="15.75" customHeight="1">
      <c r="A23" s="156" t="s">
        <v>696</v>
      </c>
      <c r="B23" s="156" t="s">
        <v>705</v>
      </c>
      <c r="C23" s="86">
        <v>16.0</v>
      </c>
      <c r="D23" s="17">
        <v>6.0</v>
      </c>
      <c r="E23" s="158">
        <v>10.0</v>
      </c>
      <c r="F23" s="17"/>
      <c r="G23" s="20">
        <v>3.0</v>
      </c>
      <c r="H23" s="20"/>
      <c r="I23" s="20"/>
      <c r="J23" s="20"/>
      <c r="K23" s="21"/>
      <c r="L23" s="159">
        <v>430.0</v>
      </c>
      <c r="M23" s="160">
        <v>120.0</v>
      </c>
      <c r="N23" s="17">
        <v>44.0</v>
      </c>
      <c r="O23" s="17">
        <v>22.0</v>
      </c>
      <c r="P23" s="17">
        <v>110.0</v>
      </c>
      <c r="Q23" s="19">
        <f t="shared" si="1"/>
        <v>3.583333333</v>
      </c>
      <c r="R23" s="162"/>
    </row>
    <row r="24" ht="15.75" customHeight="1">
      <c r="A24" s="156" t="s">
        <v>696</v>
      </c>
      <c r="B24" s="165" t="s">
        <v>706</v>
      </c>
      <c r="C24" s="86">
        <v>17.0</v>
      </c>
      <c r="D24" s="17"/>
      <c r="E24" s="158"/>
      <c r="F24" s="17"/>
      <c r="G24" s="20"/>
      <c r="H24" s="20"/>
      <c r="I24" s="20"/>
      <c r="J24" s="20"/>
      <c r="K24" s="21"/>
      <c r="L24" s="159">
        <v>210.0</v>
      </c>
      <c r="M24" s="160">
        <v>60.0</v>
      </c>
      <c r="N24" s="17">
        <v>16.0</v>
      </c>
      <c r="O24" s="17">
        <v>8.0</v>
      </c>
      <c r="P24" s="17">
        <v>28.0</v>
      </c>
      <c r="Q24" s="19">
        <f t="shared" si="1"/>
        <v>3.5</v>
      </c>
      <c r="R24" s="162"/>
    </row>
    <row r="25" ht="15.75" customHeight="1">
      <c r="A25" s="156" t="s">
        <v>708</v>
      </c>
      <c r="B25" s="156" t="s">
        <v>709</v>
      </c>
      <c r="C25" s="86">
        <v>24.0</v>
      </c>
      <c r="D25" s="17">
        <v>54.0</v>
      </c>
      <c r="E25" s="158">
        <v>200.0</v>
      </c>
      <c r="F25" s="17"/>
      <c r="G25" s="20">
        <v>50.0</v>
      </c>
      <c r="H25" s="20"/>
      <c r="I25" s="20">
        <v>50.0</v>
      </c>
      <c r="J25" s="20"/>
      <c r="K25" s="21"/>
      <c r="L25" s="159">
        <v>606.0</v>
      </c>
      <c r="M25" s="160">
        <v>176.0</v>
      </c>
      <c r="N25" s="17">
        <v>52.0</v>
      </c>
      <c r="O25" s="17">
        <v>28.0</v>
      </c>
      <c r="P25" s="17"/>
      <c r="Q25" s="19">
        <f t="shared" si="1"/>
        <v>3.443181818</v>
      </c>
      <c r="R25" s="162"/>
    </row>
    <row r="26" ht="15.75" customHeight="1">
      <c r="A26" s="156" t="s">
        <v>708</v>
      </c>
      <c r="B26" s="156" t="s">
        <v>710</v>
      </c>
      <c r="C26" s="86">
        <v>24.0</v>
      </c>
      <c r="D26" s="17">
        <v>54.0</v>
      </c>
      <c r="E26" s="158">
        <v>200.0</v>
      </c>
      <c r="F26" s="17"/>
      <c r="G26" s="20">
        <v>50.0</v>
      </c>
      <c r="H26" s="20"/>
      <c r="I26" s="20">
        <v>50.0</v>
      </c>
      <c r="J26" s="20"/>
      <c r="K26" s="21"/>
      <c r="L26" s="159">
        <v>606.0</v>
      </c>
      <c r="M26" s="160">
        <v>176.0</v>
      </c>
      <c r="N26" s="17">
        <v>52.0</v>
      </c>
      <c r="O26" s="17">
        <v>28.0</v>
      </c>
      <c r="P26" s="17"/>
      <c r="Q26" s="19">
        <f t="shared" si="1"/>
        <v>3.443181818</v>
      </c>
      <c r="R26" s="162">
        <v>70.0</v>
      </c>
    </row>
    <row r="27" ht="15.75" customHeight="1">
      <c r="A27" s="156" t="s">
        <v>696</v>
      </c>
      <c r="B27" s="156" t="s">
        <v>711</v>
      </c>
      <c r="C27" s="163"/>
      <c r="D27" s="17"/>
      <c r="E27" s="158"/>
      <c r="F27" s="17"/>
      <c r="G27" s="20"/>
      <c r="H27" s="20"/>
      <c r="I27" s="20"/>
      <c r="J27" s="20"/>
      <c r="K27" s="21"/>
      <c r="L27" s="159">
        <v>215.0</v>
      </c>
      <c r="M27" s="160">
        <v>63.0</v>
      </c>
      <c r="N27" s="17">
        <v>22.0</v>
      </c>
      <c r="O27" s="17">
        <v>11.0</v>
      </c>
      <c r="P27" s="17">
        <v>350.0</v>
      </c>
      <c r="Q27" s="19">
        <f t="shared" si="1"/>
        <v>3.412698413</v>
      </c>
      <c r="R27" s="162"/>
      <c r="S27" s="156" t="s">
        <v>699</v>
      </c>
    </row>
    <row r="28" ht="15.75" customHeight="1">
      <c r="A28" s="156" t="s">
        <v>665</v>
      </c>
      <c r="B28" s="16" t="s">
        <v>714</v>
      </c>
      <c r="C28" s="17">
        <v>12.0</v>
      </c>
      <c r="D28" s="17">
        <v>5.6</v>
      </c>
      <c r="E28" s="158"/>
      <c r="F28" s="17"/>
      <c r="G28" s="20"/>
      <c r="H28" s="20"/>
      <c r="I28" s="20"/>
      <c r="J28" s="20"/>
      <c r="K28" s="21"/>
      <c r="L28" s="159">
        <v>500.0</v>
      </c>
      <c r="M28" s="160">
        <v>150.0</v>
      </c>
      <c r="N28" s="17">
        <v>100.0</v>
      </c>
      <c r="O28" s="17">
        <v>20.0</v>
      </c>
      <c r="P28" s="17">
        <v>460.0</v>
      </c>
      <c r="Q28" s="19">
        <f t="shared" si="1"/>
        <v>3.333333333</v>
      </c>
      <c r="R28" s="162"/>
      <c r="S28" s="156" t="s">
        <v>715</v>
      </c>
    </row>
    <row r="29" ht="15.75" customHeight="1">
      <c r="A29" s="156" t="s">
        <v>696</v>
      </c>
      <c r="B29" s="156" t="s">
        <v>716</v>
      </c>
      <c r="C29" s="163"/>
      <c r="D29" s="17">
        <v>3.1</v>
      </c>
      <c r="E29" s="158">
        <v>10.0</v>
      </c>
      <c r="F29" s="17"/>
      <c r="G29" s="20">
        <v>2.0</v>
      </c>
      <c r="H29" s="20"/>
      <c r="I29" s="20">
        <v>2.0</v>
      </c>
      <c r="J29" s="20"/>
      <c r="K29" s="21"/>
      <c r="L29" s="159">
        <v>100.0</v>
      </c>
      <c r="M29" s="160">
        <v>30.0</v>
      </c>
      <c r="N29" s="17">
        <v>10.0</v>
      </c>
      <c r="O29" s="17">
        <v>6.0</v>
      </c>
      <c r="P29" s="17"/>
      <c r="Q29" s="19">
        <f t="shared" si="1"/>
        <v>3.333333333</v>
      </c>
      <c r="R29" s="162"/>
    </row>
    <row r="30" ht="15.75" customHeight="1">
      <c r="A30" s="156" t="s">
        <v>717</v>
      </c>
      <c r="B30" s="156" t="s">
        <v>718</v>
      </c>
      <c r="C30" s="86">
        <v>20.0</v>
      </c>
      <c r="D30" s="17">
        <v>35.0</v>
      </c>
      <c r="E30" s="158">
        <v>130.0</v>
      </c>
      <c r="F30" s="17"/>
      <c r="G30" s="20">
        <v>34.0</v>
      </c>
      <c r="H30" s="20"/>
      <c r="I30" s="20">
        <v>32.0</v>
      </c>
      <c r="J30" s="20"/>
      <c r="K30" s="21"/>
      <c r="L30" s="159">
        <v>230.0</v>
      </c>
      <c r="M30" s="160">
        <v>70.0</v>
      </c>
      <c r="N30" s="17"/>
      <c r="O30" s="17"/>
      <c r="P30" s="17"/>
      <c r="Q30" s="19">
        <f t="shared" si="1"/>
        <v>3.285714286</v>
      </c>
      <c r="R30" s="162"/>
    </row>
    <row r="31" ht="15.75" customHeight="1">
      <c r="A31" s="156" t="s">
        <v>717</v>
      </c>
      <c r="B31" s="156" t="s">
        <v>719</v>
      </c>
      <c r="C31" s="86">
        <v>20.0</v>
      </c>
      <c r="D31" s="17">
        <v>3.0</v>
      </c>
      <c r="E31" s="158">
        <v>5.0</v>
      </c>
      <c r="F31" s="17"/>
      <c r="G31" s="20"/>
      <c r="H31" s="20"/>
      <c r="I31" s="20"/>
      <c r="J31" s="20"/>
      <c r="K31" s="21"/>
      <c r="L31" s="159">
        <v>230.0</v>
      </c>
      <c r="M31" s="160">
        <v>70.0</v>
      </c>
      <c r="N31" s="17"/>
      <c r="O31" s="17"/>
      <c r="P31" s="17"/>
      <c r="Q31" s="19">
        <f t="shared" si="1"/>
        <v>3.285714286</v>
      </c>
      <c r="R31" s="162"/>
    </row>
    <row r="32" ht="15.75" customHeight="1">
      <c r="A32" s="156" t="s">
        <v>722</v>
      </c>
      <c r="B32" s="16" t="s">
        <v>723</v>
      </c>
      <c r="C32" s="86">
        <v>16.9</v>
      </c>
      <c r="D32" s="17">
        <v>2.4</v>
      </c>
      <c r="E32" s="158"/>
      <c r="F32" s="17"/>
      <c r="G32" s="20"/>
      <c r="H32" s="20"/>
      <c r="I32" s="20"/>
      <c r="J32" s="20"/>
      <c r="K32" s="21"/>
      <c r="L32" s="159">
        <v>210.0</v>
      </c>
      <c r="M32" s="160">
        <v>65.0</v>
      </c>
      <c r="N32" s="17"/>
      <c r="O32" s="17"/>
      <c r="P32" s="17"/>
      <c r="Q32" s="19">
        <f t="shared" si="1"/>
        <v>3.230769231</v>
      </c>
      <c r="R32" s="162"/>
      <c r="S32" s="156" t="s">
        <v>724</v>
      </c>
    </row>
    <row r="33" ht="15.75" customHeight="1">
      <c r="A33" s="156" t="s">
        <v>725</v>
      </c>
      <c r="B33" s="16" t="s">
        <v>726</v>
      </c>
      <c r="C33" s="86">
        <v>16.0</v>
      </c>
      <c r="D33" s="17">
        <v>3.0</v>
      </c>
      <c r="E33" s="158"/>
      <c r="F33" s="17"/>
      <c r="G33" s="20"/>
      <c r="H33" s="20"/>
      <c r="I33" s="20"/>
      <c r="J33" s="20"/>
      <c r="K33" s="21"/>
      <c r="L33" s="159">
        <v>300.0</v>
      </c>
      <c r="M33" s="160">
        <v>94.0</v>
      </c>
      <c r="N33" s="17">
        <v>20.0</v>
      </c>
      <c r="O33" s="17">
        <v>60.0</v>
      </c>
      <c r="P33" s="17"/>
      <c r="Q33" s="19">
        <f t="shared" si="1"/>
        <v>3.191489362</v>
      </c>
      <c r="R33" s="162"/>
    </row>
    <row r="34" ht="15.75" customHeight="1">
      <c r="A34" s="156" t="s">
        <v>727</v>
      </c>
      <c r="B34" s="16" t="s">
        <v>728</v>
      </c>
      <c r="C34" s="86">
        <v>16.0</v>
      </c>
      <c r="D34" s="17">
        <v>5.6</v>
      </c>
      <c r="E34" s="158">
        <v>15.0</v>
      </c>
      <c r="F34" s="17"/>
      <c r="G34" s="20">
        <v>1.0</v>
      </c>
      <c r="H34" s="20"/>
      <c r="I34" s="20"/>
      <c r="J34" s="20"/>
      <c r="K34" s="21"/>
      <c r="L34" s="159">
        <v>220.0</v>
      </c>
      <c r="M34" s="160">
        <v>70.0</v>
      </c>
      <c r="N34" s="17"/>
      <c r="O34" s="17"/>
      <c r="P34" s="17"/>
      <c r="Q34" s="19">
        <f t="shared" si="1"/>
        <v>3.142857143</v>
      </c>
      <c r="R34" s="162"/>
      <c r="S34" s="156" t="s">
        <v>731</v>
      </c>
    </row>
    <row r="35" ht="15.75" customHeight="1">
      <c r="A35" s="156" t="s">
        <v>732</v>
      </c>
      <c r="B35" s="16" t="s">
        <v>733</v>
      </c>
      <c r="C35" s="86">
        <v>8.0</v>
      </c>
      <c r="D35" s="17">
        <v>11.0</v>
      </c>
      <c r="E35" s="158"/>
      <c r="F35" s="17"/>
      <c r="G35" s="20"/>
      <c r="H35" s="20"/>
      <c r="I35" s="20"/>
      <c r="J35" s="20"/>
      <c r="K35" s="21"/>
      <c r="L35" s="159">
        <v>110.0</v>
      </c>
      <c r="M35" s="160">
        <v>35.0</v>
      </c>
      <c r="N35" s="17"/>
      <c r="O35" s="17"/>
      <c r="P35" s="17">
        <v>172.0</v>
      </c>
      <c r="Q35" s="19">
        <f t="shared" si="1"/>
        <v>3.142857143</v>
      </c>
      <c r="R35" s="162"/>
      <c r="S35" s="156" t="s">
        <v>734</v>
      </c>
    </row>
    <row r="36" ht="15.75" customHeight="1">
      <c r="A36" s="156" t="s">
        <v>735</v>
      </c>
      <c r="B36" s="16" t="s">
        <v>663</v>
      </c>
      <c r="C36" s="86">
        <v>8.0</v>
      </c>
      <c r="D36" s="17">
        <v>7.0</v>
      </c>
      <c r="E36" s="158">
        <v>20.0</v>
      </c>
      <c r="F36" s="17"/>
      <c r="G36" s="20">
        <v>5.0</v>
      </c>
      <c r="H36" s="20"/>
      <c r="I36" s="20">
        <v>4.0</v>
      </c>
      <c r="J36" s="20"/>
      <c r="K36" s="21"/>
      <c r="L36" s="159">
        <v>300.0</v>
      </c>
      <c r="M36" s="160">
        <v>100.0</v>
      </c>
      <c r="N36" s="17">
        <v>32.0</v>
      </c>
      <c r="O36" s="17">
        <v>16.0</v>
      </c>
      <c r="P36" s="17"/>
      <c r="Q36" s="19">
        <f t="shared" si="1"/>
        <v>3</v>
      </c>
      <c r="R36" s="162"/>
    </row>
    <row r="37" ht="15.75" customHeight="1">
      <c r="A37" s="156" t="s">
        <v>736</v>
      </c>
      <c r="B37" s="16" t="s">
        <v>737</v>
      </c>
      <c r="C37" s="163"/>
      <c r="D37" s="17">
        <v>4.5</v>
      </c>
      <c r="E37" s="158">
        <v>8.0</v>
      </c>
      <c r="F37" s="17"/>
      <c r="G37" s="20"/>
      <c r="H37" s="20"/>
      <c r="I37" s="20"/>
      <c r="J37" s="20"/>
      <c r="K37" s="21"/>
      <c r="L37" s="159">
        <v>300.0</v>
      </c>
      <c r="M37" s="160">
        <v>100.0</v>
      </c>
      <c r="N37" s="17">
        <v>30.0</v>
      </c>
      <c r="O37" s="17">
        <v>50.0</v>
      </c>
      <c r="P37" s="17"/>
      <c r="Q37" s="19">
        <f t="shared" si="1"/>
        <v>3</v>
      </c>
      <c r="R37" s="162"/>
      <c r="S37" s="156" t="s">
        <v>738</v>
      </c>
    </row>
    <row r="38" ht="15.75" customHeight="1">
      <c r="A38" s="156" t="s">
        <v>717</v>
      </c>
      <c r="B38" s="156" t="s">
        <v>739</v>
      </c>
      <c r="C38" s="86">
        <v>20.0</v>
      </c>
      <c r="D38" s="17">
        <v>15.0</v>
      </c>
      <c r="E38" s="158">
        <v>45.0</v>
      </c>
      <c r="F38" s="17"/>
      <c r="G38" s="20">
        <v>2.0</v>
      </c>
      <c r="H38" s="20"/>
      <c r="I38" s="20">
        <v>0.0</v>
      </c>
      <c r="J38" s="20"/>
      <c r="K38" s="21">
        <v>10.0</v>
      </c>
      <c r="L38" s="159">
        <v>230.0</v>
      </c>
      <c r="M38" s="160">
        <v>80.0</v>
      </c>
      <c r="N38" s="17"/>
      <c r="O38" s="17"/>
      <c r="P38" s="17"/>
      <c r="Q38" s="19">
        <f t="shared" si="1"/>
        <v>2.875</v>
      </c>
      <c r="R38" s="162"/>
    </row>
    <row r="39" ht="15.75" customHeight="1">
      <c r="A39" s="156" t="s">
        <v>643</v>
      </c>
      <c r="B39" s="16" t="s">
        <v>740</v>
      </c>
      <c r="C39" s="86">
        <v>20.0</v>
      </c>
      <c r="D39" s="17">
        <v>20.0</v>
      </c>
      <c r="E39" s="158">
        <v>70.0</v>
      </c>
      <c r="F39" s="17"/>
      <c r="G39" s="20">
        <v>17.0</v>
      </c>
      <c r="H39" s="20"/>
      <c r="I39" s="20">
        <v>17.0</v>
      </c>
      <c r="J39" s="20"/>
      <c r="K39" s="21"/>
      <c r="L39" s="159">
        <v>260.0</v>
      </c>
      <c r="M39" s="160">
        <v>96.0</v>
      </c>
      <c r="N39" s="17">
        <v>95.0</v>
      </c>
      <c r="O39" s="17">
        <v>29.0</v>
      </c>
      <c r="P39" s="17"/>
      <c r="Q39" s="19">
        <f t="shared" si="1"/>
        <v>2.708333333</v>
      </c>
      <c r="R39" s="162"/>
      <c r="S39" s="156" t="s">
        <v>743</v>
      </c>
    </row>
    <row r="40" ht="15.75" customHeight="1">
      <c r="A40" s="156" t="s">
        <v>744</v>
      </c>
      <c r="B40" s="16" t="s">
        <v>745</v>
      </c>
      <c r="C40" s="86">
        <v>16.0</v>
      </c>
      <c r="D40" s="17"/>
      <c r="E40" s="158">
        <v>10.0</v>
      </c>
      <c r="F40" s="17"/>
      <c r="G40" s="20"/>
      <c r="H40" s="20"/>
      <c r="I40" s="20"/>
      <c r="J40" s="20"/>
      <c r="K40" s="21"/>
      <c r="L40" s="159">
        <v>262.0</v>
      </c>
      <c r="M40" s="160">
        <v>100.0</v>
      </c>
      <c r="N40" s="17"/>
      <c r="O40" s="17">
        <v>10.0</v>
      </c>
      <c r="P40" s="17">
        <v>40.0</v>
      </c>
      <c r="Q40" s="19">
        <f t="shared" si="1"/>
        <v>2.62</v>
      </c>
      <c r="R40" s="162"/>
      <c r="S40" s="156" t="s">
        <v>746</v>
      </c>
    </row>
    <row r="41" ht="15.75" customHeight="1">
      <c r="A41" s="156" t="s">
        <v>617</v>
      </c>
      <c r="B41" s="16" t="s">
        <v>747</v>
      </c>
      <c r="C41" s="86">
        <v>12.0</v>
      </c>
      <c r="D41" s="17">
        <v>21.0</v>
      </c>
      <c r="E41" s="158">
        <v>70.0</v>
      </c>
      <c r="F41" s="17"/>
      <c r="G41" s="20">
        <v>17.0</v>
      </c>
      <c r="H41" s="20"/>
      <c r="I41" s="20">
        <v>15.0</v>
      </c>
      <c r="J41" s="20"/>
      <c r="K41" s="21"/>
      <c r="L41" s="159">
        <v>710.0</v>
      </c>
      <c r="M41" s="160">
        <v>282.0</v>
      </c>
      <c r="N41" s="17"/>
      <c r="O41" s="17"/>
      <c r="P41" s="17"/>
      <c r="Q41" s="19">
        <f t="shared" si="1"/>
        <v>2.517730496</v>
      </c>
      <c r="R41" s="162"/>
      <c r="S41" s="156" t="s">
        <v>748</v>
      </c>
    </row>
    <row r="42" ht="15.75" customHeight="1">
      <c r="A42" s="156" t="s">
        <v>749</v>
      </c>
      <c r="B42" s="16" t="s">
        <v>750</v>
      </c>
      <c r="C42" s="86">
        <v>32.0</v>
      </c>
      <c r="D42" s="17">
        <v>2.5</v>
      </c>
      <c r="E42" s="158"/>
      <c r="F42" s="17"/>
      <c r="G42" s="20"/>
      <c r="H42" s="20"/>
      <c r="I42" s="20"/>
      <c r="J42" s="20"/>
      <c r="K42" s="21"/>
      <c r="L42" s="159">
        <v>750.0</v>
      </c>
      <c r="M42" s="160">
        <v>300.0</v>
      </c>
      <c r="N42" s="17"/>
      <c r="O42" s="17">
        <v>150.0</v>
      </c>
      <c r="P42" s="17"/>
      <c r="Q42" s="19">
        <f t="shared" si="1"/>
        <v>2.5</v>
      </c>
      <c r="R42" s="162"/>
      <c r="S42" s="156" t="s">
        <v>753</v>
      </c>
    </row>
    <row r="43" ht="15.75" customHeight="1">
      <c r="A43" s="156" t="s">
        <v>754</v>
      </c>
      <c r="B43" s="16" t="s">
        <v>755</v>
      </c>
      <c r="C43" s="86">
        <v>10.0</v>
      </c>
      <c r="D43" s="17">
        <v>9.5</v>
      </c>
      <c r="E43" s="158">
        <v>5.0</v>
      </c>
      <c r="F43" s="17"/>
      <c r="G43" s="20">
        <v>1.0</v>
      </c>
      <c r="H43" s="20"/>
      <c r="I43" s="20"/>
      <c r="J43" s="20"/>
      <c r="K43" s="21"/>
      <c r="L43" s="159">
        <v>110.0</v>
      </c>
      <c r="M43" s="160">
        <v>45.0</v>
      </c>
      <c r="N43" s="17"/>
      <c r="O43" s="17">
        <v>60.0</v>
      </c>
      <c r="P43" s="17">
        <v>190.0</v>
      </c>
      <c r="Q43" s="19">
        <f t="shared" si="1"/>
        <v>2.444444444</v>
      </c>
      <c r="R43" s="162">
        <v>100.0</v>
      </c>
      <c r="S43" s="156" t="s">
        <v>756</v>
      </c>
    </row>
    <row r="44" ht="15.75" customHeight="1">
      <c r="A44" s="156" t="s">
        <v>643</v>
      </c>
      <c r="B44" s="16" t="s">
        <v>757</v>
      </c>
      <c r="C44" s="86">
        <v>16.0</v>
      </c>
      <c r="D44" s="17">
        <v>20.0</v>
      </c>
      <c r="E44" s="158">
        <v>70.0</v>
      </c>
      <c r="F44" s="17"/>
      <c r="G44" s="20">
        <v>17.0</v>
      </c>
      <c r="H44" s="20"/>
      <c r="I44" s="20">
        <v>17.0</v>
      </c>
      <c r="J44" s="20"/>
      <c r="K44" s="21"/>
      <c r="L44" s="159">
        <v>270.0</v>
      </c>
      <c r="M44" s="160">
        <v>114.0</v>
      </c>
      <c r="N44" s="17">
        <v>78.0</v>
      </c>
      <c r="O44" s="17">
        <v>25.0</v>
      </c>
      <c r="P44" s="17"/>
      <c r="Q44" s="19">
        <f t="shared" si="1"/>
        <v>2.368421053</v>
      </c>
      <c r="R44" s="162"/>
      <c r="S44" s="156" t="s">
        <v>758</v>
      </c>
    </row>
    <row r="45" ht="15.75" customHeight="1">
      <c r="A45" s="156" t="s">
        <v>717</v>
      </c>
      <c r="B45" s="156" t="s">
        <v>759</v>
      </c>
      <c r="C45" s="86">
        <v>24.0</v>
      </c>
      <c r="D45" s="17">
        <v>49.0</v>
      </c>
      <c r="E45" s="158">
        <v>180.0</v>
      </c>
      <c r="F45" s="17"/>
      <c r="G45" s="20">
        <v>45.0</v>
      </c>
      <c r="H45" s="20"/>
      <c r="I45" s="20">
        <v>27.0</v>
      </c>
      <c r="J45" s="20"/>
      <c r="K45" s="21"/>
      <c r="L45" s="159">
        <v>610.0</v>
      </c>
      <c r="M45" s="160">
        <v>280.0</v>
      </c>
      <c r="N45" s="17">
        <v>50.0</v>
      </c>
      <c r="O45" s="17">
        <v>10.0</v>
      </c>
      <c r="P45" s="17"/>
      <c r="Q45" s="19">
        <f t="shared" si="1"/>
        <v>2.178571429</v>
      </c>
      <c r="R45" s="162"/>
    </row>
    <row r="46" ht="15.75" customHeight="1">
      <c r="A46" s="156" t="s">
        <v>634</v>
      </c>
      <c r="B46" s="165" t="s">
        <v>763</v>
      </c>
      <c r="C46" s="86">
        <v>8.0</v>
      </c>
      <c r="D46" s="17"/>
      <c r="E46" s="158"/>
      <c r="F46" s="17"/>
      <c r="G46" s="20"/>
      <c r="H46" s="20"/>
      <c r="I46" s="20"/>
      <c r="J46" s="20"/>
      <c r="K46" s="21"/>
      <c r="L46" s="159">
        <v>75.0</v>
      </c>
      <c r="M46" s="160">
        <v>35.0</v>
      </c>
      <c r="N46" s="17"/>
      <c r="O46" s="17"/>
      <c r="P46" s="17"/>
      <c r="Q46" s="19">
        <f t="shared" si="1"/>
        <v>2.142857143</v>
      </c>
      <c r="R46" s="162"/>
      <c r="S46" s="156" t="s">
        <v>764</v>
      </c>
    </row>
    <row r="47" ht="15.75" customHeight="1">
      <c r="A47" s="156" t="s">
        <v>634</v>
      </c>
      <c r="B47" s="165" t="s">
        <v>765</v>
      </c>
      <c r="C47" s="86">
        <v>8.0</v>
      </c>
      <c r="D47" s="17"/>
      <c r="E47" s="158"/>
      <c r="F47" s="17"/>
      <c r="G47" s="20"/>
      <c r="H47" s="20"/>
      <c r="I47" s="20"/>
      <c r="J47" s="20"/>
      <c r="K47" s="21"/>
      <c r="L47" s="159">
        <v>75.0</v>
      </c>
      <c r="M47" s="160">
        <v>35.0</v>
      </c>
      <c r="N47" s="17"/>
      <c r="O47" s="17"/>
      <c r="P47" s="17"/>
      <c r="Q47" s="19">
        <f t="shared" si="1"/>
        <v>2.142857143</v>
      </c>
      <c r="R47" s="162"/>
      <c r="S47" s="156" t="s">
        <v>637</v>
      </c>
    </row>
    <row r="48" ht="15.75" customHeight="1">
      <c r="A48" s="156" t="s">
        <v>766</v>
      </c>
      <c r="B48" s="16" t="s">
        <v>767</v>
      </c>
      <c r="C48" s="86">
        <v>16.0</v>
      </c>
      <c r="D48" s="17">
        <v>2.8</v>
      </c>
      <c r="E48" s="158">
        <v>5.0</v>
      </c>
      <c r="F48" s="17"/>
      <c r="G48" s="20">
        <v>2.0</v>
      </c>
      <c r="H48" s="20"/>
      <c r="I48" s="20"/>
      <c r="J48" s="20"/>
      <c r="K48" s="21"/>
      <c r="L48" s="159">
        <v>250.0</v>
      </c>
      <c r="M48" s="160">
        <v>120.0</v>
      </c>
      <c r="N48" s="17">
        <v>50.0</v>
      </c>
      <c r="O48" s="17">
        <v>20.0</v>
      </c>
      <c r="P48" s="17"/>
      <c r="Q48" s="19">
        <f t="shared" si="1"/>
        <v>2.083333333</v>
      </c>
      <c r="R48" s="162"/>
      <c r="S48" s="156" t="s">
        <v>770</v>
      </c>
    </row>
    <row r="49" ht="15.75" customHeight="1">
      <c r="A49" s="156" t="s">
        <v>771</v>
      </c>
      <c r="B49" s="16" t="s">
        <v>772</v>
      </c>
      <c r="C49" s="86">
        <v>16.0</v>
      </c>
      <c r="D49" s="17">
        <v>6.5</v>
      </c>
      <c r="E49" s="158">
        <v>5.0</v>
      </c>
      <c r="F49" s="17"/>
      <c r="G49" s="20"/>
      <c r="H49" s="20"/>
      <c r="I49" s="20"/>
      <c r="J49" s="20"/>
      <c r="K49" s="21"/>
      <c r="L49" s="159">
        <v>810.0</v>
      </c>
      <c r="M49" s="160">
        <v>400.0</v>
      </c>
      <c r="N49" s="17">
        <v>60.0</v>
      </c>
      <c r="O49" s="17">
        <v>50.0</v>
      </c>
      <c r="P49" s="17">
        <v>1280.0</v>
      </c>
      <c r="Q49" s="19">
        <f t="shared" si="1"/>
        <v>2.025</v>
      </c>
      <c r="R49" s="162"/>
      <c r="S49" s="156" t="s">
        <v>773</v>
      </c>
    </row>
    <row r="50" ht="15.75" customHeight="1">
      <c r="A50" s="156" t="s">
        <v>774</v>
      </c>
      <c r="B50" s="16" t="s">
        <v>775</v>
      </c>
      <c r="C50" s="86">
        <v>16.0</v>
      </c>
      <c r="D50" s="17">
        <v>5.5</v>
      </c>
      <c r="E50" s="158">
        <v>15.0</v>
      </c>
      <c r="F50" s="17"/>
      <c r="G50" s="20">
        <v>4.0</v>
      </c>
      <c r="H50" s="20"/>
      <c r="I50" s="20">
        <v>1.0</v>
      </c>
      <c r="J50" s="20"/>
      <c r="K50" s="21"/>
      <c r="L50" s="159">
        <v>300.0</v>
      </c>
      <c r="M50" s="160">
        <v>150.0</v>
      </c>
      <c r="N50" s="17">
        <v>13.0</v>
      </c>
      <c r="O50" s="17">
        <v>25.0</v>
      </c>
      <c r="P50" s="17">
        <v>40.0</v>
      </c>
      <c r="Q50" s="19">
        <f t="shared" si="1"/>
        <v>2</v>
      </c>
      <c r="R50" s="162"/>
    </row>
    <row r="51" ht="15.75" customHeight="1">
      <c r="A51" s="156" t="s">
        <v>655</v>
      </c>
      <c r="B51" s="16" t="s">
        <v>776</v>
      </c>
      <c r="C51" s="86">
        <v>16.0</v>
      </c>
      <c r="D51" s="17"/>
      <c r="E51" s="158"/>
      <c r="F51" s="17"/>
      <c r="G51" s="20"/>
      <c r="H51" s="20"/>
      <c r="I51" s="20"/>
      <c r="J51" s="20"/>
      <c r="K51" s="21"/>
      <c r="L51" s="159">
        <v>250.0</v>
      </c>
      <c r="M51" s="160">
        <v>125.0</v>
      </c>
      <c r="N51" s="17"/>
      <c r="O51" s="17"/>
      <c r="P51" s="17"/>
      <c r="Q51" s="19">
        <f t="shared" si="1"/>
        <v>2</v>
      </c>
      <c r="R51" s="162"/>
    </row>
    <row r="52" ht="15.75" customHeight="1">
      <c r="A52" s="156" t="s">
        <v>717</v>
      </c>
      <c r="B52" s="156" t="s">
        <v>777</v>
      </c>
      <c r="C52" s="86">
        <v>20.0</v>
      </c>
      <c r="D52" s="17">
        <v>3.4</v>
      </c>
      <c r="E52" s="158"/>
      <c r="F52" s="17"/>
      <c r="G52" s="20"/>
      <c r="H52" s="20"/>
      <c r="I52" s="20"/>
      <c r="J52" s="20"/>
      <c r="K52" s="21"/>
      <c r="L52" s="159">
        <v>780.0</v>
      </c>
      <c r="M52" s="160">
        <v>400.0</v>
      </c>
      <c r="N52" s="17">
        <v>80.0</v>
      </c>
      <c r="O52" s="17">
        <v>40.0</v>
      </c>
      <c r="P52" s="17"/>
      <c r="Q52" s="19">
        <f t="shared" si="1"/>
        <v>1.95</v>
      </c>
      <c r="R52" s="162"/>
    </row>
    <row r="53" ht="15.75" customHeight="1">
      <c r="A53" s="156" t="s">
        <v>774</v>
      </c>
      <c r="B53" s="16" t="s">
        <v>780</v>
      </c>
      <c r="C53" s="86">
        <v>16.0</v>
      </c>
      <c r="D53" s="17">
        <v>19.0</v>
      </c>
      <c r="E53" s="158">
        <v>60.0</v>
      </c>
      <c r="F53" s="17"/>
      <c r="G53" s="20">
        <v>16.0</v>
      </c>
      <c r="H53" s="20"/>
      <c r="I53" s="20">
        <v>15.0</v>
      </c>
      <c r="J53" s="20"/>
      <c r="K53" s="21"/>
      <c r="L53" s="159">
        <v>380.0</v>
      </c>
      <c r="M53" s="160">
        <v>200.0</v>
      </c>
      <c r="N53" s="17">
        <v>15.0</v>
      </c>
      <c r="O53" s="17">
        <v>20.0</v>
      </c>
      <c r="P53" s="17">
        <v>80.0</v>
      </c>
      <c r="Q53" s="19">
        <f t="shared" si="1"/>
        <v>1.9</v>
      </c>
      <c r="R53" s="162"/>
    </row>
    <row r="54" ht="15.75" customHeight="1">
      <c r="A54" s="156" t="s">
        <v>782</v>
      </c>
      <c r="B54" s="16" t="s">
        <v>783</v>
      </c>
      <c r="C54" s="86">
        <v>8.0</v>
      </c>
      <c r="D54" s="17">
        <v>5.9</v>
      </c>
      <c r="E54" s="158">
        <v>10.0</v>
      </c>
      <c r="F54" s="17"/>
      <c r="G54" s="20">
        <v>4.0</v>
      </c>
      <c r="H54" s="20"/>
      <c r="I54" s="20"/>
      <c r="J54" s="20"/>
      <c r="K54" s="21"/>
      <c r="L54" s="159">
        <v>380.0</v>
      </c>
      <c r="M54" s="160">
        <v>210.0</v>
      </c>
      <c r="N54" s="17">
        <v>30.0</v>
      </c>
      <c r="O54" s="17">
        <v>20.0</v>
      </c>
      <c r="P54" s="17"/>
      <c r="Q54" s="19">
        <f t="shared" si="1"/>
        <v>1.80952381</v>
      </c>
      <c r="R54" s="162"/>
      <c r="S54" s="156" t="s">
        <v>784</v>
      </c>
    </row>
    <row r="55" ht="15.75" customHeight="1">
      <c r="A55" s="156" t="s">
        <v>785</v>
      </c>
      <c r="B55" s="156" t="s">
        <v>786</v>
      </c>
      <c r="C55" s="86">
        <v>7.0</v>
      </c>
      <c r="D55" s="17">
        <v>7.0</v>
      </c>
      <c r="E55" s="158">
        <v>20.0</v>
      </c>
      <c r="F55" s="17"/>
      <c r="G55" s="20">
        <v>3.0</v>
      </c>
      <c r="H55" s="20"/>
      <c r="I55" s="20">
        <v>3.0</v>
      </c>
      <c r="J55" s="20"/>
      <c r="K55" s="21"/>
      <c r="L55" s="159">
        <v>250.0</v>
      </c>
      <c r="M55" s="160">
        <v>140.0</v>
      </c>
      <c r="N55" s="17"/>
      <c r="O55" s="17">
        <v>9.0</v>
      </c>
      <c r="P55" s="17">
        <v>220.0</v>
      </c>
      <c r="Q55" s="19">
        <f t="shared" si="1"/>
        <v>1.785714286</v>
      </c>
      <c r="R55" s="162">
        <v>100.0</v>
      </c>
      <c r="S55" s="156" t="s">
        <v>787</v>
      </c>
    </row>
    <row r="56" ht="15.75" customHeight="1">
      <c r="A56" s="156" t="s">
        <v>788</v>
      </c>
      <c r="B56" s="16" t="s">
        <v>789</v>
      </c>
      <c r="C56" s="86">
        <v>8.0</v>
      </c>
      <c r="D56" s="17">
        <v>10.0</v>
      </c>
      <c r="E56" s="158">
        <v>35.0</v>
      </c>
      <c r="F56" s="17"/>
      <c r="G56" s="20">
        <v>9.0</v>
      </c>
      <c r="H56" s="20"/>
      <c r="I56" s="20">
        <v>7.0</v>
      </c>
      <c r="J56" s="20"/>
      <c r="K56" s="21"/>
      <c r="L56" s="159">
        <v>330.0</v>
      </c>
      <c r="M56" s="160">
        <v>185.0</v>
      </c>
      <c r="N56" s="17"/>
      <c r="O56" s="17">
        <v>39.0</v>
      </c>
      <c r="P56" s="17"/>
      <c r="Q56" s="19">
        <f t="shared" si="1"/>
        <v>1.783783784</v>
      </c>
      <c r="R56" s="162"/>
      <c r="S56" s="156" t="s">
        <v>792</v>
      </c>
    </row>
    <row r="57" ht="15.75" customHeight="1">
      <c r="A57" s="156" t="s">
        <v>793</v>
      </c>
      <c r="B57" s="16" t="s">
        <v>794</v>
      </c>
      <c r="C57" s="86">
        <v>16.9</v>
      </c>
      <c r="D57" s="17">
        <v>4.0</v>
      </c>
      <c r="E57" s="158">
        <v>5.0</v>
      </c>
      <c r="F57" s="17"/>
      <c r="G57" s="20">
        <v>2.0</v>
      </c>
      <c r="H57" s="20"/>
      <c r="I57" s="20"/>
      <c r="J57" s="20"/>
      <c r="K57" s="21"/>
      <c r="L57" s="159">
        <v>230.0</v>
      </c>
      <c r="M57" s="160">
        <v>130.0</v>
      </c>
      <c r="N57" s="17"/>
      <c r="O57" s="17"/>
      <c r="P57" s="17"/>
      <c r="Q57" s="19">
        <f t="shared" si="1"/>
        <v>1.769230769</v>
      </c>
      <c r="R57" s="162"/>
      <c r="S57" s="156" t="s">
        <v>795</v>
      </c>
    </row>
    <row r="58" ht="15.75" customHeight="1">
      <c r="A58" s="156" t="s">
        <v>796</v>
      </c>
      <c r="B58" s="156" t="s">
        <v>797</v>
      </c>
      <c r="C58" s="86">
        <v>16.0</v>
      </c>
      <c r="D58" s="17">
        <v>17.0</v>
      </c>
      <c r="E58" s="158">
        <v>50.0</v>
      </c>
      <c r="F58" s="17"/>
      <c r="G58" s="20">
        <v>12.0</v>
      </c>
      <c r="H58" s="20"/>
      <c r="I58" s="20">
        <v>12.0</v>
      </c>
      <c r="J58" s="20"/>
      <c r="K58" s="21"/>
      <c r="L58" s="159">
        <v>650.0</v>
      </c>
      <c r="M58" s="160">
        <v>370.0</v>
      </c>
      <c r="N58" s="17"/>
      <c r="O58" s="17"/>
      <c r="P58" s="17">
        <v>840.0</v>
      </c>
      <c r="Q58" s="19">
        <f t="shared" si="1"/>
        <v>1.756756757</v>
      </c>
      <c r="R58" s="162"/>
      <c r="S58" s="156" t="s">
        <v>798</v>
      </c>
    </row>
    <row r="59" ht="15.75" customHeight="1">
      <c r="A59" s="156" t="s">
        <v>785</v>
      </c>
      <c r="B59" s="156" t="s">
        <v>630</v>
      </c>
      <c r="C59" s="86">
        <v>7.0</v>
      </c>
      <c r="D59" s="17">
        <v>6.0</v>
      </c>
      <c r="E59" s="158">
        <v>20.0</v>
      </c>
      <c r="F59" s="17"/>
      <c r="G59" s="20">
        <v>5.0</v>
      </c>
      <c r="H59" s="20"/>
      <c r="I59" s="20">
        <v>3.0</v>
      </c>
      <c r="J59" s="20"/>
      <c r="K59" s="21"/>
      <c r="L59" s="159">
        <v>280.0</v>
      </c>
      <c r="M59" s="160">
        <v>160.0</v>
      </c>
      <c r="N59" s="17"/>
      <c r="O59" s="17"/>
      <c r="P59" s="17">
        <v>250.0</v>
      </c>
      <c r="Q59" s="19">
        <f t="shared" si="1"/>
        <v>1.75</v>
      </c>
      <c r="R59" s="162"/>
    </row>
    <row r="60" ht="15.75" customHeight="1">
      <c r="A60" s="156" t="s">
        <v>801</v>
      </c>
      <c r="B60" s="16" t="s">
        <v>802</v>
      </c>
      <c r="C60" s="86">
        <v>10.0</v>
      </c>
      <c r="D60" s="17">
        <v>13.0</v>
      </c>
      <c r="E60" s="158">
        <v>45.0</v>
      </c>
      <c r="F60" s="17"/>
      <c r="G60" s="20">
        <v>12.0</v>
      </c>
      <c r="H60" s="20"/>
      <c r="I60" s="20">
        <v>9.0</v>
      </c>
      <c r="J60" s="20"/>
      <c r="K60" s="21"/>
      <c r="L60" s="159">
        <v>300.0</v>
      </c>
      <c r="M60" s="160">
        <v>180.0</v>
      </c>
      <c r="N60" s="17">
        <v>10.0</v>
      </c>
      <c r="O60" s="17"/>
      <c r="P60" s="17">
        <v>410.0</v>
      </c>
      <c r="Q60" s="19">
        <f t="shared" si="1"/>
        <v>1.666666667</v>
      </c>
      <c r="R60" s="162"/>
      <c r="S60" s="156" t="s">
        <v>803</v>
      </c>
    </row>
    <row r="61" ht="15.75" customHeight="1">
      <c r="A61" s="156" t="s">
        <v>804</v>
      </c>
      <c r="B61" s="16" t="s">
        <v>805</v>
      </c>
      <c r="C61" s="86">
        <v>8.0</v>
      </c>
      <c r="D61" s="17">
        <v>18.3</v>
      </c>
      <c r="E61" s="158"/>
      <c r="F61" s="17"/>
      <c r="G61" s="20"/>
      <c r="H61" s="20"/>
      <c r="I61" s="20"/>
      <c r="J61" s="20"/>
      <c r="K61" s="21"/>
      <c r="L61" s="159">
        <v>250.0</v>
      </c>
      <c r="M61" s="160">
        <v>150.0</v>
      </c>
      <c r="N61" s="17"/>
      <c r="O61" s="17">
        <v>150.0</v>
      </c>
      <c r="P61" s="17"/>
      <c r="Q61" s="19">
        <f t="shared" si="1"/>
        <v>1.666666667</v>
      </c>
      <c r="R61" s="162"/>
      <c r="S61" s="156" t="s">
        <v>806</v>
      </c>
    </row>
    <row r="62" ht="15.75" customHeight="1">
      <c r="A62" s="156" t="s">
        <v>774</v>
      </c>
      <c r="B62" s="16" t="s">
        <v>807</v>
      </c>
      <c r="C62" s="86">
        <v>16.0</v>
      </c>
      <c r="D62" s="17">
        <v>5.5</v>
      </c>
      <c r="E62" s="158">
        <v>15.0</v>
      </c>
      <c r="F62" s="17"/>
      <c r="G62" s="20">
        <v>4.0</v>
      </c>
      <c r="H62" s="20"/>
      <c r="I62" s="20">
        <v>0.0</v>
      </c>
      <c r="J62" s="20"/>
      <c r="K62" s="21"/>
      <c r="L62" s="159">
        <v>200.0</v>
      </c>
      <c r="M62" s="160">
        <v>125.0</v>
      </c>
      <c r="N62" s="17">
        <v>30.0</v>
      </c>
      <c r="O62" s="17">
        <v>20.0</v>
      </c>
      <c r="P62" s="17">
        <v>75.0</v>
      </c>
      <c r="Q62" s="19">
        <f t="shared" si="1"/>
        <v>1.6</v>
      </c>
      <c r="R62" s="162"/>
    </row>
    <row r="63" ht="15.75" customHeight="1">
      <c r="A63" s="156" t="s">
        <v>810</v>
      </c>
      <c r="B63" s="16" t="s">
        <v>811</v>
      </c>
      <c r="C63" s="86">
        <v>4.0</v>
      </c>
      <c r="D63" s="17">
        <v>6.0</v>
      </c>
      <c r="E63" s="158">
        <v>10.0</v>
      </c>
      <c r="F63" s="17"/>
      <c r="G63" s="20">
        <v>3.0</v>
      </c>
      <c r="H63" s="20">
        <v>2.0</v>
      </c>
      <c r="I63" s="20"/>
      <c r="J63" s="20"/>
      <c r="K63" s="21"/>
      <c r="L63" s="159">
        <v>150.0</v>
      </c>
      <c r="M63" s="160">
        <v>100.0</v>
      </c>
      <c r="N63" s="17">
        <v>50.0</v>
      </c>
      <c r="O63" s="17">
        <v>50.0</v>
      </c>
      <c r="P63" s="17"/>
      <c r="Q63" s="19">
        <f t="shared" si="1"/>
        <v>1.5</v>
      </c>
      <c r="R63" s="162"/>
      <c r="S63" s="156" t="s">
        <v>812</v>
      </c>
    </row>
    <row r="64" ht="15.75" customHeight="1">
      <c r="A64" s="156" t="s">
        <v>708</v>
      </c>
      <c r="B64" s="156" t="s">
        <v>740</v>
      </c>
      <c r="C64" s="86">
        <v>12.0</v>
      </c>
      <c r="D64" s="17">
        <v>9.0</v>
      </c>
      <c r="E64" s="158">
        <v>35.0</v>
      </c>
      <c r="F64" s="17"/>
      <c r="G64" s="20">
        <v>7.0</v>
      </c>
      <c r="H64" s="20"/>
      <c r="I64" s="20">
        <v>6.0</v>
      </c>
      <c r="J64" s="20"/>
      <c r="K64" s="21">
        <v>2.0</v>
      </c>
      <c r="L64" s="159">
        <v>75.0</v>
      </c>
      <c r="M64" s="160">
        <v>50.0</v>
      </c>
      <c r="N64" s="17">
        <v>20.0</v>
      </c>
      <c r="O64" s="17">
        <v>5.0</v>
      </c>
      <c r="P64" s="17"/>
      <c r="Q64" s="19">
        <f t="shared" si="1"/>
        <v>1.5</v>
      </c>
      <c r="R64" s="162"/>
      <c r="S64" s="156" t="s">
        <v>813</v>
      </c>
    </row>
    <row r="65" ht="15.75" customHeight="1">
      <c r="A65" s="156" t="s">
        <v>814</v>
      </c>
      <c r="B65" s="16" t="s">
        <v>663</v>
      </c>
      <c r="C65" s="86">
        <v>10.0</v>
      </c>
      <c r="D65" s="17">
        <v>2.6</v>
      </c>
      <c r="E65" s="158">
        <v>5.0</v>
      </c>
      <c r="F65" s="17"/>
      <c r="G65" s="20">
        <v>2.0</v>
      </c>
      <c r="H65" s="20"/>
      <c r="I65" s="20"/>
      <c r="J65" s="20"/>
      <c r="K65" s="21"/>
      <c r="L65" s="159">
        <v>80.0</v>
      </c>
      <c r="M65" s="160">
        <v>56.0</v>
      </c>
      <c r="N65" s="17">
        <v>37.0</v>
      </c>
      <c r="O65" s="17">
        <v>15.0</v>
      </c>
      <c r="P65" s="17"/>
      <c r="Q65" s="19">
        <f t="shared" si="1"/>
        <v>1.428571429</v>
      </c>
      <c r="R65" s="162"/>
      <c r="S65" s="156" t="s">
        <v>815</v>
      </c>
    </row>
    <row r="66" ht="15.75" customHeight="1">
      <c r="A66" s="156" t="s">
        <v>816</v>
      </c>
      <c r="B66" s="156" t="s">
        <v>818</v>
      </c>
      <c r="C66" s="86">
        <v>16.0</v>
      </c>
      <c r="D66" s="17">
        <v>16.0</v>
      </c>
      <c r="E66" s="158">
        <v>45.0</v>
      </c>
      <c r="F66" s="17"/>
      <c r="G66" s="20">
        <v>11.0</v>
      </c>
      <c r="H66" s="20"/>
      <c r="I66" s="20">
        <v>11.0</v>
      </c>
      <c r="J66" s="20"/>
      <c r="K66" s="21"/>
      <c r="L66" s="159">
        <v>500.0</v>
      </c>
      <c r="M66" s="160">
        <v>370.0</v>
      </c>
      <c r="N66" s="17"/>
      <c r="O66" s="17"/>
      <c r="P66" s="17"/>
      <c r="Q66" s="19">
        <f t="shared" si="1"/>
        <v>1.351351351</v>
      </c>
      <c r="R66" s="162">
        <v>100.0</v>
      </c>
      <c r="S66" s="156" t="s">
        <v>821</v>
      </c>
    </row>
    <row r="67" ht="15.75" customHeight="1">
      <c r="A67" s="156" t="s">
        <v>816</v>
      </c>
      <c r="B67" s="156" t="s">
        <v>822</v>
      </c>
      <c r="C67" s="86">
        <v>16.0</v>
      </c>
      <c r="D67" s="17">
        <v>16.0</v>
      </c>
      <c r="E67" s="158">
        <v>45.0</v>
      </c>
      <c r="F67" s="17"/>
      <c r="G67" s="20">
        <v>11.0</v>
      </c>
      <c r="H67" s="20"/>
      <c r="I67" s="20">
        <v>11.0</v>
      </c>
      <c r="J67" s="20"/>
      <c r="K67" s="21"/>
      <c r="L67" s="159">
        <v>500.0</v>
      </c>
      <c r="M67" s="160">
        <v>370.0</v>
      </c>
      <c r="N67" s="17"/>
      <c r="O67" s="17"/>
      <c r="P67" s="17"/>
      <c r="Q67" s="19">
        <f t="shared" si="1"/>
        <v>1.351351351</v>
      </c>
      <c r="R67" s="162"/>
      <c r="S67" s="156" t="s">
        <v>821</v>
      </c>
    </row>
    <row r="68" ht="15.75" customHeight="1">
      <c r="A68" s="156" t="s">
        <v>774</v>
      </c>
      <c r="B68" s="16" t="s">
        <v>823</v>
      </c>
      <c r="C68" s="86">
        <v>16.0</v>
      </c>
      <c r="D68" s="17">
        <v>11.0</v>
      </c>
      <c r="E68" s="158">
        <v>25.0</v>
      </c>
      <c r="F68" s="17"/>
      <c r="G68" s="20">
        <v>7.0</v>
      </c>
      <c r="H68" s="20"/>
      <c r="I68" s="20">
        <v>5.0</v>
      </c>
      <c r="J68" s="20"/>
      <c r="K68" s="21"/>
      <c r="L68" s="159">
        <v>520.0</v>
      </c>
      <c r="M68" s="160">
        <v>385.0</v>
      </c>
      <c r="N68" s="17">
        <v>20.0</v>
      </c>
      <c r="O68" s="17">
        <v>8.0</v>
      </c>
      <c r="P68" s="17">
        <v>250.0</v>
      </c>
      <c r="Q68" s="19">
        <f t="shared" si="1"/>
        <v>1.350649351</v>
      </c>
      <c r="R68" s="162"/>
      <c r="S68" s="156" t="s">
        <v>824</v>
      </c>
    </row>
    <row r="69" ht="15.75" customHeight="1">
      <c r="A69" s="156" t="s">
        <v>825</v>
      </c>
      <c r="B69" s="16" t="s">
        <v>826</v>
      </c>
      <c r="C69" s="86">
        <v>16.0</v>
      </c>
      <c r="D69" s="17">
        <v>9.0</v>
      </c>
      <c r="E69" s="158">
        <v>25.0</v>
      </c>
      <c r="F69" s="17"/>
      <c r="G69" s="20">
        <v>6.0</v>
      </c>
      <c r="H69" s="20"/>
      <c r="I69" s="20">
        <v>6.0</v>
      </c>
      <c r="J69" s="20"/>
      <c r="K69" s="21"/>
      <c r="L69" s="159">
        <v>240.0</v>
      </c>
      <c r="M69" s="160">
        <v>180.0</v>
      </c>
      <c r="N69" s="17"/>
      <c r="O69" s="17"/>
      <c r="P69" s="17">
        <v>290.0</v>
      </c>
      <c r="Q69" s="19">
        <f t="shared" si="1"/>
        <v>1.333333333</v>
      </c>
      <c r="R69" s="162"/>
    </row>
    <row r="70" ht="15.75" customHeight="1">
      <c r="A70" s="156" t="s">
        <v>827</v>
      </c>
      <c r="B70" s="16" t="s">
        <v>828</v>
      </c>
      <c r="C70" s="86">
        <v>16.0</v>
      </c>
      <c r="D70" s="17">
        <v>11.3</v>
      </c>
      <c r="E70" s="158">
        <v>25.0</v>
      </c>
      <c r="F70" s="17"/>
      <c r="G70" s="20">
        <v>6.0</v>
      </c>
      <c r="H70" s="20"/>
      <c r="I70" s="20">
        <v>5.0</v>
      </c>
      <c r="J70" s="20"/>
      <c r="K70" s="21"/>
      <c r="L70" s="159">
        <v>530.0</v>
      </c>
      <c r="M70" s="160">
        <v>400.0</v>
      </c>
      <c r="N70" s="17"/>
      <c r="O70" s="17"/>
      <c r="P70" s="17">
        <v>670.0</v>
      </c>
      <c r="Q70" s="19">
        <f t="shared" si="1"/>
        <v>1.325</v>
      </c>
      <c r="R70" s="162"/>
      <c r="S70" s="156" t="s">
        <v>829</v>
      </c>
    </row>
    <row r="71" ht="15.75" customHeight="1">
      <c r="A71" s="156" t="s">
        <v>796</v>
      </c>
      <c r="B71" s="156" t="s">
        <v>830</v>
      </c>
      <c r="C71" s="86">
        <v>16.0</v>
      </c>
      <c r="D71" s="17">
        <v>17.0</v>
      </c>
      <c r="E71" s="158">
        <v>50.0</v>
      </c>
      <c r="F71" s="17"/>
      <c r="G71" s="20">
        <v>12.0</v>
      </c>
      <c r="H71" s="20"/>
      <c r="I71" s="20">
        <v>12.0</v>
      </c>
      <c r="J71" s="20"/>
      <c r="K71" s="21"/>
      <c r="L71" s="159">
        <v>490.0</v>
      </c>
      <c r="M71" s="160">
        <v>370.0</v>
      </c>
      <c r="N71" s="17"/>
      <c r="O71" s="17"/>
      <c r="P71" s="17">
        <v>590.0</v>
      </c>
      <c r="Q71" s="19">
        <f t="shared" si="1"/>
        <v>1.324324324</v>
      </c>
      <c r="R71" s="162"/>
    </row>
    <row r="72" ht="15.75" customHeight="1">
      <c r="A72" s="156" t="s">
        <v>833</v>
      </c>
      <c r="B72" s="16" t="s">
        <v>834</v>
      </c>
      <c r="C72" s="86">
        <v>16.0</v>
      </c>
      <c r="D72" s="17">
        <v>5.0</v>
      </c>
      <c r="E72" s="158">
        <v>10.0</v>
      </c>
      <c r="F72" s="17"/>
      <c r="G72" s="20">
        <v>1.0</v>
      </c>
      <c r="H72" s="20"/>
      <c r="I72" s="20"/>
      <c r="J72" s="20"/>
      <c r="K72" s="21"/>
      <c r="L72" s="159">
        <v>500.0</v>
      </c>
      <c r="M72" s="160">
        <v>380.0</v>
      </c>
      <c r="N72" s="17"/>
      <c r="O72" s="17">
        <v>60.0</v>
      </c>
      <c r="P72" s="17"/>
      <c r="Q72" s="19">
        <f t="shared" si="1"/>
        <v>1.315789474</v>
      </c>
      <c r="R72" s="162"/>
      <c r="S72" s="156" t="s">
        <v>835</v>
      </c>
    </row>
    <row r="73" ht="15.75" customHeight="1">
      <c r="A73" s="156" t="s">
        <v>836</v>
      </c>
      <c r="B73" s="156" t="s">
        <v>837</v>
      </c>
      <c r="C73" s="86">
        <v>8.0</v>
      </c>
      <c r="D73" s="17">
        <v>7.8</v>
      </c>
      <c r="E73" s="158">
        <v>25.0</v>
      </c>
      <c r="F73" s="17"/>
      <c r="G73" s="20">
        <v>5.0</v>
      </c>
      <c r="H73" s="20"/>
      <c r="I73" s="20">
        <v>4.0</v>
      </c>
      <c r="J73" s="20"/>
      <c r="K73" s="21"/>
      <c r="L73" s="159">
        <v>260.0</v>
      </c>
      <c r="M73" s="160">
        <v>200.0</v>
      </c>
      <c r="N73" s="17"/>
      <c r="O73" s="17">
        <v>30.0</v>
      </c>
      <c r="P73" s="17"/>
      <c r="Q73" s="19">
        <f t="shared" si="1"/>
        <v>1.3</v>
      </c>
      <c r="R73" s="162">
        <v>100.0</v>
      </c>
      <c r="S73" s="156" t="s">
        <v>838</v>
      </c>
    </row>
    <row r="74" ht="15.75" customHeight="1">
      <c r="A74" s="156" t="s">
        <v>836</v>
      </c>
      <c r="B74" s="156" t="s">
        <v>839</v>
      </c>
      <c r="C74" s="86">
        <v>8.0</v>
      </c>
      <c r="D74" s="17">
        <v>7.7</v>
      </c>
      <c r="E74" s="158">
        <v>25.0</v>
      </c>
      <c r="F74" s="17"/>
      <c r="G74" s="20">
        <v>5.0</v>
      </c>
      <c r="H74" s="20"/>
      <c r="I74" s="20">
        <v>4.0</v>
      </c>
      <c r="J74" s="20"/>
      <c r="K74" s="21"/>
      <c r="L74" s="159">
        <v>260.0</v>
      </c>
      <c r="M74" s="160">
        <v>200.0</v>
      </c>
      <c r="N74" s="17"/>
      <c r="O74" s="17">
        <v>30.0</v>
      </c>
      <c r="P74" s="17"/>
      <c r="Q74" s="19">
        <f t="shared" si="1"/>
        <v>1.3</v>
      </c>
      <c r="R74" s="162"/>
      <c r="S74" s="156" t="s">
        <v>840</v>
      </c>
    </row>
    <row r="75" ht="15.75" customHeight="1">
      <c r="A75" s="156" t="s">
        <v>841</v>
      </c>
      <c r="B75" s="16" t="s">
        <v>842</v>
      </c>
      <c r="C75" s="86">
        <v>10.0</v>
      </c>
      <c r="D75" s="17">
        <v>11.5</v>
      </c>
      <c r="E75" s="158"/>
      <c r="F75" s="17"/>
      <c r="G75" s="20"/>
      <c r="H75" s="20"/>
      <c r="I75" s="20"/>
      <c r="J75" s="20"/>
      <c r="K75" s="21"/>
      <c r="L75" s="159">
        <v>220.0</v>
      </c>
      <c r="M75" s="160">
        <v>170.0</v>
      </c>
      <c r="N75" s="17"/>
      <c r="O75" s="17">
        <v>10.0</v>
      </c>
      <c r="P75" s="17"/>
      <c r="Q75" s="19">
        <f t="shared" si="1"/>
        <v>1.294117647</v>
      </c>
      <c r="R75" s="162"/>
      <c r="S75" s="184" t="s">
        <v>843</v>
      </c>
    </row>
    <row r="76" ht="15.75" customHeight="1">
      <c r="A76" s="156" t="s">
        <v>848</v>
      </c>
      <c r="B76" s="16" t="s">
        <v>849</v>
      </c>
      <c r="C76" s="86">
        <v>16.9</v>
      </c>
      <c r="D76" s="17">
        <v>35.7</v>
      </c>
      <c r="E76" s="158">
        <v>140.0</v>
      </c>
      <c r="F76" s="17"/>
      <c r="G76" s="20">
        <v>34.0</v>
      </c>
      <c r="H76" s="20"/>
      <c r="I76" s="20">
        <v>33.0</v>
      </c>
      <c r="J76" s="20"/>
      <c r="K76" s="21"/>
      <c r="L76" s="159">
        <v>115.0</v>
      </c>
      <c r="M76" s="160">
        <v>90.0</v>
      </c>
      <c r="N76" s="17"/>
      <c r="O76" s="17"/>
      <c r="P76" s="17"/>
      <c r="Q76" s="19">
        <f t="shared" si="1"/>
        <v>1.277777778</v>
      </c>
      <c r="R76" s="162"/>
    </row>
    <row r="77" ht="15.75" customHeight="1">
      <c r="A77" s="156" t="s">
        <v>850</v>
      </c>
      <c r="B77" s="16" t="s">
        <v>851</v>
      </c>
      <c r="C77" s="86">
        <v>32.0</v>
      </c>
      <c r="D77" s="17">
        <v>5.4</v>
      </c>
      <c r="E77" s="158">
        <v>10.0</v>
      </c>
      <c r="F77" s="17"/>
      <c r="G77" s="20">
        <v>2.5</v>
      </c>
      <c r="H77" s="20"/>
      <c r="I77" s="20">
        <v>2.5</v>
      </c>
      <c r="J77" s="20"/>
      <c r="K77" s="21"/>
      <c r="L77" s="159">
        <v>250.0</v>
      </c>
      <c r="M77" s="160">
        <v>200.0</v>
      </c>
      <c r="N77" s="17"/>
      <c r="O77" s="17">
        <v>15.0</v>
      </c>
      <c r="P77" s="17"/>
      <c r="Q77" s="19">
        <f t="shared" si="1"/>
        <v>1.25</v>
      </c>
      <c r="R77" s="162"/>
      <c r="S77" s="156" t="s">
        <v>852</v>
      </c>
    </row>
    <row r="78" ht="15.75" customHeight="1">
      <c r="A78" s="156" t="s">
        <v>848</v>
      </c>
      <c r="B78" s="16" t="s">
        <v>853</v>
      </c>
      <c r="C78" s="86">
        <v>20.0</v>
      </c>
      <c r="D78" s="17">
        <v>3.0</v>
      </c>
      <c r="E78" s="158">
        <v>5.0</v>
      </c>
      <c r="F78" s="17"/>
      <c r="G78" s="20">
        <v>1.0</v>
      </c>
      <c r="H78" s="20"/>
      <c r="I78" s="20"/>
      <c r="J78" s="20"/>
      <c r="K78" s="21"/>
      <c r="L78" s="159">
        <v>135.0</v>
      </c>
      <c r="M78" s="160">
        <v>110.0</v>
      </c>
      <c r="N78" s="17"/>
      <c r="O78" s="17"/>
      <c r="P78" s="17"/>
      <c r="Q78" s="19">
        <f t="shared" si="1"/>
        <v>1.227272727</v>
      </c>
      <c r="R78" s="162"/>
      <c r="S78" s="156" t="s">
        <v>854</v>
      </c>
    </row>
    <row r="79" ht="15.75" customHeight="1">
      <c r="A79" s="156" t="s">
        <v>841</v>
      </c>
      <c r="B79" s="16" t="s">
        <v>855</v>
      </c>
      <c r="C79" s="86">
        <v>10.0</v>
      </c>
      <c r="D79" s="17">
        <v>14.5</v>
      </c>
      <c r="E79" s="158"/>
      <c r="F79" s="17"/>
      <c r="G79" s="20"/>
      <c r="H79" s="20"/>
      <c r="I79" s="20"/>
      <c r="J79" s="20"/>
      <c r="K79" s="21"/>
      <c r="L79" s="159">
        <v>220.0</v>
      </c>
      <c r="M79" s="160">
        <v>180.0</v>
      </c>
      <c r="N79" s="17"/>
      <c r="O79" s="17"/>
      <c r="P79" s="17"/>
      <c r="Q79" s="19">
        <f t="shared" si="1"/>
        <v>1.222222222</v>
      </c>
      <c r="R79" s="162"/>
      <c r="S79" s="184" t="s">
        <v>857</v>
      </c>
    </row>
    <row r="80" ht="15.75" customHeight="1">
      <c r="A80" s="156" t="s">
        <v>859</v>
      </c>
      <c r="B80" s="16" t="s">
        <v>860</v>
      </c>
      <c r="C80" s="86">
        <v>10.0</v>
      </c>
      <c r="D80" s="17">
        <v>7.9</v>
      </c>
      <c r="E80" s="158">
        <v>15.0</v>
      </c>
      <c r="F80" s="17"/>
      <c r="G80" s="20">
        <v>4.0</v>
      </c>
      <c r="H80" s="20"/>
      <c r="I80" s="20">
        <v>3.0</v>
      </c>
      <c r="J80" s="20"/>
      <c r="K80" s="21"/>
      <c r="L80" s="159">
        <v>110.0</v>
      </c>
      <c r="M80" s="160">
        <v>90.0</v>
      </c>
      <c r="N80" s="17">
        <v>90.0</v>
      </c>
      <c r="O80" s="17">
        <v>15.0</v>
      </c>
      <c r="P80" s="17">
        <v>170.0</v>
      </c>
      <c r="Q80" s="19">
        <f t="shared" si="1"/>
        <v>1.222222222</v>
      </c>
      <c r="R80" s="162"/>
      <c r="S80" s="156" t="s">
        <v>861</v>
      </c>
    </row>
    <row r="81" ht="15.75" customHeight="1">
      <c r="A81" s="156" t="s">
        <v>862</v>
      </c>
      <c r="B81" s="16" t="s">
        <v>863</v>
      </c>
      <c r="C81" s="86">
        <v>16.0</v>
      </c>
      <c r="D81" s="17">
        <v>5.2</v>
      </c>
      <c r="E81" s="158"/>
      <c r="F81" s="17"/>
      <c r="G81" s="20"/>
      <c r="H81" s="20"/>
      <c r="I81" s="20"/>
      <c r="J81" s="20"/>
      <c r="K81" s="21"/>
      <c r="L81" s="159">
        <v>300.0</v>
      </c>
      <c r="M81" s="160">
        <v>250.0</v>
      </c>
      <c r="N81" s="17"/>
      <c r="O81" s="17">
        <v>50.0</v>
      </c>
      <c r="P81" s="17"/>
      <c r="Q81" s="19">
        <f t="shared" si="1"/>
        <v>1.2</v>
      </c>
      <c r="R81" s="162"/>
      <c r="S81" s="156" t="s">
        <v>864</v>
      </c>
    </row>
    <row r="82" ht="15.75" customHeight="1">
      <c r="A82" s="156" t="s">
        <v>865</v>
      </c>
      <c r="B82" s="16" t="s">
        <v>866</v>
      </c>
      <c r="C82" s="86">
        <v>8.0</v>
      </c>
      <c r="D82" s="17">
        <v>8.5</v>
      </c>
      <c r="E82" s="158">
        <v>30.0</v>
      </c>
      <c r="F82" s="17"/>
      <c r="G82" s="20">
        <v>7.0</v>
      </c>
      <c r="H82" s="20"/>
      <c r="I82" s="20">
        <v>3.5</v>
      </c>
      <c r="J82" s="20"/>
      <c r="K82" s="21"/>
      <c r="L82" s="159">
        <v>60.0</v>
      </c>
      <c r="M82" s="160">
        <v>50.0</v>
      </c>
      <c r="N82" s="17">
        <v>50.0</v>
      </c>
      <c r="O82" s="17">
        <v>50.0</v>
      </c>
      <c r="P82" s="17">
        <v>75.0</v>
      </c>
      <c r="Q82" s="19">
        <f t="shared" si="1"/>
        <v>1.2</v>
      </c>
      <c r="R82" s="162"/>
      <c r="S82" s="156" t="s">
        <v>867</v>
      </c>
    </row>
    <row r="83" ht="15.75" customHeight="1">
      <c r="A83" s="156" t="s">
        <v>868</v>
      </c>
      <c r="B83" s="16" t="s">
        <v>869</v>
      </c>
      <c r="C83" s="17">
        <v>8.0</v>
      </c>
      <c r="D83" s="17">
        <v>18.0</v>
      </c>
      <c r="E83" s="158">
        <v>60.0</v>
      </c>
      <c r="F83" s="17"/>
      <c r="G83" s="20">
        <v>14.0</v>
      </c>
      <c r="H83" s="20"/>
      <c r="I83" s="20">
        <v>12.0</v>
      </c>
      <c r="J83" s="20"/>
      <c r="K83" s="21"/>
      <c r="L83" s="159">
        <v>330.0</v>
      </c>
      <c r="M83" s="160">
        <v>285.0</v>
      </c>
      <c r="N83" s="17">
        <v>18.0</v>
      </c>
      <c r="O83" s="17"/>
      <c r="P83" s="17"/>
      <c r="Q83" s="19">
        <f t="shared" si="1"/>
        <v>1.157894737</v>
      </c>
      <c r="R83" s="162"/>
    </row>
    <row r="84" ht="15.75" customHeight="1">
      <c r="A84" s="156" t="s">
        <v>870</v>
      </c>
      <c r="B84" s="16" t="s">
        <v>871</v>
      </c>
      <c r="C84" s="86">
        <v>16.0</v>
      </c>
      <c r="D84" s="17">
        <v>5.0</v>
      </c>
      <c r="E84" s="158"/>
      <c r="F84" s="17"/>
      <c r="G84" s="20"/>
      <c r="H84" s="20"/>
      <c r="I84" s="20"/>
      <c r="J84" s="20"/>
      <c r="K84" s="21"/>
      <c r="L84" s="159">
        <v>47.0</v>
      </c>
      <c r="M84" s="160">
        <v>43.0</v>
      </c>
      <c r="N84" s="17"/>
      <c r="O84" s="17">
        <v>13.0</v>
      </c>
      <c r="P84" s="17"/>
      <c r="Q84" s="19">
        <f t="shared" si="1"/>
        <v>1.093023256</v>
      </c>
      <c r="R84" s="162"/>
      <c r="S84" s="156" t="s">
        <v>874</v>
      </c>
    </row>
    <row r="85" ht="15.75" customHeight="1">
      <c r="A85" s="156" t="s">
        <v>796</v>
      </c>
      <c r="B85" s="156" t="s">
        <v>875</v>
      </c>
      <c r="C85" s="86">
        <v>16.0</v>
      </c>
      <c r="D85" s="17">
        <v>14.1</v>
      </c>
      <c r="E85" s="158">
        <v>40.0</v>
      </c>
      <c r="F85" s="17"/>
      <c r="G85" s="20">
        <v>10.0</v>
      </c>
      <c r="H85" s="20">
        <v>1.0</v>
      </c>
      <c r="I85" s="20">
        <v>7.0</v>
      </c>
      <c r="J85" s="20"/>
      <c r="K85" s="21"/>
      <c r="L85" s="159">
        <v>650.0</v>
      </c>
      <c r="M85" s="160">
        <v>600.0</v>
      </c>
      <c r="N85" s="17"/>
      <c r="O85" s="17">
        <v>55.0</v>
      </c>
      <c r="P85" s="17">
        <v>920.0</v>
      </c>
      <c r="Q85" s="19">
        <f t="shared" si="1"/>
        <v>1.083333333</v>
      </c>
      <c r="R85" s="162"/>
      <c r="S85" s="156" t="s">
        <v>876</v>
      </c>
    </row>
    <row r="86" ht="15.75" customHeight="1">
      <c r="A86" s="156" t="s">
        <v>877</v>
      </c>
      <c r="B86" s="16" t="s">
        <v>878</v>
      </c>
      <c r="C86" s="86">
        <v>16.0</v>
      </c>
      <c r="D86" s="17">
        <v>4.8</v>
      </c>
      <c r="E86" s="158">
        <v>5.0</v>
      </c>
      <c r="F86" s="17"/>
      <c r="G86" s="20">
        <v>1.0</v>
      </c>
      <c r="H86" s="20"/>
      <c r="I86" s="20"/>
      <c r="J86" s="20"/>
      <c r="K86" s="21"/>
      <c r="L86" s="159">
        <v>115.0</v>
      </c>
      <c r="M86" s="160">
        <v>107.0</v>
      </c>
      <c r="N86" s="17">
        <v>37.0</v>
      </c>
      <c r="O86" s="17">
        <v>15.0</v>
      </c>
      <c r="P86" s="17"/>
      <c r="Q86" s="19">
        <f t="shared" si="1"/>
        <v>1.074766355</v>
      </c>
      <c r="R86" s="162"/>
      <c r="S86" s="156" t="s">
        <v>879</v>
      </c>
    </row>
    <row r="87" ht="15.75" customHeight="1">
      <c r="A87" s="156" t="s">
        <v>880</v>
      </c>
      <c r="B87" s="16" t="s">
        <v>881</v>
      </c>
      <c r="C87" s="163"/>
      <c r="D87" s="17">
        <v>12.0</v>
      </c>
      <c r="E87" s="158">
        <v>30.0</v>
      </c>
      <c r="F87" s="17"/>
      <c r="G87" s="20">
        <v>8.0</v>
      </c>
      <c r="H87" s="20"/>
      <c r="I87" s="20">
        <v>6.0</v>
      </c>
      <c r="J87" s="20"/>
      <c r="K87" s="21"/>
      <c r="L87" s="159">
        <v>390.0</v>
      </c>
      <c r="M87" s="160">
        <v>370.0</v>
      </c>
      <c r="N87" s="17"/>
      <c r="O87" s="17"/>
      <c r="P87" s="17"/>
      <c r="Q87" s="19">
        <f t="shared" si="1"/>
        <v>1.054054054</v>
      </c>
      <c r="R87" s="162"/>
      <c r="S87" s="156" t="s">
        <v>882</v>
      </c>
    </row>
    <row r="88" ht="15.75" customHeight="1">
      <c r="A88" s="156" t="s">
        <v>708</v>
      </c>
      <c r="B88" s="156" t="s">
        <v>883</v>
      </c>
      <c r="C88" s="86">
        <v>16.0</v>
      </c>
      <c r="D88" s="17">
        <v>61.0</v>
      </c>
      <c r="E88" s="158">
        <v>240.0</v>
      </c>
      <c r="F88" s="17">
        <v>4.0</v>
      </c>
      <c r="G88" s="20">
        <v>43.0</v>
      </c>
      <c r="H88" s="20"/>
      <c r="I88" s="20">
        <v>39.0</v>
      </c>
      <c r="J88" s="20"/>
      <c r="K88" s="21">
        <v>11.0</v>
      </c>
      <c r="L88" s="159">
        <v>440.0</v>
      </c>
      <c r="M88" s="160">
        <v>438.0</v>
      </c>
      <c r="N88" s="17">
        <v>29.0</v>
      </c>
      <c r="O88" s="17">
        <v>3.0</v>
      </c>
      <c r="P88" s="17"/>
      <c r="Q88" s="19">
        <f t="shared" si="1"/>
        <v>1.00456621</v>
      </c>
      <c r="R88" s="162"/>
      <c r="S88" s="156" t="s">
        <v>884</v>
      </c>
    </row>
    <row r="89" ht="15.75" customHeight="1">
      <c r="A89" s="156" t="s">
        <v>885</v>
      </c>
      <c r="B89" s="16" t="s">
        <v>886</v>
      </c>
      <c r="C89" s="86">
        <v>16.0</v>
      </c>
      <c r="D89" s="17">
        <v>10.67</v>
      </c>
      <c r="E89" s="158"/>
      <c r="F89" s="17"/>
      <c r="G89" s="20"/>
      <c r="H89" s="20"/>
      <c r="I89" s="20"/>
      <c r="J89" s="20"/>
      <c r="K89" s="21"/>
      <c r="L89" s="159">
        <v>1000.0</v>
      </c>
      <c r="M89" s="160">
        <v>1000.0</v>
      </c>
      <c r="N89" s="17"/>
      <c r="O89" s="17">
        <v>150.0</v>
      </c>
      <c r="P89" s="17">
        <v>2592.0</v>
      </c>
      <c r="Q89" s="19">
        <f t="shared" si="1"/>
        <v>1</v>
      </c>
      <c r="R89" s="162"/>
    </row>
    <row r="90" ht="15.75" customHeight="1">
      <c r="A90" s="156" t="s">
        <v>889</v>
      </c>
      <c r="B90" s="16" t="s">
        <v>890</v>
      </c>
      <c r="C90" s="86">
        <v>16.0</v>
      </c>
      <c r="D90" s="17">
        <v>10.6</v>
      </c>
      <c r="E90" s="158"/>
      <c r="F90" s="17"/>
      <c r="G90" s="20"/>
      <c r="H90" s="20"/>
      <c r="I90" s="20"/>
      <c r="J90" s="20"/>
      <c r="K90" s="21"/>
      <c r="L90" s="159">
        <v>1000.0</v>
      </c>
      <c r="M90" s="160">
        <v>1000.0</v>
      </c>
      <c r="N90" s="17">
        <v>420.0</v>
      </c>
      <c r="O90" s="17">
        <v>100.0</v>
      </c>
      <c r="P90" s="17"/>
      <c r="Q90" s="19">
        <f t="shared" si="1"/>
        <v>1</v>
      </c>
      <c r="R90" s="162"/>
    </row>
    <row r="91" ht="15.75" customHeight="1">
      <c r="A91" s="156" t="s">
        <v>891</v>
      </c>
      <c r="B91" s="16" t="s">
        <v>892</v>
      </c>
      <c r="C91" s="86">
        <v>8.0</v>
      </c>
      <c r="D91" s="17">
        <v>6.25</v>
      </c>
      <c r="E91" s="158"/>
      <c r="F91" s="17"/>
      <c r="G91" s="20"/>
      <c r="H91" s="20"/>
      <c r="I91" s="20"/>
      <c r="J91" s="20"/>
      <c r="K91" s="21"/>
      <c r="L91" s="159">
        <v>500.0</v>
      </c>
      <c r="M91" s="160">
        <v>500.0</v>
      </c>
      <c r="N91" s="17">
        <v>100.0</v>
      </c>
      <c r="O91" s="17">
        <v>100.0</v>
      </c>
      <c r="P91" s="17"/>
      <c r="Q91" s="19">
        <f t="shared" si="1"/>
        <v>1</v>
      </c>
      <c r="R91" s="162"/>
      <c r="S91" s="156" t="s">
        <v>893</v>
      </c>
    </row>
    <row r="92" ht="15.75" customHeight="1">
      <c r="A92" s="156" t="s">
        <v>894</v>
      </c>
      <c r="B92" s="16" t="s">
        <v>895</v>
      </c>
      <c r="C92" s="86">
        <v>8.0</v>
      </c>
      <c r="D92" s="17">
        <v>11.1</v>
      </c>
      <c r="E92" s="158">
        <v>35.0</v>
      </c>
      <c r="F92" s="17"/>
      <c r="G92" s="20">
        <v>8.0</v>
      </c>
      <c r="H92" s="20"/>
      <c r="I92" s="20">
        <v>7.0</v>
      </c>
      <c r="J92" s="20"/>
      <c r="K92" s="21"/>
      <c r="L92" s="159">
        <v>260.0</v>
      </c>
      <c r="M92" s="160">
        <v>260.0</v>
      </c>
      <c r="N92" s="17">
        <v>130.0</v>
      </c>
      <c r="O92" s="17">
        <v>25.0</v>
      </c>
      <c r="P92" s="17"/>
      <c r="Q92" s="19">
        <f t="shared" si="1"/>
        <v>1</v>
      </c>
      <c r="R92" s="162"/>
    </row>
    <row r="93" ht="15.75" customHeight="1">
      <c r="A93" s="156" t="s">
        <v>735</v>
      </c>
      <c r="B93" s="16" t="s">
        <v>896</v>
      </c>
      <c r="C93" s="86">
        <v>8.0</v>
      </c>
      <c r="D93" s="17">
        <v>7.0</v>
      </c>
      <c r="E93" s="158">
        <v>20.0</v>
      </c>
      <c r="F93" s="17"/>
      <c r="G93" s="20">
        <v>5.0</v>
      </c>
      <c r="H93" s="20"/>
      <c r="I93" s="20">
        <v>4.0</v>
      </c>
      <c r="J93" s="20"/>
      <c r="K93" s="21"/>
      <c r="L93" s="159">
        <v>100.0</v>
      </c>
      <c r="M93" s="160">
        <v>100.0</v>
      </c>
      <c r="N93" s="17">
        <v>32.0</v>
      </c>
      <c r="O93" s="17">
        <v>16.0</v>
      </c>
      <c r="P93" s="17"/>
      <c r="Q93" s="19">
        <f t="shared" si="1"/>
        <v>1</v>
      </c>
      <c r="R93" s="162"/>
    </row>
    <row r="94" ht="15.75" customHeight="1">
      <c r="A94" s="156" t="s">
        <v>899</v>
      </c>
      <c r="B94" s="165" t="s">
        <v>900</v>
      </c>
      <c r="C94" s="86">
        <v>32.0</v>
      </c>
      <c r="D94" s="17"/>
      <c r="E94" s="158"/>
      <c r="F94" s="17"/>
      <c r="G94" s="20"/>
      <c r="H94" s="20"/>
      <c r="I94" s="20"/>
      <c r="J94" s="20"/>
      <c r="K94" s="21"/>
      <c r="L94" s="159">
        <v>125.0</v>
      </c>
      <c r="M94" s="160">
        <v>130.0</v>
      </c>
      <c r="N94" s="17"/>
      <c r="O94" s="17">
        <v>40.0</v>
      </c>
      <c r="P94" s="17">
        <v>390.0</v>
      </c>
      <c r="Q94" s="19">
        <f t="shared" si="1"/>
        <v>0.9615384615</v>
      </c>
      <c r="R94" s="162"/>
      <c r="S94" s="156" t="s">
        <v>901</v>
      </c>
    </row>
    <row r="95" ht="15.75" customHeight="1">
      <c r="A95" s="156" t="s">
        <v>902</v>
      </c>
      <c r="B95" s="16" t="s">
        <v>903</v>
      </c>
      <c r="C95" s="86">
        <v>16.0</v>
      </c>
      <c r="D95" s="17">
        <v>3.6</v>
      </c>
      <c r="E95" s="158">
        <v>5.0</v>
      </c>
      <c r="F95" s="17"/>
      <c r="G95" s="20">
        <v>1.0</v>
      </c>
      <c r="H95" s="20"/>
      <c r="I95" s="20">
        <v>1.0</v>
      </c>
      <c r="J95" s="20"/>
      <c r="K95" s="21"/>
      <c r="L95" s="159">
        <v>120.0</v>
      </c>
      <c r="M95" s="160">
        <v>125.0</v>
      </c>
      <c r="N95" s="17"/>
      <c r="O95" s="17">
        <v>40.0</v>
      </c>
      <c r="P95" s="17">
        <v>125.0</v>
      </c>
      <c r="Q95" s="19">
        <f t="shared" si="1"/>
        <v>0.96</v>
      </c>
      <c r="R95" s="162"/>
    </row>
    <row r="96" ht="15.75" customHeight="1">
      <c r="A96" s="156" t="s">
        <v>904</v>
      </c>
      <c r="B96" s="16" t="s">
        <v>905</v>
      </c>
      <c r="C96" s="86">
        <v>6.0</v>
      </c>
      <c r="D96" s="17">
        <v>6.0</v>
      </c>
      <c r="E96" s="158">
        <v>5.0</v>
      </c>
      <c r="F96" s="17"/>
      <c r="G96" s="20">
        <v>1.0</v>
      </c>
      <c r="H96" s="20"/>
      <c r="I96" s="20"/>
      <c r="J96" s="20"/>
      <c r="K96" s="21"/>
      <c r="L96" s="159">
        <v>240.0</v>
      </c>
      <c r="M96" s="160">
        <v>270.0</v>
      </c>
      <c r="N96" s="17">
        <v>120.0</v>
      </c>
      <c r="O96" s="17">
        <v>100.0</v>
      </c>
      <c r="P96" s="17">
        <v>355.0</v>
      </c>
      <c r="Q96" s="19">
        <f t="shared" si="1"/>
        <v>0.8888888889</v>
      </c>
      <c r="R96" s="162"/>
      <c r="S96" s="156" t="s">
        <v>907</v>
      </c>
    </row>
    <row r="97" ht="15.75" customHeight="1">
      <c r="A97" s="156" t="s">
        <v>909</v>
      </c>
      <c r="B97" s="16" t="s">
        <v>910</v>
      </c>
      <c r="C97" s="86">
        <v>16.0</v>
      </c>
      <c r="D97" s="17">
        <v>2.6</v>
      </c>
      <c r="E97" s="158"/>
      <c r="F97" s="17"/>
      <c r="G97" s="20"/>
      <c r="H97" s="20"/>
      <c r="I97" s="20"/>
      <c r="J97" s="20"/>
      <c r="K97" s="21"/>
      <c r="L97" s="159">
        <v>130.0</v>
      </c>
      <c r="M97" s="160">
        <v>150.0</v>
      </c>
      <c r="N97" s="17"/>
      <c r="O97" s="17">
        <v>45.0</v>
      </c>
      <c r="P97" s="17"/>
      <c r="Q97" s="19">
        <f t="shared" si="1"/>
        <v>0.8666666667</v>
      </c>
      <c r="R97" s="162"/>
      <c r="S97" s="156" t="s">
        <v>911</v>
      </c>
    </row>
    <row r="98" ht="15.75" customHeight="1">
      <c r="A98" s="156" t="s">
        <v>912</v>
      </c>
      <c r="B98" s="16" t="s">
        <v>913</v>
      </c>
      <c r="C98" s="86">
        <v>14.0</v>
      </c>
      <c r="D98" s="17">
        <v>5.4</v>
      </c>
      <c r="E98" s="158"/>
      <c r="F98" s="17"/>
      <c r="G98" s="20"/>
      <c r="H98" s="20"/>
      <c r="I98" s="20"/>
      <c r="J98" s="20"/>
      <c r="K98" s="21"/>
      <c r="L98" s="159">
        <v>250.0</v>
      </c>
      <c r="M98" s="160">
        <v>300.0</v>
      </c>
      <c r="N98" s="17">
        <v>25.0</v>
      </c>
      <c r="O98" s="17">
        <v>30.0</v>
      </c>
      <c r="P98" s="17"/>
      <c r="Q98" s="19">
        <f t="shared" si="1"/>
        <v>0.8333333333</v>
      </c>
      <c r="R98" s="162"/>
      <c r="S98" s="156" t="s">
        <v>914</v>
      </c>
    </row>
    <row r="99" ht="15.75" customHeight="1">
      <c r="A99" s="156" t="s">
        <v>915</v>
      </c>
      <c r="B99" s="16" t="s">
        <v>916</v>
      </c>
      <c r="C99" s="20"/>
      <c r="D99" s="17">
        <v>9.0</v>
      </c>
      <c r="E99" s="158">
        <v>25.0</v>
      </c>
      <c r="F99" s="17"/>
      <c r="G99" s="20">
        <v>7.0</v>
      </c>
      <c r="H99" s="20"/>
      <c r="I99" s="20">
        <v>4.0</v>
      </c>
      <c r="J99" s="20"/>
      <c r="K99" s="21"/>
      <c r="L99" s="159">
        <v>125.0</v>
      </c>
      <c r="M99" s="160">
        <v>150.0</v>
      </c>
      <c r="N99" s="17"/>
      <c r="O99" s="17"/>
      <c r="P99" s="17"/>
      <c r="Q99" s="19">
        <f t="shared" si="1"/>
        <v>0.8333333333</v>
      </c>
      <c r="R99" s="162"/>
      <c r="S99" s="156" t="s">
        <v>919</v>
      </c>
    </row>
    <row r="100" ht="15.75" customHeight="1">
      <c r="A100" s="156" t="s">
        <v>920</v>
      </c>
      <c r="B100" s="165" t="s">
        <v>921</v>
      </c>
      <c r="C100" s="86">
        <v>32.0</v>
      </c>
      <c r="D100" s="17"/>
      <c r="E100" s="158"/>
      <c r="F100" s="17"/>
      <c r="G100" s="20"/>
      <c r="H100" s="20"/>
      <c r="I100" s="20"/>
      <c r="J100" s="20"/>
      <c r="K100" s="21"/>
      <c r="L100" s="159">
        <v>125.0</v>
      </c>
      <c r="M100" s="160">
        <v>150.0</v>
      </c>
      <c r="N100" s="17"/>
      <c r="O100" s="17">
        <v>45.0</v>
      </c>
      <c r="P100" s="17">
        <v>375.0</v>
      </c>
      <c r="Q100" s="19">
        <f t="shared" si="1"/>
        <v>0.8333333333</v>
      </c>
      <c r="R100" s="162"/>
      <c r="S100" s="156" t="s">
        <v>922</v>
      </c>
    </row>
    <row r="101" ht="15.75" customHeight="1">
      <c r="A101" s="156" t="s">
        <v>923</v>
      </c>
      <c r="B101" s="16" t="s">
        <v>924</v>
      </c>
      <c r="C101" s="17">
        <v>8.0</v>
      </c>
      <c r="D101" s="17">
        <v>8.3</v>
      </c>
      <c r="E101" s="158">
        <v>25.0</v>
      </c>
      <c r="F101" s="17"/>
      <c r="G101" s="20">
        <v>6.0</v>
      </c>
      <c r="H101" s="20"/>
      <c r="I101" s="20">
        <v>4.0</v>
      </c>
      <c r="J101" s="20"/>
      <c r="K101" s="21"/>
      <c r="L101" s="159">
        <v>240.0</v>
      </c>
      <c r="M101" s="160">
        <v>300.0</v>
      </c>
      <c r="N101" s="17"/>
      <c r="O101" s="17"/>
      <c r="P101" s="17"/>
      <c r="Q101" s="19">
        <f t="shared" si="1"/>
        <v>0.8</v>
      </c>
      <c r="R101" s="162"/>
    </row>
    <row r="102" ht="15.75" customHeight="1">
      <c r="A102" s="156" t="s">
        <v>927</v>
      </c>
      <c r="B102" s="16" t="s">
        <v>928</v>
      </c>
      <c r="C102" s="17">
        <v>12.0</v>
      </c>
      <c r="D102" s="17">
        <v>14.0</v>
      </c>
      <c r="E102" s="158">
        <v>40.0</v>
      </c>
      <c r="F102" s="17"/>
      <c r="G102" s="20">
        <v>10.0</v>
      </c>
      <c r="H102" s="20"/>
      <c r="I102" s="20">
        <v>5.0</v>
      </c>
      <c r="J102" s="20"/>
      <c r="K102" s="21"/>
      <c r="L102" s="159">
        <v>100.0</v>
      </c>
      <c r="M102" s="160">
        <v>125.0</v>
      </c>
      <c r="N102" s="17"/>
      <c r="O102" s="17">
        <v>40.0</v>
      </c>
      <c r="P102" s="17"/>
      <c r="Q102" s="19">
        <f t="shared" si="1"/>
        <v>0.8</v>
      </c>
      <c r="R102" s="162"/>
      <c r="S102" s="156" t="s">
        <v>929</v>
      </c>
    </row>
    <row r="103" ht="15.75" customHeight="1">
      <c r="A103" s="156" t="s">
        <v>930</v>
      </c>
      <c r="B103" s="16" t="s">
        <v>931</v>
      </c>
      <c r="C103" s="86">
        <v>16.0</v>
      </c>
      <c r="D103" s="17">
        <v>5.0</v>
      </c>
      <c r="E103" s="158">
        <v>10.0</v>
      </c>
      <c r="F103" s="17"/>
      <c r="G103" s="20">
        <v>2.0</v>
      </c>
      <c r="H103" s="20"/>
      <c r="I103" s="20"/>
      <c r="J103" s="20"/>
      <c r="K103" s="21"/>
      <c r="L103" s="159">
        <v>150.0</v>
      </c>
      <c r="M103" s="160">
        <v>200.0</v>
      </c>
      <c r="N103" s="17"/>
      <c r="O103" s="17"/>
      <c r="P103" s="17"/>
      <c r="Q103" s="19">
        <f t="shared" si="1"/>
        <v>0.75</v>
      </c>
      <c r="R103" s="162"/>
      <c r="S103" s="156" t="s">
        <v>932</v>
      </c>
    </row>
    <row r="104" ht="15.75" customHeight="1">
      <c r="A104" s="156" t="s">
        <v>934</v>
      </c>
      <c r="B104" s="16" t="s">
        <v>936</v>
      </c>
      <c r="C104" s="17">
        <v>4.0</v>
      </c>
      <c r="D104" s="17">
        <v>4.5</v>
      </c>
      <c r="E104" s="158">
        <v>15.0</v>
      </c>
      <c r="F104" s="17"/>
      <c r="G104" s="20">
        <v>3.0</v>
      </c>
      <c r="H104" s="20"/>
      <c r="I104" s="20"/>
      <c r="J104" s="20"/>
      <c r="K104" s="21"/>
      <c r="L104" s="159">
        <v>150.0</v>
      </c>
      <c r="M104" s="160">
        <v>200.0</v>
      </c>
      <c r="N104" s="17">
        <v>10.0</v>
      </c>
      <c r="O104" s="17">
        <v>50.0</v>
      </c>
      <c r="P104" s="17"/>
      <c r="Q104" s="19">
        <f t="shared" si="1"/>
        <v>0.75</v>
      </c>
      <c r="R104" s="162"/>
    </row>
    <row r="105" ht="15.75" customHeight="1">
      <c r="A105" s="156" t="s">
        <v>937</v>
      </c>
      <c r="B105" s="16" t="s">
        <v>938</v>
      </c>
      <c r="C105" s="20"/>
      <c r="D105" s="17"/>
      <c r="E105" s="158"/>
      <c r="F105" s="17"/>
      <c r="G105" s="20"/>
      <c r="H105" s="20"/>
      <c r="I105" s="20"/>
      <c r="J105" s="20"/>
      <c r="K105" s="21"/>
      <c r="L105" s="159">
        <v>53.0</v>
      </c>
      <c r="M105" s="160">
        <v>75.0</v>
      </c>
      <c r="N105" s="17">
        <v>50.0</v>
      </c>
      <c r="O105" s="17">
        <v>25.0</v>
      </c>
      <c r="P105" s="17">
        <v>79.0</v>
      </c>
      <c r="Q105" s="19">
        <f t="shared" si="1"/>
        <v>0.7066666667</v>
      </c>
      <c r="R105" s="162"/>
      <c r="S105" s="156" t="s">
        <v>939</v>
      </c>
    </row>
    <row r="106" ht="15.75" customHeight="1">
      <c r="A106" s="156" t="s">
        <v>940</v>
      </c>
      <c r="B106" s="16" t="s">
        <v>942</v>
      </c>
      <c r="C106" s="86">
        <v>16.0</v>
      </c>
      <c r="D106" s="17">
        <v>25.0</v>
      </c>
      <c r="E106" s="158">
        <v>90.0</v>
      </c>
      <c r="F106" s="17"/>
      <c r="G106" s="20">
        <v>22.0</v>
      </c>
      <c r="H106" s="20"/>
      <c r="I106" s="20">
        <v>21.0</v>
      </c>
      <c r="J106" s="20"/>
      <c r="K106" s="21"/>
      <c r="L106" s="159">
        <v>135.0</v>
      </c>
      <c r="M106" s="160">
        <v>193.0</v>
      </c>
      <c r="N106" s="17">
        <v>4.0</v>
      </c>
      <c r="O106" s="17">
        <v>3.0</v>
      </c>
      <c r="P106" s="17"/>
      <c r="Q106" s="19">
        <f t="shared" si="1"/>
        <v>0.6994818653</v>
      </c>
      <c r="R106" s="162"/>
      <c r="S106" s="156" t="s">
        <v>943</v>
      </c>
    </row>
    <row r="107" ht="15.75" customHeight="1">
      <c r="A107" s="156" t="s">
        <v>944</v>
      </c>
      <c r="B107" s="16" t="s">
        <v>726</v>
      </c>
      <c r="C107" s="86">
        <v>6.0</v>
      </c>
      <c r="D107" s="17">
        <v>2.8</v>
      </c>
      <c r="E107" s="158"/>
      <c r="F107" s="17"/>
      <c r="G107" s="20"/>
      <c r="H107" s="20"/>
      <c r="I107" s="20"/>
      <c r="J107" s="20"/>
      <c r="K107" s="21"/>
      <c r="L107" s="159">
        <v>115.0</v>
      </c>
      <c r="M107" s="160">
        <v>180.0</v>
      </c>
      <c r="N107" s="17">
        <v>39.0</v>
      </c>
      <c r="O107" s="17">
        <v>19.0</v>
      </c>
      <c r="P107" s="17">
        <v>160.0</v>
      </c>
      <c r="Q107" s="19">
        <f t="shared" si="1"/>
        <v>0.6388888889</v>
      </c>
      <c r="R107" s="162"/>
      <c r="S107" s="156" t="s">
        <v>945</v>
      </c>
    </row>
    <row r="108" ht="15.75" customHeight="1">
      <c r="A108" s="156" t="s">
        <v>946</v>
      </c>
      <c r="B108" s="16" t="s">
        <v>947</v>
      </c>
      <c r="C108" s="86">
        <v>16.0</v>
      </c>
      <c r="D108" s="17">
        <v>2.7</v>
      </c>
      <c r="E108" s="158">
        <v>5.0</v>
      </c>
      <c r="F108" s="17"/>
      <c r="G108" s="20">
        <v>2.0</v>
      </c>
      <c r="H108" s="20"/>
      <c r="I108" s="20"/>
      <c r="J108" s="20"/>
      <c r="K108" s="21"/>
      <c r="L108" s="159">
        <v>200.0</v>
      </c>
      <c r="M108" s="160">
        <v>330.0</v>
      </c>
      <c r="N108" s="17"/>
      <c r="O108" s="17"/>
      <c r="P108" s="17"/>
      <c r="Q108" s="19">
        <f t="shared" si="1"/>
        <v>0.6060606061</v>
      </c>
      <c r="R108" s="162"/>
      <c r="S108" s="156" t="s">
        <v>950</v>
      </c>
    </row>
    <row r="109" ht="15.75" customHeight="1">
      <c r="A109" s="156" t="s">
        <v>727</v>
      </c>
      <c r="B109" s="16" t="s">
        <v>951</v>
      </c>
      <c r="C109" s="17">
        <v>16.0</v>
      </c>
      <c r="D109" s="17">
        <v>16.48</v>
      </c>
      <c r="E109" s="158">
        <v>60.0</v>
      </c>
      <c r="F109" s="17"/>
      <c r="G109" s="20">
        <v>12.0</v>
      </c>
      <c r="H109" s="20"/>
      <c r="I109" s="20">
        <v>2.0</v>
      </c>
      <c r="J109" s="20"/>
      <c r="K109" s="21"/>
      <c r="L109" s="159">
        <v>106.0</v>
      </c>
      <c r="M109" s="160">
        <v>180.0</v>
      </c>
      <c r="N109" s="17">
        <v>88.0</v>
      </c>
      <c r="O109" s="17"/>
      <c r="P109" s="17"/>
      <c r="Q109" s="19">
        <f t="shared" si="1"/>
        <v>0.5888888889</v>
      </c>
      <c r="R109" s="162"/>
      <c r="S109" s="156" t="s">
        <v>952</v>
      </c>
    </row>
    <row r="110" ht="15.75" customHeight="1">
      <c r="A110" s="156" t="s">
        <v>920</v>
      </c>
      <c r="B110" s="16" t="s">
        <v>953</v>
      </c>
      <c r="C110" s="86">
        <v>16.0</v>
      </c>
      <c r="D110" s="17">
        <v>3.32</v>
      </c>
      <c r="E110" s="158"/>
      <c r="F110" s="17"/>
      <c r="G110" s="20"/>
      <c r="H110" s="20"/>
      <c r="I110" s="20"/>
      <c r="J110" s="20"/>
      <c r="K110" s="21"/>
      <c r="L110" s="159">
        <v>160.0</v>
      </c>
      <c r="M110" s="160">
        <v>310.0</v>
      </c>
      <c r="N110" s="17">
        <v>78.0</v>
      </c>
      <c r="O110" s="17"/>
      <c r="P110" s="17">
        <v>180.0</v>
      </c>
      <c r="Q110" s="19">
        <f t="shared" si="1"/>
        <v>0.5161290323</v>
      </c>
      <c r="R110" s="162"/>
      <c r="S110" s="156" t="s">
        <v>956</v>
      </c>
    </row>
    <row r="111" ht="15.75" customHeight="1">
      <c r="A111" s="156" t="s">
        <v>774</v>
      </c>
      <c r="B111" s="16" t="s">
        <v>957</v>
      </c>
      <c r="C111" s="86">
        <v>16.0</v>
      </c>
      <c r="D111" s="17">
        <v>17.0</v>
      </c>
      <c r="E111" s="158">
        <v>50.0</v>
      </c>
      <c r="F111" s="17"/>
      <c r="G111" s="20">
        <v>5.0</v>
      </c>
      <c r="H111" s="20"/>
      <c r="I111" s="20">
        <v>4.0</v>
      </c>
      <c r="J111" s="20"/>
      <c r="K111" s="21">
        <v>6.0</v>
      </c>
      <c r="L111" s="159">
        <v>250.0</v>
      </c>
      <c r="M111" s="160">
        <v>500.0</v>
      </c>
      <c r="N111" s="17"/>
      <c r="O111" s="17"/>
      <c r="P111" s="17">
        <v>154.0</v>
      </c>
      <c r="Q111" s="19">
        <f t="shared" si="1"/>
        <v>0.5</v>
      </c>
      <c r="R111" s="162"/>
      <c r="S111" s="156" t="s">
        <v>958</v>
      </c>
    </row>
    <row r="112" ht="15.75" customHeight="1">
      <c r="A112" s="156" t="s">
        <v>774</v>
      </c>
      <c r="B112" s="16" t="s">
        <v>959</v>
      </c>
      <c r="C112" s="86">
        <v>16.0</v>
      </c>
      <c r="D112" s="17">
        <v>5.2</v>
      </c>
      <c r="E112" s="158">
        <v>15.0</v>
      </c>
      <c r="F112" s="17"/>
      <c r="G112" s="20">
        <v>4.0</v>
      </c>
      <c r="H112" s="20"/>
      <c r="I112" s="20">
        <v>2.0</v>
      </c>
      <c r="J112" s="20"/>
      <c r="K112" s="21"/>
      <c r="L112" s="159">
        <v>100.0</v>
      </c>
      <c r="M112" s="160">
        <v>200.0</v>
      </c>
      <c r="N112" s="17">
        <v>15.0</v>
      </c>
      <c r="O112" s="17">
        <v>15.0</v>
      </c>
      <c r="P112" s="17">
        <v>40.0</v>
      </c>
      <c r="Q112" s="19">
        <f t="shared" si="1"/>
        <v>0.5</v>
      </c>
      <c r="R112" s="162">
        <v>80.0</v>
      </c>
      <c r="S112" s="156" t="s">
        <v>962</v>
      </c>
    </row>
    <row r="113" ht="15.75" customHeight="1">
      <c r="A113" s="156" t="s">
        <v>963</v>
      </c>
      <c r="B113" s="16" t="s">
        <v>964</v>
      </c>
      <c r="C113" s="86">
        <v>16.0</v>
      </c>
      <c r="D113" s="17">
        <v>3.58</v>
      </c>
      <c r="E113" s="158"/>
      <c r="F113" s="17"/>
      <c r="G113" s="20"/>
      <c r="H113" s="20"/>
      <c r="I113" s="20"/>
      <c r="J113" s="20"/>
      <c r="K113" s="21"/>
      <c r="L113" s="159">
        <v>99.0</v>
      </c>
      <c r="M113" s="160">
        <v>200.0</v>
      </c>
      <c r="N113" s="17">
        <v>65.0</v>
      </c>
      <c r="O113" s="17">
        <v>100.0</v>
      </c>
      <c r="P113" s="17"/>
      <c r="Q113" s="19">
        <f t="shared" si="1"/>
        <v>0.495</v>
      </c>
      <c r="R113" s="162"/>
      <c r="S113" s="156" t="s">
        <v>965</v>
      </c>
    </row>
    <row r="114" ht="15.75" customHeight="1">
      <c r="A114" s="156" t="s">
        <v>966</v>
      </c>
      <c r="B114" s="16" t="s">
        <v>967</v>
      </c>
      <c r="C114" s="163"/>
      <c r="D114" s="17">
        <v>1.0</v>
      </c>
      <c r="E114" s="158"/>
      <c r="F114" s="17"/>
      <c r="G114" s="20"/>
      <c r="H114" s="20"/>
      <c r="I114" s="20"/>
      <c r="J114" s="20"/>
      <c r="K114" s="21"/>
      <c r="L114" s="159">
        <v>103.0</v>
      </c>
      <c r="M114" s="160">
        <v>210.0</v>
      </c>
      <c r="N114" s="17"/>
      <c r="O114" s="17">
        <v>13.0</v>
      </c>
      <c r="P114" s="17">
        <v>199.0</v>
      </c>
      <c r="Q114" s="19">
        <f t="shared" si="1"/>
        <v>0.4904761905</v>
      </c>
      <c r="R114" s="162"/>
      <c r="S114" s="156" t="s">
        <v>970</v>
      </c>
    </row>
    <row r="115" ht="15.75" customHeight="1">
      <c r="A115" s="156" t="s">
        <v>934</v>
      </c>
      <c r="B115" s="16" t="s">
        <v>971</v>
      </c>
      <c r="C115" s="20"/>
      <c r="D115" s="17"/>
      <c r="E115" s="158">
        <v>15.0</v>
      </c>
      <c r="F115" s="17"/>
      <c r="G115" s="20">
        <v>2.0</v>
      </c>
      <c r="H115" s="20"/>
      <c r="I115" s="20"/>
      <c r="J115" s="20"/>
      <c r="K115" s="21"/>
      <c r="L115" s="159">
        <v>270.0</v>
      </c>
      <c r="M115" s="160">
        <v>575.0</v>
      </c>
      <c r="N115" s="17"/>
      <c r="O115" s="17">
        <v>250.0</v>
      </c>
      <c r="P115" s="17">
        <v>800.0</v>
      </c>
      <c r="Q115" s="19">
        <f t="shared" si="1"/>
        <v>0.4695652174</v>
      </c>
      <c r="R115" s="162"/>
      <c r="S115" s="156" t="s">
        <v>972</v>
      </c>
    </row>
    <row r="116" ht="15.75" customHeight="1">
      <c r="A116" s="156" t="s">
        <v>973</v>
      </c>
      <c r="B116" s="16" t="s">
        <v>630</v>
      </c>
      <c r="C116" s="86">
        <v>8.0</v>
      </c>
      <c r="D116" s="17">
        <v>4.0</v>
      </c>
      <c r="E116" s="158">
        <v>5.0</v>
      </c>
      <c r="F116" s="17"/>
      <c r="G116" s="20"/>
      <c r="H116" s="20"/>
      <c r="I116" s="20"/>
      <c r="J116" s="20"/>
      <c r="K116" s="21"/>
      <c r="L116" s="159">
        <v>140.0</v>
      </c>
      <c r="M116" s="160">
        <v>300.0</v>
      </c>
      <c r="N116" s="17">
        <v>64.0</v>
      </c>
      <c r="O116" s="17">
        <v>150.0</v>
      </c>
      <c r="P116" s="17">
        <v>345.0</v>
      </c>
      <c r="Q116" s="19">
        <f t="shared" si="1"/>
        <v>0.4666666667</v>
      </c>
      <c r="R116" s="162"/>
      <c r="S116" s="156" t="s">
        <v>840</v>
      </c>
    </row>
    <row r="117" ht="15.75" customHeight="1">
      <c r="A117" s="156" t="s">
        <v>976</v>
      </c>
      <c r="B117" s="16" t="s">
        <v>977</v>
      </c>
      <c r="C117" s="86">
        <v>32.0</v>
      </c>
      <c r="D117" s="17">
        <v>1.0</v>
      </c>
      <c r="E117" s="158"/>
      <c r="F117" s="17"/>
      <c r="G117" s="20"/>
      <c r="H117" s="20"/>
      <c r="I117" s="20"/>
      <c r="J117" s="20"/>
      <c r="K117" s="21"/>
      <c r="L117" s="159">
        <v>100.0</v>
      </c>
      <c r="M117" s="160">
        <v>222.0</v>
      </c>
      <c r="N117" s="17"/>
      <c r="O117" s="17">
        <v>11.0</v>
      </c>
      <c r="P117" s="17">
        <v>196.0</v>
      </c>
      <c r="Q117" s="19">
        <f t="shared" si="1"/>
        <v>0.4504504505</v>
      </c>
      <c r="R117" s="162"/>
      <c r="S117" s="156" t="s">
        <v>979</v>
      </c>
    </row>
    <row r="118" ht="15.75" customHeight="1">
      <c r="A118" s="156" t="s">
        <v>980</v>
      </c>
      <c r="B118" s="16" t="s">
        <v>981</v>
      </c>
      <c r="C118" s="86">
        <v>16.0</v>
      </c>
      <c r="D118" s="17">
        <v>4.0</v>
      </c>
      <c r="E118" s="158"/>
      <c r="F118" s="17"/>
      <c r="G118" s="20"/>
      <c r="H118" s="20"/>
      <c r="I118" s="20"/>
      <c r="J118" s="20"/>
      <c r="K118" s="21"/>
      <c r="L118" s="159">
        <v>110.0</v>
      </c>
      <c r="M118" s="160">
        <v>250.0</v>
      </c>
      <c r="N118" s="17">
        <v>115.0</v>
      </c>
      <c r="O118" s="17">
        <v>100.0</v>
      </c>
      <c r="P118" s="17">
        <v>170.0</v>
      </c>
      <c r="Q118" s="19">
        <f t="shared" si="1"/>
        <v>0.44</v>
      </c>
      <c r="R118" s="162"/>
      <c r="S118" s="156" t="s">
        <v>982</v>
      </c>
    </row>
    <row r="119" ht="15.75" customHeight="1">
      <c r="A119" s="156" t="s">
        <v>983</v>
      </c>
      <c r="B119" s="16" t="s">
        <v>984</v>
      </c>
      <c r="C119" s="163"/>
      <c r="D119" s="17">
        <v>6.7</v>
      </c>
      <c r="E119" s="158"/>
      <c r="F119" s="17"/>
      <c r="G119" s="20"/>
      <c r="H119" s="20"/>
      <c r="I119" s="20"/>
      <c r="J119" s="20"/>
      <c r="K119" s="21"/>
      <c r="L119" s="159">
        <v>240.0</v>
      </c>
      <c r="M119" s="160">
        <v>600.0</v>
      </c>
      <c r="N119" s="17"/>
      <c r="O119" s="17">
        <v>250.0</v>
      </c>
      <c r="P119" s="17">
        <v>365.0</v>
      </c>
      <c r="Q119" s="19">
        <f t="shared" si="1"/>
        <v>0.4</v>
      </c>
      <c r="R119" s="162"/>
      <c r="S119" s="156" t="s">
        <v>987</v>
      </c>
    </row>
    <row r="120" ht="15.75" customHeight="1">
      <c r="A120" s="156" t="s">
        <v>988</v>
      </c>
      <c r="B120" s="16" t="s">
        <v>630</v>
      </c>
      <c r="C120" s="86">
        <v>12.0</v>
      </c>
      <c r="D120" s="17">
        <v>6.0</v>
      </c>
      <c r="E120" s="158"/>
      <c r="F120" s="17"/>
      <c r="G120" s="20"/>
      <c r="H120" s="20"/>
      <c r="I120" s="20"/>
      <c r="J120" s="20"/>
      <c r="K120" s="21"/>
      <c r="L120" s="159">
        <v>200.0</v>
      </c>
      <c r="M120" s="160">
        <v>500.0</v>
      </c>
      <c r="N120" s="17">
        <v>100.0</v>
      </c>
      <c r="O120" s="17">
        <v>125.0</v>
      </c>
      <c r="P120" s="17">
        <v>360.0</v>
      </c>
      <c r="Q120" s="19">
        <f t="shared" si="1"/>
        <v>0.4</v>
      </c>
      <c r="R120" s="162"/>
      <c r="S120" s="156" t="s">
        <v>989</v>
      </c>
    </row>
    <row r="121" ht="15.75" customHeight="1">
      <c r="A121" s="156" t="s">
        <v>990</v>
      </c>
      <c r="B121" s="16" t="s">
        <v>991</v>
      </c>
      <c r="C121" s="86">
        <v>16.0</v>
      </c>
      <c r="D121" s="17">
        <v>9.4</v>
      </c>
      <c r="E121" s="158">
        <v>30.0</v>
      </c>
      <c r="F121" s="17"/>
      <c r="G121" s="20">
        <v>7.0</v>
      </c>
      <c r="H121" s="20"/>
      <c r="I121" s="20">
        <v>6.0</v>
      </c>
      <c r="J121" s="20"/>
      <c r="K121" s="21"/>
      <c r="L121" s="159">
        <v>160.0</v>
      </c>
      <c r="M121" s="160">
        <v>400.0</v>
      </c>
      <c r="N121" s="17">
        <v>100.0</v>
      </c>
      <c r="O121" s="17">
        <v>120.0</v>
      </c>
      <c r="P121" s="17"/>
      <c r="Q121" s="19">
        <f t="shared" si="1"/>
        <v>0.4</v>
      </c>
      <c r="R121" s="162"/>
      <c r="S121" s="156" t="s">
        <v>994</v>
      </c>
    </row>
    <row r="122" ht="15.75" customHeight="1">
      <c r="A122" s="156" t="s">
        <v>995</v>
      </c>
      <c r="B122" s="16" t="s">
        <v>996</v>
      </c>
      <c r="C122" s="86">
        <v>16.0</v>
      </c>
      <c r="D122" s="17">
        <v>3.2</v>
      </c>
      <c r="E122" s="158"/>
      <c r="F122" s="17"/>
      <c r="G122" s="20"/>
      <c r="H122" s="20"/>
      <c r="I122" s="20"/>
      <c r="J122" s="20"/>
      <c r="K122" s="21"/>
      <c r="L122" s="159">
        <v>100.0</v>
      </c>
      <c r="M122" s="160">
        <v>250.0</v>
      </c>
      <c r="N122" s="17">
        <v>75.0</v>
      </c>
      <c r="O122" s="17">
        <v>50.0</v>
      </c>
      <c r="P122" s="17">
        <v>150.0</v>
      </c>
      <c r="Q122" s="19">
        <f t="shared" si="1"/>
        <v>0.4</v>
      </c>
      <c r="R122" s="162"/>
    </row>
    <row r="123" ht="15.75" customHeight="1">
      <c r="A123" s="156" t="s">
        <v>997</v>
      </c>
      <c r="B123" s="16" t="s">
        <v>998</v>
      </c>
      <c r="C123" s="86">
        <v>8.0</v>
      </c>
      <c r="D123" s="17">
        <v>5.0</v>
      </c>
      <c r="E123" s="158">
        <v>15.0</v>
      </c>
      <c r="F123" s="17"/>
      <c r="G123" s="20">
        <v>4.0</v>
      </c>
      <c r="H123" s="20"/>
      <c r="I123" s="20">
        <v>1.0</v>
      </c>
      <c r="J123" s="20"/>
      <c r="K123" s="21"/>
      <c r="L123" s="159">
        <v>75.0</v>
      </c>
      <c r="M123" s="160">
        <v>200.0</v>
      </c>
      <c r="N123" s="17">
        <v>60.0</v>
      </c>
      <c r="O123" s="17">
        <v>100.0</v>
      </c>
      <c r="P123" s="17"/>
      <c r="Q123" s="19">
        <f t="shared" si="1"/>
        <v>0.375</v>
      </c>
      <c r="R123" s="162"/>
      <c r="S123" s="156" t="s">
        <v>1001</v>
      </c>
    </row>
    <row r="124" ht="15.75" customHeight="1">
      <c r="A124" s="156" t="s">
        <v>934</v>
      </c>
      <c r="B124" s="16" t="s">
        <v>1002</v>
      </c>
      <c r="C124" s="86">
        <v>2.0</v>
      </c>
      <c r="D124" s="17">
        <v>5.3</v>
      </c>
      <c r="E124" s="158">
        <v>15.0</v>
      </c>
      <c r="F124" s="17"/>
      <c r="G124" s="20">
        <v>4.0</v>
      </c>
      <c r="H124" s="20"/>
      <c r="I124" s="20">
        <v>1.0</v>
      </c>
      <c r="J124" s="20"/>
      <c r="K124" s="21"/>
      <c r="L124" s="159">
        <v>75.0</v>
      </c>
      <c r="M124" s="160">
        <v>200.0</v>
      </c>
      <c r="N124" s="17">
        <v>60.0</v>
      </c>
      <c r="O124" s="17">
        <v>100.0</v>
      </c>
      <c r="P124" s="17">
        <v>15.0</v>
      </c>
      <c r="Q124" s="19">
        <f t="shared" si="1"/>
        <v>0.375</v>
      </c>
      <c r="R124" s="162"/>
      <c r="S124" s="156" t="s">
        <v>1001</v>
      </c>
    </row>
    <row r="125" ht="15.75" customHeight="1">
      <c r="A125" s="156" t="s">
        <v>990</v>
      </c>
      <c r="B125" s="16" t="s">
        <v>1003</v>
      </c>
      <c r="C125" s="86">
        <v>4.0</v>
      </c>
      <c r="D125" s="17">
        <v>9.1</v>
      </c>
      <c r="E125" s="158">
        <v>35.0</v>
      </c>
      <c r="F125" s="17"/>
      <c r="G125" s="20">
        <v>8.0</v>
      </c>
      <c r="H125" s="20"/>
      <c r="I125" s="20">
        <v>6.0</v>
      </c>
      <c r="J125" s="20"/>
      <c r="K125" s="21"/>
      <c r="L125" s="159">
        <v>65.0</v>
      </c>
      <c r="M125" s="160">
        <v>200.0</v>
      </c>
      <c r="N125" s="17">
        <v>50.0</v>
      </c>
      <c r="O125" s="17">
        <v>53.0</v>
      </c>
      <c r="P125" s="17"/>
      <c r="Q125" s="19">
        <f t="shared" si="1"/>
        <v>0.325</v>
      </c>
      <c r="R125" s="162"/>
      <c r="S125" s="156" t="s">
        <v>1005</v>
      </c>
    </row>
    <row r="126" ht="15.75" customHeight="1">
      <c r="A126" s="156" t="s">
        <v>1007</v>
      </c>
      <c r="B126" s="16" t="s">
        <v>1008</v>
      </c>
      <c r="C126" s="86">
        <v>8.0</v>
      </c>
      <c r="D126" s="17">
        <v>8.12</v>
      </c>
      <c r="E126" s="158">
        <v>20.0</v>
      </c>
      <c r="F126" s="17"/>
      <c r="G126" s="20">
        <v>4.0</v>
      </c>
      <c r="H126" s="20"/>
      <c r="I126" s="20">
        <v>2.0</v>
      </c>
      <c r="J126" s="20"/>
      <c r="K126" s="21"/>
      <c r="L126" s="159">
        <v>140.0</v>
      </c>
      <c r="M126" s="160">
        <v>510.0</v>
      </c>
      <c r="N126" s="17"/>
      <c r="O126" s="17">
        <v>150.0</v>
      </c>
      <c r="P126" s="17"/>
      <c r="Q126" s="19">
        <f t="shared" si="1"/>
        <v>0.2745098039</v>
      </c>
      <c r="R126" s="162"/>
      <c r="S126" s="156" t="s">
        <v>1009</v>
      </c>
    </row>
    <row r="127" ht="15.75" customHeight="1">
      <c r="A127" s="156" t="s">
        <v>1010</v>
      </c>
      <c r="B127" s="16" t="s">
        <v>1011</v>
      </c>
      <c r="C127" s="86">
        <v>8.0</v>
      </c>
      <c r="D127" s="17">
        <v>5.2</v>
      </c>
      <c r="E127" s="158"/>
      <c r="F127" s="17"/>
      <c r="G127" s="20"/>
      <c r="H127" s="20"/>
      <c r="I127" s="20"/>
      <c r="J127" s="20"/>
      <c r="K127" s="21"/>
      <c r="L127" s="159">
        <v>100.0</v>
      </c>
      <c r="M127" s="160">
        <v>400.0</v>
      </c>
      <c r="N127" s="17"/>
      <c r="O127" s="17">
        <v>50.0</v>
      </c>
      <c r="P127" s="17"/>
      <c r="Q127" s="19">
        <f t="shared" si="1"/>
        <v>0.25</v>
      </c>
      <c r="R127" s="162"/>
      <c r="S127" s="156" t="s">
        <v>1014</v>
      </c>
    </row>
    <row r="128" ht="15.75" customHeight="1">
      <c r="A128" s="156" t="s">
        <v>1015</v>
      </c>
      <c r="B128" s="16" t="s">
        <v>1016</v>
      </c>
      <c r="C128" s="86">
        <v>8.0</v>
      </c>
      <c r="D128" s="17">
        <v>5.1</v>
      </c>
      <c r="E128" s="158">
        <v>7.5</v>
      </c>
      <c r="F128" s="17"/>
      <c r="G128" s="20"/>
      <c r="H128" s="20"/>
      <c r="I128" s="20"/>
      <c r="J128" s="20"/>
      <c r="K128" s="21"/>
      <c r="L128" s="159">
        <v>100.0</v>
      </c>
      <c r="M128" s="160">
        <v>405.0</v>
      </c>
      <c r="N128" s="17">
        <v>260.0</v>
      </c>
      <c r="O128" s="17">
        <v>62.5</v>
      </c>
      <c r="P128" s="17">
        <v>152.5</v>
      </c>
      <c r="Q128" s="19">
        <f t="shared" si="1"/>
        <v>0.2469135802</v>
      </c>
      <c r="R128" s="162"/>
      <c r="S128" s="156" t="s">
        <v>1017</v>
      </c>
    </row>
    <row r="129" ht="15.75" customHeight="1">
      <c r="A129" s="156" t="s">
        <v>1018</v>
      </c>
      <c r="B129" s="16" t="s">
        <v>1019</v>
      </c>
      <c r="C129" s="86">
        <v>12.0</v>
      </c>
      <c r="D129" s="17">
        <v>6.0</v>
      </c>
      <c r="E129" s="158">
        <v>5.0</v>
      </c>
      <c r="F129" s="17"/>
      <c r="G129" s="20">
        <v>1.0</v>
      </c>
      <c r="H129" s="20"/>
      <c r="I129" s="20"/>
      <c r="J129" s="20"/>
      <c r="K129" s="21"/>
      <c r="L129" s="159">
        <v>115.0</v>
      </c>
      <c r="M129" s="160">
        <v>470.0</v>
      </c>
      <c r="N129" s="17">
        <v>130.0</v>
      </c>
      <c r="O129" s="17">
        <v>50.0</v>
      </c>
      <c r="P129" s="17">
        <v>170.0</v>
      </c>
      <c r="Q129" s="19">
        <f t="shared" si="1"/>
        <v>0.2446808511</v>
      </c>
      <c r="R129" s="162"/>
      <c r="S129" s="156" t="s">
        <v>1022</v>
      </c>
    </row>
    <row r="130" ht="15.75" customHeight="1">
      <c r="A130" s="156" t="s">
        <v>1023</v>
      </c>
      <c r="B130" s="16" t="s">
        <v>1024</v>
      </c>
      <c r="C130" s="86">
        <v>16.0</v>
      </c>
      <c r="D130" s="17">
        <v>3.4</v>
      </c>
      <c r="E130" s="158"/>
      <c r="F130" s="17"/>
      <c r="G130" s="20"/>
      <c r="H130" s="20"/>
      <c r="I130" s="20"/>
      <c r="J130" s="20"/>
      <c r="K130" s="21"/>
      <c r="L130" s="159">
        <v>55.0</v>
      </c>
      <c r="M130" s="160">
        <v>250.0</v>
      </c>
      <c r="N130" s="17">
        <v>65.0</v>
      </c>
      <c r="O130" s="17">
        <v>100.0</v>
      </c>
      <c r="P130" s="17">
        <v>78.0</v>
      </c>
      <c r="Q130" s="19">
        <f t="shared" si="1"/>
        <v>0.22</v>
      </c>
      <c r="R130" s="162"/>
      <c r="S130" s="156" t="s">
        <v>1025</v>
      </c>
    </row>
    <row r="131" ht="15.75" customHeight="1">
      <c r="A131" s="156" t="s">
        <v>1026</v>
      </c>
      <c r="B131" s="16" t="s">
        <v>1027</v>
      </c>
      <c r="C131" s="163"/>
      <c r="D131" s="17">
        <v>15.1</v>
      </c>
      <c r="E131" s="158">
        <v>40.0</v>
      </c>
      <c r="F131" s="17"/>
      <c r="G131" s="20">
        <v>12.0</v>
      </c>
      <c r="H131" s="20"/>
      <c r="I131" s="20">
        <v>8.0</v>
      </c>
      <c r="J131" s="20"/>
      <c r="K131" s="21"/>
      <c r="L131" s="159">
        <v>100.0</v>
      </c>
      <c r="M131" s="160">
        <v>900.0</v>
      </c>
      <c r="N131" s="17"/>
      <c r="O131" s="17"/>
      <c r="P131" s="17"/>
      <c r="Q131" s="19">
        <f t="shared" si="1"/>
        <v>0.1111111111</v>
      </c>
      <c r="R131" s="162"/>
      <c r="S131" s="156" t="s">
        <v>1030</v>
      </c>
    </row>
    <row r="132" ht="15.75" customHeight="1">
      <c r="A132" s="156" t="s">
        <v>1031</v>
      </c>
      <c r="B132" s="16" t="s">
        <v>1032</v>
      </c>
      <c r="C132" s="86">
        <v>12.0</v>
      </c>
      <c r="D132" s="17">
        <v>11.0</v>
      </c>
      <c r="E132" s="158">
        <v>25.0</v>
      </c>
      <c r="F132" s="17"/>
      <c r="G132" s="20">
        <v>1.0</v>
      </c>
      <c r="H132" s="20"/>
      <c r="I132" s="20">
        <v>1.0</v>
      </c>
      <c r="J132" s="20"/>
      <c r="K132" s="21">
        <v>5.0</v>
      </c>
      <c r="L132" s="159">
        <v>45.0</v>
      </c>
      <c r="M132" s="160">
        <v>670.0</v>
      </c>
      <c r="N132" s="17">
        <v>99.0</v>
      </c>
      <c r="O132" s="17">
        <v>72.0</v>
      </c>
      <c r="P132" s="17"/>
      <c r="Q132" s="19">
        <f t="shared" si="1"/>
        <v>0.0671641791</v>
      </c>
      <c r="R132" s="162"/>
      <c r="S132" s="156" t="s">
        <v>1033</v>
      </c>
    </row>
    <row r="133" ht="15.75" customHeight="1">
      <c r="A133" s="156" t="s">
        <v>1034</v>
      </c>
      <c r="B133" s="16" t="s">
        <v>1035</v>
      </c>
      <c r="C133" s="86">
        <v>16.0</v>
      </c>
      <c r="D133" s="17">
        <v>6.2</v>
      </c>
      <c r="E133" s="158"/>
      <c r="F133" s="17"/>
      <c r="G133" s="20"/>
      <c r="H133" s="20"/>
      <c r="I133" s="20"/>
      <c r="J133" s="20"/>
      <c r="K133" s="21"/>
      <c r="L133" s="159">
        <v>40.0</v>
      </c>
      <c r="M133" s="160">
        <v>1000.0</v>
      </c>
      <c r="N133" s="17">
        <v>75.0</v>
      </c>
      <c r="O133" s="17">
        <v>120.0</v>
      </c>
      <c r="P133" s="17">
        <v>60.0</v>
      </c>
      <c r="Q133" s="19">
        <f t="shared" si="1"/>
        <v>0.04</v>
      </c>
      <c r="R133" s="162"/>
      <c r="S133" s="156" t="s">
        <v>1038</v>
      </c>
    </row>
    <row r="134" ht="15.75" customHeight="1">
      <c r="A134" s="156" t="s">
        <v>1039</v>
      </c>
      <c r="B134" s="16" t="s">
        <v>1040</v>
      </c>
      <c r="C134" s="86">
        <v>16.0</v>
      </c>
      <c r="D134" s="17">
        <v>5.9</v>
      </c>
      <c r="E134" s="158"/>
      <c r="F134" s="17"/>
      <c r="G134" s="20"/>
      <c r="H134" s="20"/>
      <c r="I134" s="20"/>
      <c r="J134" s="20"/>
      <c r="K134" s="21"/>
      <c r="L134" s="159">
        <v>40.0</v>
      </c>
      <c r="M134" s="160">
        <v>1000.0</v>
      </c>
      <c r="N134" s="17">
        <v>75.0</v>
      </c>
      <c r="O134" s="17">
        <v>120.0</v>
      </c>
      <c r="P134" s="17">
        <v>60.0</v>
      </c>
      <c r="Q134" s="19">
        <f t="shared" si="1"/>
        <v>0.04</v>
      </c>
      <c r="R134" s="162"/>
    </row>
    <row r="135" ht="15.75" customHeight="1">
      <c r="A135" s="156" t="s">
        <v>1041</v>
      </c>
      <c r="B135" s="16" t="s">
        <v>1042</v>
      </c>
      <c r="C135" s="163"/>
      <c r="D135" s="17">
        <v>6.2</v>
      </c>
      <c r="E135" s="158"/>
      <c r="F135" s="17"/>
      <c r="G135" s="20"/>
      <c r="H135" s="20"/>
      <c r="I135" s="20"/>
      <c r="J135" s="20"/>
      <c r="K135" s="21"/>
      <c r="L135" s="159">
        <v>10.0</v>
      </c>
      <c r="M135" s="160">
        <v>1000.0</v>
      </c>
      <c r="N135" s="17">
        <v>90.0</v>
      </c>
      <c r="O135" s="17">
        <v>120.0</v>
      </c>
      <c r="P135" s="17">
        <v>15.0</v>
      </c>
      <c r="Q135" s="19">
        <f t="shared" si="1"/>
        <v>0.01</v>
      </c>
      <c r="R135" s="162"/>
      <c r="S135" s="156" t="s">
        <v>1043</v>
      </c>
    </row>
    <row r="136" ht="15.75" customHeight="1">
      <c r="A136" s="156" t="s">
        <v>1044</v>
      </c>
      <c r="B136" s="16" t="s">
        <v>1045</v>
      </c>
      <c r="C136" s="86">
        <v>16.0</v>
      </c>
      <c r="D136" s="17">
        <v>6.8</v>
      </c>
      <c r="E136" s="158"/>
      <c r="F136" s="17"/>
      <c r="G136" s="20"/>
      <c r="H136" s="20"/>
      <c r="I136" s="20"/>
      <c r="J136" s="20"/>
      <c r="K136" s="21"/>
      <c r="L136" s="159">
        <v>10.0</v>
      </c>
      <c r="M136" s="160">
        <v>1000.0</v>
      </c>
      <c r="N136" s="17">
        <v>75.0</v>
      </c>
      <c r="O136" s="17">
        <v>134.0</v>
      </c>
      <c r="P136" s="17">
        <v>62.0</v>
      </c>
      <c r="Q136" s="19">
        <f t="shared" si="1"/>
        <v>0.01</v>
      </c>
      <c r="R136" s="162"/>
    </row>
    <row r="137" ht="15.75" customHeight="1">
      <c r="A137" s="156" t="s">
        <v>1048</v>
      </c>
      <c r="B137" s="16" t="s">
        <v>630</v>
      </c>
      <c r="C137" s="86">
        <v>16.0</v>
      </c>
      <c r="D137" s="17">
        <v>4.5</v>
      </c>
      <c r="E137" s="158"/>
      <c r="F137" s="17"/>
      <c r="G137" s="20"/>
      <c r="H137" s="20"/>
      <c r="I137" s="20"/>
      <c r="J137" s="20"/>
      <c r="K137" s="21"/>
      <c r="L137" s="159">
        <v>10.0</v>
      </c>
      <c r="M137" s="160">
        <v>1000.0</v>
      </c>
      <c r="N137" s="17">
        <v>75.0</v>
      </c>
      <c r="O137" s="17">
        <v>120.0</v>
      </c>
      <c r="P137" s="17">
        <v>15.0</v>
      </c>
      <c r="Q137" s="19">
        <f t="shared" si="1"/>
        <v>0.01</v>
      </c>
      <c r="R137" s="162"/>
    </row>
    <row r="138" ht="15.75" customHeight="1">
      <c r="A138" s="156" t="s">
        <v>1049</v>
      </c>
      <c r="B138" s="16" t="s">
        <v>1050</v>
      </c>
      <c r="C138" s="86">
        <v>8.0</v>
      </c>
      <c r="D138" s="17">
        <v>3.0</v>
      </c>
      <c r="E138" s="158"/>
      <c r="F138" s="17"/>
      <c r="G138" s="20"/>
      <c r="H138" s="20"/>
      <c r="I138" s="20"/>
      <c r="J138" s="20"/>
      <c r="K138" s="21"/>
      <c r="L138" s="159">
        <v>5.0</v>
      </c>
      <c r="M138" s="160">
        <v>500.0</v>
      </c>
      <c r="N138" s="17">
        <v>38.0</v>
      </c>
      <c r="O138" s="17">
        <v>60.0</v>
      </c>
      <c r="P138" s="17">
        <v>9.0</v>
      </c>
      <c r="Q138" s="19">
        <f t="shared" si="1"/>
        <v>0.01</v>
      </c>
      <c r="R138" s="162"/>
      <c r="S138" s="156" t="s">
        <v>1051</v>
      </c>
    </row>
    <row r="139" ht="15.75" customHeight="1">
      <c r="A139" s="156" t="s">
        <v>990</v>
      </c>
      <c r="B139" s="16" t="s">
        <v>1052</v>
      </c>
      <c r="C139" s="86">
        <v>32.0</v>
      </c>
      <c r="D139" s="17">
        <v>4.0</v>
      </c>
      <c r="E139" s="158">
        <v>10.0</v>
      </c>
      <c r="F139" s="17"/>
      <c r="G139" s="20">
        <v>3.0</v>
      </c>
      <c r="H139" s="20"/>
      <c r="I139" s="20"/>
      <c r="J139" s="20"/>
      <c r="K139" s="21"/>
      <c r="L139" s="159">
        <v>0.0</v>
      </c>
      <c r="M139" s="160">
        <v>408.0</v>
      </c>
      <c r="N139" s="17">
        <v>100.0</v>
      </c>
      <c r="O139" s="17">
        <v>120.0</v>
      </c>
      <c r="P139" s="17"/>
      <c r="Q139" s="19">
        <f t="shared" si="1"/>
        <v>0</v>
      </c>
      <c r="R139" s="162"/>
      <c r="S139" s="156" t="s">
        <v>1056</v>
      </c>
    </row>
    <row r="140" ht="15.75" customHeight="1">
      <c r="C140" s="17"/>
      <c r="D140" s="17"/>
      <c r="E140" s="158"/>
      <c r="F140" s="17"/>
      <c r="G140" s="20"/>
      <c r="H140" s="20"/>
      <c r="I140" s="20"/>
      <c r="J140" s="20"/>
      <c r="K140" s="21"/>
      <c r="L140" s="159"/>
      <c r="M140" s="160"/>
      <c r="N140" s="17"/>
      <c r="O140" s="17"/>
      <c r="P140" s="17"/>
      <c r="Q140" s="19"/>
      <c r="R140" s="162"/>
    </row>
    <row r="141" ht="15.75" customHeight="1">
      <c r="C141" s="17"/>
      <c r="D141" s="17"/>
      <c r="E141" s="158"/>
      <c r="F141" s="17"/>
      <c r="G141" s="20"/>
      <c r="H141" s="20"/>
      <c r="I141" s="20"/>
      <c r="J141" s="20"/>
      <c r="K141" s="21"/>
      <c r="L141" s="159"/>
      <c r="M141" s="160"/>
      <c r="N141" s="17"/>
      <c r="O141" s="17"/>
      <c r="P141" s="17"/>
      <c r="Q141" s="19"/>
      <c r="R141" s="162"/>
    </row>
    <row r="142" ht="15.75" customHeight="1">
      <c r="C142" s="17"/>
      <c r="D142" s="17"/>
      <c r="E142" s="158"/>
      <c r="F142" s="17"/>
      <c r="G142" s="20"/>
      <c r="H142" s="20"/>
      <c r="I142" s="20"/>
      <c r="J142" s="20"/>
      <c r="K142" s="21"/>
      <c r="L142" s="159"/>
      <c r="M142" s="160"/>
      <c r="N142" s="17"/>
      <c r="O142" s="17"/>
      <c r="P142" s="17"/>
      <c r="Q142" s="19"/>
      <c r="R142" s="162"/>
    </row>
    <row r="143" ht="15.75" customHeight="1">
      <c r="C143" s="17"/>
      <c r="D143" s="17"/>
      <c r="E143" s="158"/>
      <c r="F143" s="17"/>
      <c r="G143" s="20"/>
      <c r="H143" s="20"/>
      <c r="I143" s="20"/>
      <c r="J143" s="20"/>
      <c r="K143" s="21"/>
      <c r="L143" s="159"/>
      <c r="M143" s="160"/>
      <c r="N143" s="17"/>
      <c r="O143" s="17"/>
      <c r="P143" s="17"/>
      <c r="Q143" s="19"/>
      <c r="R143" s="162"/>
    </row>
    <row r="144" ht="15.75" customHeight="1">
      <c r="C144" s="17"/>
      <c r="D144" s="17"/>
      <c r="E144" s="158"/>
      <c r="F144" s="17"/>
      <c r="G144" s="20"/>
      <c r="H144" s="20"/>
      <c r="I144" s="20"/>
      <c r="J144" s="20"/>
      <c r="K144" s="21"/>
      <c r="L144" s="159"/>
      <c r="M144" s="160"/>
      <c r="N144" s="17"/>
      <c r="O144" s="17"/>
      <c r="P144" s="17"/>
      <c r="Q144" s="19"/>
      <c r="R144" s="162"/>
    </row>
    <row r="145" ht="15.75" customHeight="1">
      <c r="C145" s="17"/>
      <c r="D145" s="17"/>
      <c r="E145" s="158"/>
      <c r="F145" s="17"/>
      <c r="G145" s="20"/>
      <c r="H145" s="20"/>
      <c r="I145" s="20"/>
      <c r="J145" s="20"/>
      <c r="K145" s="21"/>
      <c r="L145" s="159"/>
      <c r="M145" s="160"/>
      <c r="N145" s="17"/>
      <c r="O145" s="17"/>
      <c r="P145" s="17"/>
      <c r="Q145" s="19"/>
      <c r="R145" s="162"/>
    </row>
    <row r="146" ht="15.75" customHeight="1">
      <c r="C146" s="17"/>
      <c r="D146" s="17"/>
      <c r="E146" s="158"/>
      <c r="F146" s="17"/>
      <c r="G146" s="20"/>
      <c r="H146" s="20"/>
      <c r="I146" s="20"/>
      <c r="J146" s="20"/>
      <c r="K146" s="21"/>
      <c r="L146" s="159"/>
      <c r="M146" s="160"/>
      <c r="N146" s="17"/>
      <c r="O146" s="17"/>
      <c r="P146" s="17"/>
      <c r="Q146" s="19"/>
      <c r="R146" s="162"/>
    </row>
    <row r="147" ht="15.75" customHeight="1">
      <c r="C147" s="17"/>
      <c r="D147" s="17"/>
      <c r="E147" s="158"/>
      <c r="F147" s="17"/>
      <c r="G147" s="20"/>
      <c r="H147" s="20"/>
      <c r="I147" s="20"/>
      <c r="J147" s="20"/>
      <c r="K147" s="21"/>
      <c r="L147" s="159"/>
      <c r="M147" s="160"/>
      <c r="N147" s="17"/>
      <c r="O147" s="17"/>
      <c r="P147" s="17"/>
      <c r="Q147" s="19"/>
      <c r="R147" s="162"/>
    </row>
    <row r="148" ht="15.75" customHeight="1">
      <c r="C148" s="17"/>
      <c r="D148" s="17"/>
      <c r="E148" s="158"/>
      <c r="F148" s="17"/>
      <c r="G148" s="20"/>
      <c r="H148" s="20"/>
      <c r="I148" s="20"/>
      <c r="J148" s="20"/>
      <c r="K148" s="21"/>
      <c r="L148" s="159"/>
      <c r="M148" s="160"/>
      <c r="N148" s="17"/>
      <c r="O148" s="17"/>
      <c r="P148" s="17"/>
      <c r="Q148" s="19"/>
      <c r="R148" s="162"/>
    </row>
    <row r="149" ht="15.75" customHeight="1">
      <c r="C149" s="17"/>
      <c r="D149" s="17"/>
      <c r="E149" s="158"/>
      <c r="F149" s="17"/>
      <c r="G149" s="20"/>
      <c r="H149" s="20"/>
      <c r="I149" s="20"/>
      <c r="J149" s="20"/>
      <c r="K149" s="21"/>
      <c r="L149" s="159"/>
      <c r="M149" s="160"/>
      <c r="N149" s="17"/>
      <c r="O149" s="17"/>
      <c r="P149" s="17"/>
      <c r="Q149" s="19"/>
      <c r="R149" s="162"/>
    </row>
    <row r="150" ht="15.75" customHeight="1">
      <c r="C150" s="17"/>
      <c r="D150" s="17"/>
      <c r="E150" s="158"/>
      <c r="F150" s="17"/>
      <c r="G150" s="20"/>
      <c r="H150" s="20"/>
      <c r="I150" s="20"/>
      <c r="J150" s="20"/>
      <c r="K150" s="21"/>
      <c r="L150" s="159"/>
      <c r="M150" s="160"/>
      <c r="N150" s="17"/>
      <c r="O150" s="17"/>
      <c r="P150" s="17"/>
      <c r="Q150" s="19"/>
      <c r="R150" s="162"/>
    </row>
    <row r="151" ht="15.75" customHeight="1">
      <c r="C151" s="17"/>
      <c r="D151" s="17"/>
      <c r="E151" s="158"/>
      <c r="F151" s="17"/>
      <c r="G151" s="20"/>
      <c r="H151" s="20"/>
      <c r="I151" s="20"/>
      <c r="J151" s="20"/>
      <c r="K151" s="21"/>
      <c r="L151" s="159"/>
      <c r="M151" s="160"/>
      <c r="N151" s="17"/>
      <c r="O151" s="17"/>
      <c r="P151" s="17"/>
      <c r="Q151" s="19"/>
      <c r="R151" s="162"/>
    </row>
    <row r="152" ht="15.75" customHeight="1">
      <c r="C152" s="17"/>
      <c r="D152" s="17"/>
      <c r="E152" s="158"/>
      <c r="F152" s="17"/>
      <c r="G152" s="20"/>
      <c r="H152" s="20"/>
      <c r="I152" s="20"/>
      <c r="J152" s="20"/>
      <c r="K152" s="21"/>
      <c r="L152" s="159"/>
      <c r="M152" s="160"/>
      <c r="N152" s="17"/>
      <c r="O152" s="17"/>
      <c r="P152" s="17"/>
      <c r="Q152" s="19"/>
      <c r="R152" s="162"/>
    </row>
    <row r="153" ht="15.75" customHeight="1">
      <c r="C153" s="17"/>
      <c r="D153" s="17"/>
      <c r="E153" s="158"/>
      <c r="F153" s="17"/>
      <c r="G153" s="20"/>
      <c r="H153" s="20"/>
      <c r="I153" s="20"/>
      <c r="J153" s="20"/>
      <c r="K153" s="21"/>
      <c r="L153" s="159"/>
      <c r="M153" s="160"/>
      <c r="N153" s="17"/>
      <c r="O153" s="17"/>
      <c r="P153" s="17"/>
      <c r="Q153" s="19"/>
      <c r="R153" s="162"/>
    </row>
    <row r="154" ht="15.75" customHeight="1">
      <c r="C154" s="17"/>
      <c r="D154" s="17"/>
      <c r="E154" s="158"/>
      <c r="F154" s="17"/>
      <c r="G154" s="20"/>
      <c r="H154" s="20"/>
      <c r="I154" s="20"/>
      <c r="J154" s="20"/>
      <c r="K154" s="21"/>
      <c r="L154" s="159"/>
      <c r="M154" s="160"/>
      <c r="N154" s="17"/>
      <c r="O154" s="17"/>
      <c r="P154" s="17"/>
      <c r="Q154" s="19"/>
      <c r="R154" s="162"/>
    </row>
    <row r="155" ht="15.75" customHeight="1">
      <c r="C155" s="17"/>
      <c r="D155" s="17"/>
      <c r="E155" s="158"/>
      <c r="F155" s="17"/>
      <c r="G155" s="20"/>
      <c r="H155" s="20"/>
      <c r="I155" s="20"/>
      <c r="J155" s="20"/>
      <c r="K155" s="21"/>
      <c r="L155" s="159"/>
      <c r="M155" s="160"/>
      <c r="N155" s="17"/>
      <c r="O155" s="17"/>
      <c r="P155" s="17"/>
      <c r="Q155" s="19"/>
      <c r="R155" s="162"/>
    </row>
    <row r="156" ht="15.75" customHeight="1">
      <c r="C156" s="17"/>
      <c r="D156" s="17"/>
      <c r="E156" s="158"/>
      <c r="F156" s="17"/>
      <c r="G156" s="20"/>
      <c r="H156" s="20"/>
      <c r="I156" s="20"/>
      <c r="J156" s="20"/>
      <c r="K156" s="21"/>
      <c r="L156" s="159"/>
      <c r="M156" s="160"/>
      <c r="N156" s="17"/>
      <c r="O156" s="17"/>
      <c r="P156" s="17"/>
      <c r="Q156" s="19"/>
      <c r="R156" s="162"/>
    </row>
    <row r="157" ht="15.75" customHeight="1">
      <c r="C157" s="17"/>
      <c r="D157" s="17"/>
      <c r="E157" s="158"/>
      <c r="F157" s="17"/>
      <c r="G157" s="20"/>
      <c r="H157" s="20"/>
      <c r="I157" s="20"/>
      <c r="J157" s="20"/>
      <c r="K157" s="21"/>
      <c r="L157" s="159"/>
      <c r="M157" s="160"/>
      <c r="N157" s="17"/>
      <c r="O157" s="17"/>
      <c r="P157" s="17"/>
      <c r="Q157" s="19"/>
      <c r="R157" s="162"/>
    </row>
    <row r="158" ht="15.75" customHeight="1">
      <c r="C158" s="17"/>
      <c r="D158" s="17"/>
      <c r="E158" s="158"/>
      <c r="F158" s="17"/>
      <c r="G158" s="20"/>
      <c r="H158" s="20"/>
      <c r="I158" s="20"/>
      <c r="J158" s="20"/>
      <c r="K158" s="21"/>
      <c r="L158" s="159"/>
      <c r="M158" s="160"/>
      <c r="N158" s="17"/>
      <c r="O158" s="17"/>
      <c r="P158" s="17"/>
      <c r="Q158" s="19"/>
      <c r="R158" s="162"/>
    </row>
    <row r="159" ht="15.75" customHeight="1">
      <c r="C159" s="17"/>
      <c r="D159" s="17"/>
      <c r="E159" s="158"/>
      <c r="F159" s="17"/>
      <c r="G159" s="20"/>
      <c r="H159" s="20"/>
      <c r="I159" s="20"/>
      <c r="J159" s="20"/>
      <c r="K159" s="21"/>
      <c r="L159" s="159"/>
      <c r="M159" s="160"/>
      <c r="N159" s="17"/>
      <c r="O159" s="17"/>
      <c r="P159" s="17"/>
      <c r="Q159" s="19"/>
      <c r="R159" s="162"/>
    </row>
    <row r="160" ht="15.75" customHeight="1">
      <c r="C160" s="17"/>
      <c r="D160" s="17"/>
      <c r="E160" s="158"/>
      <c r="F160" s="17"/>
      <c r="G160" s="20"/>
      <c r="H160" s="20"/>
      <c r="I160" s="20"/>
      <c r="J160" s="20"/>
      <c r="K160" s="21"/>
      <c r="L160" s="159"/>
      <c r="M160" s="160"/>
      <c r="N160" s="17"/>
      <c r="O160" s="17"/>
      <c r="P160" s="17"/>
      <c r="Q160" s="19"/>
      <c r="R160" s="162"/>
    </row>
    <row r="161" ht="15.75" customHeight="1">
      <c r="C161" s="17"/>
      <c r="D161" s="17"/>
      <c r="E161" s="158"/>
      <c r="F161" s="17"/>
      <c r="G161" s="20"/>
      <c r="H161" s="20"/>
      <c r="I161" s="20"/>
      <c r="J161" s="20"/>
      <c r="K161" s="21"/>
      <c r="L161" s="159"/>
      <c r="M161" s="160"/>
      <c r="N161" s="17"/>
      <c r="O161" s="17"/>
      <c r="P161" s="17"/>
      <c r="Q161" s="19"/>
      <c r="R161" s="162"/>
    </row>
    <row r="162" ht="15.75" customHeight="1">
      <c r="C162" s="17"/>
      <c r="D162" s="17"/>
      <c r="E162" s="158"/>
      <c r="F162" s="17"/>
      <c r="G162" s="20"/>
      <c r="H162" s="20"/>
      <c r="I162" s="20"/>
      <c r="J162" s="20"/>
      <c r="K162" s="21"/>
      <c r="L162" s="159"/>
      <c r="M162" s="160"/>
      <c r="N162" s="17"/>
      <c r="O162" s="17"/>
      <c r="P162" s="17"/>
      <c r="Q162" s="17"/>
      <c r="R162" s="162"/>
    </row>
    <row r="163" ht="15.75" customHeight="1">
      <c r="C163" s="17"/>
      <c r="D163" s="17"/>
      <c r="E163" s="158"/>
      <c r="F163" s="17"/>
      <c r="G163" s="20"/>
      <c r="H163" s="20"/>
      <c r="I163" s="20"/>
      <c r="J163" s="20"/>
      <c r="K163" s="21"/>
      <c r="L163" s="159"/>
      <c r="M163" s="160"/>
      <c r="N163" s="17"/>
      <c r="O163" s="17"/>
      <c r="P163" s="17"/>
      <c r="Q163" s="17"/>
      <c r="R163" s="162"/>
    </row>
    <row r="164" ht="15.75" customHeight="1">
      <c r="C164" s="17"/>
      <c r="D164" s="17"/>
      <c r="E164" s="158"/>
      <c r="F164" s="17"/>
      <c r="G164" s="20"/>
      <c r="H164" s="20"/>
      <c r="I164" s="20"/>
      <c r="J164" s="20"/>
      <c r="K164" s="21"/>
      <c r="L164" s="159"/>
      <c r="M164" s="160"/>
      <c r="N164" s="17"/>
      <c r="O164" s="17"/>
      <c r="P164" s="17"/>
      <c r="Q164" s="17"/>
      <c r="R164" s="162"/>
    </row>
    <row r="165" ht="15.75" customHeight="1">
      <c r="C165" s="17"/>
      <c r="D165" s="17"/>
      <c r="E165" s="158"/>
      <c r="F165" s="17"/>
      <c r="G165" s="20"/>
      <c r="H165" s="20"/>
      <c r="I165" s="20"/>
      <c r="J165" s="20"/>
      <c r="K165" s="21"/>
      <c r="L165" s="159"/>
      <c r="M165" s="160"/>
      <c r="N165" s="17"/>
      <c r="O165" s="17"/>
      <c r="P165" s="17"/>
      <c r="Q165" s="17"/>
      <c r="R165" s="162"/>
    </row>
    <row r="166" ht="15.75" customHeight="1">
      <c r="C166" s="17"/>
      <c r="D166" s="17"/>
      <c r="E166" s="158"/>
      <c r="F166" s="17"/>
      <c r="G166" s="20"/>
      <c r="H166" s="20"/>
      <c r="I166" s="20"/>
      <c r="J166" s="20"/>
      <c r="K166" s="21"/>
      <c r="L166" s="159"/>
      <c r="M166" s="160"/>
      <c r="N166" s="17"/>
      <c r="O166" s="17"/>
      <c r="P166" s="17"/>
      <c r="Q166" s="17"/>
      <c r="R166" s="162"/>
    </row>
    <row r="167" ht="15.75" customHeight="1">
      <c r="C167" s="17"/>
      <c r="D167" s="17"/>
      <c r="E167" s="158"/>
      <c r="F167" s="17"/>
      <c r="G167" s="20"/>
      <c r="H167" s="20"/>
      <c r="I167" s="20"/>
      <c r="J167" s="20"/>
      <c r="K167" s="21"/>
      <c r="L167" s="159"/>
      <c r="M167" s="160"/>
      <c r="N167" s="17"/>
      <c r="O167" s="17"/>
      <c r="P167" s="17"/>
      <c r="Q167" s="17"/>
      <c r="R167" s="162"/>
    </row>
    <row r="168" ht="15.75" customHeight="1">
      <c r="C168" s="17"/>
      <c r="D168" s="17"/>
      <c r="E168" s="158"/>
      <c r="F168" s="17"/>
      <c r="G168" s="20"/>
      <c r="H168" s="20"/>
      <c r="I168" s="20"/>
      <c r="J168" s="20"/>
      <c r="K168" s="21"/>
      <c r="L168" s="159"/>
      <c r="M168" s="160"/>
      <c r="N168" s="17"/>
      <c r="O168" s="17"/>
      <c r="P168" s="17"/>
      <c r="Q168" s="17"/>
      <c r="R168" s="162"/>
    </row>
    <row r="169" ht="15.75" customHeight="1">
      <c r="C169" s="17"/>
      <c r="D169" s="17"/>
      <c r="E169" s="158"/>
      <c r="F169" s="17"/>
      <c r="G169" s="20"/>
      <c r="H169" s="20"/>
      <c r="I169" s="20"/>
      <c r="J169" s="20"/>
      <c r="K169" s="21"/>
      <c r="L169" s="159"/>
      <c r="M169" s="160"/>
      <c r="N169" s="17"/>
      <c r="O169" s="17"/>
      <c r="P169" s="17"/>
      <c r="Q169" s="17"/>
      <c r="R169" s="162"/>
    </row>
    <row r="170" ht="15.75" customHeight="1">
      <c r="C170" s="17"/>
      <c r="D170" s="17"/>
      <c r="E170" s="158"/>
      <c r="F170" s="17"/>
      <c r="G170" s="20"/>
      <c r="H170" s="20"/>
      <c r="I170" s="20"/>
      <c r="J170" s="20"/>
      <c r="K170" s="21"/>
      <c r="L170" s="159"/>
      <c r="M170" s="160"/>
      <c r="N170" s="17"/>
      <c r="O170" s="17"/>
      <c r="P170" s="17"/>
      <c r="Q170" s="17"/>
      <c r="R170" s="162"/>
    </row>
    <row r="171" ht="15.75" customHeight="1">
      <c r="C171" s="17"/>
      <c r="D171" s="17"/>
      <c r="E171" s="158"/>
      <c r="F171" s="17"/>
      <c r="G171" s="20"/>
      <c r="H171" s="20"/>
      <c r="I171" s="20"/>
      <c r="J171" s="20"/>
      <c r="K171" s="21"/>
      <c r="L171" s="159"/>
      <c r="M171" s="160"/>
      <c r="N171" s="17"/>
      <c r="O171" s="17"/>
      <c r="P171" s="17"/>
      <c r="Q171" s="17"/>
      <c r="R171" s="162"/>
    </row>
    <row r="172" ht="15.75" customHeight="1">
      <c r="C172" s="17"/>
      <c r="D172" s="17"/>
      <c r="E172" s="158"/>
      <c r="F172" s="17"/>
      <c r="G172" s="20"/>
      <c r="H172" s="20"/>
      <c r="I172" s="20"/>
      <c r="J172" s="20"/>
      <c r="K172" s="21"/>
      <c r="L172" s="159"/>
      <c r="M172" s="160"/>
      <c r="N172" s="17"/>
      <c r="O172" s="17"/>
      <c r="P172" s="17"/>
      <c r="Q172" s="17"/>
      <c r="R172" s="162"/>
    </row>
    <row r="173" ht="15.75" customHeight="1">
      <c r="C173" s="17"/>
      <c r="D173" s="17"/>
      <c r="E173" s="158"/>
      <c r="F173" s="17"/>
      <c r="G173" s="20"/>
      <c r="H173" s="20"/>
      <c r="I173" s="20"/>
      <c r="J173" s="20"/>
      <c r="K173" s="21"/>
      <c r="L173" s="159"/>
      <c r="M173" s="160"/>
      <c r="N173" s="17"/>
      <c r="O173" s="17"/>
      <c r="P173" s="17"/>
      <c r="Q173" s="17"/>
      <c r="R173" s="162"/>
    </row>
    <row r="174" ht="15.75" customHeight="1">
      <c r="C174" s="17"/>
      <c r="D174" s="17"/>
      <c r="E174" s="158"/>
      <c r="F174" s="17"/>
      <c r="G174" s="20"/>
      <c r="H174" s="20"/>
      <c r="I174" s="20"/>
      <c r="J174" s="20"/>
      <c r="K174" s="21"/>
      <c r="L174" s="159"/>
      <c r="M174" s="160"/>
      <c r="N174" s="17"/>
      <c r="O174" s="17"/>
      <c r="P174" s="17"/>
      <c r="Q174" s="17"/>
      <c r="R174" s="162"/>
    </row>
    <row r="175" ht="15.75" customHeight="1">
      <c r="C175" s="17"/>
      <c r="D175" s="17"/>
      <c r="E175" s="158"/>
      <c r="F175" s="17"/>
      <c r="G175" s="20"/>
      <c r="H175" s="20"/>
      <c r="I175" s="20"/>
      <c r="J175" s="20"/>
      <c r="K175" s="21"/>
      <c r="L175" s="159"/>
      <c r="M175" s="160"/>
      <c r="N175" s="17"/>
      <c r="O175" s="17"/>
      <c r="P175" s="17"/>
      <c r="Q175" s="17"/>
      <c r="R175" s="162"/>
    </row>
    <row r="176" ht="15.75" customHeight="1">
      <c r="C176" s="17"/>
      <c r="D176" s="17"/>
      <c r="E176" s="158"/>
      <c r="F176" s="17"/>
      <c r="G176" s="20"/>
      <c r="H176" s="20"/>
      <c r="I176" s="20"/>
      <c r="J176" s="20"/>
      <c r="K176" s="21"/>
      <c r="L176" s="159"/>
      <c r="M176" s="160"/>
      <c r="N176" s="17"/>
      <c r="O176" s="17"/>
      <c r="P176" s="17"/>
      <c r="Q176" s="17"/>
      <c r="R176" s="162"/>
    </row>
    <row r="177" ht="15.75" customHeight="1">
      <c r="C177" s="17"/>
      <c r="D177" s="17"/>
      <c r="E177" s="158"/>
      <c r="F177" s="17"/>
      <c r="G177" s="20"/>
      <c r="H177" s="20"/>
      <c r="I177" s="20"/>
      <c r="J177" s="20"/>
      <c r="K177" s="21"/>
      <c r="L177" s="159"/>
      <c r="M177" s="160"/>
      <c r="N177" s="17"/>
      <c r="O177" s="17"/>
      <c r="P177" s="17"/>
      <c r="Q177" s="17"/>
      <c r="R177" s="162"/>
    </row>
    <row r="178" ht="15.75" customHeight="1">
      <c r="C178" s="17"/>
      <c r="D178" s="17"/>
      <c r="E178" s="158"/>
      <c r="F178" s="17"/>
      <c r="G178" s="20"/>
      <c r="H178" s="20"/>
      <c r="I178" s="20"/>
      <c r="J178" s="20"/>
      <c r="K178" s="21"/>
      <c r="L178" s="159"/>
      <c r="M178" s="160"/>
      <c r="N178" s="17"/>
      <c r="O178" s="17"/>
      <c r="P178" s="17"/>
      <c r="Q178" s="17"/>
      <c r="R178" s="162"/>
    </row>
    <row r="179" ht="15.75" customHeight="1">
      <c r="C179" s="17"/>
      <c r="D179" s="17"/>
      <c r="E179" s="158"/>
      <c r="F179" s="17"/>
      <c r="G179" s="20"/>
      <c r="H179" s="20"/>
      <c r="I179" s="20"/>
      <c r="J179" s="20"/>
      <c r="K179" s="21"/>
      <c r="L179" s="159"/>
      <c r="M179" s="160"/>
      <c r="N179" s="17"/>
      <c r="O179" s="17"/>
      <c r="P179" s="17"/>
      <c r="Q179" s="17"/>
      <c r="R179" s="162"/>
    </row>
    <row r="180" ht="15.75" customHeight="1">
      <c r="C180" s="17"/>
      <c r="D180" s="17"/>
      <c r="E180" s="158"/>
      <c r="F180" s="17"/>
      <c r="G180" s="20"/>
      <c r="H180" s="20"/>
      <c r="I180" s="20"/>
      <c r="J180" s="20"/>
      <c r="K180" s="21"/>
      <c r="L180" s="159"/>
      <c r="M180" s="160"/>
      <c r="N180" s="17"/>
      <c r="O180" s="17"/>
      <c r="P180" s="17"/>
      <c r="Q180" s="17"/>
      <c r="R180" s="162"/>
    </row>
    <row r="181" ht="15.75" customHeight="1">
      <c r="C181" s="17"/>
      <c r="D181" s="17"/>
      <c r="E181" s="158"/>
      <c r="F181" s="17"/>
      <c r="G181" s="20"/>
      <c r="H181" s="20"/>
      <c r="I181" s="20"/>
      <c r="J181" s="20"/>
      <c r="K181" s="21"/>
      <c r="L181" s="159"/>
      <c r="M181" s="160"/>
      <c r="N181" s="17"/>
      <c r="O181" s="17"/>
      <c r="P181" s="17"/>
      <c r="Q181" s="17"/>
      <c r="R181" s="162"/>
    </row>
    <row r="182" ht="15.75" customHeight="1">
      <c r="C182" s="17"/>
      <c r="D182" s="17"/>
      <c r="E182" s="158"/>
      <c r="F182" s="17"/>
      <c r="G182" s="20"/>
      <c r="H182" s="20"/>
      <c r="I182" s="20"/>
      <c r="J182" s="20"/>
      <c r="K182" s="21"/>
      <c r="L182" s="159"/>
      <c r="M182" s="160"/>
      <c r="N182" s="17"/>
      <c r="O182" s="17"/>
      <c r="P182" s="17"/>
      <c r="Q182" s="17"/>
      <c r="R182" s="162"/>
    </row>
    <row r="183" ht="15.75" customHeight="1">
      <c r="C183" s="17"/>
      <c r="D183" s="17"/>
      <c r="E183" s="158"/>
      <c r="F183" s="17"/>
      <c r="G183" s="20"/>
      <c r="H183" s="20"/>
      <c r="I183" s="20"/>
      <c r="J183" s="20"/>
      <c r="K183" s="21"/>
      <c r="L183" s="159"/>
      <c r="M183" s="160"/>
      <c r="N183" s="17"/>
      <c r="O183" s="17"/>
      <c r="P183" s="17"/>
      <c r="Q183" s="17"/>
      <c r="R183" s="162"/>
    </row>
    <row r="184" ht="15.75" customHeight="1">
      <c r="C184" s="17"/>
      <c r="D184" s="17"/>
      <c r="E184" s="158"/>
      <c r="F184" s="17"/>
      <c r="G184" s="20"/>
      <c r="H184" s="20"/>
      <c r="I184" s="20"/>
      <c r="J184" s="20"/>
      <c r="K184" s="21"/>
      <c r="L184" s="159"/>
      <c r="M184" s="160"/>
      <c r="N184" s="17"/>
      <c r="O184" s="17"/>
      <c r="P184" s="17"/>
      <c r="Q184" s="17"/>
      <c r="R184" s="162"/>
    </row>
    <row r="185" ht="15.75" customHeight="1">
      <c r="C185" s="17"/>
      <c r="D185" s="17"/>
      <c r="E185" s="158"/>
      <c r="F185" s="17"/>
      <c r="G185" s="20"/>
      <c r="H185" s="20"/>
      <c r="I185" s="20"/>
      <c r="J185" s="20"/>
      <c r="K185" s="21"/>
      <c r="L185" s="159"/>
      <c r="M185" s="160"/>
      <c r="N185" s="17"/>
      <c r="O185" s="17"/>
      <c r="P185" s="17"/>
      <c r="Q185" s="17"/>
      <c r="R185" s="162"/>
    </row>
    <row r="186" ht="15.75" customHeight="1">
      <c r="C186" s="17"/>
      <c r="D186" s="17"/>
      <c r="E186" s="158"/>
      <c r="F186" s="17"/>
      <c r="G186" s="20"/>
      <c r="H186" s="20"/>
      <c r="I186" s="20"/>
      <c r="J186" s="20"/>
      <c r="K186" s="21"/>
      <c r="L186" s="159"/>
      <c r="M186" s="160"/>
      <c r="N186" s="17"/>
      <c r="O186" s="17"/>
      <c r="P186" s="17"/>
      <c r="Q186" s="17"/>
      <c r="R186" s="162"/>
    </row>
    <row r="187" ht="15.75" customHeight="1">
      <c r="C187" s="17"/>
      <c r="D187" s="17"/>
      <c r="E187" s="158"/>
      <c r="F187" s="17"/>
      <c r="G187" s="20"/>
      <c r="H187" s="20"/>
      <c r="I187" s="20"/>
      <c r="J187" s="20"/>
      <c r="K187" s="21"/>
      <c r="L187" s="159"/>
      <c r="M187" s="160"/>
      <c r="N187" s="17"/>
      <c r="O187" s="17"/>
      <c r="P187" s="17"/>
      <c r="Q187" s="17"/>
      <c r="R187" s="162"/>
    </row>
    <row r="188" ht="15.75" customHeight="1">
      <c r="C188" s="17"/>
      <c r="D188" s="17"/>
      <c r="E188" s="158"/>
      <c r="F188" s="17"/>
      <c r="G188" s="20"/>
      <c r="H188" s="20"/>
      <c r="I188" s="20"/>
      <c r="J188" s="20"/>
      <c r="K188" s="21"/>
      <c r="L188" s="159"/>
      <c r="M188" s="160"/>
      <c r="N188" s="17"/>
      <c r="O188" s="17"/>
      <c r="P188" s="17"/>
      <c r="Q188" s="17"/>
      <c r="R188" s="162"/>
    </row>
    <row r="189" ht="15.75" customHeight="1">
      <c r="C189" s="17"/>
      <c r="D189" s="17"/>
      <c r="E189" s="158"/>
      <c r="F189" s="17"/>
      <c r="G189" s="20"/>
      <c r="H189" s="20"/>
      <c r="I189" s="20"/>
      <c r="J189" s="20"/>
      <c r="K189" s="21"/>
      <c r="L189" s="159"/>
      <c r="M189" s="160"/>
      <c r="N189" s="17"/>
      <c r="O189" s="17"/>
      <c r="P189" s="17"/>
      <c r="Q189" s="17"/>
      <c r="R189" s="162"/>
    </row>
    <row r="190" ht="15.75" customHeight="1">
      <c r="C190" s="17"/>
      <c r="D190" s="17"/>
      <c r="E190" s="158"/>
      <c r="F190" s="17"/>
      <c r="G190" s="20"/>
      <c r="H190" s="20"/>
      <c r="I190" s="20"/>
      <c r="J190" s="20"/>
      <c r="K190" s="21"/>
      <c r="L190" s="159"/>
      <c r="M190" s="160"/>
      <c r="N190" s="17"/>
      <c r="O190" s="17"/>
      <c r="P190" s="17"/>
      <c r="Q190" s="17"/>
      <c r="R190" s="162"/>
    </row>
    <row r="191" ht="15.75" customHeight="1">
      <c r="C191" s="17"/>
      <c r="D191" s="17"/>
      <c r="E191" s="158"/>
      <c r="F191" s="17"/>
      <c r="G191" s="20"/>
      <c r="H191" s="20"/>
      <c r="I191" s="20"/>
      <c r="J191" s="20"/>
      <c r="K191" s="21"/>
      <c r="L191" s="159"/>
      <c r="M191" s="160"/>
      <c r="N191" s="17"/>
      <c r="O191" s="17"/>
      <c r="P191" s="17"/>
      <c r="Q191" s="17"/>
      <c r="R191" s="162"/>
    </row>
    <row r="192" ht="15.75" customHeight="1">
      <c r="C192" s="17"/>
      <c r="D192" s="17"/>
      <c r="E192" s="158"/>
      <c r="F192" s="17"/>
      <c r="G192" s="20"/>
      <c r="H192" s="20"/>
      <c r="I192" s="20"/>
      <c r="J192" s="20"/>
      <c r="K192" s="21"/>
      <c r="L192" s="159"/>
      <c r="M192" s="160"/>
      <c r="N192" s="17"/>
      <c r="O192" s="17"/>
      <c r="P192" s="17"/>
      <c r="Q192" s="17"/>
      <c r="R192" s="162"/>
    </row>
    <row r="193" ht="15.75" customHeight="1">
      <c r="C193" s="17"/>
      <c r="D193" s="17"/>
      <c r="E193" s="158"/>
      <c r="F193" s="17"/>
      <c r="G193" s="20"/>
      <c r="H193" s="20"/>
      <c r="I193" s="20"/>
      <c r="J193" s="20"/>
      <c r="K193" s="21"/>
      <c r="L193" s="159"/>
      <c r="M193" s="160"/>
      <c r="N193" s="17"/>
      <c r="O193" s="17"/>
      <c r="P193" s="17"/>
      <c r="Q193" s="17"/>
      <c r="R193" s="162"/>
    </row>
    <row r="194" ht="15.75" customHeight="1">
      <c r="C194" s="17"/>
      <c r="D194" s="17"/>
      <c r="E194" s="158"/>
      <c r="F194" s="17"/>
      <c r="G194" s="20"/>
      <c r="H194" s="20"/>
      <c r="I194" s="20"/>
      <c r="J194" s="20"/>
      <c r="K194" s="21"/>
      <c r="L194" s="159"/>
      <c r="M194" s="160"/>
      <c r="N194" s="17"/>
      <c r="O194" s="17"/>
      <c r="P194" s="17"/>
      <c r="Q194" s="17"/>
      <c r="R194" s="162"/>
    </row>
    <row r="195" ht="15.75" customHeight="1">
      <c r="C195" s="17"/>
      <c r="D195" s="17"/>
      <c r="E195" s="158"/>
      <c r="F195" s="17"/>
      <c r="G195" s="20"/>
      <c r="H195" s="20"/>
      <c r="I195" s="20"/>
      <c r="J195" s="20"/>
      <c r="K195" s="21"/>
      <c r="L195" s="159"/>
      <c r="M195" s="160"/>
      <c r="N195" s="17"/>
      <c r="O195" s="17"/>
      <c r="P195" s="17"/>
      <c r="Q195" s="17"/>
      <c r="R195" s="162"/>
    </row>
    <row r="196" ht="15.75" customHeight="1">
      <c r="C196" s="17"/>
      <c r="D196" s="17"/>
      <c r="E196" s="158"/>
      <c r="F196" s="17"/>
      <c r="G196" s="20"/>
      <c r="H196" s="20"/>
      <c r="I196" s="20"/>
      <c r="J196" s="20"/>
      <c r="K196" s="21"/>
      <c r="L196" s="159"/>
      <c r="M196" s="160"/>
      <c r="N196" s="17"/>
      <c r="O196" s="17"/>
      <c r="P196" s="17"/>
      <c r="Q196" s="17"/>
      <c r="R196" s="162"/>
    </row>
    <row r="197" ht="15.75" customHeight="1">
      <c r="C197" s="17"/>
      <c r="D197" s="17"/>
      <c r="E197" s="158"/>
      <c r="F197" s="17"/>
      <c r="G197" s="20"/>
      <c r="H197" s="20"/>
      <c r="I197" s="20"/>
      <c r="J197" s="20"/>
      <c r="K197" s="21"/>
      <c r="L197" s="159"/>
      <c r="M197" s="160"/>
      <c r="N197" s="17"/>
      <c r="O197" s="17"/>
      <c r="P197" s="17"/>
      <c r="Q197" s="17"/>
      <c r="R197" s="162"/>
    </row>
    <row r="198" ht="15.75" customHeight="1">
      <c r="C198" s="17"/>
      <c r="D198" s="17"/>
      <c r="E198" s="158"/>
      <c r="F198" s="17"/>
      <c r="G198" s="20"/>
      <c r="H198" s="20"/>
      <c r="I198" s="20"/>
      <c r="J198" s="20"/>
      <c r="K198" s="21"/>
      <c r="L198" s="159"/>
      <c r="M198" s="160"/>
      <c r="N198" s="17"/>
      <c r="O198" s="17"/>
      <c r="P198" s="17"/>
      <c r="Q198" s="17"/>
      <c r="R198" s="162"/>
    </row>
    <row r="199" ht="15.75" customHeight="1">
      <c r="C199" s="17"/>
      <c r="D199" s="17"/>
      <c r="E199" s="158"/>
      <c r="F199" s="17"/>
      <c r="G199" s="20"/>
      <c r="H199" s="20"/>
      <c r="I199" s="20"/>
      <c r="J199" s="20"/>
      <c r="K199" s="21"/>
      <c r="L199" s="159"/>
      <c r="M199" s="160"/>
      <c r="N199" s="17"/>
      <c r="O199" s="17"/>
      <c r="P199" s="17"/>
      <c r="Q199" s="17"/>
      <c r="R199" s="162"/>
    </row>
    <row r="200" ht="15.75" customHeight="1">
      <c r="C200" s="17"/>
      <c r="D200" s="17"/>
      <c r="E200" s="158"/>
      <c r="F200" s="17"/>
      <c r="G200" s="20"/>
      <c r="H200" s="20"/>
      <c r="I200" s="20"/>
      <c r="J200" s="20"/>
      <c r="K200" s="21"/>
      <c r="L200" s="159"/>
      <c r="M200" s="160"/>
      <c r="N200" s="17"/>
      <c r="O200" s="17"/>
      <c r="P200" s="17"/>
      <c r="Q200" s="17"/>
      <c r="R200" s="162"/>
    </row>
    <row r="201" ht="15.75" customHeight="1">
      <c r="C201" s="17"/>
      <c r="D201" s="17"/>
      <c r="E201" s="158"/>
      <c r="F201" s="17"/>
      <c r="G201" s="20"/>
      <c r="H201" s="20"/>
      <c r="I201" s="20"/>
      <c r="J201" s="20"/>
      <c r="K201" s="21"/>
      <c r="L201" s="159"/>
      <c r="M201" s="160"/>
      <c r="N201" s="17"/>
      <c r="O201" s="17"/>
      <c r="P201" s="17"/>
      <c r="Q201" s="17"/>
      <c r="R201" s="162"/>
    </row>
    <row r="202" ht="15.75" customHeight="1">
      <c r="C202" s="17"/>
      <c r="D202" s="17"/>
      <c r="E202" s="158"/>
      <c r="F202" s="17"/>
      <c r="G202" s="20"/>
      <c r="H202" s="20"/>
      <c r="I202" s="20"/>
      <c r="J202" s="20"/>
      <c r="K202" s="21"/>
      <c r="L202" s="159"/>
      <c r="M202" s="160"/>
      <c r="N202" s="17"/>
      <c r="O202" s="17"/>
      <c r="P202" s="17"/>
      <c r="Q202" s="17"/>
      <c r="R202" s="162"/>
    </row>
    <row r="203" ht="15.75" customHeight="1">
      <c r="C203" s="17"/>
      <c r="D203" s="17"/>
      <c r="E203" s="158"/>
      <c r="F203" s="17"/>
      <c r="G203" s="20"/>
      <c r="H203" s="20"/>
      <c r="I203" s="20"/>
      <c r="J203" s="20"/>
      <c r="K203" s="21"/>
      <c r="L203" s="159"/>
      <c r="M203" s="160"/>
      <c r="N203" s="17"/>
      <c r="O203" s="17"/>
      <c r="P203" s="17"/>
      <c r="Q203" s="17"/>
      <c r="R203" s="162"/>
    </row>
    <row r="204" ht="15.75" customHeight="1">
      <c r="C204" s="17"/>
      <c r="D204" s="17"/>
      <c r="E204" s="158"/>
      <c r="F204" s="17"/>
      <c r="G204" s="20"/>
      <c r="H204" s="20"/>
      <c r="I204" s="20"/>
      <c r="J204" s="20"/>
      <c r="K204" s="21"/>
      <c r="L204" s="159"/>
      <c r="M204" s="160"/>
      <c r="N204" s="17"/>
      <c r="O204" s="17"/>
      <c r="P204" s="17"/>
      <c r="Q204" s="17"/>
      <c r="R204" s="162"/>
    </row>
    <row r="205" ht="15.75" customHeight="1">
      <c r="C205" s="17"/>
      <c r="D205" s="17"/>
      <c r="E205" s="158"/>
      <c r="F205" s="17"/>
      <c r="G205" s="20"/>
      <c r="H205" s="20"/>
      <c r="I205" s="20"/>
      <c r="J205" s="20"/>
      <c r="K205" s="21"/>
      <c r="L205" s="159"/>
      <c r="M205" s="160"/>
      <c r="N205" s="17"/>
      <c r="O205" s="17"/>
      <c r="P205" s="17"/>
      <c r="Q205" s="17"/>
      <c r="R205" s="162"/>
    </row>
    <row r="206" ht="15.75" customHeight="1">
      <c r="C206" s="17"/>
      <c r="D206" s="17"/>
      <c r="E206" s="158"/>
      <c r="F206" s="17"/>
      <c r="G206" s="20"/>
      <c r="H206" s="20"/>
      <c r="I206" s="20"/>
      <c r="J206" s="20"/>
      <c r="K206" s="21"/>
      <c r="L206" s="159"/>
      <c r="M206" s="160"/>
      <c r="N206" s="17"/>
      <c r="O206" s="17"/>
      <c r="P206" s="17"/>
      <c r="Q206" s="17"/>
      <c r="R206" s="162"/>
    </row>
    <row r="207" ht="15.75" customHeight="1">
      <c r="C207" s="17"/>
      <c r="D207" s="17"/>
      <c r="E207" s="158"/>
      <c r="F207" s="17"/>
      <c r="G207" s="20"/>
      <c r="H207" s="20"/>
      <c r="I207" s="20"/>
      <c r="J207" s="20"/>
      <c r="K207" s="21"/>
      <c r="L207" s="159"/>
      <c r="M207" s="160"/>
      <c r="N207" s="17"/>
      <c r="O207" s="17"/>
      <c r="P207" s="17"/>
      <c r="Q207" s="17"/>
      <c r="R207" s="162"/>
    </row>
    <row r="208" ht="15.75" customHeight="1">
      <c r="C208" s="17"/>
      <c r="D208" s="17"/>
      <c r="E208" s="158"/>
      <c r="F208" s="17"/>
      <c r="G208" s="20"/>
      <c r="H208" s="20"/>
      <c r="I208" s="20"/>
      <c r="J208" s="20"/>
      <c r="K208" s="21"/>
      <c r="L208" s="159"/>
      <c r="M208" s="160"/>
      <c r="N208" s="17"/>
      <c r="O208" s="17"/>
      <c r="P208" s="17"/>
      <c r="Q208" s="17"/>
      <c r="R208" s="162"/>
    </row>
    <row r="209" ht="15.75" customHeight="1">
      <c r="C209" s="17"/>
      <c r="D209" s="17"/>
      <c r="E209" s="158"/>
      <c r="F209" s="17"/>
      <c r="G209" s="20"/>
      <c r="H209" s="20"/>
      <c r="I209" s="20"/>
      <c r="J209" s="20"/>
      <c r="K209" s="21"/>
      <c r="L209" s="159"/>
      <c r="M209" s="160"/>
      <c r="N209" s="17"/>
      <c r="O209" s="17"/>
      <c r="P209" s="17"/>
      <c r="Q209" s="17"/>
      <c r="R209" s="162"/>
    </row>
    <row r="210" ht="15.75" customHeight="1">
      <c r="C210" s="17"/>
      <c r="D210" s="17"/>
      <c r="E210" s="158"/>
      <c r="F210" s="17"/>
      <c r="G210" s="20"/>
      <c r="H210" s="20"/>
      <c r="I210" s="20"/>
      <c r="J210" s="20"/>
      <c r="K210" s="21"/>
      <c r="L210" s="159"/>
      <c r="M210" s="160"/>
      <c r="N210" s="17"/>
      <c r="O210" s="17"/>
      <c r="P210" s="17"/>
      <c r="Q210" s="17"/>
      <c r="R210" s="162"/>
    </row>
    <row r="211" ht="15.75" customHeight="1">
      <c r="C211" s="17"/>
      <c r="D211" s="17"/>
      <c r="E211" s="158"/>
      <c r="F211" s="17"/>
      <c r="G211" s="20"/>
      <c r="H211" s="20"/>
      <c r="I211" s="20"/>
      <c r="J211" s="20"/>
      <c r="K211" s="21"/>
      <c r="L211" s="159"/>
      <c r="M211" s="160"/>
      <c r="N211" s="17"/>
      <c r="O211" s="17"/>
      <c r="P211" s="17"/>
      <c r="Q211" s="17"/>
      <c r="R211" s="162"/>
    </row>
    <row r="212" ht="15.75" customHeight="1">
      <c r="C212" s="17"/>
      <c r="D212" s="17"/>
      <c r="E212" s="158"/>
      <c r="F212" s="17"/>
      <c r="G212" s="20"/>
      <c r="H212" s="20"/>
      <c r="I212" s="20"/>
      <c r="J212" s="20"/>
      <c r="K212" s="21"/>
      <c r="L212" s="159"/>
      <c r="M212" s="160"/>
      <c r="N212" s="17"/>
      <c r="O212" s="17"/>
      <c r="P212" s="17"/>
      <c r="Q212" s="17"/>
      <c r="R212" s="162"/>
    </row>
    <row r="213" ht="15.75" customHeight="1">
      <c r="C213" s="17"/>
      <c r="D213" s="17"/>
      <c r="E213" s="158"/>
      <c r="F213" s="17"/>
      <c r="G213" s="20"/>
      <c r="H213" s="20"/>
      <c r="I213" s="20"/>
      <c r="J213" s="20"/>
      <c r="K213" s="21"/>
      <c r="L213" s="159"/>
      <c r="M213" s="160"/>
      <c r="N213" s="17"/>
      <c r="O213" s="17"/>
      <c r="P213" s="17"/>
      <c r="Q213" s="17"/>
      <c r="R213" s="162"/>
    </row>
    <row r="214" ht="15.75" customHeight="1">
      <c r="C214" s="17"/>
      <c r="D214" s="17"/>
      <c r="E214" s="158"/>
      <c r="F214" s="17"/>
      <c r="G214" s="20"/>
      <c r="H214" s="20"/>
      <c r="I214" s="20"/>
      <c r="J214" s="20"/>
      <c r="K214" s="21"/>
      <c r="L214" s="159"/>
      <c r="M214" s="160"/>
      <c r="N214" s="17"/>
      <c r="O214" s="17"/>
      <c r="P214" s="17"/>
      <c r="Q214" s="17"/>
      <c r="R214" s="162"/>
    </row>
    <row r="215" ht="15.75" customHeight="1">
      <c r="C215" s="17"/>
      <c r="D215" s="17"/>
      <c r="E215" s="158"/>
      <c r="F215" s="17"/>
      <c r="G215" s="20"/>
      <c r="H215" s="20"/>
      <c r="I215" s="20"/>
      <c r="J215" s="20"/>
      <c r="K215" s="21"/>
      <c r="L215" s="159"/>
      <c r="M215" s="160"/>
      <c r="N215" s="17"/>
      <c r="O215" s="17"/>
      <c r="P215" s="17"/>
      <c r="Q215" s="17"/>
      <c r="R215" s="162"/>
    </row>
    <row r="216" ht="15.75" customHeight="1">
      <c r="C216" s="17"/>
      <c r="D216" s="17"/>
      <c r="E216" s="158"/>
      <c r="F216" s="17"/>
      <c r="G216" s="20"/>
      <c r="H216" s="20"/>
      <c r="I216" s="20"/>
      <c r="J216" s="20"/>
      <c r="K216" s="21"/>
      <c r="L216" s="159"/>
      <c r="M216" s="160"/>
      <c r="N216" s="17"/>
      <c r="O216" s="17"/>
      <c r="P216" s="17"/>
      <c r="Q216" s="17"/>
      <c r="R216" s="162"/>
    </row>
    <row r="217" ht="15.75" customHeight="1">
      <c r="C217" s="17"/>
      <c r="D217" s="17"/>
      <c r="E217" s="158"/>
      <c r="F217" s="17"/>
      <c r="G217" s="20"/>
      <c r="H217" s="20"/>
      <c r="I217" s="20"/>
      <c r="J217" s="20"/>
      <c r="K217" s="21"/>
      <c r="L217" s="159"/>
      <c r="M217" s="160"/>
      <c r="N217" s="17"/>
      <c r="O217" s="17"/>
      <c r="P217" s="17"/>
      <c r="Q217" s="17"/>
      <c r="R217" s="162"/>
    </row>
    <row r="218" ht="15.75" customHeight="1">
      <c r="C218" s="17"/>
      <c r="D218" s="17"/>
      <c r="E218" s="158"/>
      <c r="F218" s="17"/>
      <c r="G218" s="20"/>
      <c r="H218" s="20"/>
      <c r="I218" s="20"/>
      <c r="J218" s="20"/>
      <c r="K218" s="21"/>
      <c r="L218" s="159"/>
      <c r="M218" s="160"/>
      <c r="N218" s="17"/>
      <c r="O218" s="17"/>
      <c r="P218" s="17"/>
      <c r="Q218" s="17"/>
      <c r="R218" s="162"/>
    </row>
    <row r="219" ht="15.75" customHeight="1">
      <c r="C219" s="17"/>
      <c r="D219" s="17"/>
      <c r="E219" s="158"/>
      <c r="F219" s="17"/>
      <c r="G219" s="20"/>
      <c r="H219" s="20"/>
      <c r="I219" s="20"/>
      <c r="J219" s="20"/>
      <c r="K219" s="21"/>
      <c r="L219" s="159"/>
      <c r="M219" s="160"/>
      <c r="N219" s="17"/>
      <c r="O219" s="17"/>
      <c r="P219" s="17"/>
      <c r="Q219" s="17"/>
      <c r="R219" s="162"/>
    </row>
    <row r="220" ht="15.75" customHeight="1">
      <c r="C220" s="17"/>
      <c r="D220" s="17"/>
      <c r="E220" s="158"/>
      <c r="F220" s="17"/>
      <c r="G220" s="20"/>
      <c r="H220" s="20"/>
      <c r="I220" s="20"/>
      <c r="J220" s="20"/>
      <c r="K220" s="21"/>
      <c r="L220" s="159"/>
      <c r="M220" s="160"/>
      <c r="N220" s="17"/>
      <c r="O220" s="17"/>
      <c r="P220" s="17"/>
      <c r="Q220" s="17"/>
      <c r="R220" s="162"/>
    </row>
    <row r="221" ht="15.75" customHeight="1">
      <c r="C221" s="17"/>
      <c r="D221" s="17"/>
      <c r="E221" s="158"/>
      <c r="F221" s="17"/>
      <c r="G221" s="20"/>
      <c r="H221" s="20"/>
      <c r="I221" s="20"/>
      <c r="J221" s="20"/>
      <c r="K221" s="21"/>
      <c r="L221" s="159"/>
      <c r="M221" s="160"/>
      <c r="N221" s="17"/>
      <c r="O221" s="17"/>
      <c r="P221" s="17"/>
      <c r="Q221" s="17"/>
      <c r="R221" s="162"/>
    </row>
    <row r="222" ht="15.75" customHeight="1">
      <c r="C222" s="17"/>
      <c r="D222" s="17"/>
      <c r="E222" s="158"/>
      <c r="F222" s="17"/>
      <c r="G222" s="20"/>
      <c r="H222" s="20"/>
      <c r="I222" s="20"/>
      <c r="J222" s="20"/>
      <c r="K222" s="21"/>
      <c r="L222" s="159"/>
      <c r="M222" s="160"/>
      <c r="N222" s="17"/>
      <c r="O222" s="17"/>
      <c r="P222" s="17"/>
      <c r="Q222" s="17"/>
      <c r="R222" s="162"/>
    </row>
    <row r="223" ht="15.75" customHeight="1">
      <c r="C223" s="17"/>
      <c r="D223" s="17"/>
      <c r="E223" s="158"/>
      <c r="F223" s="17"/>
      <c r="G223" s="20"/>
      <c r="H223" s="20"/>
      <c r="I223" s="20"/>
      <c r="J223" s="20"/>
      <c r="K223" s="21"/>
      <c r="L223" s="159"/>
      <c r="M223" s="160"/>
      <c r="N223" s="17"/>
      <c r="O223" s="17"/>
      <c r="P223" s="17"/>
      <c r="Q223" s="17"/>
      <c r="R223" s="162"/>
    </row>
    <row r="224" ht="15.75" customHeight="1">
      <c r="C224" s="17"/>
      <c r="D224" s="17"/>
      <c r="E224" s="158"/>
      <c r="F224" s="17"/>
      <c r="G224" s="20"/>
      <c r="H224" s="20"/>
      <c r="I224" s="20"/>
      <c r="J224" s="20"/>
      <c r="K224" s="21"/>
      <c r="L224" s="159"/>
      <c r="M224" s="160"/>
      <c r="N224" s="17"/>
      <c r="O224" s="17"/>
      <c r="P224" s="17"/>
      <c r="Q224" s="17"/>
      <c r="R224" s="162"/>
    </row>
    <row r="225" ht="15.75" customHeight="1">
      <c r="C225" s="17"/>
      <c r="D225" s="17"/>
      <c r="E225" s="158"/>
      <c r="F225" s="17"/>
      <c r="G225" s="20"/>
      <c r="H225" s="20"/>
      <c r="I225" s="20"/>
      <c r="J225" s="20"/>
      <c r="K225" s="21"/>
      <c r="L225" s="159"/>
      <c r="M225" s="160"/>
      <c r="N225" s="17"/>
      <c r="O225" s="17"/>
      <c r="P225" s="17"/>
      <c r="Q225" s="17"/>
      <c r="R225" s="162"/>
    </row>
    <row r="226" ht="15.75" customHeight="1">
      <c r="C226" s="17"/>
      <c r="D226" s="17"/>
      <c r="E226" s="158"/>
      <c r="F226" s="17"/>
      <c r="G226" s="20"/>
      <c r="H226" s="20"/>
      <c r="I226" s="20"/>
      <c r="J226" s="20"/>
      <c r="K226" s="21"/>
      <c r="L226" s="159"/>
      <c r="M226" s="160"/>
      <c r="N226" s="17"/>
      <c r="O226" s="17"/>
      <c r="P226" s="17"/>
      <c r="Q226" s="17"/>
      <c r="R226" s="162"/>
    </row>
    <row r="227" ht="15.75" customHeight="1">
      <c r="C227" s="17"/>
      <c r="D227" s="17"/>
      <c r="E227" s="158"/>
      <c r="F227" s="17"/>
      <c r="G227" s="20"/>
      <c r="H227" s="20"/>
      <c r="I227" s="20"/>
      <c r="J227" s="20"/>
      <c r="K227" s="21"/>
      <c r="L227" s="159"/>
      <c r="M227" s="160"/>
      <c r="N227" s="17"/>
      <c r="O227" s="17"/>
      <c r="P227" s="17"/>
      <c r="Q227" s="17"/>
      <c r="R227" s="162"/>
    </row>
    <row r="228" ht="15.75" customHeight="1">
      <c r="C228" s="17"/>
      <c r="D228" s="17"/>
      <c r="E228" s="158"/>
      <c r="F228" s="17"/>
      <c r="G228" s="20"/>
      <c r="H228" s="20"/>
      <c r="I228" s="20"/>
      <c r="J228" s="20"/>
      <c r="K228" s="21"/>
      <c r="L228" s="159"/>
      <c r="M228" s="160"/>
      <c r="N228" s="17"/>
      <c r="O228" s="17"/>
      <c r="P228" s="17"/>
      <c r="Q228" s="17"/>
      <c r="R228" s="162"/>
    </row>
    <row r="229" ht="15.75" customHeight="1">
      <c r="C229" s="17"/>
      <c r="D229" s="17"/>
      <c r="E229" s="158"/>
      <c r="F229" s="17"/>
      <c r="G229" s="20"/>
      <c r="H229" s="20"/>
      <c r="I229" s="20"/>
      <c r="J229" s="20"/>
      <c r="K229" s="21"/>
      <c r="L229" s="159"/>
      <c r="M229" s="160"/>
      <c r="N229" s="17"/>
      <c r="O229" s="17"/>
      <c r="P229" s="17"/>
      <c r="Q229" s="17"/>
      <c r="R229" s="162"/>
    </row>
    <row r="230" ht="15.75" customHeight="1">
      <c r="C230" s="17"/>
      <c r="D230" s="17"/>
      <c r="E230" s="158"/>
      <c r="F230" s="17"/>
      <c r="G230" s="20"/>
      <c r="H230" s="20"/>
      <c r="I230" s="20"/>
      <c r="J230" s="20"/>
      <c r="K230" s="21"/>
      <c r="L230" s="159"/>
      <c r="M230" s="160"/>
      <c r="N230" s="17"/>
      <c r="O230" s="17"/>
      <c r="P230" s="17"/>
      <c r="Q230" s="17"/>
      <c r="R230" s="162"/>
    </row>
    <row r="231" ht="15.75" customHeight="1">
      <c r="C231" s="17"/>
      <c r="D231" s="17"/>
      <c r="E231" s="158"/>
      <c r="F231" s="17"/>
      <c r="G231" s="20"/>
      <c r="H231" s="20"/>
      <c r="I231" s="20"/>
      <c r="J231" s="20"/>
      <c r="K231" s="21"/>
      <c r="L231" s="159"/>
      <c r="M231" s="160"/>
      <c r="N231" s="17"/>
      <c r="O231" s="17"/>
      <c r="P231" s="17"/>
      <c r="Q231" s="17"/>
      <c r="R231" s="162"/>
    </row>
    <row r="232" ht="15.75" customHeight="1">
      <c r="C232" s="17"/>
      <c r="D232" s="17"/>
      <c r="E232" s="158"/>
      <c r="F232" s="17"/>
      <c r="G232" s="20"/>
      <c r="H232" s="20"/>
      <c r="I232" s="20"/>
      <c r="J232" s="20"/>
      <c r="K232" s="21"/>
      <c r="L232" s="159"/>
      <c r="M232" s="160"/>
      <c r="N232" s="17"/>
      <c r="O232" s="17"/>
      <c r="P232" s="17"/>
      <c r="Q232" s="17"/>
      <c r="R232" s="162"/>
    </row>
    <row r="233" ht="15.75" customHeight="1">
      <c r="C233" s="17"/>
      <c r="D233" s="17"/>
      <c r="E233" s="158"/>
      <c r="F233" s="17"/>
      <c r="G233" s="20"/>
      <c r="H233" s="20"/>
      <c r="I233" s="20"/>
      <c r="J233" s="20"/>
      <c r="K233" s="21"/>
      <c r="L233" s="159"/>
      <c r="M233" s="160"/>
      <c r="N233" s="17"/>
      <c r="O233" s="17"/>
      <c r="P233" s="17"/>
      <c r="Q233" s="17"/>
      <c r="R233" s="162"/>
    </row>
    <row r="234" ht="15.75" customHeight="1">
      <c r="C234" s="17"/>
      <c r="D234" s="17"/>
      <c r="E234" s="158"/>
      <c r="F234" s="17"/>
      <c r="G234" s="20"/>
      <c r="H234" s="20"/>
      <c r="I234" s="20"/>
      <c r="J234" s="20"/>
      <c r="K234" s="21"/>
      <c r="L234" s="159"/>
      <c r="M234" s="160"/>
      <c r="N234" s="17"/>
      <c r="O234" s="17"/>
      <c r="P234" s="17"/>
      <c r="Q234" s="17"/>
      <c r="R234" s="162"/>
    </row>
    <row r="235" ht="15.75" customHeight="1">
      <c r="C235" s="17"/>
      <c r="D235" s="17"/>
      <c r="E235" s="158"/>
      <c r="F235" s="17"/>
      <c r="G235" s="20"/>
      <c r="H235" s="20"/>
      <c r="I235" s="20"/>
      <c r="J235" s="20"/>
      <c r="K235" s="21"/>
      <c r="L235" s="159"/>
      <c r="M235" s="160"/>
      <c r="N235" s="17"/>
      <c r="O235" s="17"/>
      <c r="P235" s="17"/>
      <c r="Q235" s="17"/>
      <c r="R235" s="162"/>
    </row>
    <row r="236" ht="15.75" customHeight="1">
      <c r="C236" s="17"/>
      <c r="D236" s="17"/>
      <c r="E236" s="158"/>
      <c r="F236" s="17"/>
      <c r="G236" s="20"/>
      <c r="H236" s="20"/>
      <c r="I236" s="20"/>
      <c r="J236" s="20"/>
      <c r="K236" s="21"/>
      <c r="L236" s="159"/>
      <c r="M236" s="160"/>
      <c r="N236" s="17"/>
      <c r="O236" s="17"/>
      <c r="P236" s="17"/>
      <c r="Q236" s="17"/>
      <c r="R236" s="162"/>
    </row>
    <row r="237" ht="15.75" customHeight="1">
      <c r="C237" s="17"/>
      <c r="D237" s="17"/>
      <c r="E237" s="158"/>
      <c r="F237" s="17"/>
      <c r="G237" s="20"/>
      <c r="H237" s="20"/>
      <c r="I237" s="20"/>
      <c r="J237" s="20"/>
      <c r="K237" s="21"/>
      <c r="L237" s="159"/>
      <c r="M237" s="160"/>
      <c r="N237" s="17"/>
      <c r="O237" s="17"/>
      <c r="P237" s="17"/>
      <c r="Q237" s="17"/>
      <c r="R237" s="162"/>
    </row>
    <row r="238" ht="15.75" customHeight="1">
      <c r="C238" s="17"/>
      <c r="D238" s="17"/>
      <c r="E238" s="158"/>
      <c r="F238" s="17"/>
      <c r="G238" s="20"/>
      <c r="H238" s="20"/>
      <c r="I238" s="20"/>
      <c r="J238" s="20"/>
      <c r="K238" s="21"/>
      <c r="L238" s="159"/>
      <c r="M238" s="160"/>
      <c r="N238" s="17"/>
      <c r="O238" s="17"/>
      <c r="P238" s="17"/>
      <c r="Q238" s="17"/>
      <c r="R238" s="162"/>
    </row>
    <row r="239" ht="15.75" customHeight="1">
      <c r="C239" s="17"/>
      <c r="D239" s="17"/>
      <c r="E239" s="158"/>
      <c r="F239" s="17"/>
      <c r="G239" s="20"/>
      <c r="H239" s="20"/>
      <c r="I239" s="20"/>
      <c r="J239" s="20"/>
      <c r="K239" s="21"/>
      <c r="L239" s="159"/>
      <c r="M239" s="160"/>
      <c r="N239" s="17"/>
      <c r="O239" s="17"/>
      <c r="P239" s="17"/>
      <c r="Q239" s="17"/>
      <c r="R239" s="162"/>
    </row>
    <row r="240" ht="15.75" customHeight="1">
      <c r="C240" s="17"/>
      <c r="D240" s="17"/>
      <c r="E240" s="158"/>
      <c r="F240" s="17"/>
      <c r="G240" s="20"/>
      <c r="H240" s="20"/>
      <c r="I240" s="20"/>
      <c r="J240" s="20"/>
      <c r="K240" s="21"/>
      <c r="L240" s="159"/>
      <c r="M240" s="160"/>
      <c r="N240" s="17"/>
      <c r="O240" s="17"/>
      <c r="P240" s="17"/>
      <c r="Q240" s="17"/>
      <c r="R240" s="162"/>
    </row>
    <row r="241" ht="15.75" customHeight="1">
      <c r="C241" s="17"/>
      <c r="D241" s="17"/>
      <c r="E241" s="158"/>
      <c r="F241" s="17"/>
      <c r="G241" s="20"/>
      <c r="H241" s="20"/>
      <c r="I241" s="20"/>
      <c r="J241" s="20"/>
      <c r="K241" s="21"/>
      <c r="L241" s="159"/>
      <c r="M241" s="160"/>
      <c r="N241" s="17"/>
      <c r="O241" s="17"/>
      <c r="P241" s="17"/>
      <c r="Q241" s="17"/>
      <c r="R241" s="162"/>
    </row>
    <row r="242" ht="15.75" customHeight="1">
      <c r="C242" s="17"/>
      <c r="D242" s="17"/>
      <c r="E242" s="158"/>
      <c r="F242" s="17"/>
      <c r="G242" s="20"/>
      <c r="H242" s="20"/>
      <c r="I242" s="20"/>
      <c r="J242" s="20"/>
      <c r="K242" s="21"/>
      <c r="L242" s="159"/>
      <c r="M242" s="160"/>
      <c r="N242" s="17"/>
      <c r="O242" s="17"/>
      <c r="P242" s="17"/>
      <c r="Q242" s="17"/>
      <c r="R242" s="162"/>
    </row>
    <row r="243" ht="15.75" customHeight="1">
      <c r="C243" s="17"/>
      <c r="D243" s="17"/>
      <c r="E243" s="158"/>
      <c r="F243" s="17"/>
      <c r="G243" s="20"/>
      <c r="H243" s="20"/>
      <c r="I243" s="20"/>
      <c r="J243" s="20"/>
      <c r="K243" s="21"/>
      <c r="L243" s="159"/>
      <c r="M243" s="160"/>
      <c r="N243" s="17"/>
      <c r="O243" s="17"/>
      <c r="P243" s="17"/>
      <c r="Q243" s="17"/>
      <c r="R243" s="162"/>
    </row>
    <row r="244" ht="15.75" customHeight="1">
      <c r="C244" s="17"/>
      <c r="D244" s="17"/>
      <c r="E244" s="158"/>
      <c r="F244" s="17"/>
      <c r="G244" s="20"/>
      <c r="H244" s="20"/>
      <c r="I244" s="20"/>
      <c r="J244" s="20"/>
      <c r="K244" s="21"/>
      <c r="L244" s="159"/>
      <c r="M244" s="160"/>
      <c r="N244" s="17"/>
      <c r="O244" s="17"/>
      <c r="P244" s="17"/>
      <c r="Q244" s="17"/>
      <c r="R244" s="162"/>
    </row>
    <row r="245" ht="15.75" customHeight="1">
      <c r="C245" s="17"/>
      <c r="D245" s="17"/>
      <c r="E245" s="158"/>
      <c r="F245" s="17"/>
      <c r="G245" s="20"/>
      <c r="H245" s="20"/>
      <c r="I245" s="20"/>
      <c r="J245" s="20"/>
      <c r="K245" s="21"/>
      <c r="L245" s="159"/>
      <c r="M245" s="160"/>
      <c r="N245" s="17"/>
      <c r="O245" s="17"/>
      <c r="P245" s="17"/>
      <c r="Q245" s="17"/>
      <c r="R245" s="162"/>
    </row>
    <row r="246" ht="15.75" customHeight="1">
      <c r="C246" s="17"/>
      <c r="D246" s="17"/>
      <c r="E246" s="158"/>
      <c r="F246" s="17"/>
      <c r="G246" s="20"/>
      <c r="H246" s="20"/>
      <c r="I246" s="20"/>
      <c r="J246" s="20"/>
      <c r="K246" s="21"/>
      <c r="L246" s="159"/>
      <c r="M246" s="160"/>
      <c r="N246" s="17"/>
      <c r="O246" s="17"/>
      <c r="P246" s="17"/>
      <c r="Q246" s="17"/>
      <c r="R246" s="162"/>
    </row>
    <row r="247" ht="15.75" customHeight="1">
      <c r="C247" s="17"/>
      <c r="D247" s="17"/>
      <c r="E247" s="158"/>
      <c r="F247" s="17"/>
      <c r="G247" s="20"/>
      <c r="H247" s="20"/>
      <c r="I247" s="20"/>
      <c r="J247" s="20"/>
      <c r="K247" s="21"/>
      <c r="L247" s="159"/>
      <c r="M247" s="160"/>
      <c r="N247" s="17"/>
      <c r="O247" s="17"/>
      <c r="P247" s="17"/>
      <c r="Q247" s="17"/>
      <c r="R247" s="162"/>
    </row>
    <row r="248" ht="15.75" customHeight="1">
      <c r="C248" s="17"/>
      <c r="D248" s="17"/>
      <c r="E248" s="158"/>
      <c r="F248" s="17"/>
      <c r="G248" s="20"/>
      <c r="H248" s="20"/>
      <c r="I248" s="20"/>
      <c r="J248" s="20"/>
      <c r="K248" s="21"/>
      <c r="L248" s="159"/>
      <c r="M248" s="160"/>
      <c r="N248" s="17"/>
      <c r="O248" s="17"/>
      <c r="P248" s="17"/>
      <c r="Q248" s="17"/>
      <c r="R248" s="162"/>
    </row>
    <row r="249" ht="15.75" customHeight="1">
      <c r="C249" s="17"/>
      <c r="D249" s="17"/>
      <c r="E249" s="158"/>
      <c r="F249" s="17"/>
      <c r="G249" s="20"/>
      <c r="H249" s="20"/>
      <c r="I249" s="20"/>
      <c r="J249" s="20"/>
      <c r="K249" s="21"/>
      <c r="L249" s="159"/>
      <c r="M249" s="160"/>
      <c r="N249" s="17"/>
      <c r="O249" s="17"/>
      <c r="P249" s="17"/>
      <c r="Q249" s="17"/>
      <c r="R249" s="162"/>
    </row>
    <row r="250" ht="15.75" customHeight="1">
      <c r="C250" s="17"/>
      <c r="D250" s="17"/>
      <c r="E250" s="158"/>
      <c r="F250" s="17"/>
      <c r="G250" s="20"/>
      <c r="H250" s="20"/>
      <c r="I250" s="20"/>
      <c r="J250" s="20"/>
      <c r="K250" s="21"/>
      <c r="L250" s="159"/>
      <c r="M250" s="160"/>
      <c r="N250" s="17"/>
      <c r="O250" s="17"/>
      <c r="P250" s="17"/>
      <c r="Q250" s="17"/>
      <c r="R250" s="162"/>
    </row>
    <row r="251" ht="15.75" customHeight="1">
      <c r="C251" s="17"/>
      <c r="D251" s="17"/>
      <c r="E251" s="158"/>
      <c r="F251" s="17"/>
      <c r="G251" s="20"/>
      <c r="H251" s="20"/>
      <c r="I251" s="20"/>
      <c r="J251" s="20"/>
      <c r="K251" s="21"/>
      <c r="L251" s="159"/>
      <c r="M251" s="160"/>
      <c r="N251" s="17"/>
      <c r="O251" s="17"/>
      <c r="P251" s="17"/>
      <c r="Q251" s="17"/>
      <c r="R251" s="162"/>
    </row>
    <row r="252" ht="15.75" customHeight="1">
      <c r="C252" s="17"/>
      <c r="D252" s="17"/>
      <c r="E252" s="158"/>
      <c r="F252" s="17"/>
      <c r="G252" s="20"/>
      <c r="H252" s="20"/>
      <c r="I252" s="20"/>
      <c r="J252" s="20"/>
      <c r="K252" s="21"/>
      <c r="L252" s="159"/>
      <c r="M252" s="160"/>
      <c r="N252" s="17"/>
      <c r="O252" s="17"/>
      <c r="P252" s="17"/>
      <c r="Q252" s="17"/>
      <c r="R252" s="162"/>
    </row>
    <row r="253" ht="15.75" customHeight="1">
      <c r="C253" s="17"/>
      <c r="D253" s="17"/>
      <c r="E253" s="158"/>
      <c r="F253" s="17"/>
      <c r="G253" s="20"/>
      <c r="H253" s="20"/>
      <c r="I253" s="20"/>
      <c r="J253" s="20"/>
      <c r="K253" s="21"/>
      <c r="L253" s="159"/>
      <c r="M253" s="160"/>
      <c r="N253" s="17"/>
      <c r="O253" s="17"/>
      <c r="P253" s="17"/>
      <c r="Q253" s="17"/>
      <c r="R253" s="162"/>
    </row>
    <row r="254" ht="15.75" customHeight="1">
      <c r="C254" s="17"/>
      <c r="D254" s="17"/>
      <c r="E254" s="158"/>
      <c r="F254" s="17"/>
      <c r="G254" s="20"/>
      <c r="H254" s="20"/>
      <c r="I254" s="20"/>
      <c r="J254" s="20"/>
      <c r="K254" s="21"/>
      <c r="L254" s="159"/>
      <c r="M254" s="160"/>
      <c r="N254" s="17"/>
      <c r="O254" s="17"/>
      <c r="P254" s="17"/>
      <c r="Q254" s="17"/>
      <c r="R254" s="162"/>
    </row>
    <row r="255" ht="15.75" customHeight="1">
      <c r="C255" s="17"/>
      <c r="D255" s="17"/>
      <c r="E255" s="158"/>
      <c r="F255" s="17"/>
      <c r="G255" s="20"/>
      <c r="H255" s="20"/>
      <c r="I255" s="20"/>
      <c r="J255" s="20"/>
      <c r="K255" s="21"/>
      <c r="L255" s="159"/>
      <c r="M255" s="160"/>
      <c r="N255" s="17"/>
      <c r="O255" s="17"/>
      <c r="P255" s="17"/>
      <c r="Q255" s="17"/>
      <c r="R255" s="162"/>
    </row>
    <row r="256" ht="15.75" customHeight="1">
      <c r="C256" s="17"/>
      <c r="D256" s="17"/>
      <c r="E256" s="158"/>
      <c r="F256" s="17"/>
      <c r="G256" s="20"/>
      <c r="H256" s="20"/>
      <c r="I256" s="20"/>
      <c r="J256" s="20"/>
      <c r="K256" s="21"/>
      <c r="L256" s="159"/>
      <c r="M256" s="160"/>
      <c r="N256" s="17"/>
      <c r="O256" s="17"/>
      <c r="P256" s="17"/>
      <c r="Q256" s="17"/>
      <c r="R256" s="162"/>
    </row>
    <row r="257" ht="15.75" customHeight="1">
      <c r="C257" s="17"/>
      <c r="D257" s="17"/>
      <c r="E257" s="158"/>
      <c r="F257" s="17"/>
      <c r="G257" s="20"/>
      <c r="H257" s="20"/>
      <c r="I257" s="20"/>
      <c r="J257" s="20"/>
      <c r="K257" s="21"/>
      <c r="L257" s="159"/>
      <c r="M257" s="160"/>
      <c r="N257" s="17"/>
      <c r="O257" s="17"/>
      <c r="P257" s="17"/>
      <c r="Q257" s="17"/>
      <c r="R257" s="162"/>
    </row>
    <row r="258" ht="15.75" customHeight="1">
      <c r="C258" s="17"/>
      <c r="D258" s="17"/>
      <c r="E258" s="158"/>
      <c r="F258" s="17"/>
      <c r="G258" s="20"/>
      <c r="H258" s="20"/>
      <c r="I258" s="20"/>
      <c r="J258" s="20"/>
      <c r="K258" s="21"/>
      <c r="L258" s="159"/>
      <c r="M258" s="160"/>
      <c r="N258" s="17"/>
      <c r="O258" s="17"/>
      <c r="P258" s="17"/>
      <c r="Q258" s="17"/>
      <c r="R258" s="162"/>
    </row>
    <row r="259" ht="15.75" customHeight="1">
      <c r="C259" s="17"/>
      <c r="D259" s="17"/>
      <c r="E259" s="158"/>
      <c r="F259" s="17"/>
      <c r="G259" s="20"/>
      <c r="H259" s="20"/>
      <c r="I259" s="20"/>
      <c r="J259" s="20"/>
      <c r="K259" s="21"/>
      <c r="L259" s="159"/>
      <c r="M259" s="160"/>
      <c r="N259" s="17"/>
      <c r="O259" s="17"/>
      <c r="P259" s="17"/>
      <c r="Q259" s="17"/>
      <c r="R259" s="162"/>
    </row>
    <row r="260" ht="15.75" customHeight="1">
      <c r="C260" s="17"/>
      <c r="D260" s="17"/>
      <c r="E260" s="158"/>
      <c r="F260" s="17"/>
      <c r="G260" s="20"/>
      <c r="H260" s="20"/>
      <c r="I260" s="20"/>
      <c r="J260" s="20"/>
      <c r="K260" s="21"/>
      <c r="L260" s="159"/>
      <c r="M260" s="160"/>
      <c r="N260" s="17"/>
      <c r="O260" s="17"/>
      <c r="P260" s="17"/>
      <c r="Q260" s="17"/>
      <c r="R260" s="162"/>
    </row>
    <row r="261" ht="15.75" customHeight="1">
      <c r="C261" s="17"/>
      <c r="D261" s="17"/>
      <c r="E261" s="158"/>
      <c r="F261" s="17"/>
      <c r="G261" s="20"/>
      <c r="H261" s="20"/>
      <c r="I261" s="20"/>
      <c r="J261" s="20"/>
      <c r="K261" s="21"/>
      <c r="L261" s="159"/>
      <c r="M261" s="160"/>
      <c r="N261" s="17"/>
      <c r="O261" s="17"/>
      <c r="P261" s="17"/>
      <c r="Q261" s="17"/>
      <c r="R261" s="162"/>
    </row>
    <row r="262" ht="15.75" customHeight="1">
      <c r="C262" s="17"/>
      <c r="D262" s="17"/>
      <c r="E262" s="158"/>
      <c r="F262" s="17"/>
      <c r="G262" s="20"/>
      <c r="H262" s="20"/>
      <c r="I262" s="20"/>
      <c r="J262" s="20"/>
      <c r="K262" s="21"/>
      <c r="L262" s="159"/>
      <c r="M262" s="160"/>
      <c r="N262" s="17"/>
      <c r="O262" s="17"/>
      <c r="P262" s="17"/>
      <c r="Q262" s="17"/>
      <c r="R262" s="162"/>
    </row>
    <row r="263" ht="15.75" customHeight="1">
      <c r="C263" s="17"/>
      <c r="D263" s="17"/>
      <c r="E263" s="158"/>
      <c r="F263" s="17"/>
      <c r="G263" s="20"/>
      <c r="H263" s="20"/>
      <c r="I263" s="20"/>
      <c r="J263" s="20"/>
      <c r="K263" s="21"/>
      <c r="L263" s="159"/>
      <c r="M263" s="160"/>
      <c r="N263" s="17"/>
      <c r="O263" s="17"/>
      <c r="P263" s="17"/>
      <c r="Q263" s="17"/>
      <c r="R263" s="162"/>
    </row>
    <row r="264" ht="15.75" customHeight="1">
      <c r="C264" s="17"/>
      <c r="D264" s="17"/>
      <c r="E264" s="158"/>
      <c r="F264" s="17"/>
      <c r="G264" s="20"/>
      <c r="H264" s="20"/>
      <c r="I264" s="20"/>
      <c r="J264" s="20"/>
      <c r="K264" s="21"/>
      <c r="L264" s="159"/>
      <c r="M264" s="160"/>
      <c r="N264" s="17"/>
      <c r="O264" s="17"/>
      <c r="P264" s="17"/>
      <c r="Q264" s="17"/>
      <c r="R264" s="162"/>
    </row>
    <row r="265" ht="15.75" customHeight="1">
      <c r="C265" s="17"/>
      <c r="D265" s="17"/>
      <c r="E265" s="158"/>
      <c r="F265" s="17"/>
      <c r="G265" s="20"/>
      <c r="H265" s="20"/>
      <c r="I265" s="20"/>
      <c r="J265" s="20"/>
      <c r="K265" s="21"/>
      <c r="L265" s="159"/>
      <c r="M265" s="160"/>
      <c r="N265" s="17"/>
      <c r="O265" s="17"/>
      <c r="P265" s="17"/>
      <c r="Q265" s="17"/>
      <c r="R265" s="162"/>
    </row>
    <row r="266" ht="15.75" customHeight="1">
      <c r="C266" s="17"/>
      <c r="D266" s="17"/>
      <c r="E266" s="158"/>
      <c r="F266" s="17"/>
      <c r="G266" s="20"/>
      <c r="H266" s="20"/>
      <c r="I266" s="20"/>
      <c r="J266" s="20"/>
      <c r="K266" s="21"/>
      <c r="L266" s="159"/>
      <c r="M266" s="160"/>
      <c r="N266" s="17"/>
      <c r="O266" s="17"/>
      <c r="P266" s="17"/>
      <c r="Q266" s="17"/>
      <c r="R266" s="162"/>
    </row>
    <row r="267" ht="15.75" customHeight="1">
      <c r="C267" s="17"/>
      <c r="D267" s="17"/>
      <c r="E267" s="158"/>
      <c r="F267" s="17"/>
      <c r="G267" s="20"/>
      <c r="H267" s="20"/>
      <c r="I267" s="20"/>
      <c r="J267" s="20"/>
      <c r="K267" s="21"/>
      <c r="L267" s="159"/>
      <c r="M267" s="160"/>
      <c r="N267" s="17"/>
      <c r="O267" s="17"/>
      <c r="P267" s="17"/>
      <c r="Q267" s="17"/>
      <c r="R267" s="162"/>
    </row>
    <row r="268" ht="15.75" customHeight="1">
      <c r="C268" s="17"/>
      <c r="D268" s="17"/>
      <c r="E268" s="158"/>
      <c r="F268" s="17"/>
      <c r="G268" s="20"/>
      <c r="H268" s="20"/>
      <c r="I268" s="20"/>
      <c r="J268" s="20"/>
      <c r="K268" s="21"/>
      <c r="L268" s="159"/>
      <c r="M268" s="160"/>
      <c r="N268" s="17"/>
      <c r="O268" s="17"/>
      <c r="P268" s="17"/>
      <c r="Q268" s="17"/>
      <c r="R268" s="162"/>
    </row>
    <row r="269" ht="15.75" customHeight="1">
      <c r="C269" s="17"/>
      <c r="D269" s="17"/>
      <c r="E269" s="158"/>
      <c r="F269" s="17"/>
      <c r="G269" s="20"/>
      <c r="H269" s="20"/>
      <c r="I269" s="20"/>
      <c r="J269" s="20"/>
      <c r="K269" s="21"/>
      <c r="L269" s="159"/>
      <c r="M269" s="160"/>
      <c r="N269" s="17"/>
      <c r="O269" s="17"/>
      <c r="P269" s="17"/>
      <c r="Q269" s="17"/>
      <c r="R269" s="162"/>
    </row>
    <row r="270" ht="15.75" customHeight="1">
      <c r="C270" s="17"/>
      <c r="D270" s="17"/>
      <c r="E270" s="158"/>
      <c r="F270" s="17"/>
      <c r="G270" s="20"/>
      <c r="H270" s="20"/>
      <c r="I270" s="20"/>
      <c r="J270" s="20"/>
      <c r="K270" s="21"/>
      <c r="L270" s="159"/>
      <c r="M270" s="160"/>
      <c r="N270" s="17"/>
      <c r="O270" s="17"/>
      <c r="P270" s="17"/>
      <c r="Q270" s="17"/>
      <c r="R270" s="162"/>
    </row>
    <row r="271" ht="15.75" customHeight="1">
      <c r="C271" s="17"/>
      <c r="D271" s="17"/>
      <c r="E271" s="158"/>
      <c r="F271" s="17"/>
      <c r="G271" s="20"/>
      <c r="H271" s="20"/>
      <c r="I271" s="20"/>
      <c r="J271" s="20"/>
      <c r="K271" s="21"/>
      <c r="L271" s="159"/>
      <c r="M271" s="160"/>
      <c r="N271" s="17"/>
      <c r="O271" s="17"/>
      <c r="P271" s="17"/>
      <c r="Q271" s="17"/>
      <c r="R271" s="162"/>
    </row>
    <row r="272" ht="15.75" customHeight="1">
      <c r="C272" s="17"/>
      <c r="D272" s="17"/>
      <c r="E272" s="158"/>
      <c r="F272" s="17"/>
      <c r="G272" s="20"/>
      <c r="H272" s="20"/>
      <c r="I272" s="20"/>
      <c r="J272" s="20"/>
      <c r="K272" s="21"/>
      <c r="L272" s="159"/>
      <c r="M272" s="160"/>
      <c r="N272" s="17"/>
      <c r="O272" s="17"/>
      <c r="P272" s="17"/>
      <c r="Q272" s="17"/>
      <c r="R272" s="162"/>
    </row>
    <row r="273" ht="15.75" customHeight="1">
      <c r="C273" s="17"/>
      <c r="D273" s="17"/>
      <c r="E273" s="158"/>
      <c r="F273" s="17"/>
      <c r="G273" s="20"/>
      <c r="H273" s="20"/>
      <c r="I273" s="20"/>
      <c r="J273" s="20"/>
      <c r="K273" s="21"/>
      <c r="L273" s="159"/>
      <c r="M273" s="160"/>
      <c r="N273" s="17"/>
      <c r="O273" s="17"/>
      <c r="P273" s="17"/>
      <c r="Q273" s="17"/>
      <c r="R273" s="162"/>
    </row>
    <row r="274" ht="15.75" customHeight="1">
      <c r="C274" s="17"/>
      <c r="D274" s="17"/>
      <c r="E274" s="158"/>
      <c r="F274" s="17"/>
      <c r="G274" s="20"/>
      <c r="H274" s="20"/>
      <c r="I274" s="20"/>
      <c r="J274" s="20"/>
      <c r="K274" s="21"/>
      <c r="L274" s="159"/>
      <c r="M274" s="160"/>
      <c r="N274" s="17"/>
      <c r="O274" s="17"/>
      <c r="P274" s="17"/>
      <c r="Q274" s="17"/>
      <c r="R274" s="162"/>
    </row>
    <row r="275" ht="15.75" customHeight="1">
      <c r="C275" s="17"/>
      <c r="D275" s="17"/>
      <c r="E275" s="158"/>
      <c r="F275" s="17"/>
      <c r="G275" s="20"/>
      <c r="H275" s="20"/>
      <c r="I275" s="20"/>
      <c r="J275" s="20"/>
      <c r="K275" s="21"/>
      <c r="L275" s="159"/>
      <c r="M275" s="160"/>
      <c r="N275" s="17"/>
      <c r="O275" s="17"/>
      <c r="P275" s="17"/>
      <c r="Q275" s="17"/>
      <c r="R275" s="162"/>
    </row>
    <row r="276" ht="15.75" customHeight="1">
      <c r="C276" s="17"/>
      <c r="D276" s="17"/>
      <c r="E276" s="158"/>
      <c r="F276" s="17"/>
      <c r="G276" s="20"/>
      <c r="H276" s="20"/>
      <c r="I276" s="20"/>
      <c r="J276" s="20"/>
      <c r="K276" s="21"/>
      <c r="L276" s="159"/>
      <c r="M276" s="160"/>
      <c r="N276" s="17"/>
      <c r="O276" s="17"/>
      <c r="P276" s="17"/>
      <c r="Q276" s="17"/>
      <c r="R276" s="162"/>
    </row>
    <row r="277" ht="15.75" customHeight="1">
      <c r="C277" s="17"/>
      <c r="D277" s="17"/>
      <c r="E277" s="158"/>
      <c r="F277" s="17"/>
      <c r="G277" s="20"/>
      <c r="H277" s="20"/>
      <c r="I277" s="20"/>
      <c r="J277" s="20"/>
      <c r="K277" s="21"/>
      <c r="L277" s="159"/>
      <c r="M277" s="160"/>
      <c r="N277" s="17"/>
      <c r="O277" s="17"/>
      <c r="P277" s="17"/>
      <c r="Q277" s="17"/>
      <c r="R277" s="162"/>
    </row>
    <row r="278" ht="15.75" customHeight="1">
      <c r="C278" s="17"/>
      <c r="D278" s="17"/>
      <c r="E278" s="158"/>
      <c r="F278" s="17"/>
      <c r="G278" s="20"/>
      <c r="H278" s="20"/>
      <c r="I278" s="20"/>
      <c r="J278" s="20"/>
      <c r="K278" s="21"/>
      <c r="L278" s="159"/>
      <c r="M278" s="160"/>
      <c r="N278" s="17"/>
      <c r="O278" s="17"/>
      <c r="P278" s="17"/>
      <c r="Q278" s="17"/>
      <c r="R278" s="162"/>
    </row>
    <row r="279" ht="15.75" customHeight="1">
      <c r="C279" s="17"/>
      <c r="D279" s="17"/>
      <c r="E279" s="158"/>
      <c r="F279" s="17"/>
      <c r="G279" s="20"/>
      <c r="H279" s="20"/>
      <c r="I279" s="20"/>
      <c r="J279" s="20"/>
      <c r="K279" s="21"/>
      <c r="L279" s="159"/>
      <c r="M279" s="160"/>
      <c r="N279" s="17"/>
      <c r="O279" s="17"/>
      <c r="P279" s="17"/>
      <c r="Q279" s="17"/>
      <c r="R279" s="162"/>
    </row>
    <row r="280" ht="15.75" customHeight="1">
      <c r="C280" s="17"/>
      <c r="D280" s="17"/>
      <c r="E280" s="158"/>
      <c r="F280" s="17"/>
      <c r="G280" s="20"/>
      <c r="H280" s="20"/>
      <c r="I280" s="20"/>
      <c r="J280" s="20"/>
      <c r="K280" s="21"/>
      <c r="L280" s="159"/>
      <c r="M280" s="160"/>
      <c r="N280" s="17"/>
      <c r="O280" s="17"/>
      <c r="P280" s="17"/>
      <c r="Q280" s="17"/>
      <c r="R280" s="162"/>
    </row>
    <row r="281" ht="15.75" customHeight="1">
      <c r="C281" s="17"/>
      <c r="D281" s="17"/>
      <c r="E281" s="158"/>
      <c r="F281" s="17"/>
      <c r="G281" s="20"/>
      <c r="H281" s="20"/>
      <c r="I281" s="20"/>
      <c r="J281" s="20"/>
      <c r="K281" s="21"/>
      <c r="L281" s="159"/>
      <c r="M281" s="160"/>
      <c r="N281" s="17"/>
      <c r="O281" s="17"/>
      <c r="P281" s="17"/>
      <c r="Q281" s="17"/>
      <c r="R281" s="162"/>
    </row>
    <row r="282" ht="15.75" customHeight="1">
      <c r="C282" s="17"/>
      <c r="D282" s="17"/>
      <c r="E282" s="158"/>
      <c r="F282" s="17"/>
      <c r="G282" s="20"/>
      <c r="H282" s="20"/>
      <c r="I282" s="20"/>
      <c r="J282" s="20"/>
      <c r="K282" s="21"/>
      <c r="L282" s="159"/>
      <c r="M282" s="160"/>
      <c r="N282" s="17"/>
      <c r="O282" s="17"/>
      <c r="P282" s="17"/>
      <c r="Q282" s="17"/>
      <c r="R282" s="162"/>
    </row>
    <row r="283" ht="15.75" customHeight="1">
      <c r="C283" s="17"/>
      <c r="D283" s="17"/>
      <c r="E283" s="158"/>
      <c r="F283" s="17"/>
      <c r="G283" s="20"/>
      <c r="H283" s="20"/>
      <c r="I283" s="20"/>
      <c r="J283" s="20"/>
      <c r="K283" s="21"/>
      <c r="L283" s="159"/>
      <c r="M283" s="160"/>
      <c r="N283" s="17"/>
      <c r="O283" s="17"/>
      <c r="P283" s="17"/>
      <c r="Q283" s="17"/>
      <c r="R283" s="162"/>
    </row>
    <row r="284" ht="15.75" customHeight="1">
      <c r="C284" s="17"/>
      <c r="D284" s="17"/>
      <c r="E284" s="158"/>
      <c r="F284" s="17"/>
      <c r="G284" s="20"/>
      <c r="H284" s="20"/>
      <c r="I284" s="20"/>
      <c r="J284" s="20"/>
      <c r="K284" s="21"/>
      <c r="L284" s="159"/>
      <c r="M284" s="160"/>
      <c r="N284" s="17"/>
      <c r="O284" s="17"/>
      <c r="P284" s="17"/>
      <c r="Q284" s="17"/>
      <c r="R284" s="162"/>
    </row>
    <row r="285" ht="15.75" customHeight="1">
      <c r="C285" s="17"/>
      <c r="D285" s="17"/>
      <c r="E285" s="158"/>
      <c r="F285" s="17"/>
      <c r="G285" s="20"/>
      <c r="H285" s="20"/>
      <c r="I285" s="20"/>
      <c r="J285" s="20"/>
      <c r="K285" s="21"/>
      <c r="L285" s="159"/>
      <c r="M285" s="160"/>
      <c r="N285" s="17"/>
      <c r="O285" s="17"/>
      <c r="P285" s="17"/>
      <c r="Q285" s="17"/>
      <c r="R285" s="162"/>
    </row>
    <row r="286" ht="15.75" customHeight="1">
      <c r="C286" s="17"/>
      <c r="D286" s="17"/>
      <c r="E286" s="158"/>
      <c r="F286" s="17"/>
      <c r="G286" s="20"/>
      <c r="H286" s="20"/>
      <c r="I286" s="20"/>
      <c r="J286" s="20"/>
      <c r="K286" s="21"/>
      <c r="L286" s="159"/>
      <c r="M286" s="160"/>
      <c r="N286" s="17"/>
      <c r="O286" s="17"/>
      <c r="P286" s="17"/>
      <c r="Q286" s="17"/>
      <c r="R286" s="162"/>
    </row>
    <row r="287" ht="15.75" customHeight="1">
      <c r="C287" s="17"/>
      <c r="D287" s="17"/>
      <c r="E287" s="158"/>
      <c r="F287" s="17"/>
      <c r="G287" s="20"/>
      <c r="H287" s="20"/>
      <c r="I287" s="20"/>
      <c r="J287" s="20"/>
      <c r="K287" s="21"/>
      <c r="L287" s="159"/>
      <c r="M287" s="160"/>
      <c r="N287" s="17"/>
      <c r="O287" s="17"/>
      <c r="P287" s="17"/>
      <c r="Q287" s="17"/>
      <c r="R287" s="162"/>
    </row>
    <row r="288" ht="15.75" customHeight="1">
      <c r="C288" s="17"/>
      <c r="D288" s="17"/>
      <c r="E288" s="158"/>
      <c r="F288" s="17"/>
      <c r="G288" s="20"/>
      <c r="H288" s="20"/>
      <c r="I288" s="20"/>
      <c r="J288" s="20"/>
      <c r="K288" s="21"/>
      <c r="L288" s="159"/>
      <c r="M288" s="160"/>
      <c r="N288" s="17"/>
      <c r="O288" s="17"/>
      <c r="P288" s="17"/>
      <c r="Q288" s="17"/>
      <c r="R288" s="162"/>
    </row>
    <row r="289" ht="15.75" customHeight="1">
      <c r="C289" s="17"/>
      <c r="D289" s="17"/>
      <c r="E289" s="158"/>
      <c r="F289" s="17"/>
      <c r="G289" s="20"/>
      <c r="H289" s="20"/>
      <c r="I289" s="20"/>
      <c r="J289" s="20"/>
      <c r="K289" s="21"/>
      <c r="L289" s="159"/>
      <c r="M289" s="160"/>
      <c r="N289" s="17"/>
      <c r="O289" s="17"/>
      <c r="P289" s="17"/>
      <c r="Q289" s="17"/>
      <c r="R289" s="162"/>
    </row>
    <row r="290" ht="15.75" customHeight="1">
      <c r="C290" s="17"/>
      <c r="D290" s="17"/>
      <c r="E290" s="158"/>
      <c r="F290" s="17"/>
      <c r="G290" s="20"/>
      <c r="H290" s="20"/>
      <c r="I290" s="20"/>
      <c r="J290" s="20"/>
      <c r="K290" s="21"/>
      <c r="L290" s="159"/>
      <c r="M290" s="160"/>
      <c r="N290" s="17"/>
      <c r="O290" s="17"/>
      <c r="P290" s="17"/>
      <c r="Q290" s="17"/>
      <c r="R290" s="162"/>
    </row>
    <row r="291" ht="15.75" customHeight="1">
      <c r="C291" s="17"/>
      <c r="D291" s="17"/>
      <c r="E291" s="158"/>
      <c r="F291" s="17"/>
      <c r="G291" s="20"/>
      <c r="H291" s="20"/>
      <c r="I291" s="20"/>
      <c r="J291" s="20"/>
      <c r="K291" s="21"/>
      <c r="L291" s="159"/>
      <c r="M291" s="160"/>
      <c r="N291" s="17"/>
      <c r="O291" s="17"/>
      <c r="P291" s="17"/>
      <c r="Q291" s="17"/>
      <c r="R291" s="162"/>
    </row>
    <row r="292" ht="15.75" customHeight="1">
      <c r="C292" s="17"/>
      <c r="D292" s="17"/>
      <c r="E292" s="158"/>
      <c r="F292" s="17"/>
      <c r="G292" s="20"/>
      <c r="H292" s="20"/>
      <c r="I292" s="20"/>
      <c r="J292" s="20"/>
      <c r="K292" s="21"/>
      <c r="L292" s="159"/>
      <c r="M292" s="160"/>
      <c r="N292" s="17"/>
      <c r="O292" s="17"/>
      <c r="P292" s="17"/>
      <c r="Q292" s="17"/>
      <c r="R292" s="162"/>
    </row>
    <row r="293" ht="15.75" customHeight="1">
      <c r="C293" s="17"/>
      <c r="D293" s="17"/>
      <c r="E293" s="158"/>
      <c r="F293" s="17"/>
      <c r="G293" s="20"/>
      <c r="H293" s="20"/>
      <c r="I293" s="20"/>
      <c r="J293" s="20"/>
      <c r="K293" s="21"/>
      <c r="L293" s="159"/>
      <c r="M293" s="160"/>
      <c r="N293" s="17"/>
      <c r="O293" s="17"/>
      <c r="P293" s="17"/>
      <c r="Q293" s="17"/>
      <c r="R293" s="162"/>
    </row>
    <row r="294" ht="15.75" customHeight="1">
      <c r="C294" s="17"/>
      <c r="D294" s="17"/>
      <c r="E294" s="158"/>
      <c r="F294" s="17"/>
      <c r="G294" s="20"/>
      <c r="H294" s="20"/>
      <c r="I294" s="20"/>
      <c r="J294" s="20"/>
      <c r="K294" s="21"/>
      <c r="L294" s="159"/>
      <c r="M294" s="160"/>
      <c r="N294" s="17"/>
      <c r="O294" s="17"/>
      <c r="P294" s="17"/>
      <c r="Q294" s="17"/>
      <c r="R294" s="162"/>
    </row>
    <row r="295" ht="15.75" customHeight="1">
      <c r="C295" s="17"/>
      <c r="D295" s="17"/>
      <c r="E295" s="158"/>
      <c r="F295" s="17"/>
      <c r="G295" s="20"/>
      <c r="H295" s="20"/>
      <c r="I295" s="20"/>
      <c r="J295" s="20"/>
      <c r="K295" s="21"/>
      <c r="L295" s="159"/>
      <c r="M295" s="160"/>
      <c r="N295" s="17"/>
      <c r="O295" s="17"/>
      <c r="P295" s="17"/>
      <c r="Q295" s="17"/>
      <c r="R295" s="162"/>
    </row>
    <row r="296" ht="15.75" customHeight="1">
      <c r="C296" s="17"/>
      <c r="D296" s="17"/>
      <c r="E296" s="158"/>
      <c r="F296" s="17"/>
      <c r="G296" s="20"/>
      <c r="H296" s="20"/>
      <c r="I296" s="20"/>
      <c r="J296" s="20"/>
      <c r="K296" s="21"/>
      <c r="L296" s="159"/>
      <c r="M296" s="160"/>
      <c r="N296" s="17"/>
      <c r="O296" s="17"/>
      <c r="P296" s="17"/>
      <c r="Q296" s="17"/>
      <c r="R296" s="162"/>
    </row>
    <row r="297" ht="15.75" customHeight="1">
      <c r="C297" s="17"/>
      <c r="D297" s="17"/>
      <c r="E297" s="158"/>
      <c r="F297" s="17"/>
      <c r="G297" s="20"/>
      <c r="H297" s="20"/>
      <c r="I297" s="20"/>
      <c r="J297" s="20"/>
      <c r="K297" s="21"/>
      <c r="L297" s="159"/>
      <c r="M297" s="160"/>
      <c r="N297" s="17"/>
      <c r="O297" s="17"/>
      <c r="P297" s="17"/>
      <c r="Q297" s="17"/>
      <c r="R297" s="162"/>
    </row>
    <row r="298" ht="15.75" customHeight="1">
      <c r="C298" s="17"/>
      <c r="D298" s="17"/>
      <c r="E298" s="158"/>
      <c r="F298" s="17"/>
      <c r="G298" s="20"/>
      <c r="H298" s="20"/>
      <c r="I298" s="20"/>
      <c r="J298" s="20"/>
      <c r="K298" s="21"/>
      <c r="L298" s="159"/>
      <c r="M298" s="160"/>
      <c r="N298" s="17"/>
      <c r="O298" s="17"/>
      <c r="P298" s="17"/>
      <c r="Q298" s="17"/>
      <c r="R298" s="162"/>
    </row>
    <row r="299" ht="15.75" customHeight="1">
      <c r="C299" s="17"/>
      <c r="D299" s="17"/>
      <c r="E299" s="158"/>
      <c r="F299" s="17"/>
      <c r="G299" s="20"/>
      <c r="H299" s="20"/>
      <c r="I299" s="20"/>
      <c r="J299" s="20"/>
      <c r="K299" s="21"/>
      <c r="L299" s="159"/>
      <c r="M299" s="160"/>
      <c r="N299" s="17"/>
      <c r="O299" s="17"/>
      <c r="P299" s="17"/>
      <c r="Q299" s="17"/>
      <c r="R299" s="162"/>
    </row>
    <row r="300" ht="15.75" customHeight="1">
      <c r="C300" s="17"/>
      <c r="D300" s="17"/>
      <c r="E300" s="158"/>
      <c r="F300" s="17"/>
      <c r="G300" s="20"/>
      <c r="H300" s="20"/>
      <c r="I300" s="20"/>
      <c r="J300" s="20"/>
      <c r="K300" s="21"/>
      <c r="L300" s="159"/>
      <c r="M300" s="160"/>
      <c r="N300" s="17"/>
      <c r="O300" s="17"/>
      <c r="P300" s="17"/>
      <c r="Q300" s="17"/>
      <c r="R300" s="162"/>
    </row>
    <row r="301" ht="15.75" customHeight="1">
      <c r="C301" s="17"/>
      <c r="D301" s="17"/>
      <c r="E301" s="158"/>
      <c r="F301" s="17"/>
      <c r="G301" s="20"/>
      <c r="H301" s="20"/>
      <c r="I301" s="20"/>
      <c r="J301" s="20"/>
      <c r="K301" s="21"/>
      <c r="L301" s="159"/>
      <c r="M301" s="160"/>
      <c r="N301" s="17"/>
      <c r="O301" s="17"/>
      <c r="P301" s="17"/>
      <c r="Q301" s="17"/>
      <c r="R301" s="162"/>
    </row>
    <row r="302" ht="15.75" customHeight="1">
      <c r="C302" s="17"/>
      <c r="D302" s="17"/>
      <c r="E302" s="158"/>
      <c r="F302" s="17"/>
      <c r="G302" s="20"/>
      <c r="H302" s="20"/>
      <c r="I302" s="20"/>
      <c r="J302" s="20"/>
      <c r="K302" s="21"/>
      <c r="L302" s="159"/>
      <c r="M302" s="160"/>
      <c r="N302" s="17"/>
      <c r="O302" s="17"/>
      <c r="P302" s="17"/>
      <c r="Q302" s="17"/>
      <c r="R302" s="162"/>
    </row>
    <row r="303" ht="15.75" customHeight="1">
      <c r="C303" s="17"/>
      <c r="D303" s="17"/>
      <c r="E303" s="158"/>
      <c r="F303" s="17"/>
      <c r="G303" s="20"/>
      <c r="H303" s="20"/>
      <c r="I303" s="20"/>
      <c r="J303" s="20"/>
      <c r="K303" s="21"/>
      <c r="L303" s="159"/>
      <c r="M303" s="160"/>
      <c r="N303" s="17"/>
      <c r="O303" s="17"/>
      <c r="P303" s="17"/>
      <c r="Q303" s="17"/>
      <c r="R303" s="162"/>
    </row>
    <row r="304" ht="15.75" customHeight="1">
      <c r="C304" s="17"/>
      <c r="D304" s="17"/>
      <c r="E304" s="158"/>
      <c r="F304" s="17"/>
      <c r="G304" s="20"/>
      <c r="H304" s="20"/>
      <c r="I304" s="20"/>
      <c r="J304" s="20"/>
      <c r="K304" s="21"/>
      <c r="L304" s="159"/>
      <c r="M304" s="160"/>
      <c r="N304" s="17"/>
      <c r="O304" s="17"/>
      <c r="P304" s="17"/>
      <c r="Q304" s="17"/>
      <c r="R304" s="162"/>
    </row>
    <row r="305" ht="15.75" customHeight="1">
      <c r="C305" s="17"/>
      <c r="D305" s="17"/>
      <c r="E305" s="158"/>
      <c r="F305" s="17"/>
      <c r="G305" s="20"/>
      <c r="H305" s="20"/>
      <c r="I305" s="20"/>
      <c r="J305" s="20"/>
      <c r="K305" s="21"/>
      <c r="L305" s="159"/>
      <c r="M305" s="160"/>
      <c r="N305" s="17"/>
      <c r="O305" s="17"/>
      <c r="P305" s="17"/>
      <c r="Q305" s="17"/>
      <c r="R305" s="162"/>
    </row>
    <row r="306" ht="15.75" customHeight="1">
      <c r="C306" s="17"/>
      <c r="D306" s="17"/>
      <c r="E306" s="158"/>
      <c r="F306" s="17"/>
      <c r="G306" s="20"/>
      <c r="H306" s="20"/>
      <c r="I306" s="20"/>
      <c r="J306" s="20"/>
      <c r="K306" s="21"/>
      <c r="L306" s="159"/>
      <c r="M306" s="160"/>
      <c r="N306" s="17"/>
      <c r="O306" s="17"/>
      <c r="P306" s="17"/>
      <c r="Q306" s="17"/>
      <c r="R306" s="162"/>
    </row>
    <row r="307" ht="15.75" customHeight="1">
      <c r="C307" s="17"/>
      <c r="D307" s="17"/>
      <c r="E307" s="158"/>
      <c r="F307" s="17"/>
      <c r="G307" s="20"/>
      <c r="H307" s="20"/>
      <c r="I307" s="20"/>
      <c r="J307" s="20"/>
      <c r="K307" s="21"/>
      <c r="L307" s="159"/>
      <c r="M307" s="160"/>
      <c r="N307" s="17"/>
      <c r="O307" s="17"/>
      <c r="P307" s="17"/>
      <c r="Q307" s="17"/>
      <c r="R307" s="162"/>
    </row>
    <row r="308" ht="15.75" customHeight="1">
      <c r="C308" s="17"/>
      <c r="D308" s="17"/>
      <c r="E308" s="158"/>
      <c r="F308" s="17"/>
      <c r="G308" s="20"/>
      <c r="H308" s="20"/>
      <c r="I308" s="20"/>
      <c r="J308" s="20"/>
      <c r="K308" s="21"/>
      <c r="L308" s="159"/>
      <c r="M308" s="160"/>
      <c r="N308" s="17"/>
      <c r="O308" s="17"/>
      <c r="P308" s="17"/>
      <c r="Q308" s="17"/>
      <c r="R308" s="162"/>
    </row>
    <row r="309" ht="15.75" customHeight="1">
      <c r="C309" s="17"/>
      <c r="D309" s="17"/>
      <c r="E309" s="158"/>
      <c r="F309" s="17"/>
      <c r="G309" s="20"/>
      <c r="H309" s="20"/>
      <c r="I309" s="20"/>
      <c r="J309" s="20"/>
      <c r="K309" s="21"/>
      <c r="L309" s="159"/>
      <c r="M309" s="160"/>
      <c r="N309" s="17"/>
      <c r="O309" s="17"/>
      <c r="P309" s="17"/>
      <c r="Q309" s="17"/>
      <c r="R309" s="162"/>
    </row>
    <row r="310" ht="15.75" customHeight="1">
      <c r="C310" s="17"/>
      <c r="D310" s="17"/>
      <c r="E310" s="158"/>
      <c r="F310" s="17"/>
      <c r="G310" s="20"/>
      <c r="H310" s="20"/>
      <c r="I310" s="20"/>
      <c r="J310" s="20"/>
      <c r="K310" s="21"/>
      <c r="L310" s="159"/>
      <c r="M310" s="160"/>
      <c r="N310" s="17"/>
      <c r="O310" s="17"/>
      <c r="P310" s="17"/>
      <c r="Q310" s="17"/>
      <c r="R310" s="162"/>
    </row>
    <row r="311" ht="15.75" customHeight="1">
      <c r="C311" s="17"/>
      <c r="D311" s="17"/>
      <c r="E311" s="158"/>
      <c r="F311" s="17"/>
      <c r="G311" s="20"/>
      <c r="H311" s="20"/>
      <c r="I311" s="20"/>
      <c r="J311" s="20"/>
      <c r="K311" s="21"/>
      <c r="L311" s="159"/>
      <c r="M311" s="160"/>
      <c r="N311" s="17"/>
      <c r="O311" s="17"/>
      <c r="P311" s="17"/>
      <c r="Q311" s="17"/>
      <c r="R311" s="162"/>
    </row>
    <row r="312" ht="15.75" customHeight="1">
      <c r="C312" s="17"/>
      <c r="D312" s="17"/>
      <c r="E312" s="158"/>
      <c r="F312" s="17"/>
      <c r="G312" s="20"/>
      <c r="H312" s="20"/>
      <c r="I312" s="20"/>
      <c r="J312" s="20"/>
      <c r="K312" s="21"/>
      <c r="L312" s="159"/>
      <c r="M312" s="160"/>
      <c r="N312" s="17"/>
      <c r="O312" s="17"/>
      <c r="P312" s="17"/>
      <c r="Q312" s="17"/>
      <c r="R312" s="162"/>
    </row>
    <row r="313" ht="15.75" customHeight="1">
      <c r="C313" s="17"/>
      <c r="D313" s="17"/>
      <c r="E313" s="158"/>
      <c r="F313" s="17"/>
      <c r="G313" s="20"/>
      <c r="H313" s="20"/>
      <c r="I313" s="20"/>
      <c r="J313" s="20"/>
      <c r="K313" s="21"/>
      <c r="L313" s="159"/>
      <c r="M313" s="160"/>
      <c r="N313" s="17"/>
      <c r="O313" s="17"/>
      <c r="P313" s="17"/>
      <c r="Q313" s="17"/>
      <c r="R313" s="162"/>
    </row>
    <row r="314" ht="15.75" customHeight="1">
      <c r="C314" s="17"/>
      <c r="D314" s="17"/>
      <c r="E314" s="158"/>
      <c r="F314" s="17"/>
      <c r="G314" s="20"/>
      <c r="H314" s="20"/>
      <c r="I314" s="20"/>
      <c r="J314" s="20"/>
      <c r="K314" s="21"/>
      <c r="L314" s="159"/>
      <c r="M314" s="160"/>
      <c r="N314" s="17"/>
      <c r="O314" s="17"/>
      <c r="P314" s="17"/>
      <c r="Q314" s="17"/>
      <c r="R314" s="162"/>
    </row>
    <row r="315" ht="15.75" customHeight="1">
      <c r="C315" s="17"/>
      <c r="D315" s="17"/>
      <c r="E315" s="158"/>
      <c r="F315" s="17"/>
      <c r="G315" s="20"/>
      <c r="H315" s="20"/>
      <c r="I315" s="20"/>
      <c r="J315" s="20"/>
      <c r="K315" s="21"/>
      <c r="L315" s="159"/>
      <c r="M315" s="160"/>
      <c r="N315" s="17"/>
      <c r="O315" s="17"/>
      <c r="P315" s="17"/>
      <c r="Q315" s="17"/>
      <c r="R315" s="162"/>
    </row>
    <row r="316" ht="15.75" customHeight="1">
      <c r="C316" s="17"/>
      <c r="D316" s="17"/>
      <c r="E316" s="158"/>
      <c r="F316" s="17"/>
      <c r="G316" s="20"/>
      <c r="H316" s="20"/>
      <c r="I316" s="20"/>
      <c r="J316" s="20"/>
      <c r="K316" s="21"/>
      <c r="L316" s="159"/>
      <c r="M316" s="160"/>
      <c r="N316" s="17"/>
      <c r="O316" s="17"/>
      <c r="P316" s="17"/>
      <c r="Q316" s="17"/>
      <c r="R316" s="162"/>
    </row>
    <row r="317" ht="15.75" customHeight="1">
      <c r="C317" s="17"/>
      <c r="D317" s="17"/>
      <c r="E317" s="158"/>
      <c r="F317" s="17"/>
      <c r="G317" s="20"/>
      <c r="H317" s="20"/>
      <c r="I317" s="20"/>
      <c r="J317" s="20"/>
      <c r="K317" s="21"/>
      <c r="L317" s="159"/>
      <c r="M317" s="160"/>
      <c r="N317" s="17"/>
      <c r="O317" s="17"/>
      <c r="P317" s="17"/>
      <c r="Q317" s="17"/>
      <c r="R317" s="162"/>
    </row>
    <row r="318" ht="15.75" customHeight="1">
      <c r="C318" s="17"/>
      <c r="D318" s="17"/>
      <c r="E318" s="158"/>
      <c r="F318" s="17"/>
      <c r="G318" s="20"/>
      <c r="H318" s="20"/>
      <c r="I318" s="20"/>
      <c r="J318" s="20"/>
      <c r="K318" s="21"/>
      <c r="L318" s="159"/>
      <c r="M318" s="160"/>
      <c r="N318" s="17"/>
      <c r="O318" s="17"/>
      <c r="P318" s="17"/>
      <c r="Q318" s="17"/>
      <c r="R318" s="162"/>
    </row>
    <row r="319" ht="15.75" customHeight="1">
      <c r="C319" s="17"/>
      <c r="D319" s="17"/>
      <c r="E319" s="158"/>
      <c r="F319" s="17"/>
      <c r="G319" s="20"/>
      <c r="H319" s="20"/>
      <c r="I319" s="20"/>
      <c r="J319" s="20"/>
      <c r="K319" s="21"/>
      <c r="L319" s="159"/>
      <c r="M319" s="160"/>
      <c r="N319" s="17"/>
      <c r="O319" s="17"/>
      <c r="P319" s="17"/>
      <c r="Q319" s="17"/>
      <c r="R319" s="162"/>
    </row>
    <row r="320" ht="15.75" customHeight="1">
      <c r="C320" s="17"/>
      <c r="D320" s="17"/>
      <c r="E320" s="158"/>
      <c r="F320" s="17"/>
      <c r="G320" s="20"/>
      <c r="H320" s="20"/>
      <c r="I320" s="20"/>
      <c r="J320" s="20"/>
      <c r="K320" s="21"/>
      <c r="L320" s="159"/>
      <c r="M320" s="160"/>
      <c r="N320" s="17"/>
      <c r="O320" s="17"/>
      <c r="P320" s="17"/>
      <c r="Q320" s="17"/>
      <c r="R320" s="162"/>
    </row>
    <row r="321" ht="15.75" customHeight="1">
      <c r="C321" s="17"/>
      <c r="D321" s="17"/>
      <c r="E321" s="158"/>
      <c r="F321" s="17"/>
      <c r="G321" s="20"/>
      <c r="H321" s="20"/>
      <c r="I321" s="20"/>
      <c r="J321" s="20"/>
      <c r="K321" s="21"/>
      <c r="L321" s="159"/>
      <c r="M321" s="160"/>
      <c r="N321" s="17"/>
      <c r="O321" s="17"/>
      <c r="P321" s="17"/>
      <c r="Q321" s="17"/>
      <c r="R321" s="162"/>
    </row>
    <row r="322" ht="15.75" customHeight="1">
      <c r="C322" s="17"/>
      <c r="D322" s="17"/>
      <c r="E322" s="158"/>
      <c r="F322" s="17"/>
      <c r="G322" s="20"/>
      <c r="H322" s="20"/>
      <c r="I322" s="20"/>
      <c r="J322" s="20"/>
      <c r="K322" s="21"/>
      <c r="L322" s="159"/>
      <c r="M322" s="160"/>
      <c r="N322" s="17"/>
      <c r="O322" s="17"/>
      <c r="P322" s="17"/>
      <c r="Q322" s="17"/>
      <c r="R322" s="162"/>
    </row>
    <row r="323" ht="15.75" customHeight="1">
      <c r="C323" s="17"/>
      <c r="D323" s="17"/>
      <c r="E323" s="158"/>
      <c r="F323" s="17"/>
      <c r="G323" s="20"/>
      <c r="H323" s="20"/>
      <c r="I323" s="20"/>
      <c r="J323" s="20"/>
      <c r="K323" s="21"/>
      <c r="L323" s="159"/>
      <c r="M323" s="160"/>
      <c r="N323" s="17"/>
      <c r="O323" s="17"/>
      <c r="P323" s="17"/>
      <c r="Q323" s="17"/>
      <c r="R323" s="162"/>
    </row>
    <row r="324" ht="15.75" customHeight="1">
      <c r="C324" s="17"/>
      <c r="D324" s="17"/>
      <c r="E324" s="158"/>
      <c r="F324" s="17"/>
      <c r="G324" s="20"/>
      <c r="H324" s="20"/>
      <c r="I324" s="20"/>
      <c r="J324" s="20"/>
      <c r="K324" s="21"/>
      <c r="L324" s="159"/>
      <c r="M324" s="160"/>
      <c r="N324" s="17"/>
      <c r="O324" s="17"/>
      <c r="P324" s="17"/>
      <c r="Q324" s="17"/>
      <c r="R324" s="162"/>
    </row>
    <row r="325" ht="15.75" customHeight="1">
      <c r="C325" s="17"/>
      <c r="D325" s="17"/>
      <c r="E325" s="158"/>
      <c r="F325" s="17"/>
      <c r="G325" s="20"/>
      <c r="H325" s="20"/>
      <c r="I325" s="20"/>
      <c r="J325" s="20"/>
      <c r="K325" s="21"/>
      <c r="L325" s="159"/>
      <c r="M325" s="160"/>
      <c r="N325" s="17"/>
      <c r="O325" s="17"/>
      <c r="P325" s="17"/>
      <c r="Q325" s="17"/>
      <c r="R325" s="162"/>
    </row>
    <row r="326" ht="15.75" customHeight="1">
      <c r="C326" s="17"/>
      <c r="D326" s="17"/>
      <c r="E326" s="158"/>
      <c r="F326" s="17"/>
      <c r="G326" s="20"/>
      <c r="H326" s="20"/>
      <c r="I326" s="20"/>
      <c r="J326" s="20"/>
      <c r="K326" s="21"/>
      <c r="L326" s="159"/>
      <c r="M326" s="160"/>
      <c r="N326" s="17"/>
      <c r="O326" s="17"/>
      <c r="P326" s="17"/>
      <c r="Q326" s="17"/>
      <c r="R326" s="162"/>
    </row>
    <row r="327" ht="15.75" customHeight="1">
      <c r="C327" s="17"/>
      <c r="D327" s="17"/>
      <c r="E327" s="158"/>
      <c r="F327" s="17"/>
      <c r="G327" s="20"/>
      <c r="H327" s="20"/>
      <c r="I327" s="20"/>
      <c r="J327" s="20"/>
      <c r="K327" s="21"/>
      <c r="L327" s="159"/>
      <c r="M327" s="160"/>
      <c r="N327" s="17"/>
      <c r="O327" s="17"/>
      <c r="P327" s="17"/>
      <c r="Q327" s="17"/>
      <c r="R327" s="162"/>
    </row>
    <row r="328" ht="15.75" customHeight="1">
      <c r="C328" s="17"/>
      <c r="D328" s="17"/>
      <c r="E328" s="158"/>
      <c r="F328" s="17"/>
      <c r="G328" s="20"/>
      <c r="H328" s="20"/>
      <c r="I328" s="20"/>
      <c r="J328" s="20"/>
      <c r="K328" s="21"/>
      <c r="L328" s="159"/>
      <c r="M328" s="160"/>
      <c r="N328" s="17"/>
      <c r="O328" s="17"/>
      <c r="P328" s="17"/>
      <c r="Q328" s="17"/>
      <c r="R328" s="162"/>
    </row>
    <row r="329" ht="15.75" customHeight="1">
      <c r="C329" s="17"/>
      <c r="D329" s="17"/>
      <c r="E329" s="158"/>
      <c r="F329" s="17"/>
      <c r="G329" s="20"/>
      <c r="H329" s="20"/>
      <c r="I329" s="20"/>
      <c r="J329" s="20"/>
      <c r="K329" s="21"/>
      <c r="L329" s="159"/>
      <c r="M329" s="160"/>
      <c r="N329" s="17"/>
      <c r="O329" s="17"/>
      <c r="P329" s="17"/>
      <c r="Q329" s="17"/>
      <c r="R329" s="162"/>
    </row>
    <row r="330" ht="15.75" customHeight="1">
      <c r="C330" s="17"/>
      <c r="D330" s="17"/>
      <c r="E330" s="158"/>
      <c r="F330" s="17"/>
      <c r="G330" s="20"/>
      <c r="H330" s="20"/>
      <c r="I330" s="20"/>
      <c r="J330" s="20"/>
      <c r="K330" s="21"/>
      <c r="L330" s="159"/>
      <c r="M330" s="160"/>
      <c r="N330" s="17"/>
      <c r="O330" s="17"/>
      <c r="P330" s="17"/>
      <c r="Q330" s="17"/>
      <c r="R330" s="162"/>
    </row>
    <row r="331" ht="15.75" customHeight="1">
      <c r="C331" s="17"/>
      <c r="D331" s="17"/>
      <c r="E331" s="158"/>
      <c r="F331" s="17"/>
      <c r="G331" s="20"/>
      <c r="H331" s="20"/>
      <c r="I331" s="20"/>
      <c r="J331" s="20"/>
      <c r="K331" s="21"/>
      <c r="L331" s="159"/>
      <c r="M331" s="160"/>
      <c r="N331" s="17"/>
      <c r="O331" s="17"/>
      <c r="P331" s="17"/>
      <c r="Q331" s="17"/>
      <c r="R331" s="162"/>
    </row>
    <row r="332" ht="15.75" customHeight="1">
      <c r="C332" s="17"/>
      <c r="D332" s="17"/>
      <c r="E332" s="158"/>
      <c r="F332" s="17"/>
      <c r="G332" s="20"/>
      <c r="H332" s="20"/>
      <c r="I332" s="20"/>
      <c r="J332" s="20"/>
      <c r="K332" s="21"/>
      <c r="L332" s="159"/>
      <c r="M332" s="160"/>
      <c r="N332" s="17"/>
      <c r="O332" s="17"/>
      <c r="P332" s="17"/>
      <c r="Q332" s="17"/>
      <c r="R332" s="162"/>
    </row>
    <row r="333" ht="15.75" customHeight="1">
      <c r="C333" s="17"/>
      <c r="D333" s="17"/>
      <c r="E333" s="158"/>
      <c r="F333" s="17"/>
      <c r="G333" s="20"/>
      <c r="H333" s="20"/>
      <c r="I333" s="20"/>
      <c r="J333" s="20"/>
      <c r="K333" s="21"/>
      <c r="L333" s="159"/>
      <c r="M333" s="160"/>
      <c r="N333" s="17"/>
      <c r="O333" s="17"/>
      <c r="P333" s="17"/>
      <c r="Q333" s="17"/>
      <c r="R333" s="162"/>
    </row>
    <row r="334" ht="15.75" customHeight="1">
      <c r="C334" s="17"/>
      <c r="D334" s="17"/>
      <c r="E334" s="158"/>
      <c r="F334" s="17"/>
      <c r="G334" s="20"/>
      <c r="H334" s="20"/>
      <c r="I334" s="20"/>
      <c r="J334" s="20"/>
      <c r="K334" s="21"/>
      <c r="L334" s="159"/>
      <c r="M334" s="160"/>
      <c r="N334" s="17"/>
      <c r="O334" s="17"/>
      <c r="P334" s="17"/>
      <c r="Q334" s="17"/>
      <c r="R334" s="162"/>
    </row>
    <row r="335" ht="15.75" customHeight="1">
      <c r="C335" s="17"/>
      <c r="D335" s="17"/>
      <c r="E335" s="158"/>
      <c r="F335" s="17"/>
      <c r="G335" s="20"/>
      <c r="H335" s="20"/>
      <c r="I335" s="20"/>
      <c r="J335" s="20"/>
      <c r="K335" s="21"/>
      <c r="L335" s="159"/>
      <c r="M335" s="160"/>
      <c r="N335" s="17"/>
      <c r="O335" s="17"/>
      <c r="P335" s="17"/>
      <c r="Q335" s="17"/>
      <c r="R335" s="162"/>
    </row>
    <row r="336" ht="15.75" customHeight="1">
      <c r="C336" s="17"/>
      <c r="D336" s="17"/>
      <c r="E336" s="158"/>
      <c r="F336" s="17"/>
      <c r="G336" s="20"/>
      <c r="H336" s="20"/>
      <c r="I336" s="20"/>
      <c r="J336" s="20"/>
      <c r="K336" s="21"/>
      <c r="L336" s="159"/>
      <c r="M336" s="160"/>
      <c r="N336" s="17"/>
      <c r="O336" s="17"/>
      <c r="P336" s="17"/>
      <c r="Q336" s="17"/>
      <c r="R336" s="162"/>
    </row>
    <row r="337" ht="15.75" customHeight="1">
      <c r="C337" s="17"/>
      <c r="D337" s="17"/>
      <c r="E337" s="158"/>
      <c r="F337" s="17"/>
      <c r="G337" s="20"/>
      <c r="H337" s="20"/>
      <c r="I337" s="20"/>
      <c r="J337" s="20"/>
      <c r="K337" s="21"/>
      <c r="L337" s="159"/>
      <c r="M337" s="160"/>
      <c r="N337" s="17"/>
      <c r="O337" s="17"/>
      <c r="P337" s="17"/>
      <c r="Q337" s="17"/>
      <c r="R337" s="162"/>
    </row>
    <row r="338" ht="15.75" customHeight="1">
      <c r="C338" s="17"/>
      <c r="D338" s="17"/>
      <c r="E338" s="158"/>
      <c r="F338" s="17"/>
      <c r="G338" s="20"/>
      <c r="H338" s="20"/>
      <c r="I338" s="20"/>
      <c r="J338" s="20"/>
      <c r="K338" s="21"/>
      <c r="L338" s="159"/>
      <c r="M338" s="160"/>
      <c r="N338" s="17"/>
      <c r="O338" s="17"/>
      <c r="P338" s="17"/>
      <c r="Q338" s="17"/>
      <c r="R338" s="162"/>
    </row>
    <row r="339" ht="15.75" customHeight="1">
      <c r="C339" s="17"/>
      <c r="D339" s="17"/>
      <c r="E339" s="158"/>
      <c r="F339" s="17"/>
      <c r="G339" s="20"/>
      <c r="H339" s="20"/>
      <c r="I339" s="20"/>
      <c r="J339" s="20"/>
      <c r="K339" s="21"/>
      <c r="L339" s="159"/>
      <c r="M339" s="160"/>
      <c r="N339" s="17"/>
      <c r="O339" s="17"/>
      <c r="P339" s="17"/>
      <c r="Q339" s="17"/>
      <c r="R339" s="162"/>
    </row>
    <row r="340" ht="15.75" customHeight="1">
      <c r="C340" s="17"/>
      <c r="D340" s="17"/>
      <c r="E340" s="158"/>
      <c r="F340" s="17"/>
      <c r="G340" s="20"/>
      <c r="H340" s="20"/>
      <c r="I340" s="20"/>
      <c r="J340" s="20"/>
      <c r="K340" s="21"/>
      <c r="L340" s="159"/>
      <c r="M340" s="160"/>
      <c r="N340" s="17"/>
      <c r="O340" s="17"/>
      <c r="P340" s="17"/>
      <c r="Q340" s="17"/>
      <c r="R340" s="162"/>
    </row>
    <row r="341" ht="15.75" customHeight="1">
      <c r="C341" s="17"/>
      <c r="D341" s="17"/>
      <c r="E341" s="158"/>
      <c r="F341" s="17"/>
      <c r="G341" s="20"/>
      <c r="H341" s="20"/>
      <c r="I341" s="20"/>
      <c r="J341" s="20"/>
      <c r="K341" s="21"/>
      <c r="L341" s="159"/>
      <c r="M341" s="160"/>
      <c r="N341" s="17"/>
      <c r="O341" s="17"/>
      <c r="P341" s="17"/>
      <c r="Q341" s="17"/>
      <c r="R341" s="162"/>
    </row>
    <row r="342" ht="15.75" customHeight="1">
      <c r="C342" s="17"/>
      <c r="D342" s="17"/>
      <c r="E342" s="158"/>
      <c r="F342" s="17"/>
      <c r="G342" s="20"/>
      <c r="H342" s="20"/>
      <c r="I342" s="20"/>
      <c r="J342" s="20"/>
      <c r="K342" s="21"/>
      <c r="L342" s="159"/>
      <c r="M342" s="160"/>
      <c r="N342" s="17"/>
      <c r="O342" s="17"/>
      <c r="P342" s="17"/>
      <c r="Q342" s="17"/>
      <c r="R342" s="162"/>
    </row>
    <row r="343" ht="15.75" customHeight="1">
      <c r="C343" s="17"/>
      <c r="D343" s="17"/>
      <c r="E343" s="158"/>
      <c r="F343" s="17"/>
      <c r="G343" s="20"/>
      <c r="H343" s="20"/>
      <c r="I343" s="20"/>
      <c r="J343" s="20"/>
      <c r="K343" s="21"/>
      <c r="L343" s="159"/>
      <c r="M343" s="160"/>
      <c r="N343" s="17"/>
      <c r="O343" s="17"/>
      <c r="P343" s="17"/>
      <c r="Q343" s="17"/>
      <c r="R343" s="162"/>
    </row>
    <row r="344" ht="15.75" customHeight="1">
      <c r="C344" s="17"/>
      <c r="D344" s="17"/>
      <c r="E344" s="158"/>
      <c r="F344" s="17"/>
      <c r="G344" s="20"/>
      <c r="H344" s="20"/>
      <c r="I344" s="20"/>
      <c r="J344" s="20"/>
      <c r="K344" s="21"/>
      <c r="L344" s="159"/>
      <c r="M344" s="160"/>
      <c r="N344" s="17"/>
      <c r="O344" s="17"/>
      <c r="P344" s="17"/>
      <c r="Q344" s="17"/>
      <c r="R344" s="162"/>
    </row>
    <row r="345" ht="15.75" customHeight="1">
      <c r="C345" s="17"/>
      <c r="D345" s="17"/>
      <c r="E345" s="158"/>
      <c r="F345" s="17"/>
      <c r="G345" s="20"/>
      <c r="H345" s="20"/>
      <c r="I345" s="20"/>
      <c r="J345" s="20"/>
      <c r="K345" s="21"/>
      <c r="L345" s="159"/>
      <c r="M345" s="160"/>
      <c r="N345" s="17"/>
      <c r="O345" s="17"/>
      <c r="P345" s="17"/>
      <c r="Q345" s="17"/>
      <c r="R345" s="162"/>
    </row>
    <row r="346" ht="15.75" customHeight="1">
      <c r="C346" s="17"/>
      <c r="D346" s="17"/>
      <c r="E346" s="158"/>
      <c r="F346" s="17"/>
      <c r="G346" s="20"/>
      <c r="H346" s="20"/>
      <c r="I346" s="20"/>
      <c r="J346" s="20"/>
      <c r="K346" s="21"/>
      <c r="L346" s="159"/>
      <c r="M346" s="160"/>
      <c r="N346" s="17"/>
      <c r="O346" s="17"/>
      <c r="P346" s="17"/>
      <c r="Q346" s="17"/>
      <c r="R346" s="162"/>
    </row>
    <row r="347" ht="15.75" customHeight="1">
      <c r="C347" s="17"/>
      <c r="D347" s="17"/>
      <c r="E347" s="158"/>
      <c r="F347" s="17"/>
      <c r="G347" s="20"/>
      <c r="H347" s="20"/>
      <c r="I347" s="20"/>
      <c r="J347" s="20"/>
      <c r="K347" s="21"/>
      <c r="L347" s="159"/>
      <c r="M347" s="160"/>
      <c r="N347" s="17"/>
      <c r="O347" s="17"/>
      <c r="P347" s="17"/>
      <c r="Q347" s="17"/>
      <c r="R347" s="162"/>
    </row>
    <row r="348" ht="15.75" customHeight="1">
      <c r="C348" s="17"/>
      <c r="D348" s="17"/>
      <c r="E348" s="158"/>
      <c r="F348" s="17"/>
      <c r="G348" s="20"/>
      <c r="H348" s="20"/>
      <c r="I348" s="20"/>
      <c r="J348" s="20"/>
      <c r="K348" s="21"/>
      <c r="L348" s="159"/>
      <c r="M348" s="160"/>
      <c r="N348" s="17"/>
      <c r="O348" s="17"/>
      <c r="P348" s="17"/>
      <c r="Q348" s="17"/>
      <c r="R348" s="162"/>
    </row>
    <row r="349" ht="15.75" customHeight="1">
      <c r="C349" s="17"/>
      <c r="D349" s="17"/>
      <c r="E349" s="158"/>
      <c r="F349" s="17"/>
      <c r="G349" s="20"/>
      <c r="H349" s="20"/>
      <c r="I349" s="20"/>
      <c r="J349" s="20"/>
      <c r="K349" s="21"/>
      <c r="L349" s="159"/>
      <c r="M349" s="160"/>
      <c r="N349" s="17"/>
      <c r="O349" s="17"/>
      <c r="P349" s="17"/>
      <c r="Q349" s="17"/>
      <c r="R349" s="162"/>
    </row>
    <row r="350" ht="15.75" customHeight="1">
      <c r="C350" s="17"/>
      <c r="D350" s="17"/>
      <c r="E350" s="158"/>
      <c r="F350" s="17"/>
      <c r="G350" s="20"/>
      <c r="H350" s="20"/>
      <c r="I350" s="20"/>
      <c r="J350" s="20"/>
      <c r="K350" s="21"/>
      <c r="L350" s="159"/>
      <c r="M350" s="160"/>
      <c r="N350" s="17"/>
      <c r="O350" s="17"/>
      <c r="P350" s="17"/>
      <c r="Q350" s="17"/>
      <c r="R350" s="162"/>
    </row>
    <row r="351" ht="15.75" customHeight="1">
      <c r="C351" s="17"/>
      <c r="D351" s="17"/>
      <c r="E351" s="158"/>
      <c r="F351" s="17"/>
      <c r="G351" s="20"/>
      <c r="H351" s="20"/>
      <c r="I351" s="20"/>
      <c r="J351" s="20"/>
      <c r="K351" s="21"/>
      <c r="L351" s="159"/>
      <c r="M351" s="160"/>
      <c r="N351" s="17"/>
      <c r="O351" s="17"/>
      <c r="P351" s="17"/>
      <c r="Q351" s="17"/>
      <c r="R351" s="162"/>
    </row>
    <row r="352" ht="15.75" customHeight="1">
      <c r="C352" s="17"/>
      <c r="D352" s="17"/>
      <c r="E352" s="158"/>
      <c r="F352" s="17"/>
      <c r="G352" s="20"/>
      <c r="H352" s="20"/>
      <c r="I352" s="20"/>
      <c r="J352" s="20"/>
      <c r="K352" s="21"/>
      <c r="L352" s="159"/>
      <c r="M352" s="160"/>
      <c r="N352" s="17"/>
      <c r="O352" s="17"/>
      <c r="P352" s="17"/>
      <c r="Q352" s="17"/>
      <c r="R352" s="162"/>
    </row>
    <row r="353" ht="15.75" customHeight="1">
      <c r="C353" s="17"/>
      <c r="D353" s="17"/>
      <c r="E353" s="158"/>
      <c r="F353" s="17"/>
      <c r="G353" s="20"/>
      <c r="H353" s="20"/>
      <c r="I353" s="20"/>
      <c r="J353" s="20"/>
      <c r="K353" s="21"/>
      <c r="L353" s="159"/>
      <c r="M353" s="160"/>
      <c r="N353" s="17"/>
      <c r="O353" s="17"/>
      <c r="P353" s="17"/>
      <c r="Q353" s="17"/>
      <c r="R353" s="162"/>
    </row>
    <row r="354" ht="15.75" customHeight="1">
      <c r="C354" s="17"/>
      <c r="D354" s="17"/>
      <c r="E354" s="158"/>
      <c r="F354" s="17"/>
      <c r="G354" s="20"/>
      <c r="H354" s="20"/>
      <c r="I354" s="20"/>
      <c r="J354" s="20"/>
      <c r="K354" s="21"/>
      <c r="L354" s="159"/>
      <c r="M354" s="160"/>
      <c r="N354" s="17"/>
      <c r="O354" s="17"/>
      <c r="P354" s="17"/>
      <c r="Q354" s="17"/>
      <c r="R354" s="162"/>
    </row>
    <row r="355" ht="15.75" customHeight="1">
      <c r="C355" s="17"/>
      <c r="D355" s="17"/>
      <c r="E355" s="158"/>
      <c r="F355" s="17"/>
      <c r="G355" s="20"/>
      <c r="H355" s="20"/>
      <c r="I355" s="20"/>
      <c r="J355" s="20"/>
      <c r="K355" s="21"/>
      <c r="L355" s="159"/>
      <c r="M355" s="160"/>
      <c r="N355" s="17"/>
      <c r="O355" s="17"/>
      <c r="P355" s="17"/>
      <c r="Q355" s="17"/>
      <c r="R355" s="162"/>
    </row>
    <row r="356" ht="15.75" customHeight="1">
      <c r="C356" s="17"/>
      <c r="D356" s="17"/>
      <c r="E356" s="158"/>
      <c r="F356" s="17"/>
      <c r="G356" s="20"/>
      <c r="H356" s="20"/>
      <c r="I356" s="20"/>
      <c r="J356" s="20"/>
      <c r="K356" s="21"/>
      <c r="L356" s="159"/>
      <c r="M356" s="160"/>
      <c r="N356" s="17"/>
      <c r="O356" s="17"/>
      <c r="P356" s="17"/>
      <c r="Q356" s="17"/>
      <c r="R356" s="162"/>
    </row>
    <row r="357" ht="15.75" customHeight="1">
      <c r="C357" s="17"/>
      <c r="D357" s="17"/>
      <c r="E357" s="158"/>
      <c r="F357" s="17"/>
      <c r="G357" s="20"/>
      <c r="H357" s="20"/>
      <c r="I357" s="20"/>
      <c r="J357" s="20"/>
      <c r="K357" s="21"/>
      <c r="L357" s="159"/>
      <c r="M357" s="160"/>
      <c r="N357" s="17"/>
      <c r="O357" s="17"/>
      <c r="P357" s="17"/>
      <c r="Q357" s="17"/>
      <c r="R357" s="162"/>
    </row>
    <row r="358" ht="15.75" customHeight="1">
      <c r="C358" s="17"/>
      <c r="D358" s="17"/>
      <c r="E358" s="158"/>
      <c r="F358" s="17"/>
      <c r="G358" s="20"/>
      <c r="H358" s="20"/>
      <c r="I358" s="20"/>
      <c r="J358" s="20"/>
      <c r="K358" s="21"/>
      <c r="L358" s="159"/>
      <c r="M358" s="160"/>
      <c r="N358" s="17"/>
      <c r="O358" s="17"/>
      <c r="P358" s="17"/>
      <c r="Q358" s="17"/>
      <c r="R358" s="162"/>
    </row>
    <row r="359" ht="15.75" customHeight="1">
      <c r="C359" s="17"/>
      <c r="D359" s="17"/>
      <c r="E359" s="158"/>
      <c r="F359" s="17"/>
      <c r="G359" s="20"/>
      <c r="H359" s="20"/>
      <c r="I359" s="20"/>
      <c r="J359" s="20"/>
      <c r="K359" s="21"/>
      <c r="L359" s="159"/>
      <c r="M359" s="160"/>
      <c r="N359" s="17"/>
      <c r="O359" s="17"/>
      <c r="P359" s="17"/>
      <c r="Q359" s="17"/>
      <c r="R359" s="162"/>
    </row>
    <row r="360" ht="15.75" customHeight="1">
      <c r="C360" s="17"/>
      <c r="D360" s="17"/>
      <c r="E360" s="158"/>
      <c r="F360" s="17"/>
      <c r="G360" s="20"/>
      <c r="H360" s="20"/>
      <c r="I360" s="20"/>
      <c r="J360" s="20"/>
      <c r="K360" s="21"/>
      <c r="L360" s="159"/>
      <c r="M360" s="160"/>
      <c r="N360" s="17"/>
      <c r="O360" s="17"/>
      <c r="P360" s="17"/>
      <c r="Q360" s="17"/>
      <c r="R360" s="162"/>
    </row>
    <row r="361" ht="15.75" customHeight="1">
      <c r="C361" s="17"/>
      <c r="D361" s="17"/>
      <c r="E361" s="158"/>
      <c r="F361" s="17"/>
      <c r="G361" s="20"/>
      <c r="H361" s="20"/>
      <c r="I361" s="20"/>
      <c r="J361" s="20"/>
      <c r="K361" s="21"/>
      <c r="L361" s="159"/>
      <c r="M361" s="160"/>
      <c r="N361" s="17"/>
      <c r="O361" s="17"/>
      <c r="P361" s="17"/>
      <c r="Q361" s="17"/>
      <c r="R361" s="162"/>
    </row>
    <row r="362" ht="15.75" customHeight="1">
      <c r="C362" s="17"/>
      <c r="D362" s="17"/>
      <c r="E362" s="158"/>
      <c r="F362" s="17"/>
      <c r="G362" s="20"/>
      <c r="H362" s="20"/>
      <c r="I362" s="20"/>
      <c r="J362" s="20"/>
      <c r="K362" s="21"/>
      <c r="L362" s="159"/>
      <c r="M362" s="160"/>
      <c r="N362" s="17"/>
      <c r="O362" s="17"/>
      <c r="P362" s="17"/>
      <c r="Q362" s="17"/>
      <c r="R362" s="162"/>
    </row>
    <row r="363" ht="15.75" customHeight="1">
      <c r="C363" s="17"/>
      <c r="D363" s="17"/>
      <c r="E363" s="158"/>
      <c r="F363" s="17"/>
      <c r="G363" s="20"/>
      <c r="H363" s="20"/>
      <c r="I363" s="20"/>
      <c r="J363" s="20"/>
      <c r="K363" s="21"/>
      <c r="L363" s="159"/>
      <c r="M363" s="160"/>
      <c r="N363" s="17"/>
      <c r="O363" s="17"/>
      <c r="P363" s="17"/>
      <c r="Q363" s="17"/>
      <c r="R363" s="162"/>
    </row>
    <row r="364" ht="15.75" customHeight="1">
      <c r="C364" s="17"/>
      <c r="D364" s="17"/>
      <c r="E364" s="158"/>
      <c r="F364" s="17"/>
      <c r="G364" s="20"/>
      <c r="H364" s="20"/>
      <c r="I364" s="20"/>
      <c r="J364" s="20"/>
      <c r="K364" s="21"/>
      <c r="L364" s="159"/>
      <c r="M364" s="160"/>
      <c r="N364" s="17"/>
      <c r="O364" s="17"/>
      <c r="P364" s="17"/>
      <c r="Q364" s="17"/>
      <c r="R364" s="162"/>
    </row>
    <row r="365" ht="15.75" customHeight="1">
      <c r="C365" s="17"/>
      <c r="D365" s="17"/>
      <c r="E365" s="158"/>
      <c r="F365" s="17"/>
      <c r="G365" s="20"/>
      <c r="H365" s="20"/>
      <c r="I365" s="20"/>
      <c r="J365" s="20"/>
      <c r="K365" s="21"/>
      <c r="L365" s="159"/>
      <c r="M365" s="160"/>
      <c r="N365" s="17"/>
      <c r="O365" s="17"/>
      <c r="P365" s="17"/>
      <c r="Q365" s="17"/>
      <c r="R365" s="162"/>
    </row>
    <row r="366" ht="15.75" customHeight="1">
      <c r="C366" s="17"/>
      <c r="D366" s="17"/>
      <c r="E366" s="158"/>
      <c r="F366" s="17"/>
      <c r="G366" s="20"/>
      <c r="H366" s="20"/>
      <c r="I366" s="20"/>
      <c r="J366" s="20"/>
      <c r="K366" s="21"/>
      <c r="L366" s="159"/>
      <c r="M366" s="160"/>
      <c r="N366" s="17"/>
      <c r="O366" s="17"/>
      <c r="P366" s="17"/>
      <c r="Q366" s="17"/>
      <c r="R366" s="162"/>
    </row>
    <row r="367" ht="15.75" customHeight="1">
      <c r="C367" s="17"/>
      <c r="D367" s="17"/>
      <c r="E367" s="158"/>
      <c r="F367" s="17"/>
      <c r="G367" s="20"/>
      <c r="H367" s="20"/>
      <c r="I367" s="20"/>
      <c r="J367" s="20"/>
      <c r="K367" s="21"/>
      <c r="L367" s="159"/>
      <c r="M367" s="160"/>
      <c r="N367" s="17"/>
      <c r="O367" s="17"/>
      <c r="P367" s="17"/>
      <c r="Q367" s="17"/>
      <c r="R367" s="162"/>
    </row>
    <row r="368" ht="15.75" customHeight="1">
      <c r="C368" s="17"/>
      <c r="D368" s="17"/>
      <c r="E368" s="158"/>
      <c r="F368" s="17"/>
      <c r="G368" s="20"/>
      <c r="H368" s="20"/>
      <c r="I368" s="20"/>
      <c r="J368" s="20"/>
      <c r="K368" s="21"/>
      <c r="L368" s="159"/>
      <c r="M368" s="160"/>
      <c r="N368" s="17"/>
      <c r="O368" s="17"/>
      <c r="P368" s="17"/>
      <c r="Q368" s="17"/>
      <c r="R368" s="162"/>
    </row>
    <row r="369" ht="15.75" customHeight="1">
      <c r="C369" s="17"/>
      <c r="D369" s="17"/>
      <c r="E369" s="158"/>
      <c r="F369" s="17"/>
      <c r="G369" s="20"/>
      <c r="H369" s="20"/>
      <c r="I369" s="20"/>
      <c r="J369" s="20"/>
      <c r="K369" s="21"/>
      <c r="L369" s="159"/>
      <c r="M369" s="160"/>
      <c r="N369" s="17"/>
      <c r="O369" s="17"/>
      <c r="P369" s="17"/>
      <c r="Q369" s="17"/>
      <c r="R369" s="162"/>
    </row>
    <row r="370" ht="15.75" customHeight="1">
      <c r="C370" s="17"/>
      <c r="D370" s="17"/>
      <c r="E370" s="158"/>
      <c r="F370" s="17"/>
      <c r="G370" s="20"/>
      <c r="H370" s="20"/>
      <c r="I370" s="20"/>
      <c r="J370" s="20"/>
      <c r="K370" s="21"/>
      <c r="L370" s="159"/>
      <c r="M370" s="160"/>
      <c r="N370" s="17"/>
      <c r="O370" s="17"/>
      <c r="P370" s="17"/>
      <c r="Q370" s="17"/>
      <c r="R370" s="162"/>
    </row>
    <row r="371" ht="15.75" customHeight="1">
      <c r="C371" s="17"/>
      <c r="D371" s="17"/>
      <c r="E371" s="158"/>
      <c r="F371" s="17"/>
      <c r="G371" s="20"/>
      <c r="H371" s="20"/>
      <c r="I371" s="20"/>
      <c r="J371" s="20"/>
      <c r="K371" s="21"/>
      <c r="L371" s="159"/>
      <c r="M371" s="160"/>
      <c r="N371" s="17"/>
      <c r="O371" s="17"/>
      <c r="P371" s="17"/>
      <c r="Q371" s="17"/>
      <c r="R371" s="162"/>
    </row>
    <row r="372" ht="15.75" customHeight="1">
      <c r="C372" s="17"/>
      <c r="D372" s="17"/>
      <c r="E372" s="158"/>
      <c r="F372" s="17"/>
      <c r="G372" s="20"/>
      <c r="H372" s="20"/>
      <c r="I372" s="20"/>
      <c r="J372" s="20"/>
      <c r="K372" s="21"/>
      <c r="L372" s="159"/>
      <c r="M372" s="160"/>
      <c r="N372" s="17"/>
      <c r="O372" s="17"/>
      <c r="P372" s="17"/>
      <c r="Q372" s="17"/>
      <c r="R372" s="162"/>
    </row>
    <row r="373" ht="15.75" customHeight="1">
      <c r="C373" s="17"/>
      <c r="D373" s="17"/>
      <c r="E373" s="158"/>
      <c r="F373" s="17"/>
      <c r="G373" s="20"/>
      <c r="H373" s="20"/>
      <c r="I373" s="20"/>
      <c r="J373" s="20"/>
      <c r="K373" s="21"/>
      <c r="L373" s="159"/>
      <c r="M373" s="160"/>
      <c r="N373" s="17"/>
      <c r="O373" s="17"/>
      <c r="P373" s="17"/>
      <c r="Q373" s="17"/>
      <c r="R373" s="162"/>
    </row>
    <row r="374" ht="15.75" customHeight="1">
      <c r="C374" s="17"/>
      <c r="D374" s="17"/>
      <c r="E374" s="158"/>
      <c r="F374" s="17"/>
      <c r="G374" s="20"/>
      <c r="H374" s="20"/>
      <c r="I374" s="20"/>
      <c r="J374" s="20"/>
      <c r="K374" s="21"/>
      <c r="L374" s="159"/>
      <c r="M374" s="160"/>
      <c r="N374" s="17"/>
      <c r="O374" s="17"/>
      <c r="P374" s="17"/>
      <c r="Q374" s="17"/>
      <c r="R374" s="162"/>
    </row>
    <row r="375" ht="15.75" customHeight="1">
      <c r="C375" s="17"/>
      <c r="D375" s="17"/>
      <c r="E375" s="158"/>
      <c r="F375" s="17"/>
      <c r="G375" s="20"/>
      <c r="H375" s="20"/>
      <c r="I375" s="20"/>
      <c r="J375" s="20"/>
      <c r="K375" s="21"/>
      <c r="L375" s="159"/>
      <c r="M375" s="160"/>
      <c r="N375" s="17"/>
      <c r="O375" s="17"/>
      <c r="P375" s="17"/>
      <c r="Q375" s="17"/>
      <c r="R375" s="162"/>
    </row>
    <row r="376" ht="15.75" customHeight="1">
      <c r="C376" s="17"/>
      <c r="D376" s="17"/>
      <c r="E376" s="158"/>
      <c r="F376" s="17"/>
      <c r="G376" s="20"/>
      <c r="H376" s="20"/>
      <c r="I376" s="20"/>
      <c r="J376" s="20"/>
      <c r="K376" s="21"/>
      <c r="L376" s="159"/>
      <c r="M376" s="160"/>
      <c r="N376" s="17"/>
      <c r="O376" s="17"/>
      <c r="P376" s="17"/>
      <c r="Q376" s="17"/>
      <c r="R376" s="162"/>
    </row>
    <row r="377" ht="15.75" customHeight="1">
      <c r="C377" s="17"/>
      <c r="D377" s="17"/>
      <c r="E377" s="158"/>
      <c r="F377" s="17"/>
      <c r="G377" s="20"/>
      <c r="H377" s="20"/>
      <c r="I377" s="20"/>
      <c r="J377" s="20"/>
      <c r="K377" s="21"/>
      <c r="L377" s="159"/>
      <c r="M377" s="160"/>
      <c r="N377" s="17"/>
      <c r="O377" s="17"/>
      <c r="P377" s="17"/>
      <c r="Q377" s="17"/>
      <c r="R377" s="162"/>
    </row>
    <row r="378" ht="15.75" customHeight="1">
      <c r="C378" s="17"/>
      <c r="D378" s="17"/>
      <c r="E378" s="158"/>
      <c r="F378" s="17"/>
      <c r="G378" s="20"/>
      <c r="H378" s="20"/>
      <c r="I378" s="20"/>
      <c r="J378" s="20"/>
      <c r="K378" s="21"/>
      <c r="L378" s="159"/>
      <c r="M378" s="160"/>
      <c r="N378" s="17"/>
      <c r="O378" s="17"/>
      <c r="P378" s="17"/>
      <c r="Q378" s="17"/>
      <c r="R378" s="162"/>
    </row>
    <row r="379" ht="15.75" customHeight="1">
      <c r="C379" s="17"/>
      <c r="D379" s="17"/>
      <c r="E379" s="158"/>
      <c r="F379" s="17"/>
      <c r="G379" s="20"/>
      <c r="H379" s="20"/>
      <c r="I379" s="20"/>
      <c r="J379" s="20"/>
      <c r="K379" s="21"/>
      <c r="L379" s="159"/>
      <c r="M379" s="160"/>
      <c r="N379" s="17"/>
      <c r="O379" s="17"/>
      <c r="P379" s="17"/>
      <c r="Q379" s="17"/>
      <c r="R379" s="162"/>
    </row>
    <row r="380" ht="15.75" customHeight="1">
      <c r="C380" s="17"/>
      <c r="D380" s="17"/>
      <c r="E380" s="158"/>
      <c r="F380" s="17"/>
      <c r="G380" s="20"/>
      <c r="H380" s="20"/>
      <c r="I380" s="20"/>
      <c r="J380" s="20"/>
      <c r="K380" s="21"/>
      <c r="L380" s="159"/>
      <c r="M380" s="160"/>
      <c r="N380" s="17"/>
      <c r="O380" s="17"/>
      <c r="P380" s="17"/>
      <c r="Q380" s="17"/>
      <c r="R380" s="162"/>
    </row>
    <row r="381" ht="15.75" customHeight="1">
      <c r="C381" s="17"/>
      <c r="D381" s="17"/>
      <c r="E381" s="158"/>
      <c r="F381" s="17"/>
      <c r="G381" s="20"/>
      <c r="H381" s="20"/>
      <c r="I381" s="20"/>
      <c r="J381" s="20"/>
      <c r="K381" s="21"/>
      <c r="L381" s="159"/>
      <c r="M381" s="160"/>
      <c r="N381" s="17"/>
      <c r="O381" s="17"/>
      <c r="P381" s="17"/>
      <c r="Q381" s="17"/>
      <c r="R381" s="162"/>
    </row>
    <row r="382" ht="15.75" customHeight="1">
      <c r="C382" s="17"/>
      <c r="D382" s="17"/>
      <c r="E382" s="158"/>
      <c r="F382" s="17"/>
      <c r="G382" s="20"/>
      <c r="H382" s="20"/>
      <c r="I382" s="20"/>
      <c r="J382" s="20"/>
      <c r="K382" s="21"/>
      <c r="L382" s="159"/>
      <c r="M382" s="160"/>
      <c r="N382" s="17"/>
      <c r="O382" s="17"/>
      <c r="P382" s="17"/>
      <c r="Q382" s="17"/>
      <c r="R382" s="162"/>
    </row>
    <row r="383" ht="15.75" customHeight="1">
      <c r="C383" s="17"/>
      <c r="D383" s="17"/>
      <c r="E383" s="158"/>
      <c r="F383" s="17"/>
      <c r="G383" s="20"/>
      <c r="H383" s="20"/>
      <c r="I383" s="20"/>
      <c r="J383" s="20"/>
      <c r="K383" s="21"/>
      <c r="L383" s="159"/>
      <c r="M383" s="160"/>
      <c r="N383" s="17"/>
      <c r="O383" s="17"/>
      <c r="P383" s="17"/>
      <c r="Q383" s="17"/>
      <c r="R383" s="162"/>
    </row>
    <row r="384" ht="15.75" customHeight="1">
      <c r="C384" s="17"/>
      <c r="D384" s="17"/>
      <c r="E384" s="158"/>
      <c r="F384" s="17"/>
      <c r="G384" s="20"/>
      <c r="H384" s="20"/>
      <c r="I384" s="20"/>
      <c r="J384" s="20"/>
      <c r="K384" s="21"/>
      <c r="L384" s="159"/>
      <c r="M384" s="160"/>
      <c r="N384" s="17"/>
      <c r="O384" s="17"/>
      <c r="P384" s="17"/>
      <c r="Q384" s="17"/>
      <c r="R384" s="162"/>
    </row>
    <row r="385" ht="15.75" customHeight="1">
      <c r="C385" s="17"/>
      <c r="D385" s="17"/>
      <c r="E385" s="158"/>
      <c r="F385" s="17"/>
      <c r="G385" s="20"/>
      <c r="H385" s="20"/>
      <c r="I385" s="20"/>
      <c r="J385" s="20"/>
      <c r="K385" s="21"/>
      <c r="L385" s="159"/>
      <c r="M385" s="160"/>
      <c r="N385" s="17"/>
      <c r="O385" s="17"/>
      <c r="P385" s="17"/>
      <c r="Q385" s="17"/>
      <c r="R385" s="162"/>
    </row>
    <row r="386" ht="15.75" customHeight="1">
      <c r="C386" s="17"/>
      <c r="D386" s="17"/>
      <c r="E386" s="158"/>
      <c r="F386" s="17"/>
      <c r="G386" s="20"/>
      <c r="H386" s="20"/>
      <c r="I386" s="20"/>
      <c r="J386" s="20"/>
      <c r="K386" s="21"/>
      <c r="L386" s="159"/>
      <c r="M386" s="160"/>
      <c r="N386" s="17"/>
      <c r="O386" s="17"/>
      <c r="P386" s="17"/>
      <c r="Q386" s="17"/>
      <c r="R386" s="162"/>
    </row>
    <row r="387" ht="15.75" customHeight="1">
      <c r="C387" s="17"/>
      <c r="D387" s="17"/>
      <c r="E387" s="158"/>
      <c r="F387" s="17"/>
      <c r="G387" s="20"/>
      <c r="H387" s="20"/>
      <c r="I387" s="20"/>
      <c r="J387" s="20"/>
      <c r="K387" s="21"/>
      <c r="L387" s="159"/>
      <c r="M387" s="160"/>
      <c r="N387" s="17"/>
      <c r="O387" s="17"/>
      <c r="P387" s="17"/>
      <c r="Q387" s="17"/>
      <c r="R387" s="162"/>
    </row>
    <row r="388" ht="15.75" customHeight="1">
      <c r="C388" s="17"/>
      <c r="D388" s="17"/>
      <c r="E388" s="158"/>
      <c r="F388" s="17"/>
      <c r="G388" s="20"/>
      <c r="H388" s="20"/>
      <c r="I388" s="20"/>
      <c r="J388" s="20"/>
      <c r="K388" s="21"/>
      <c r="L388" s="159"/>
      <c r="M388" s="160"/>
      <c r="N388" s="17"/>
      <c r="O388" s="17"/>
      <c r="P388" s="17"/>
      <c r="Q388" s="17"/>
      <c r="R388" s="162"/>
    </row>
    <row r="389" ht="15.75" customHeight="1">
      <c r="C389" s="17"/>
      <c r="D389" s="17"/>
      <c r="E389" s="158"/>
      <c r="F389" s="17"/>
      <c r="G389" s="20"/>
      <c r="H389" s="20"/>
      <c r="I389" s="20"/>
      <c r="J389" s="20"/>
      <c r="K389" s="21"/>
      <c r="L389" s="159"/>
      <c r="M389" s="160"/>
      <c r="N389" s="17"/>
      <c r="O389" s="17"/>
      <c r="P389" s="17"/>
      <c r="Q389" s="17"/>
      <c r="R389" s="162"/>
    </row>
    <row r="390" ht="15.75" customHeight="1">
      <c r="C390" s="17"/>
      <c r="D390" s="17"/>
      <c r="E390" s="158"/>
      <c r="F390" s="17"/>
      <c r="G390" s="20"/>
      <c r="H390" s="20"/>
      <c r="I390" s="20"/>
      <c r="J390" s="20"/>
      <c r="K390" s="21"/>
      <c r="L390" s="159"/>
      <c r="M390" s="160"/>
      <c r="N390" s="17"/>
      <c r="O390" s="17"/>
      <c r="P390" s="17"/>
      <c r="Q390" s="17"/>
      <c r="R390" s="162"/>
    </row>
    <row r="391" ht="15.75" customHeight="1">
      <c r="C391" s="17"/>
      <c r="D391" s="17"/>
      <c r="E391" s="158"/>
      <c r="F391" s="17"/>
      <c r="G391" s="20"/>
      <c r="H391" s="20"/>
      <c r="I391" s="20"/>
      <c r="J391" s="20"/>
      <c r="K391" s="21"/>
      <c r="L391" s="159"/>
      <c r="M391" s="160"/>
      <c r="N391" s="17"/>
      <c r="O391" s="17"/>
      <c r="P391" s="17"/>
      <c r="Q391" s="17"/>
      <c r="R391" s="162"/>
    </row>
    <row r="392" ht="15.75" customHeight="1">
      <c r="C392" s="17"/>
      <c r="D392" s="17"/>
      <c r="E392" s="158"/>
      <c r="F392" s="17"/>
      <c r="G392" s="20"/>
      <c r="H392" s="20"/>
      <c r="I392" s="20"/>
      <c r="J392" s="20"/>
      <c r="K392" s="21"/>
      <c r="L392" s="159"/>
      <c r="M392" s="160"/>
      <c r="N392" s="17"/>
      <c r="O392" s="17"/>
      <c r="P392" s="17"/>
      <c r="Q392" s="17"/>
      <c r="R392" s="162"/>
    </row>
    <row r="393" ht="15.75" customHeight="1">
      <c r="C393" s="17"/>
      <c r="D393" s="17"/>
      <c r="E393" s="158"/>
      <c r="F393" s="17"/>
      <c r="G393" s="20"/>
      <c r="H393" s="20"/>
      <c r="I393" s="20"/>
      <c r="J393" s="20"/>
      <c r="K393" s="21"/>
      <c r="L393" s="159"/>
      <c r="M393" s="160"/>
      <c r="N393" s="17"/>
      <c r="O393" s="17"/>
      <c r="P393" s="17"/>
      <c r="Q393" s="17"/>
      <c r="R393" s="162"/>
    </row>
    <row r="394" ht="15.75" customHeight="1">
      <c r="C394" s="17"/>
      <c r="D394" s="17"/>
      <c r="E394" s="158"/>
      <c r="F394" s="17"/>
      <c r="G394" s="20"/>
      <c r="H394" s="20"/>
      <c r="I394" s="20"/>
      <c r="J394" s="20"/>
      <c r="K394" s="21"/>
      <c r="L394" s="159"/>
      <c r="M394" s="160"/>
      <c r="N394" s="17"/>
      <c r="O394" s="17"/>
      <c r="P394" s="17"/>
      <c r="Q394" s="17"/>
      <c r="R394" s="162"/>
    </row>
    <row r="395" ht="15.75" customHeight="1">
      <c r="C395" s="17"/>
      <c r="D395" s="17"/>
      <c r="E395" s="158"/>
      <c r="F395" s="17"/>
      <c r="G395" s="20"/>
      <c r="H395" s="20"/>
      <c r="I395" s="20"/>
      <c r="J395" s="20"/>
      <c r="K395" s="21"/>
      <c r="L395" s="159"/>
      <c r="M395" s="160"/>
      <c r="N395" s="17"/>
      <c r="O395" s="17"/>
      <c r="P395" s="17"/>
      <c r="Q395" s="17"/>
      <c r="R395" s="162"/>
    </row>
    <row r="396" ht="15.75" customHeight="1">
      <c r="C396" s="17"/>
      <c r="D396" s="17"/>
      <c r="E396" s="158"/>
      <c r="F396" s="17"/>
      <c r="G396" s="20"/>
      <c r="H396" s="20"/>
      <c r="I396" s="20"/>
      <c r="J396" s="20"/>
      <c r="K396" s="21"/>
      <c r="L396" s="159"/>
      <c r="M396" s="160"/>
      <c r="N396" s="17"/>
      <c r="O396" s="17"/>
      <c r="P396" s="17"/>
      <c r="Q396" s="17"/>
      <c r="R396" s="162"/>
    </row>
    <row r="397" ht="15.75" customHeight="1">
      <c r="C397" s="17"/>
      <c r="D397" s="17"/>
      <c r="E397" s="158"/>
      <c r="F397" s="17"/>
      <c r="G397" s="20"/>
      <c r="H397" s="20"/>
      <c r="I397" s="20"/>
      <c r="J397" s="20"/>
      <c r="K397" s="21"/>
      <c r="L397" s="159"/>
      <c r="M397" s="160"/>
      <c r="N397" s="17"/>
      <c r="O397" s="17"/>
      <c r="P397" s="17"/>
      <c r="Q397" s="17"/>
      <c r="R397" s="162"/>
    </row>
    <row r="398" ht="15.75" customHeight="1">
      <c r="C398" s="17"/>
      <c r="D398" s="17"/>
      <c r="E398" s="158"/>
      <c r="F398" s="17"/>
      <c r="G398" s="20"/>
      <c r="H398" s="20"/>
      <c r="I398" s="20"/>
      <c r="J398" s="20"/>
      <c r="K398" s="21"/>
      <c r="L398" s="159"/>
      <c r="M398" s="160"/>
      <c r="N398" s="17"/>
      <c r="O398" s="17"/>
      <c r="P398" s="17"/>
      <c r="Q398" s="17"/>
      <c r="R398" s="162"/>
    </row>
    <row r="399" ht="15.75" customHeight="1">
      <c r="C399" s="17"/>
      <c r="D399" s="17"/>
      <c r="E399" s="158"/>
      <c r="F399" s="17"/>
      <c r="G399" s="20"/>
      <c r="H399" s="20"/>
      <c r="I399" s="20"/>
      <c r="J399" s="20"/>
      <c r="K399" s="21"/>
      <c r="L399" s="159"/>
      <c r="M399" s="160"/>
      <c r="N399" s="17"/>
      <c r="O399" s="17"/>
      <c r="P399" s="17"/>
      <c r="Q399" s="17"/>
      <c r="R399" s="162"/>
    </row>
    <row r="400" ht="15.75" customHeight="1">
      <c r="C400" s="17"/>
      <c r="D400" s="17"/>
      <c r="E400" s="158"/>
      <c r="F400" s="17"/>
      <c r="G400" s="20"/>
      <c r="H400" s="20"/>
      <c r="I400" s="20"/>
      <c r="J400" s="20"/>
      <c r="K400" s="21"/>
      <c r="L400" s="159"/>
      <c r="M400" s="160"/>
      <c r="N400" s="17"/>
      <c r="O400" s="17"/>
      <c r="P400" s="17"/>
      <c r="Q400" s="17"/>
      <c r="R400" s="162"/>
    </row>
    <row r="401" ht="15.75" customHeight="1">
      <c r="C401" s="17"/>
      <c r="D401" s="17"/>
      <c r="E401" s="158"/>
      <c r="F401" s="17"/>
      <c r="G401" s="20"/>
      <c r="H401" s="20"/>
      <c r="I401" s="20"/>
      <c r="J401" s="20"/>
      <c r="K401" s="21"/>
      <c r="L401" s="159"/>
      <c r="M401" s="160"/>
      <c r="N401" s="17"/>
      <c r="O401" s="17"/>
      <c r="P401" s="17"/>
      <c r="Q401" s="17"/>
      <c r="R401" s="162"/>
    </row>
    <row r="402" ht="15.75" customHeight="1">
      <c r="C402" s="17"/>
      <c r="D402" s="17"/>
      <c r="E402" s="158"/>
      <c r="F402" s="17"/>
      <c r="G402" s="20"/>
      <c r="H402" s="20"/>
      <c r="I402" s="20"/>
      <c r="J402" s="20"/>
      <c r="K402" s="21"/>
      <c r="L402" s="159"/>
      <c r="M402" s="160"/>
      <c r="N402" s="17"/>
      <c r="O402" s="17"/>
      <c r="P402" s="17"/>
      <c r="Q402" s="17"/>
      <c r="R402" s="162"/>
    </row>
    <row r="403" ht="15.75" customHeight="1">
      <c r="C403" s="17"/>
      <c r="D403" s="17"/>
      <c r="E403" s="158"/>
      <c r="F403" s="17"/>
      <c r="G403" s="20"/>
      <c r="H403" s="20"/>
      <c r="I403" s="20"/>
      <c r="J403" s="20"/>
      <c r="K403" s="21"/>
      <c r="L403" s="159"/>
      <c r="M403" s="160"/>
      <c r="N403" s="17"/>
      <c r="O403" s="17"/>
      <c r="P403" s="17"/>
      <c r="Q403" s="17"/>
      <c r="R403" s="162"/>
    </row>
    <row r="404" ht="15.75" customHeight="1">
      <c r="C404" s="17"/>
      <c r="D404" s="17"/>
      <c r="E404" s="158"/>
      <c r="F404" s="17"/>
      <c r="G404" s="20"/>
      <c r="H404" s="20"/>
      <c r="I404" s="20"/>
      <c r="J404" s="20"/>
      <c r="K404" s="21"/>
      <c r="L404" s="159"/>
      <c r="M404" s="160"/>
      <c r="N404" s="17"/>
      <c r="O404" s="17"/>
      <c r="P404" s="17"/>
      <c r="Q404" s="17"/>
      <c r="R404" s="162"/>
    </row>
    <row r="405" ht="15.75" customHeight="1">
      <c r="C405" s="17"/>
      <c r="D405" s="17"/>
      <c r="E405" s="158"/>
      <c r="F405" s="17"/>
      <c r="G405" s="20"/>
      <c r="H405" s="20"/>
      <c r="I405" s="20"/>
      <c r="J405" s="20"/>
      <c r="K405" s="21"/>
      <c r="L405" s="159"/>
      <c r="M405" s="160"/>
      <c r="N405" s="17"/>
      <c r="O405" s="17"/>
      <c r="P405" s="17"/>
      <c r="Q405" s="17"/>
      <c r="R405" s="162"/>
    </row>
    <row r="406" ht="15.75" customHeight="1">
      <c r="C406" s="17"/>
      <c r="D406" s="17"/>
      <c r="E406" s="158"/>
      <c r="F406" s="17"/>
      <c r="G406" s="20"/>
      <c r="H406" s="20"/>
      <c r="I406" s="20"/>
      <c r="J406" s="20"/>
      <c r="K406" s="21"/>
      <c r="L406" s="159"/>
      <c r="M406" s="160"/>
      <c r="N406" s="17"/>
      <c r="O406" s="17"/>
      <c r="P406" s="17"/>
      <c r="Q406" s="17"/>
      <c r="R406" s="162"/>
    </row>
    <row r="407" ht="15.75" customHeight="1">
      <c r="C407" s="17"/>
      <c r="D407" s="17"/>
      <c r="E407" s="158"/>
      <c r="F407" s="17"/>
      <c r="G407" s="20"/>
      <c r="H407" s="20"/>
      <c r="I407" s="20"/>
      <c r="J407" s="20"/>
      <c r="K407" s="21"/>
      <c r="L407" s="159"/>
      <c r="M407" s="160"/>
      <c r="N407" s="17"/>
      <c r="O407" s="17"/>
      <c r="P407" s="17"/>
      <c r="Q407" s="17"/>
      <c r="R407" s="162"/>
    </row>
    <row r="408" ht="15.75" customHeight="1">
      <c r="C408" s="17"/>
      <c r="D408" s="17"/>
      <c r="E408" s="158"/>
      <c r="F408" s="17"/>
      <c r="G408" s="20"/>
      <c r="H408" s="20"/>
      <c r="I408" s="20"/>
      <c r="J408" s="20"/>
      <c r="K408" s="21"/>
      <c r="L408" s="159"/>
      <c r="M408" s="160"/>
      <c r="N408" s="17"/>
      <c r="O408" s="17"/>
      <c r="P408" s="17"/>
      <c r="Q408" s="17"/>
      <c r="R408" s="162"/>
    </row>
    <row r="409" ht="15.75" customHeight="1">
      <c r="C409" s="17"/>
      <c r="D409" s="17"/>
      <c r="E409" s="158"/>
      <c r="F409" s="17"/>
      <c r="G409" s="20"/>
      <c r="H409" s="20"/>
      <c r="I409" s="20"/>
      <c r="J409" s="20"/>
      <c r="K409" s="21"/>
      <c r="L409" s="159"/>
      <c r="M409" s="160"/>
      <c r="N409" s="17"/>
      <c r="O409" s="17"/>
      <c r="P409" s="17"/>
      <c r="Q409" s="17"/>
      <c r="R409" s="162"/>
    </row>
    <row r="410" ht="15.75" customHeight="1">
      <c r="C410" s="17"/>
      <c r="D410" s="17"/>
      <c r="E410" s="158"/>
      <c r="F410" s="17"/>
      <c r="G410" s="20"/>
      <c r="H410" s="20"/>
      <c r="I410" s="20"/>
      <c r="J410" s="20"/>
      <c r="K410" s="21"/>
      <c r="L410" s="159"/>
      <c r="M410" s="160"/>
      <c r="N410" s="17"/>
      <c r="O410" s="17"/>
      <c r="P410" s="17"/>
      <c r="Q410" s="17"/>
      <c r="R410" s="162"/>
    </row>
    <row r="411" ht="15.75" customHeight="1">
      <c r="C411" s="17"/>
      <c r="D411" s="17"/>
      <c r="E411" s="158"/>
      <c r="F411" s="17"/>
      <c r="G411" s="20"/>
      <c r="H411" s="20"/>
      <c r="I411" s="20"/>
      <c r="J411" s="20"/>
      <c r="K411" s="21"/>
      <c r="L411" s="159"/>
      <c r="M411" s="160"/>
      <c r="N411" s="17"/>
      <c r="O411" s="17"/>
      <c r="P411" s="17"/>
      <c r="Q411" s="17"/>
      <c r="R411" s="162"/>
    </row>
    <row r="412" ht="15.75" customHeight="1">
      <c r="C412" s="17"/>
      <c r="D412" s="17"/>
      <c r="E412" s="158"/>
      <c r="F412" s="17"/>
      <c r="G412" s="20"/>
      <c r="H412" s="20"/>
      <c r="I412" s="20"/>
      <c r="J412" s="20"/>
      <c r="K412" s="21"/>
      <c r="L412" s="159"/>
      <c r="M412" s="160"/>
      <c r="N412" s="17"/>
      <c r="O412" s="17"/>
      <c r="P412" s="17"/>
      <c r="Q412" s="17"/>
      <c r="R412" s="162"/>
    </row>
    <row r="413" ht="15.75" customHeight="1">
      <c r="C413" s="17"/>
      <c r="D413" s="17"/>
      <c r="E413" s="158"/>
      <c r="F413" s="17"/>
      <c r="G413" s="20"/>
      <c r="H413" s="20"/>
      <c r="I413" s="20"/>
      <c r="J413" s="20"/>
      <c r="K413" s="21"/>
      <c r="L413" s="159"/>
      <c r="M413" s="160"/>
      <c r="N413" s="17"/>
      <c r="O413" s="17"/>
      <c r="P413" s="17"/>
      <c r="Q413" s="17"/>
      <c r="R413" s="162"/>
    </row>
    <row r="414" ht="15.75" customHeight="1">
      <c r="C414" s="17"/>
      <c r="D414" s="17"/>
      <c r="E414" s="158"/>
      <c r="F414" s="17"/>
      <c r="G414" s="20"/>
      <c r="H414" s="20"/>
      <c r="I414" s="20"/>
      <c r="J414" s="20"/>
      <c r="K414" s="21"/>
      <c r="L414" s="159"/>
      <c r="M414" s="160"/>
      <c r="N414" s="17"/>
      <c r="O414" s="17"/>
      <c r="P414" s="17"/>
      <c r="Q414" s="17"/>
      <c r="R414" s="162"/>
    </row>
    <row r="415" ht="15.75" customHeight="1">
      <c r="C415" s="17"/>
      <c r="D415" s="17"/>
      <c r="E415" s="158"/>
      <c r="F415" s="17"/>
      <c r="G415" s="20"/>
      <c r="H415" s="20"/>
      <c r="I415" s="20"/>
      <c r="J415" s="20"/>
      <c r="K415" s="21"/>
      <c r="L415" s="159"/>
      <c r="M415" s="160"/>
      <c r="N415" s="17"/>
      <c r="O415" s="17"/>
      <c r="P415" s="17"/>
      <c r="Q415" s="17"/>
      <c r="R415" s="162"/>
    </row>
    <row r="416" ht="15.75" customHeight="1">
      <c r="C416" s="17"/>
      <c r="D416" s="17"/>
      <c r="E416" s="158"/>
      <c r="F416" s="17"/>
      <c r="G416" s="20"/>
      <c r="H416" s="20"/>
      <c r="I416" s="20"/>
      <c r="J416" s="20"/>
      <c r="K416" s="21"/>
      <c r="L416" s="159"/>
      <c r="M416" s="160"/>
      <c r="N416" s="17"/>
      <c r="O416" s="17"/>
      <c r="P416" s="17"/>
      <c r="Q416" s="17"/>
      <c r="R416" s="162"/>
    </row>
    <row r="417" ht="15.75" customHeight="1">
      <c r="C417" s="17"/>
      <c r="D417" s="17"/>
      <c r="E417" s="158"/>
      <c r="F417" s="17"/>
      <c r="G417" s="20"/>
      <c r="H417" s="20"/>
      <c r="I417" s="20"/>
      <c r="J417" s="20"/>
      <c r="K417" s="21"/>
      <c r="L417" s="159"/>
      <c r="M417" s="160"/>
      <c r="N417" s="17"/>
      <c r="O417" s="17"/>
      <c r="P417" s="17"/>
      <c r="Q417" s="17"/>
      <c r="R417" s="162"/>
    </row>
    <row r="418" ht="15.75" customHeight="1">
      <c r="C418" s="17"/>
      <c r="D418" s="17"/>
      <c r="E418" s="158"/>
      <c r="F418" s="17"/>
      <c r="G418" s="20"/>
      <c r="H418" s="20"/>
      <c r="I418" s="20"/>
      <c r="J418" s="20"/>
      <c r="K418" s="21"/>
      <c r="L418" s="159"/>
      <c r="M418" s="160"/>
      <c r="N418" s="17"/>
      <c r="O418" s="17"/>
      <c r="P418" s="17"/>
      <c r="Q418" s="17"/>
      <c r="R418" s="162"/>
    </row>
    <row r="419" ht="15.75" customHeight="1">
      <c r="C419" s="17"/>
      <c r="D419" s="17"/>
      <c r="E419" s="158"/>
      <c r="F419" s="17"/>
      <c r="G419" s="20"/>
      <c r="H419" s="20"/>
      <c r="I419" s="20"/>
      <c r="J419" s="20"/>
      <c r="K419" s="21"/>
      <c r="L419" s="159"/>
      <c r="M419" s="160"/>
      <c r="N419" s="17"/>
      <c r="O419" s="17"/>
      <c r="P419" s="17"/>
      <c r="Q419" s="17"/>
      <c r="R419" s="162"/>
    </row>
    <row r="420" ht="15.75" customHeight="1">
      <c r="C420" s="17"/>
      <c r="D420" s="17"/>
      <c r="E420" s="158"/>
      <c r="F420" s="17"/>
      <c r="G420" s="20"/>
      <c r="H420" s="20"/>
      <c r="I420" s="20"/>
      <c r="J420" s="20"/>
      <c r="K420" s="21"/>
      <c r="L420" s="159"/>
      <c r="M420" s="160"/>
      <c r="N420" s="17"/>
      <c r="O420" s="17"/>
      <c r="P420" s="17"/>
      <c r="Q420" s="17"/>
      <c r="R420" s="162"/>
    </row>
    <row r="421" ht="15.75" customHeight="1">
      <c r="C421" s="17"/>
      <c r="D421" s="17"/>
      <c r="E421" s="158"/>
      <c r="F421" s="17"/>
      <c r="G421" s="20"/>
      <c r="H421" s="20"/>
      <c r="I421" s="20"/>
      <c r="J421" s="20"/>
      <c r="K421" s="21"/>
      <c r="L421" s="159"/>
      <c r="M421" s="160"/>
      <c r="N421" s="17"/>
      <c r="O421" s="17"/>
      <c r="P421" s="17"/>
      <c r="Q421" s="17"/>
      <c r="R421" s="162"/>
    </row>
    <row r="422" ht="15.75" customHeight="1">
      <c r="C422" s="17"/>
      <c r="D422" s="17"/>
      <c r="E422" s="158"/>
      <c r="F422" s="17"/>
      <c r="G422" s="20"/>
      <c r="H422" s="20"/>
      <c r="I422" s="20"/>
      <c r="J422" s="20"/>
      <c r="K422" s="21"/>
      <c r="L422" s="159"/>
      <c r="M422" s="160"/>
      <c r="N422" s="17"/>
      <c r="O422" s="17"/>
      <c r="P422" s="17"/>
      <c r="Q422" s="17"/>
      <c r="R422" s="162"/>
    </row>
    <row r="423" ht="15.75" customHeight="1">
      <c r="C423" s="17"/>
      <c r="D423" s="17"/>
      <c r="E423" s="158"/>
      <c r="F423" s="17"/>
      <c r="G423" s="20"/>
      <c r="H423" s="20"/>
      <c r="I423" s="20"/>
      <c r="J423" s="20"/>
      <c r="K423" s="21"/>
      <c r="L423" s="159"/>
      <c r="M423" s="160"/>
      <c r="N423" s="17"/>
      <c r="O423" s="17"/>
      <c r="P423" s="17"/>
      <c r="Q423" s="17"/>
      <c r="R423" s="162"/>
    </row>
    <row r="424" ht="15.75" customHeight="1">
      <c r="C424" s="17"/>
      <c r="D424" s="17"/>
      <c r="E424" s="158"/>
      <c r="F424" s="17"/>
      <c r="G424" s="20"/>
      <c r="H424" s="20"/>
      <c r="I424" s="20"/>
      <c r="J424" s="20"/>
      <c r="K424" s="21"/>
      <c r="L424" s="159"/>
      <c r="M424" s="160"/>
      <c r="N424" s="17"/>
      <c r="O424" s="17"/>
      <c r="P424" s="17"/>
      <c r="Q424" s="17"/>
      <c r="R424" s="162"/>
    </row>
    <row r="425" ht="15.75" customHeight="1">
      <c r="C425" s="17"/>
      <c r="D425" s="17"/>
      <c r="E425" s="158"/>
      <c r="F425" s="17"/>
      <c r="G425" s="20"/>
      <c r="H425" s="20"/>
      <c r="I425" s="20"/>
      <c r="J425" s="20"/>
      <c r="K425" s="21"/>
      <c r="L425" s="159"/>
      <c r="M425" s="160"/>
      <c r="N425" s="17"/>
      <c r="O425" s="17"/>
      <c r="P425" s="17"/>
      <c r="Q425" s="17"/>
      <c r="R425" s="162"/>
    </row>
    <row r="426" ht="15.75" customHeight="1">
      <c r="C426" s="17"/>
      <c r="D426" s="17"/>
      <c r="E426" s="158"/>
      <c r="F426" s="17"/>
      <c r="G426" s="20"/>
      <c r="H426" s="20"/>
      <c r="I426" s="20"/>
      <c r="J426" s="20"/>
      <c r="K426" s="21"/>
      <c r="L426" s="159"/>
      <c r="M426" s="160"/>
      <c r="N426" s="17"/>
      <c r="O426" s="17"/>
      <c r="P426" s="17"/>
      <c r="Q426" s="17"/>
      <c r="R426" s="162"/>
    </row>
    <row r="427" ht="15.75" customHeight="1">
      <c r="C427" s="17"/>
      <c r="D427" s="17"/>
      <c r="E427" s="158"/>
      <c r="F427" s="17"/>
      <c r="G427" s="20"/>
      <c r="H427" s="20"/>
      <c r="I427" s="20"/>
      <c r="J427" s="20"/>
      <c r="K427" s="21"/>
      <c r="L427" s="159"/>
      <c r="M427" s="160"/>
      <c r="N427" s="17"/>
      <c r="O427" s="17"/>
      <c r="P427" s="17"/>
      <c r="Q427" s="17"/>
      <c r="R427" s="162"/>
    </row>
    <row r="428" ht="15.75" customHeight="1">
      <c r="C428" s="17"/>
      <c r="D428" s="17"/>
      <c r="E428" s="158"/>
      <c r="F428" s="17"/>
      <c r="G428" s="20"/>
      <c r="H428" s="20"/>
      <c r="I428" s="20"/>
      <c r="J428" s="20"/>
      <c r="K428" s="21"/>
      <c r="L428" s="159"/>
      <c r="M428" s="160"/>
      <c r="N428" s="17"/>
      <c r="O428" s="17"/>
      <c r="P428" s="17"/>
      <c r="Q428" s="17"/>
      <c r="R428" s="162"/>
    </row>
    <row r="429" ht="15.75" customHeight="1">
      <c r="C429" s="17"/>
      <c r="D429" s="17"/>
      <c r="E429" s="158"/>
      <c r="F429" s="17"/>
      <c r="G429" s="20"/>
      <c r="H429" s="20"/>
      <c r="I429" s="20"/>
      <c r="J429" s="20"/>
      <c r="K429" s="21"/>
      <c r="L429" s="159"/>
      <c r="M429" s="160"/>
      <c r="N429" s="17"/>
      <c r="O429" s="17"/>
      <c r="P429" s="17"/>
      <c r="Q429" s="17"/>
      <c r="R429" s="162"/>
    </row>
    <row r="430" ht="15.75" customHeight="1">
      <c r="C430" s="17"/>
      <c r="D430" s="17"/>
      <c r="E430" s="158"/>
      <c r="F430" s="17"/>
      <c r="G430" s="20"/>
      <c r="H430" s="20"/>
      <c r="I430" s="20"/>
      <c r="J430" s="20"/>
      <c r="K430" s="21"/>
      <c r="L430" s="159"/>
      <c r="M430" s="160"/>
      <c r="N430" s="17"/>
      <c r="O430" s="17"/>
      <c r="P430" s="17"/>
      <c r="Q430" s="17"/>
      <c r="R430" s="162"/>
    </row>
    <row r="431" ht="15.75" customHeight="1">
      <c r="C431" s="17"/>
      <c r="D431" s="17"/>
      <c r="E431" s="158"/>
      <c r="F431" s="17"/>
      <c r="G431" s="20"/>
      <c r="H431" s="20"/>
      <c r="I431" s="20"/>
      <c r="J431" s="20"/>
      <c r="K431" s="21"/>
      <c r="L431" s="159"/>
      <c r="M431" s="160"/>
      <c r="N431" s="17"/>
      <c r="O431" s="17"/>
      <c r="P431" s="17"/>
      <c r="Q431" s="17"/>
      <c r="R431" s="162"/>
    </row>
    <row r="432" ht="15.75" customHeight="1">
      <c r="C432" s="17"/>
      <c r="D432" s="17"/>
      <c r="E432" s="158"/>
      <c r="F432" s="17"/>
      <c r="G432" s="20"/>
      <c r="H432" s="20"/>
      <c r="I432" s="20"/>
      <c r="J432" s="20"/>
      <c r="K432" s="21"/>
      <c r="L432" s="159"/>
      <c r="M432" s="160"/>
      <c r="N432" s="17"/>
      <c r="O432" s="17"/>
      <c r="P432" s="17"/>
      <c r="Q432" s="17"/>
      <c r="R432" s="162"/>
    </row>
    <row r="433" ht="15.75" customHeight="1">
      <c r="C433" s="17"/>
      <c r="D433" s="17"/>
      <c r="E433" s="158"/>
      <c r="F433" s="17"/>
      <c r="G433" s="20"/>
      <c r="H433" s="20"/>
      <c r="I433" s="20"/>
      <c r="J433" s="20"/>
      <c r="K433" s="21"/>
      <c r="L433" s="159"/>
      <c r="M433" s="160"/>
      <c r="N433" s="17"/>
      <c r="O433" s="17"/>
      <c r="P433" s="17"/>
      <c r="Q433" s="17"/>
      <c r="R433" s="162"/>
    </row>
    <row r="434" ht="15.75" customHeight="1">
      <c r="C434" s="17"/>
      <c r="D434" s="17"/>
      <c r="E434" s="158"/>
      <c r="F434" s="17"/>
      <c r="G434" s="20"/>
      <c r="H434" s="20"/>
      <c r="I434" s="20"/>
      <c r="J434" s="20"/>
      <c r="K434" s="21"/>
      <c r="L434" s="159"/>
      <c r="M434" s="160"/>
      <c r="N434" s="17"/>
      <c r="O434" s="17"/>
      <c r="P434" s="17"/>
      <c r="Q434" s="17"/>
      <c r="R434" s="162"/>
    </row>
    <row r="435" ht="15.75" customHeight="1">
      <c r="C435" s="17"/>
      <c r="D435" s="17"/>
      <c r="E435" s="158"/>
      <c r="F435" s="17"/>
      <c r="G435" s="20"/>
      <c r="H435" s="20"/>
      <c r="I435" s="20"/>
      <c r="J435" s="20"/>
      <c r="K435" s="21"/>
      <c r="L435" s="159"/>
      <c r="M435" s="160"/>
      <c r="N435" s="17"/>
      <c r="O435" s="17"/>
      <c r="P435" s="17"/>
      <c r="Q435" s="17"/>
      <c r="R435" s="162"/>
    </row>
    <row r="436" ht="15.75" customHeight="1">
      <c r="C436" s="17"/>
      <c r="D436" s="17"/>
      <c r="E436" s="158"/>
      <c r="F436" s="17"/>
      <c r="G436" s="20"/>
      <c r="H436" s="20"/>
      <c r="I436" s="20"/>
      <c r="J436" s="20"/>
      <c r="K436" s="21"/>
      <c r="L436" s="159"/>
      <c r="M436" s="160"/>
      <c r="N436" s="17"/>
      <c r="O436" s="17"/>
      <c r="P436" s="17"/>
      <c r="Q436" s="17"/>
      <c r="R436" s="162"/>
    </row>
    <row r="437" ht="15.75" customHeight="1">
      <c r="C437" s="17"/>
      <c r="D437" s="17"/>
      <c r="E437" s="158"/>
      <c r="F437" s="17"/>
      <c r="G437" s="20"/>
      <c r="H437" s="20"/>
      <c r="I437" s="20"/>
      <c r="J437" s="20"/>
      <c r="K437" s="21"/>
      <c r="L437" s="159"/>
      <c r="M437" s="160"/>
      <c r="N437" s="17"/>
      <c r="O437" s="17"/>
      <c r="P437" s="17"/>
      <c r="Q437" s="17"/>
      <c r="R437" s="162"/>
    </row>
    <row r="438" ht="15.75" customHeight="1">
      <c r="C438" s="17"/>
      <c r="D438" s="17"/>
      <c r="E438" s="158"/>
      <c r="F438" s="17"/>
      <c r="G438" s="20"/>
      <c r="H438" s="20"/>
      <c r="I438" s="20"/>
      <c r="J438" s="20"/>
      <c r="K438" s="21"/>
      <c r="L438" s="159"/>
      <c r="M438" s="160"/>
      <c r="N438" s="17"/>
      <c r="O438" s="17"/>
      <c r="P438" s="17"/>
      <c r="Q438" s="17"/>
      <c r="R438" s="162"/>
    </row>
    <row r="439" ht="15.75" customHeight="1">
      <c r="C439" s="17"/>
      <c r="D439" s="17"/>
      <c r="E439" s="158"/>
      <c r="F439" s="17"/>
      <c r="G439" s="20"/>
      <c r="H439" s="20"/>
      <c r="I439" s="20"/>
      <c r="J439" s="20"/>
      <c r="K439" s="21"/>
      <c r="L439" s="159"/>
      <c r="M439" s="160"/>
      <c r="N439" s="17"/>
      <c r="O439" s="17"/>
      <c r="P439" s="17"/>
      <c r="Q439" s="17"/>
      <c r="R439" s="162"/>
    </row>
    <row r="440" ht="15.75" customHeight="1">
      <c r="C440" s="17"/>
      <c r="D440" s="17"/>
      <c r="E440" s="158"/>
      <c r="F440" s="17"/>
      <c r="G440" s="20"/>
      <c r="H440" s="20"/>
      <c r="I440" s="20"/>
      <c r="J440" s="20"/>
      <c r="K440" s="21"/>
      <c r="L440" s="159"/>
      <c r="M440" s="160"/>
      <c r="N440" s="17"/>
      <c r="O440" s="17"/>
      <c r="P440" s="17"/>
      <c r="Q440" s="17"/>
      <c r="R440" s="162"/>
    </row>
    <row r="441" ht="15.75" customHeight="1">
      <c r="C441" s="17"/>
      <c r="D441" s="17"/>
      <c r="E441" s="158"/>
      <c r="F441" s="17"/>
      <c r="G441" s="20"/>
      <c r="H441" s="20"/>
      <c r="I441" s="20"/>
      <c r="J441" s="20"/>
      <c r="K441" s="21"/>
      <c r="L441" s="159"/>
      <c r="M441" s="160"/>
      <c r="N441" s="17"/>
      <c r="O441" s="17"/>
      <c r="P441" s="17"/>
      <c r="Q441" s="17"/>
      <c r="R441" s="162"/>
    </row>
    <row r="442" ht="15.75" customHeight="1">
      <c r="C442" s="17"/>
      <c r="D442" s="17"/>
      <c r="E442" s="158"/>
      <c r="F442" s="17"/>
      <c r="G442" s="20"/>
      <c r="H442" s="20"/>
      <c r="I442" s="20"/>
      <c r="J442" s="20"/>
      <c r="K442" s="21"/>
      <c r="L442" s="159"/>
      <c r="M442" s="160"/>
      <c r="N442" s="17"/>
      <c r="O442" s="17"/>
      <c r="P442" s="17"/>
      <c r="Q442" s="17"/>
      <c r="R442" s="162"/>
    </row>
    <row r="443" ht="15.75" customHeight="1">
      <c r="C443" s="17"/>
      <c r="D443" s="17"/>
      <c r="E443" s="158"/>
      <c r="F443" s="17"/>
      <c r="G443" s="20"/>
      <c r="H443" s="20"/>
      <c r="I443" s="20"/>
      <c r="J443" s="20"/>
      <c r="K443" s="21"/>
      <c r="L443" s="159"/>
      <c r="M443" s="160"/>
      <c r="N443" s="17"/>
      <c r="O443" s="17"/>
      <c r="P443" s="17"/>
      <c r="Q443" s="17"/>
      <c r="R443" s="162"/>
    </row>
    <row r="444" ht="15.75" customHeight="1">
      <c r="C444" s="17"/>
      <c r="D444" s="17"/>
      <c r="E444" s="158"/>
      <c r="F444" s="17"/>
      <c r="G444" s="20"/>
      <c r="H444" s="20"/>
      <c r="I444" s="20"/>
      <c r="J444" s="20"/>
      <c r="K444" s="21"/>
      <c r="L444" s="159"/>
      <c r="M444" s="160"/>
      <c r="N444" s="17"/>
      <c r="O444" s="17"/>
      <c r="P444" s="17"/>
      <c r="Q444" s="17"/>
      <c r="R444" s="162"/>
    </row>
    <row r="445" ht="15.75" customHeight="1">
      <c r="C445" s="17"/>
      <c r="D445" s="17"/>
      <c r="E445" s="158"/>
      <c r="F445" s="17"/>
      <c r="G445" s="20"/>
      <c r="H445" s="20"/>
      <c r="I445" s="20"/>
      <c r="J445" s="20"/>
      <c r="K445" s="21"/>
      <c r="L445" s="159"/>
      <c r="M445" s="160"/>
      <c r="N445" s="17"/>
      <c r="O445" s="17"/>
      <c r="P445" s="17"/>
      <c r="Q445" s="17"/>
      <c r="R445" s="162"/>
    </row>
    <row r="446" ht="15.75" customHeight="1">
      <c r="C446" s="17"/>
      <c r="D446" s="17"/>
      <c r="E446" s="158"/>
      <c r="F446" s="17"/>
      <c r="G446" s="20"/>
      <c r="H446" s="20"/>
      <c r="I446" s="20"/>
      <c r="J446" s="20"/>
      <c r="K446" s="21"/>
      <c r="L446" s="159"/>
      <c r="M446" s="160"/>
      <c r="N446" s="17"/>
      <c r="O446" s="17"/>
      <c r="P446" s="17"/>
      <c r="Q446" s="17"/>
      <c r="R446" s="162"/>
    </row>
    <row r="447" ht="15.75" customHeight="1">
      <c r="C447" s="17"/>
      <c r="D447" s="17"/>
      <c r="E447" s="158"/>
      <c r="F447" s="17"/>
      <c r="G447" s="20"/>
      <c r="H447" s="20"/>
      <c r="I447" s="20"/>
      <c r="J447" s="20"/>
      <c r="K447" s="21"/>
      <c r="L447" s="159"/>
      <c r="M447" s="160"/>
      <c r="N447" s="17"/>
      <c r="O447" s="17"/>
      <c r="P447" s="17"/>
      <c r="Q447" s="17"/>
      <c r="R447" s="162"/>
    </row>
    <row r="448" ht="15.75" customHeight="1">
      <c r="C448" s="17"/>
      <c r="D448" s="17"/>
      <c r="E448" s="158"/>
      <c r="F448" s="17"/>
      <c r="G448" s="20"/>
      <c r="H448" s="20"/>
      <c r="I448" s="20"/>
      <c r="J448" s="20"/>
      <c r="K448" s="21"/>
      <c r="L448" s="159"/>
      <c r="M448" s="160"/>
      <c r="N448" s="17"/>
      <c r="O448" s="17"/>
      <c r="P448" s="17"/>
      <c r="Q448" s="17"/>
      <c r="R448" s="162"/>
    </row>
    <row r="449" ht="15.75" customHeight="1">
      <c r="C449" s="17"/>
      <c r="D449" s="17"/>
      <c r="E449" s="158"/>
      <c r="F449" s="17"/>
      <c r="G449" s="20"/>
      <c r="H449" s="20"/>
      <c r="I449" s="20"/>
      <c r="J449" s="20"/>
      <c r="K449" s="21"/>
      <c r="L449" s="159"/>
      <c r="M449" s="160"/>
      <c r="N449" s="17"/>
      <c r="O449" s="17"/>
      <c r="P449" s="17"/>
      <c r="Q449" s="17"/>
      <c r="R449" s="162"/>
    </row>
    <row r="450" ht="15.75" customHeight="1">
      <c r="C450" s="17"/>
      <c r="D450" s="17"/>
      <c r="E450" s="158"/>
      <c r="F450" s="17"/>
      <c r="G450" s="20"/>
      <c r="H450" s="20"/>
      <c r="I450" s="20"/>
      <c r="J450" s="20"/>
      <c r="K450" s="21"/>
      <c r="L450" s="159"/>
      <c r="M450" s="160"/>
      <c r="N450" s="17"/>
      <c r="O450" s="17"/>
      <c r="P450" s="17"/>
      <c r="Q450" s="17"/>
      <c r="R450" s="162"/>
    </row>
    <row r="451" ht="15.75" customHeight="1">
      <c r="C451" s="17"/>
      <c r="D451" s="17"/>
      <c r="E451" s="158"/>
      <c r="F451" s="17"/>
      <c r="G451" s="20"/>
      <c r="H451" s="20"/>
      <c r="I451" s="20"/>
      <c r="J451" s="20"/>
      <c r="K451" s="21"/>
      <c r="L451" s="159"/>
      <c r="M451" s="160"/>
      <c r="N451" s="17"/>
      <c r="O451" s="17"/>
      <c r="P451" s="17"/>
      <c r="Q451" s="17"/>
      <c r="R451" s="162"/>
    </row>
    <row r="452" ht="15.75" customHeight="1">
      <c r="C452" s="17"/>
      <c r="D452" s="17"/>
      <c r="E452" s="158"/>
      <c r="F452" s="17"/>
      <c r="G452" s="20"/>
      <c r="H452" s="20"/>
      <c r="I452" s="20"/>
      <c r="J452" s="20"/>
      <c r="K452" s="21"/>
      <c r="L452" s="159"/>
      <c r="M452" s="160"/>
      <c r="N452" s="17"/>
      <c r="O452" s="17"/>
      <c r="P452" s="17"/>
      <c r="Q452" s="17"/>
      <c r="R452" s="162"/>
    </row>
    <row r="453" ht="15.75" customHeight="1">
      <c r="C453" s="17"/>
      <c r="D453" s="17"/>
      <c r="E453" s="158"/>
      <c r="F453" s="17"/>
      <c r="G453" s="20"/>
      <c r="H453" s="20"/>
      <c r="I453" s="20"/>
      <c r="J453" s="20"/>
      <c r="K453" s="21"/>
      <c r="L453" s="159"/>
      <c r="M453" s="160"/>
      <c r="N453" s="17"/>
      <c r="O453" s="17"/>
      <c r="P453" s="17"/>
      <c r="Q453" s="17"/>
      <c r="R453" s="162"/>
    </row>
    <row r="454" ht="15.75" customHeight="1">
      <c r="C454" s="17"/>
      <c r="D454" s="17"/>
      <c r="E454" s="158"/>
      <c r="F454" s="17"/>
      <c r="G454" s="20"/>
      <c r="H454" s="20"/>
      <c r="I454" s="20"/>
      <c r="J454" s="20"/>
      <c r="K454" s="21"/>
      <c r="L454" s="159"/>
      <c r="M454" s="160"/>
      <c r="N454" s="17"/>
      <c r="O454" s="17"/>
      <c r="P454" s="17"/>
      <c r="Q454" s="17"/>
      <c r="R454" s="162"/>
    </row>
    <row r="455" ht="15.75" customHeight="1">
      <c r="C455" s="17"/>
      <c r="D455" s="17"/>
      <c r="E455" s="158"/>
      <c r="F455" s="17"/>
      <c r="G455" s="20"/>
      <c r="H455" s="20"/>
      <c r="I455" s="20"/>
      <c r="J455" s="20"/>
      <c r="K455" s="21"/>
      <c r="L455" s="159"/>
      <c r="M455" s="160"/>
      <c r="N455" s="17"/>
      <c r="O455" s="17"/>
      <c r="P455" s="17"/>
      <c r="Q455" s="17"/>
      <c r="R455" s="162"/>
    </row>
    <row r="456" ht="15.75" customHeight="1">
      <c r="C456" s="17"/>
      <c r="D456" s="17"/>
      <c r="E456" s="158"/>
      <c r="F456" s="17"/>
      <c r="G456" s="20"/>
      <c r="H456" s="20"/>
      <c r="I456" s="20"/>
      <c r="J456" s="20"/>
      <c r="K456" s="21"/>
      <c r="L456" s="159"/>
      <c r="M456" s="160"/>
      <c r="N456" s="17"/>
      <c r="O456" s="17"/>
      <c r="P456" s="17"/>
      <c r="Q456" s="17"/>
      <c r="R456" s="162"/>
    </row>
    <row r="457" ht="15.75" customHeight="1">
      <c r="C457" s="17"/>
      <c r="D457" s="17"/>
      <c r="E457" s="158"/>
      <c r="F457" s="17"/>
      <c r="G457" s="20"/>
      <c r="H457" s="20"/>
      <c r="I457" s="20"/>
      <c r="J457" s="20"/>
      <c r="K457" s="21"/>
      <c r="L457" s="159"/>
      <c r="M457" s="160"/>
      <c r="N457" s="17"/>
      <c r="O457" s="17"/>
      <c r="P457" s="17"/>
      <c r="Q457" s="17"/>
      <c r="R457" s="162"/>
    </row>
    <row r="458" ht="15.75" customHeight="1">
      <c r="C458" s="17"/>
      <c r="D458" s="17"/>
      <c r="E458" s="158"/>
      <c r="F458" s="17"/>
      <c r="G458" s="20"/>
      <c r="H458" s="20"/>
      <c r="I458" s="20"/>
      <c r="J458" s="20"/>
      <c r="K458" s="21"/>
      <c r="L458" s="159"/>
      <c r="M458" s="160"/>
      <c r="N458" s="17"/>
      <c r="O458" s="17"/>
      <c r="P458" s="17"/>
      <c r="Q458" s="17"/>
      <c r="R458" s="162"/>
    </row>
    <row r="459" ht="15.75" customHeight="1">
      <c r="C459" s="17"/>
      <c r="D459" s="17"/>
      <c r="E459" s="158"/>
      <c r="F459" s="17"/>
      <c r="G459" s="20"/>
      <c r="H459" s="20"/>
      <c r="I459" s="20"/>
      <c r="J459" s="20"/>
      <c r="K459" s="21"/>
      <c r="L459" s="159"/>
      <c r="M459" s="160"/>
      <c r="N459" s="17"/>
      <c r="O459" s="17"/>
      <c r="P459" s="17"/>
      <c r="Q459" s="17"/>
      <c r="R459" s="162"/>
    </row>
    <row r="460" ht="15.75" customHeight="1">
      <c r="C460" s="17"/>
      <c r="D460" s="17"/>
      <c r="E460" s="158"/>
      <c r="F460" s="17"/>
      <c r="G460" s="20"/>
      <c r="H460" s="20"/>
      <c r="I460" s="20"/>
      <c r="J460" s="20"/>
      <c r="K460" s="21"/>
      <c r="L460" s="159"/>
      <c r="M460" s="160"/>
      <c r="N460" s="17"/>
      <c r="O460" s="17"/>
      <c r="P460" s="17"/>
      <c r="Q460" s="17"/>
      <c r="R460" s="162"/>
    </row>
    <row r="461" ht="15.75" customHeight="1">
      <c r="C461" s="17"/>
      <c r="D461" s="17"/>
      <c r="E461" s="158"/>
      <c r="F461" s="17"/>
      <c r="G461" s="20"/>
      <c r="H461" s="20"/>
      <c r="I461" s="20"/>
      <c r="J461" s="20"/>
      <c r="K461" s="21"/>
      <c r="L461" s="159"/>
      <c r="M461" s="160"/>
      <c r="N461" s="17"/>
      <c r="O461" s="17"/>
      <c r="P461" s="17"/>
      <c r="Q461" s="17"/>
      <c r="R461" s="162"/>
    </row>
    <row r="462" ht="15.75" customHeight="1">
      <c r="C462" s="17"/>
      <c r="D462" s="17"/>
      <c r="E462" s="158"/>
      <c r="F462" s="17"/>
      <c r="G462" s="20"/>
      <c r="H462" s="20"/>
      <c r="I462" s="20"/>
      <c r="J462" s="20"/>
      <c r="K462" s="21"/>
      <c r="L462" s="159"/>
      <c r="M462" s="160"/>
      <c r="N462" s="17"/>
      <c r="O462" s="17"/>
      <c r="P462" s="17"/>
      <c r="Q462" s="17"/>
      <c r="R462" s="162"/>
    </row>
    <row r="463" ht="15.75" customHeight="1">
      <c r="C463" s="17"/>
      <c r="D463" s="17"/>
      <c r="E463" s="158"/>
      <c r="F463" s="17"/>
      <c r="G463" s="20"/>
      <c r="H463" s="20"/>
      <c r="I463" s="20"/>
      <c r="J463" s="20"/>
      <c r="K463" s="21"/>
      <c r="L463" s="159"/>
      <c r="M463" s="160"/>
      <c r="N463" s="17"/>
      <c r="O463" s="17"/>
      <c r="P463" s="17"/>
      <c r="Q463" s="17"/>
      <c r="R463" s="162"/>
    </row>
    <row r="464" ht="15.75" customHeight="1">
      <c r="C464" s="17"/>
      <c r="D464" s="17"/>
      <c r="E464" s="158"/>
      <c r="F464" s="17"/>
      <c r="G464" s="20"/>
      <c r="H464" s="20"/>
      <c r="I464" s="20"/>
      <c r="J464" s="20"/>
      <c r="K464" s="21"/>
      <c r="L464" s="159"/>
      <c r="M464" s="160"/>
      <c r="N464" s="17"/>
      <c r="O464" s="17"/>
      <c r="P464" s="17"/>
      <c r="Q464" s="17"/>
      <c r="R464" s="162"/>
    </row>
    <row r="465" ht="15.75" customHeight="1">
      <c r="C465" s="17"/>
      <c r="D465" s="17"/>
      <c r="E465" s="158"/>
      <c r="F465" s="17"/>
      <c r="G465" s="20"/>
      <c r="H465" s="20"/>
      <c r="I465" s="20"/>
      <c r="J465" s="20"/>
      <c r="K465" s="21"/>
      <c r="L465" s="159"/>
      <c r="M465" s="160"/>
      <c r="N465" s="17"/>
      <c r="O465" s="17"/>
      <c r="P465" s="17"/>
      <c r="Q465" s="17"/>
      <c r="R465" s="162"/>
    </row>
    <row r="466" ht="15.75" customHeight="1">
      <c r="C466" s="17"/>
      <c r="D466" s="17"/>
      <c r="E466" s="158"/>
      <c r="F466" s="17"/>
      <c r="G466" s="20"/>
      <c r="H466" s="20"/>
      <c r="I466" s="20"/>
      <c r="J466" s="20"/>
      <c r="K466" s="21"/>
      <c r="L466" s="159"/>
      <c r="M466" s="160"/>
      <c r="N466" s="17"/>
      <c r="O466" s="17"/>
      <c r="P466" s="17"/>
      <c r="Q466" s="17"/>
      <c r="R466" s="162"/>
    </row>
    <row r="467" ht="15.75" customHeight="1">
      <c r="C467" s="17"/>
      <c r="D467" s="17"/>
      <c r="E467" s="158"/>
      <c r="F467" s="17"/>
      <c r="G467" s="20"/>
      <c r="H467" s="20"/>
      <c r="I467" s="20"/>
      <c r="J467" s="20"/>
      <c r="K467" s="21"/>
      <c r="L467" s="159"/>
      <c r="M467" s="160"/>
      <c r="N467" s="17"/>
      <c r="O467" s="17"/>
      <c r="P467" s="17"/>
      <c r="Q467" s="17"/>
      <c r="R467" s="162"/>
    </row>
    <row r="468" ht="15.75" customHeight="1">
      <c r="C468" s="17"/>
      <c r="D468" s="17"/>
      <c r="E468" s="158"/>
      <c r="F468" s="17"/>
      <c r="G468" s="20"/>
      <c r="H468" s="20"/>
      <c r="I468" s="20"/>
      <c r="J468" s="20"/>
      <c r="K468" s="21"/>
      <c r="L468" s="159"/>
      <c r="M468" s="160"/>
      <c r="N468" s="17"/>
      <c r="O468" s="17"/>
      <c r="P468" s="17"/>
      <c r="Q468" s="17"/>
      <c r="R468" s="162"/>
    </row>
    <row r="469" ht="15.75" customHeight="1">
      <c r="C469" s="17"/>
      <c r="D469" s="17"/>
      <c r="E469" s="158"/>
      <c r="F469" s="17"/>
      <c r="G469" s="20"/>
      <c r="H469" s="20"/>
      <c r="I469" s="20"/>
      <c r="J469" s="20"/>
      <c r="K469" s="21"/>
      <c r="L469" s="159"/>
      <c r="M469" s="160"/>
      <c r="N469" s="17"/>
      <c r="O469" s="17"/>
      <c r="P469" s="17"/>
      <c r="Q469" s="17"/>
      <c r="R469" s="162"/>
    </row>
    <row r="470" ht="15.75" customHeight="1">
      <c r="C470" s="17"/>
      <c r="D470" s="17"/>
      <c r="E470" s="158"/>
      <c r="F470" s="17"/>
      <c r="G470" s="20"/>
      <c r="H470" s="20"/>
      <c r="I470" s="20"/>
      <c r="J470" s="20"/>
      <c r="K470" s="21"/>
      <c r="L470" s="159"/>
      <c r="M470" s="160"/>
      <c r="N470" s="17"/>
      <c r="O470" s="17"/>
      <c r="P470" s="17"/>
      <c r="Q470" s="17"/>
      <c r="R470" s="162"/>
    </row>
    <row r="471" ht="15.75" customHeight="1">
      <c r="C471" s="17"/>
      <c r="D471" s="17"/>
      <c r="E471" s="158"/>
      <c r="F471" s="17"/>
      <c r="G471" s="20"/>
      <c r="H471" s="20"/>
      <c r="I471" s="20"/>
      <c r="J471" s="20"/>
      <c r="K471" s="21"/>
      <c r="L471" s="159"/>
      <c r="M471" s="160"/>
      <c r="N471" s="17"/>
      <c r="O471" s="17"/>
      <c r="P471" s="17"/>
      <c r="Q471" s="17"/>
      <c r="R471" s="162"/>
    </row>
    <row r="472" ht="15.75" customHeight="1">
      <c r="C472" s="17"/>
      <c r="D472" s="17"/>
      <c r="E472" s="158"/>
      <c r="F472" s="17"/>
      <c r="G472" s="20"/>
      <c r="H472" s="20"/>
      <c r="I472" s="20"/>
      <c r="J472" s="20"/>
      <c r="K472" s="21"/>
      <c r="L472" s="159"/>
      <c r="M472" s="160"/>
      <c r="N472" s="17"/>
      <c r="O472" s="17"/>
      <c r="P472" s="17"/>
      <c r="Q472" s="17"/>
      <c r="R472" s="162"/>
    </row>
    <row r="473" ht="15.75" customHeight="1">
      <c r="C473" s="17"/>
      <c r="D473" s="17"/>
      <c r="E473" s="158"/>
      <c r="F473" s="17"/>
      <c r="G473" s="20"/>
      <c r="H473" s="20"/>
      <c r="I473" s="20"/>
      <c r="J473" s="20"/>
      <c r="K473" s="21"/>
      <c r="L473" s="159"/>
      <c r="M473" s="160"/>
      <c r="N473" s="17"/>
      <c r="O473" s="17"/>
      <c r="P473" s="17"/>
      <c r="Q473" s="17"/>
      <c r="R473" s="162"/>
    </row>
    <row r="474" ht="15.75" customHeight="1">
      <c r="C474" s="17"/>
      <c r="D474" s="17"/>
      <c r="E474" s="158"/>
      <c r="F474" s="17"/>
      <c r="G474" s="20"/>
      <c r="H474" s="20"/>
      <c r="I474" s="20"/>
      <c r="J474" s="20"/>
      <c r="K474" s="21"/>
      <c r="L474" s="159"/>
      <c r="M474" s="160"/>
      <c r="N474" s="17"/>
      <c r="O474" s="17"/>
      <c r="P474" s="17"/>
      <c r="Q474" s="17"/>
      <c r="R474" s="162"/>
    </row>
    <row r="475" ht="15.75" customHeight="1">
      <c r="C475" s="17"/>
      <c r="D475" s="17"/>
      <c r="E475" s="158"/>
      <c r="F475" s="17"/>
      <c r="G475" s="20"/>
      <c r="H475" s="20"/>
      <c r="I475" s="20"/>
      <c r="J475" s="20"/>
      <c r="K475" s="21"/>
      <c r="L475" s="159"/>
      <c r="M475" s="160"/>
      <c r="N475" s="17"/>
      <c r="O475" s="17"/>
      <c r="P475" s="17"/>
      <c r="Q475" s="17"/>
      <c r="R475" s="162"/>
    </row>
    <row r="476" ht="15.75" customHeight="1">
      <c r="C476" s="17"/>
      <c r="D476" s="17"/>
      <c r="E476" s="158"/>
      <c r="F476" s="17"/>
      <c r="G476" s="20"/>
      <c r="H476" s="20"/>
      <c r="I476" s="20"/>
      <c r="J476" s="20"/>
      <c r="K476" s="21"/>
      <c r="L476" s="159"/>
      <c r="M476" s="160"/>
      <c r="N476" s="17"/>
      <c r="O476" s="17"/>
      <c r="P476" s="17"/>
      <c r="Q476" s="17"/>
      <c r="R476" s="162"/>
    </row>
    <row r="477" ht="15.75" customHeight="1">
      <c r="C477" s="17"/>
      <c r="D477" s="17"/>
      <c r="E477" s="158"/>
      <c r="F477" s="17"/>
      <c r="G477" s="20"/>
      <c r="H477" s="20"/>
      <c r="I477" s="20"/>
      <c r="J477" s="20"/>
      <c r="K477" s="21"/>
      <c r="L477" s="159"/>
      <c r="M477" s="160"/>
      <c r="N477" s="17"/>
      <c r="O477" s="17"/>
      <c r="P477" s="17"/>
      <c r="Q477" s="17"/>
      <c r="R477" s="162"/>
    </row>
    <row r="478" ht="15.75" customHeight="1">
      <c r="C478" s="17"/>
      <c r="D478" s="17"/>
      <c r="E478" s="158"/>
      <c r="F478" s="17"/>
      <c r="G478" s="20"/>
      <c r="H478" s="20"/>
      <c r="I478" s="20"/>
      <c r="J478" s="20"/>
      <c r="K478" s="21"/>
      <c r="L478" s="159"/>
      <c r="M478" s="160"/>
      <c r="N478" s="17"/>
      <c r="O478" s="17"/>
      <c r="P478" s="17"/>
      <c r="Q478" s="17"/>
      <c r="R478" s="162"/>
    </row>
    <row r="479" ht="15.75" customHeight="1">
      <c r="C479" s="17"/>
      <c r="D479" s="17"/>
      <c r="E479" s="158"/>
      <c r="F479" s="17"/>
      <c r="G479" s="20"/>
      <c r="H479" s="20"/>
      <c r="I479" s="20"/>
      <c r="J479" s="20"/>
      <c r="K479" s="21"/>
      <c r="L479" s="159"/>
      <c r="M479" s="160"/>
      <c r="N479" s="17"/>
      <c r="O479" s="17"/>
      <c r="P479" s="17"/>
      <c r="Q479" s="17"/>
      <c r="R479" s="162"/>
    </row>
    <row r="480" ht="15.75" customHeight="1">
      <c r="C480" s="17"/>
      <c r="D480" s="17"/>
      <c r="E480" s="158"/>
      <c r="F480" s="17"/>
      <c r="G480" s="20"/>
      <c r="H480" s="20"/>
      <c r="I480" s="20"/>
      <c r="J480" s="20"/>
      <c r="K480" s="21"/>
      <c r="L480" s="159"/>
      <c r="M480" s="160"/>
      <c r="N480" s="17"/>
      <c r="O480" s="17"/>
      <c r="P480" s="17"/>
      <c r="Q480" s="17"/>
      <c r="R480" s="162"/>
    </row>
    <row r="481" ht="15.75" customHeight="1">
      <c r="C481" s="17"/>
      <c r="D481" s="17"/>
      <c r="E481" s="158"/>
      <c r="F481" s="17"/>
      <c r="G481" s="20"/>
      <c r="H481" s="20"/>
      <c r="I481" s="20"/>
      <c r="J481" s="20"/>
      <c r="K481" s="21"/>
      <c r="L481" s="159"/>
      <c r="M481" s="160"/>
      <c r="N481" s="17"/>
      <c r="O481" s="17"/>
      <c r="P481" s="17"/>
      <c r="Q481" s="17"/>
      <c r="R481" s="162"/>
    </row>
    <row r="482" ht="15.75" customHeight="1">
      <c r="C482" s="17"/>
      <c r="D482" s="17"/>
      <c r="E482" s="158"/>
      <c r="F482" s="17"/>
      <c r="G482" s="20"/>
      <c r="H482" s="20"/>
      <c r="I482" s="20"/>
      <c r="J482" s="20"/>
      <c r="K482" s="21"/>
      <c r="L482" s="159"/>
      <c r="M482" s="160"/>
      <c r="N482" s="17"/>
      <c r="O482" s="17"/>
      <c r="P482" s="17"/>
      <c r="Q482" s="17"/>
      <c r="R482" s="162"/>
    </row>
    <row r="483" ht="15.75" customHeight="1">
      <c r="C483" s="17"/>
      <c r="D483" s="17"/>
      <c r="E483" s="158"/>
      <c r="F483" s="17"/>
      <c r="G483" s="20"/>
      <c r="H483" s="20"/>
      <c r="I483" s="20"/>
      <c r="J483" s="20"/>
      <c r="K483" s="21"/>
      <c r="L483" s="159"/>
      <c r="M483" s="160"/>
      <c r="N483" s="17"/>
      <c r="O483" s="17"/>
      <c r="P483" s="17"/>
      <c r="Q483" s="17"/>
      <c r="R483" s="162"/>
    </row>
    <row r="484" ht="15.75" customHeight="1">
      <c r="C484" s="17"/>
      <c r="D484" s="17"/>
      <c r="E484" s="158"/>
      <c r="F484" s="17"/>
      <c r="G484" s="20"/>
      <c r="H484" s="20"/>
      <c r="I484" s="20"/>
      <c r="J484" s="20"/>
      <c r="K484" s="21"/>
      <c r="L484" s="159"/>
      <c r="M484" s="160"/>
      <c r="N484" s="17"/>
      <c r="O484" s="17"/>
      <c r="P484" s="17"/>
      <c r="Q484" s="17"/>
      <c r="R484" s="162"/>
    </row>
    <row r="485" ht="15.75" customHeight="1">
      <c r="C485" s="17"/>
      <c r="D485" s="17"/>
      <c r="E485" s="158"/>
      <c r="F485" s="17"/>
      <c r="G485" s="20"/>
      <c r="H485" s="20"/>
      <c r="I485" s="20"/>
      <c r="J485" s="20"/>
      <c r="K485" s="21"/>
      <c r="L485" s="159"/>
      <c r="M485" s="160"/>
      <c r="N485" s="17"/>
      <c r="O485" s="17"/>
      <c r="P485" s="17"/>
      <c r="Q485" s="17"/>
      <c r="R485" s="162"/>
    </row>
    <row r="486" ht="15.75" customHeight="1">
      <c r="C486" s="17"/>
      <c r="D486" s="17"/>
      <c r="E486" s="158"/>
      <c r="F486" s="17"/>
      <c r="G486" s="20"/>
      <c r="H486" s="20"/>
      <c r="I486" s="20"/>
      <c r="J486" s="20"/>
      <c r="K486" s="21"/>
      <c r="L486" s="159"/>
      <c r="M486" s="160"/>
      <c r="N486" s="17"/>
      <c r="O486" s="17"/>
      <c r="P486" s="17"/>
      <c r="Q486" s="17"/>
      <c r="R486" s="162"/>
    </row>
    <row r="487" ht="15.75" customHeight="1">
      <c r="C487" s="17"/>
      <c r="D487" s="17"/>
      <c r="E487" s="158"/>
      <c r="F487" s="17"/>
      <c r="G487" s="20"/>
      <c r="H487" s="20"/>
      <c r="I487" s="20"/>
      <c r="J487" s="20"/>
      <c r="K487" s="21"/>
      <c r="L487" s="159"/>
      <c r="M487" s="160"/>
      <c r="N487" s="17"/>
      <c r="O487" s="17"/>
      <c r="P487" s="17"/>
      <c r="Q487" s="17"/>
      <c r="R487" s="162"/>
    </row>
    <row r="488" ht="15.75" customHeight="1">
      <c r="C488" s="17"/>
      <c r="D488" s="17"/>
      <c r="E488" s="158"/>
      <c r="F488" s="17"/>
      <c r="G488" s="20"/>
      <c r="H488" s="20"/>
      <c r="I488" s="20"/>
      <c r="J488" s="20"/>
      <c r="K488" s="21"/>
      <c r="L488" s="159"/>
      <c r="M488" s="160"/>
      <c r="N488" s="17"/>
      <c r="O488" s="17"/>
      <c r="P488" s="17"/>
      <c r="Q488" s="17"/>
      <c r="R488" s="162"/>
    </row>
    <row r="489" ht="15.75" customHeight="1">
      <c r="C489" s="17"/>
      <c r="D489" s="17"/>
      <c r="E489" s="158"/>
      <c r="F489" s="17"/>
      <c r="G489" s="20"/>
      <c r="H489" s="20"/>
      <c r="I489" s="20"/>
      <c r="J489" s="20"/>
      <c r="K489" s="21"/>
      <c r="L489" s="159"/>
      <c r="M489" s="160"/>
      <c r="N489" s="17"/>
      <c r="O489" s="17"/>
      <c r="P489" s="17"/>
      <c r="Q489" s="17"/>
      <c r="R489" s="162"/>
    </row>
    <row r="490" ht="15.75" customHeight="1">
      <c r="C490" s="17"/>
      <c r="D490" s="17"/>
      <c r="E490" s="158"/>
      <c r="F490" s="17"/>
      <c r="G490" s="20"/>
      <c r="H490" s="20"/>
      <c r="I490" s="20"/>
      <c r="J490" s="20"/>
      <c r="K490" s="21"/>
      <c r="L490" s="159"/>
      <c r="M490" s="160"/>
      <c r="N490" s="17"/>
      <c r="O490" s="17"/>
      <c r="P490" s="17"/>
      <c r="Q490" s="17"/>
      <c r="R490" s="162"/>
    </row>
    <row r="491" ht="15.75" customHeight="1">
      <c r="C491" s="17"/>
      <c r="D491" s="17"/>
      <c r="E491" s="158"/>
      <c r="F491" s="17"/>
      <c r="G491" s="20"/>
      <c r="H491" s="20"/>
      <c r="I491" s="20"/>
      <c r="J491" s="20"/>
      <c r="K491" s="21"/>
      <c r="L491" s="159"/>
      <c r="M491" s="160"/>
      <c r="N491" s="17"/>
      <c r="O491" s="17"/>
      <c r="P491" s="17"/>
      <c r="Q491" s="17"/>
      <c r="R491" s="162"/>
    </row>
    <row r="492" ht="15.75" customHeight="1">
      <c r="C492" s="17"/>
      <c r="D492" s="17"/>
      <c r="E492" s="158"/>
      <c r="F492" s="17"/>
      <c r="G492" s="20"/>
      <c r="H492" s="20"/>
      <c r="I492" s="20"/>
      <c r="J492" s="20"/>
      <c r="K492" s="21"/>
      <c r="L492" s="159"/>
      <c r="M492" s="160"/>
      <c r="N492" s="17"/>
      <c r="O492" s="17"/>
      <c r="P492" s="17"/>
      <c r="Q492" s="17"/>
      <c r="R492" s="162"/>
    </row>
    <row r="493" ht="15.75" customHeight="1">
      <c r="C493" s="17"/>
      <c r="D493" s="17"/>
      <c r="E493" s="158"/>
      <c r="F493" s="17"/>
      <c r="G493" s="20"/>
      <c r="H493" s="20"/>
      <c r="I493" s="20"/>
      <c r="J493" s="20"/>
      <c r="K493" s="21"/>
      <c r="L493" s="159"/>
      <c r="M493" s="160"/>
      <c r="N493" s="17"/>
      <c r="O493" s="17"/>
      <c r="P493" s="17"/>
      <c r="Q493" s="17"/>
      <c r="R493" s="162"/>
    </row>
    <row r="494" ht="15.75" customHeight="1">
      <c r="C494" s="17"/>
      <c r="D494" s="17"/>
      <c r="E494" s="158"/>
      <c r="F494" s="17"/>
      <c r="G494" s="20"/>
      <c r="H494" s="20"/>
      <c r="I494" s="20"/>
      <c r="J494" s="20"/>
      <c r="K494" s="21"/>
      <c r="L494" s="159"/>
      <c r="M494" s="160"/>
      <c r="N494" s="17"/>
      <c r="O494" s="17"/>
      <c r="P494" s="17"/>
      <c r="Q494" s="17"/>
      <c r="R494" s="162"/>
    </row>
    <row r="495" ht="15.75" customHeight="1">
      <c r="C495" s="17"/>
      <c r="D495" s="17"/>
      <c r="E495" s="158"/>
      <c r="F495" s="17"/>
      <c r="G495" s="20"/>
      <c r="H495" s="20"/>
      <c r="I495" s="20"/>
      <c r="J495" s="20"/>
      <c r="K495" s="21"/>
      <c r="L495" s="159"/>
      <c r="M495" s="160"/>
      <c r="N495" s="17"/>
      <c r="O495" s="17"/>
      <c r="P495" s="17"/>
      <c r="Q495" s="17"/>
      <c r="R495" s="162"/>
    </row>
    <row r="496" ht="15.75" customHeight="1">
      <c r="C496" s="17"/>
      <c r="D496" s="17"/>
      <c r="E496" s="158"/>
      <c r="F496" s="17"/>
      <c r="G496" s="20"/>
      <c r="H496" s="20"/>
      <c r="I496" s="20"/>
      <c r="J496" s="20"/>
      <c r="K496" s="21"/>
      <c r="L496" s="159"/>
      <c r="M496" s="160"/>
      <c r="N496" s="17"/>
      <c r="O496" s="17"/>
      <c r="P496" s="17"/>
      <c r="Q496" s="17"/>
      <c r="R496" s="162"/>
    </row>
    <row r="497" ht="15.75" customHeight="1">
      <c r="C497" s="17"/>
      <c r="D497" s="17"/>
      <c r="E497" s="158"/>
      <c r="F497" s="17"/>
      <c r="G497" s="20"/>
      <c r="H497" s="20"/>
      <c r="I497" s="20"/>
      <c r="J497" s="20"/>
      <c r="K497" s="21"/>
      <c r="L497" s="159"/>
      <c r="M497" s="160"/>
      <c r="N497" s="17"/>
      <c r="O497" s="17"/>
      <c r="P497" s="17"/>
      <c r="Q497" s="17"/>
      <c r="R497" s="162"/>
    </row>
    <row r="498" ht="15.75" customHeight="1">
      <c r="C498" s="17"/>
      <c r="D498" s="17"/>
      <c r="E498" s="158"/>
      <c r="F498" s="17"/>
      <c r="G498" s="20"/>
      <c r="H498" s="20"/>
      <c r="I498" s="20"/>
      <c r="J498" s="20"/>
      <c r="K498" s="21"/>
      <c r="L498" s="159"/>
      <c r="M498" s="160"/>
      <c r="N498" s="17"/>
      <c r="O498" s="17"/>
      <c r="P498" s="17"/>
      <c r="Q498" s="17"/>
      <c r="R498" s="162"/>
    </row>
    <row r="499" ht="15.75" customHeight="1">
      <c r="C499" s="17"/>
      <c r="D499" s="17"/>
      <c r="E499" s="158"/>
      <c r="F499" s="17"/>
      <c r="G499" s="20"/>
      <c r="H499" s="20"/>
      <c r="I499" s="20"/>
      <c r="J499" s="20"/>
      <c r="K499" s="21"/>
      <c r="L499" s="159"/>
      <c r="M499" s="160"/>
      <c r="N499" s="17"/>
      <c r="O499" s="17"/>
      <c r="P499" s="17"/>
      <c r="Q499" s="17"/>
      <c r="R499" s="162"/>
    </row>
    <row r="500" ht="15.75" customHeight="1">
      <c r="C500" s="17"/>
      <c r="D500" s="17"/>
      <c r="E500" s="158"/>
      <c r="F500" s="17"/>
      <c r="G500" s="20"/>
      <c r="H500" s="20"/>
      <c r="I500" s="20"/>
      <c r="J500" s="20"/>
      <c r="K500" s="21"/>
      <c r="L500" s="159"/>
      <c r="M500" s="160"/>
      <c r="N500" s="17"/>
      <c r="O500" s="17"/>
      <c r="P500" s="17"/>
      <c r="Q500" s="17"/>
      <c r="R500" s="162"/>
    </row>
    <row r="501" ht="15.75" customHeight="1">
      <c r="C501" s="17"/>
      <c r="D501" s="17"/>
      <c r="E501" s="158"/>
      <c r="F501" s="17"/>
      <c r="G501" s="20"/>
      <c r="H501" s="20"/>
      <c r="I501" s="20"/>
      <c r="J501" s="20"/>
      <c r="K501" s="21"/>
      <c r="L501" s="159"/>
      <c r="M501" s="160"/>
      <c r="N501" s="17"/>
      <c r="O501" s="17"/>
      <c r="P501" s="17"/>
      <c r="Q501" s="17"/>
      <c r="R501" s="162"/>
    </row>
    <row r="502" ht="15.75" customHeight="1">
      <c r="C502" s="17"/>
      <c r="D502" s="17"/>
      <c r="E502" s="158"/>
      <c r="F502" s="17"/>
      <c r="G502" s="20"/>
      <c r="H502" s="20"/>
      <c r="I502" s="20"/>
      <c r="J502" s="20"/>
      <c r="K502" s="21"/>
      <c r="L502" s="159"/>
      <c r="M502" s="160"/>
      <c r="N502" s="17"/>
      <c r="O502" s="17"/>
      <c r="P502" s="17"/>
      <c r="Q502" s="17"/>
      <c r="R502" s="162"/>
    </row>
    <row r="503" ht="15.75" customHeight="1">
      <c r="C503" s="17"/>
      <c r="D503" s="17"/>
      <c r="E503" s="158"/>
      <c r="F503" s="17"/>
      <c r="G503" s="20"/>
      <c r="H503" s="20"/>
      <c r="I503" s="20"/>
      <c r="J503" s="20"/>
      <c r="K503" s="21"/>
      <c r="L503" s="159"/>
      <c r="M503" s="160"/>
      <c r="N503" s="17"/>
      <c r="O503" s="17"/>
      <c r="P503" s="17"/>
      <c r="Q503" s="17"/>
      <c r="R503" s="162"/>
    </row>
    <row r="504" ht="15.75" customHeight="1">
      <c r="C504" s="17"/>
      <c r="D504" s="17"/>
      <c r="E504" s="158"/>
      <c r="F504" s="17"/>
      <c r="G504" s="20"/>
      <c r="H504" s="20"/>
      <c r="I504" s="20"/>
      <c r="J504" s="20"/>
      <c r="K504" s="21"/>
      <c r="L504" s="159"/>
      <c r="M504" s="160"/>
      <c r="N504" s="17"/>
      <c r="O504" s="17"/>
      <c r="P504" s="17"/>
      <c r="Q504" s="17"/>
      <c r="R504" s="162"/>
    </row>
    <row r="505" ht="15.75" customHeight="1">
      <c r="C505" s="17"/>
      <c r="D505" s="17"/>
      <c r="E505" s="158"/>
      <c r="F505" s="17"/>
      <c r="G505" s="20"/>
      <c r="H505" s="20"/>
      <c r="I505" s="20"/>
      <c r="J505" s="20"/>
      <c r="K505" s="21"/>
      <c r="L505" s="159"/>
      <c r="M505" s="160"/>
      <c r="N505" s="17"/>
      <c r="O505" s="17"/>
      <c r="P505" s="17"/>
      <c r="Q505" s="17"/>
      <c r="R505" s="162"/>
    </row>
    <row r="506" ht="15.75" customHeight="1">
      <c r="C506" s="17"/>
      <c r="D506" s="17"/>
      <c r="E506" s="158"/>
      <c r="F506" s="17"/>
      <c r="G506" s="20"/>
      <c r="H506" s="20"/>
      <c r="I506" s="20"/>
      <c r="J506" s="20"/>
      <c r="K506" s="21"/>
      <c r="L506" s="159"/>
      <c r="M506" s="160"/>
      <c r="N506" s="17"/>
      <c r="O506" s="17"/>
      <c r="P506" s="17"/>
      <c r="Q506" s="17"/>
      <c r="R506" s="162"/>
    </row>
    <row r="507" ht="15.75" customHeight="1">
      <c r="C507" s="17"/>
      <c r="D507" s="17"/>
      <c r="E507" s="158"/>
      <c r="F507" s="17"/>
      <c r="G507" s="20"/>
      <c r="H507" s="20"/>
      <c r="I507" s="20"/>
      <c r="J507" s="20"/>
      <c r="K507" s="21"/>
      <c r="L507" s="159"/>
      <c r="M507" s="160"/>
      <c r="N507" s="17"/>
      <c r="O507" s="17"/>
      <c r="P507" s="17"/>
      <c r="Q507" s="17"/>
      <c r="R507" s="162"/>
    </row>
    <row r="508" ht="15.75" customHeight="1">
      <c r="C508" s="17"/>
      <c r="D508" s="17"/>
      <c r="E508" s="158"/>
      <c r="F508" s="17"/>
      <c r="G508" s="20"/>
      <c r="H508" s="20"/>
      <c r="I508" s="20"/>
      <c r="J508" s="20"/>
      <c r="K508" s="21"/>
      <c r="L508" s="159"/>
      <c r="M508" s="160"/>
      <c r="N508" s="17"/>
      <c r="O508" s="17"/>
      <c r="P508" s="17"/>
      <c r="Q508" s="17"/>
      <c r="R508" s="162"/>
    </row>
    <row r="509" ht="15.75" customHeight="1">
      <c r="C509" s="17"/>
      <c r="D509" s="17"/>
      <c r="E509" s="158"/>
      <c r="F509" s="17"/>
      <c r="G509" s="20"/>
      <c r="H509" s="20"/>
      <c r="I509" s="20"/>
      <c r="J509" s="20"/>
      <c r="K509" s="21"/>
      <c r="L509" s="159"/>
      <c r="M509" s="160"/>
      <c r="N509" s="17"/>
      <c r="O509" s="17"/>
      <c r="P509" s="17"/>
      <c r="Q509" s="17"/>
      <c r="R509" s="162"/>
    </row>
    <row r="510" ht="15.75" customHeight="1">
      <c r="C510" s="17"/>
      <c r="D510" s="17"/>
      <c r="E510" s="158"/>
      <c r="F510" s="17"/>
      <c r="G510" s="20"/>
      <c r="H510" s="20"/>
      <c r="I510" s="20"/>
      <c r="J510" s="20"/>
      <c r="K510" s="21"/>
      <c r="L510" s="159"/>
      <c r="M510" s="160"/>
      <c r="N510" s="17"/>
      <c r="O510" s="17"/>
      <c r="P510" s="17"/>
      <c r="Q510" s="17"/>
      <c r="R510" s="162"/>
    </row>
    <row r="511" ht="15.75" customHeight="1">
      <c r="C511" s="17"/>
      <c r="D511" s="17"/>
      <c r="E511" s="158"/>
      <c r="F511" s="17"/>
      <c r="G511" s="20"/>
      <c r="H511" s="20"/>
      <c r="I511" s="20"/>
      <c r="J511" s="20"/>
      <c r="K511" s="21"/>
      <c r="L511" s="159"/>
      <c r="M511" s="160"/>
      <c r="N511" s="17"/>
      <c r="O511" s="17"/>
      <c r="P511" s="17"/>
      <c r="Q511" s="17"/>
      <c r="R511" s="162"/>
    </row>
    <row r="512" ht="15.75" customHeight="1">
      <c r="C512" s="17"/>
      <c r="D512" s="17"/>
      <c r="E512" s="158"/>
      <c r="F512" s="17"/>
      <c r="G512" s="20"/>
      <c r="H512" s="20"/>
      <c r="I512" s="20"/>
      <c r="J512" s="20"/>
      <c r="K512" s="21"/>
      <c r="L512" s="159"/>
      <c r="M512" s="160"/>
      <c r="N512" s="17"/>
      <c r="O512" s="17"/>
      <c r="P512" s="17"/>
      <c r="Q512" s="17"/>
      <c r="R512" s="162"/>
    </row>
    <row r="513" ht="15.75" customHeight="1">
      <c r="C513" s="17"/>
      <c r="D513" s="17"/>
      <c r="E513" s="158"/>
      <c r="F513" s="17"/>
      <c r="G513" s="20"/>
      <c r="H513" s="20"/>
      <c r="I513" s="20"/>
      <c r="J513" s="20"/>
      <c r="K513" s="21"/>
      <c r="L513" s="159"/>
      <c r="M513" s="160"/>
      <c r="N513" s="17"/>
      <c r="O513" s="17"/>
      <c r="P513" s="17"/>
      <c r="Q513" s="17"/>
      <c r="R513" s="162"/>
    </row>
    <row r="514" ht="15.75" customHeight="1">
      <c r="C514" s="17"/>
      <c r="D514" s="17"/>
      <c r="E514" s="158"/>
      <c r="F514" s="17"/>
      <c r="G514" s="20"/>
      <c r="H514" s="20"/>
      <c r="I514" s="20"/>
      <c r="J514" s="20"/>
      <c r="K514" s="21"/>
      <c r="L514" s="159"/>
      <c r="M514" s="160"/>
      <c r="N514" s="17"/>
      <c r="O514" s="17"/>
      <c r="P514" s="17"/>
      <c r="Q514" s="17"/>
      <c r="R514" s="162"/>
    </row>
    <row r="515" ht="15.75" customHeight="1">
      <c r="C515" s="17"/>
      <c r="D515" s="17"/>
      <c r="E515" s="158"/>
      <c r="F515" s="17"/>
      <c r="G515" s="20"/>
      <c r="H515" s="20"/>
      <c r="I515" s="20"/>
      <c r="J515" s="20"/>
      <c r="K515" s="21"/>
      <c r="L515" s="159"/>
      <c r="M515" s="160"/>
      <c r="N515" s="17"/>
      <c r="O515" s="17"/>
      <c r="P515" s="17"/>
      <c r="Q515" s="17"/>
      <c r="R515" s="162"/>
    </row>
    <row r="516" ht="15.75" customHeight="1">
      <c r="C516" s="17"/>
      <c r="D516" s="17"/>
      <c r="E516" s="158"/>
      <c r="F516" s="17"/>
      <c r="G516" s="20"/>
      <c r="H516" s="20"/>
      <c r="I516" s="20"/>
      <c r="J516" s="20"/>
      <c r="K516" s="21"/>
      <c r="L516" s="159"/>
      <c r="M516" s="160"/>
      <c r="N516" s="17"/>
      <c r="O516" s="17"/>
      <c r="P516" s="17"/>
      <c r="Q516" s="17"/>
      <c r="R516" s="162"/>
    </row>
    <row r="517" ht="15.75" customHeight="1">
      <c r="C517" s="17"/>
      <c r="D517" s="17"/>
      <c r="E517" s="158"/>
      <c r="F517" s="17"/>
      <c r="G517" s="20"/>
      <c r="H517" s="20"/>
      <c r="I517" s="20"/>
      <c r="J517" s="20"/>
      <c r="K517" s="21"/>
      <c r="L517" s="159"/>
      <c r="M517" s="160"/>
      <c r="N517" s="17"/>
      <c r="O517" s="17"/>
      <c r="P517" s="17"/>
      <c r="Q517" s="17"/>
      <c r="R517" s="162"/>
    </row>
    <row r="518" ht="15.75" customHeight="1">
      <c r="C518" s="17"/>
      <c r="D518" s="17"/>
      <c r="E518" s="158"/>
      <c r="F518" s="17"/>
      <c r="G518" s="20"/>
      <c r="H518" s="20"/>
      <c r="I518" s="20"/>
      <c r="J518" s="20"/>
      <c r="K518" s="21"/>
      <c r="L518" s="159"/>
      <c r="M518" s="160"/>
      <c r="N518" s="17"/>
      <c r="O518" s="17"/>
      <c r="P518" s="17"/>
      <c r="Q518" s="17"/>
      <c r="R518" s="162"/>
    </row>
    <row r="519" ht="15.75" customHeight="1">
      <c r="C519" s="17"/>
      <c r="D519" s="17"/>
      <c r="E519" s="158"/>
      <c r="F519" s="17"/>
      <c r="G519" s="20"/>
      <c r="H519" s="20"/>
      <c r="I519" s="20"/>
      <c r="J519" s="20"/>
      <c r="K519" s="21"/>
      <c r="L519" s="159"/>
      <c r="M519" s="160"/>
      <c r="N519" s="17"/>
      <c r="O519" s="17"/>
      <c r="P519" s="17"/>
      <c r="Q519" s="17"/>
      <c r="R519" s="162"/>
    </row>
    <row r="520" ht="15.75" customHeight="1">
      <c r="C520" s="17"/>
      <c r="D520" s="17"/>
      <c r="E520" s="158"/>
      <c r="F520" s="17"/>
      <c r="G520" s="20"/>
      <c r="H520" s="20"/>
      <c r="I520" s="20"/>
      <c r="J520" s="20"/>
      <c r="K520" s="21"/>
      <c r="L520" s="159"/>
      <c r="M520" s="160"/>
      <c r="N520" s="17"/>
      <c r="O520" s="17"/>
      <c r="P520" s="17"/>
      <c r="Q520" s="17"/>
      <c r="R520" s="162"/>
    </row>
    <row r="521" ht="15.75" customHeight="1">
      <c r="C521" s="17"/>
      <c r="D521" s="17"/>
      <c r="E521" s="158"/>
      <c r="F521" s="17"/>
      <c r="G521" s="20"/>
      <c r="H521" s="20"/>
      <c r="I521" s="20"/>
      <c r="J521" s="20"/>
      <c r="K521" s="21"/>
      <c r="L521" s="159"/>
      <c r="M521" s="160"/>
      <c r="N521" s="17"/>
      <c r="O521" s="17"/>
      <c r="P521" s="17"/>
      <c r="Q521" s="17"/>
      <c r="R521" s="162"/>
    </row>
    <row r="522" ht="15.75" customHeight="1">
      <c r="C522" s="17"/>
      <c r="D522" s="17"/>
      <c r="E522" s="158"/>
      <c r="F522" s="17"/>
      <c r="G522" s="20"/>
      <c r="H522" s="20"/>
      <c r="I522" s="20"/>
      <c r="J522" s="20"/>
      <c r="K522" s="21"/>
      <c r="L522" s="159"/>
      <c r="M522" s="160"/>
      <c r="N522" s="17"/>
      <c r="O522" s="17"/>
      <c r="P522" s="17"/>
      <c r="Q522" s="17"/>
      <c r="R522" s="162"/>
    </row>
    <row r="523" ht="15.75" customHeight="1">
      <c r="C523" s="17"/>
      <c r="D523" s="17"/>
      <c r="E523" s="158"/>
      <c r="F523" s="17"/>
      <c r="G523" s="20"/>
      <c r="H523" s="20"/>
      <c r="I523" s="20"/>
      <c r="J523" s="20"/>
      <c r="K523" s="21"/>
      <c r="L523" s="159"/>
      <c r="M523" s="160"/>
      <c r="N523" s="17"/>
      <c r="O523" s="17"/>
      <c r="P523" s="17"/>
      <c r="Q523" s="17"/>
      <c r="R523" s="162"/>
    </row>
    <row r="524" ht="15.75" customHeight="1">
      <c r="C524" s="17"/>
      <c r="D524" s="17"/>
      <c r="E524" s="158"/>
      <c r="F524" s="17"/>
      <c r="G524" s="20"/>
      <c r="H524" s="20"/>
      <c r="I524" s="20"/>
      <c r="J524" s="20"/>
      <c r="K524" s="21"/>
      <c r="L524" s="159"/>
      <c r="M524" s="160"/>
      <c r="N524" s="17"/>
      <c r="O524" s="17"/>
      <c r="P524" s="17"/>
      <c r="Q524" s="17"/>
      <c r="R524" s="162"/>
    </row>
    <row r="525" ht="15.75" customHeight="1">
      <c r="C525" s="17"/>
      <c r="D525" s="17"/>
      <c r="E525" s="158"/>
      <c r="F525" s="17"/>
      <c r="G525" s="20"/>
      <c r="H525" s="20"/>
      <c r="I525" s="20"/>
      <c r="J525" s="20"/>
      <c r="K525" s="21"/>
      <c r="L525" s="159"/>
      <c r="M525" s="160"/>
      <c r="N525" s="17"/>
      <c r="O525" s="17"/>
      <c r="P525" s="17"/>
      <c r="Q525" s="17"/>
      <c r="R525" s="162"/>
    </row>
    <row r="526" ht="15.75" customHeight="1">
      <c r="C526" s="17"/>
      <c r="D526" s="17"/>
      <c r="E526" s="158"/>
      <c r="F526" s="17"/>
      <c r="G526" s="20"/>
      <c r="H526" s="20"/>
      <c r="I526" s="20"/>
      <c r="J526" s="20"/>
      <c r="K526" s="21"/>
      <c r="L526" s="159"/>
      <c r="M526" s="160"/>
      <c r="N526" s="17"/>
      <c r="O526" s="17"/>
      <c r="P526" s="17"/>
      <c r="Q526" s="17"/>
      <c r="R526" s="162"/>
    </row>
    <row r="527" ht="15.75" customHeight="1">
      <c r="C527" s="17"/>
      <c r="D527" s="17"/>
      <c r="E527" s="158"/>
      <c r="F527" s="17"/>
      <c r="G527" s="20"/>
      <c r="H527" s="20"/>
      <c r="I527" s="20"/>
      <c r="J527" s="20"/>
      <c r="K527" s="21"/>
      <c r="L527" s="159"/>
      <c r="M527" s="160"/>
      <c r="N527" s="17"/>
      <c r="O527" s="17"/>
      <c r="P527" s="17"/>
      <c r="Q527" s="17"/>
      <c r="R527" s="162"/>
    </row>
    <row r="528" ht="15.75" customHeight="1">
      <c r="C528" s="17"/>
      <c r="D528" s="17"/>
      <c r="E528" s="158"/>
      <c r="F528" s="17"/>
      <c r="G528" s="20"/>
      <c r="H528" s="20"/>
      <c r="I528" s="20"/>
      <c r="J528" s="20"/>
      <c r="K528" s="21"/>
      <c r="L528" s="159"/>
      <c r="M528" s="160"/>
      <c r="N528" s="17"/>
      <c r="O528" s="17"/>
      <c r="P528" s="17"/>
      <c r="Q528" s="17"/>
      <c r="R528" s="162"/>
    </row>
    <row r="529" ht="15.75" customHeight="1">
      <c r="C529" s="17"/>
      <c r="D529" s="17"/>
      <c r="E529" s="158"/>
      <c r="F529" s="17"/>
      <c r="G529" s="20"/>
      <c r="H529" s="20"/>
      <c r="I529" s="20"/>
      <c r="J529" s="20"/>
      <c r="K529" s="21"/>
      <c r="L529" s="159"/>
      <c r="M529" s="160"/>
      <c r="N529" s="17"/>
      <c r="O529" s="17"/>
      <c r="P529" s="17"/>
      <c r="Q529" s="17"/>
      <c r="R529" s="162"/>
    </row>
    <row r="530" ht="15.75" customHeight="1">
      <c r="C530" s="17"/>
      <c r="D530" s="17"/>
      <c r="E530" s="158"/>
      <c r="F530" s="17"/>
      <c r="G530" s="20"/>
      <c r="H530" s="20"/>
      <c r="I530" s="20"/>
      <c r="J530" s="20"/>
      <c r="K530" s="21"/>
      <c r="L530" s="159"/>
      <c r="M530" s="160"/>
      <c r="N530" s="17"/>
      <c r="O530" s="17"/>
      <c r="P530" s="17"/>
      <c r="Q530" s="17"/>
      <c r="R530" s="162"/>
    </row>
    <row r="531" ht="15.75" customHeight="1">
      <c r="C531" s="17"/>
      <c r="D531" s="17"/>
      <c r="E531" s="158"/>
      <c r="F531" s="17"/>
      <c r="G531" s="20"/>
      <c r="H531" s="20"/>
      <c r="I531" s="20"/>
      <c r="J531" s="20"/>
      <c r="K531" s="21"/>
      <c r="L531" s="159"/>
      <c r="M531" s="160"/>
      <c r="N531" s="17"/>
      <c r="O531" s="17"/>
      <c r="P531" s="17"/>
      <c r="Q531" s="17"/>
      <c r="R531" s="162"/>
    </row>
    <row r="532" ht="15.75" customHeight="1">
      <c r="C532" s="17"/>
      <c r="D532" s="17"/>
      <c r="E532" s="158"/>
      <c r="F532" s="17"/>
      <c r="G532" s="20"/>
      <c r="H532" s="20"/>
      <c r="I532" s="20"/>
      <c r="J532" s="20"/>
      <c r="K532" s="21"/>
      <c r="L532" s="159"/>
      <c r="M532" s="160"/>
      <c r="N532" s="17"/>
      <c r="O532" s="17"/>
      <c r="P532" s="17"/>
      <c r="Q532" s="17"/>
      <c r="R532" s="162"/>
    </row>
    <row r="533" ht="15.75" customHeight="1">
      <c r="C533" s="17"/>
      <c r="D533" s="17"/>
      <c r="E533" s="158"/>
      <c r="F533" s="17"/>
      <c r="G533" s="20"/>
      <c r="H533" s="20"/>
      <c r="I533" s="20"/>
      <c r="J533" s="20"/>
      <c r="K533" s="21"/>
      <c r="L533" s="159"/>
      <c r="M533" s="160"/>
      <c r="N533" s="17"/>
      <c r="O533" s="17"/>
      <c r="P533" s="17"/>
      <c r="Q533" s="17"/>
      <c r="R533" s="162"/>
    </row>
    <row r="534" ht="15.75" customHeight="1">
      <c r="C534" s="17"/>
      <c r="D534" s="17"/>
      <c r="E534" s="158"/>
      <c r="F534" s="17"/>
      <c r="G534" s="20"/>
      <c r="H534" s="20"/>
      <c r="I534" s="20"/>
      <c r="J534" s="20"/>
      <c r="K534" s="21"/>
      <c r="L534" s="159"/>
      <c r="M534" s="160"/>
      <c r="N534" s="17"/>
      <c r="O534" s="17"/>
      <c r="P534" s="17"/>
      <c r="Q534" s="17"/>
      <c r="R534" s="162"/>
    </row>
    <row r="535" ht="15.75" customHeight="1">
      <c r="C535" s="17"/>
      <c r="D535" s="17"/>
      <c r="E535" s="158"/>
      <c r="F535" s="17"/>
      <c r="G535" s="20"/>
      <c r="H535" s="20"/>
      <c r="I535" s="20"/>
      <c r="J535" s="20"/>
      <c r="K535" s="21"/>
      <c r="L535" s="159"/>
      <c r="M535" s="160"/>
      <c r="N535" s="17"/>
      <c r="O535" s="17"/>
      <c r="P535" s="17"/>
      <c r="Q535" s="17"/>
      <c r="R535" s="162"/>
    </row>
    <row r="536" ht="15.75" customHeight="1">
      <c r="C536" s="17"/>
      <c r="D536" s="17"/>
      <c r="E536" s="158"/>
      <c r="F536" s="17"/>
      <c r="G536" s="20"/>
      <c r="H536" s="20"/>
      <c r="I536" s="20"/>
      <c r="J536" s="20"/>
      <c r="K536" s="21"/>
      <c r="L536" s="159"/>
      <c r="M536" s="160"/>
      <c r="N536" s="17"/>
      <c r="O536" s="17"/>
      <c r="P536" s="17"/>
      <c r="Q536" s="17"/>
      <c r="R536" s="162"/>
    </row>
    <row r="537" ht="15.75" customHeight="1">
      <c r="C537" s="17"/>
      <c r="D537" s="17"/>
      <c r="E537" s="158"/>
      <c r="F537" s="17"/>
      <c r="G537" s="20"/>
      <c r="H537" s="20"/>
      <c r="I537" s="20"/>
      <c r="J537" s="20"/>
      <c r="K537" s="21"/>
      <c r="L537" s="159"/>
      <c r="M537" s="160"/>
      <c r="N537" s="17"/>
      <c r="O537" s="17"/>
      <c r="P537" s="17"/>
      <c r="Q537" s="17"/>
      <c r="R537" s="162"/>
    </row>
    <row r="538" ht="15.75" customHeight="1">
      <c r="C538" s="17"/>
      <c r="D538" s="17"/>
      <c r="E538" s="158"/>
      <c r="F538" s="17"/>
      <c r="G538" s="20"/>
      <c r="H538" s="20"/>
      <c r="I538" s="20"/>
      <c r="J538" s="20"/>
      <c r="K538" s="21"/>
      <c r="L538" s="159"/>
      <c r="M538" s="160"/>
      <c r="N538" s="17"/>
      <c r="O538" s="17"/>
      <c r="P538" s="17"/>
      <c r="Q538" s="17"/>
      <c r="R538" s="162"/>
    </row>
    <row r="539" ht="15.75" customHeight="1">
      <c r="C539" s="17"/>
      <c r="D539" s="17"/>
      <c r="E539" s="158"/>
      <c r="F539" s="17"/>
      <c r="G539" s="20"/>
      <c r="H539" s="20"/>
      <c r="I539" s="20"/>
      <c r="J539" s="20"/>
      <c r="K539" s="21"/>
      <c r="L539" s="159"/>
      <c r="M539" s="160"/>
      <c r="N539" s="17"/>
      <c r="O539" s="17"/>
      <c r="P539" s="17"/>
      <c r="Q539" s="17"/>
      <c r="R539" s="162"/>
    </row>
    <row r="540" ht="15.75" customHeight="1">
      <c r="C540" s="17"/>
      <c r="D540" s="17"/>
      <c r="E540" s="158"/>
      <c r="F540" s="17"/>
      <c r="G540" s="20"/>
      <c r="H540" s="20"/>
      <c r="I540" s="20"/>
      <c r="J540" s="20"/>
      <c r="K540" s="21"/>
      <c r="L540" s="159"/>
      <c r="M540" s="160"/>
      <c r="N540" s="17"/>
      <c r="O540" s="17"/>
      <c r="P540" s="17"/>
      <c r="Q540" s="17"/>
      <c r="R540" s="162"/>
    </row>
    <row r="541" ht="15.75" customHeight="1">
      <c r="C541" s="17"/>
      <c r="D541" s="17"/>
      <c r="E541" s="158"/>
      <c r="F541" s="17"/>
      <c r="G541" s="20"/>
      <c r="H541" s="20"/>
      <c r="I541" s="20"/>
      <c r="J541" s="20"/>
      <c r="K541" s="21"/>
      <c r="L541" s="159"/>
      <c r="M541" s="160"/>
      <c r="N541" s="17"/>
      <c r="O541" s="17"/>
      <c r="P541" s="17"/>
      <c r="Q541" s="17"/>
      <c r="R541" s="162"/>
    </row>
    <row r="542" ht="15.75" customHeight="1">
      <c r="C542" s="17"/>
      <c r="D542" s="17"/>
      <c r="E542" s="158"/>
      <c r="F542" s="17"/>
      <c r="G542" s="20"/>
      <c r="H542" s="20"/>
      <c r="I542" s="20"/>
      <c r="J542" s="20"/>
      <c r="K542" s="21"/>
      <c r="L542" s="159"/>
      <c r="M542" s="160"/>
      <c r="N542" s="17"/>
      <c r="O542" s="17"/>
      <c r="P542" s="17"/>
      <c r="Q542" s="17"/>
      <c r="R542" s="162"/>
    </row>
    <row r="543" ht="15.75" customHeight="1">
      <c r="C543" s="17"/>
      <c r="D543" s="17"/>
      <c r="E543" s="158"/>
      <c r="F543" s="17"/>
      <c r="G543" s="20"/>
      <c r="H543" s="20"/>
      <c r="I543" s="20"/>
      <c r="J543" s="20"/>
      <c r="K543" s="21"/>
      <c r="L543" s="159"/>
      <c r="M543" s="160"/>
      <c r="N543" s="17"/>
      <c r="O543" s="17"/>
      <c r="P543" s="17"/>
      <c r="Q543" s="17"/>
      <c r="R543" s="162"/>
    </row>
    <row r="544" ht="15.75" customHeight="1">
      <c r="C544" s="17"/>
      <c r="D544" s="17"/>
      <c r="E544" s="158"/>
      <c r="F544" s="17"/>
      <c r="G544" s="20"/>
      <c r="H544" s="20"/>
      <c r="I544" s="20"/>
      <c r="J544" s="20"/>
      <c r="K544" s="21"/>
      <c r="L544" s="159"/>
      <c r="M544" s="160"/>
      <c r="N544" s="17"/>
      <c r="O544" s="17"/>
      <c r="P544" s="17"/>
      <c r="Q544" s="17"/>
      <c r="R544" s="162"/>
    </row>
    <row r="545" ht="15.75" customHeight="1">
      <c r="C545" s="17"/>
      <c r="D545" s="17"/>
      <c r="E545" s="158"/>
      <c r="F545" s="17"/>
      <c r="G545" s="20"/>
      <c r="H545" s="20"/>
      <c r="I545" s="20"/>
      <c r="J545" s="20"/>
      <c r="K545" s="21"/>
      <c r="L545" s="159"/>
      <c r="M545" s="160"/>
      <c r="N545" s="17"/>
      <c r="O545" s="17"/>
      <c r="P545" s="17"/>
      <c r="Q545" s="17"/>
      <c r="R545" s="162"/>
    </row>
    <row r="546" ht="15.75" customHeight="1">
      <c r="C546" s="17"/>
      <c r="D546" s="17"/>
      <c r="E546" s="158"/>
      <c r="F546" s="17"/>
      <c r="G546" s="20"/>
      <c r="H546" s="20"/>
      <c r="I546" s="20"/>
      <c r="J546" s="20"/>
      <c r="K546" s="21"/>
      <c r="L546" s="159"/>
      <c r="M546" s="160"/>
      <c r="N546" s="17"/>
      <c r="O546" s="17"/>
      <c r="P546" s="17"/>
      <c r="Q546" s="17"/>
      <c r="R546" s="162"/>
    </row>
    <row r="547" ht="15.75" customHeight="1">
      <c r="C547" s="17"/>
      <c r="D547" s="17"/>
      <c r="E547" s="158"/>
      <c r="F547" s="17"/>
      <c r="G547" s="20"/>
      <c r="H547" s="20"/>
      <c r="I547" s="20"/>
      <c r="J547" s="20"/>
      <c r="K547" s="21"/>
      <c r="L547" s="159"/>
      <c r="M547" s="160"/>
      <c r="N547" s="17"/>
      <c r="O547" s="17"/>
      <c r="P547" s="17"/>
      <c r="Q547" s="17"/>
      <c r="R547" s="162"/>
    </row>
    <row r="548" ht="15.75" customHeight="1">
      <c r="C548" s="17"/>
      <c r="D548" s="17"/>
      <c r="E548" s="158"/>
      <c r="F548" s="17"/>
      <c r="G548" s="20"/>
      <c r="H548" s="20"/>
      <c r="I548" s="20"/>
      <c r="J548" s="20"/>
      <c r="K548" s="21"/>
      <c r="L548" s="159"/>
      <c r="M548" s="160"/>
      <c r="N548" s="17"/>
      <c r="O548" s="17"/>
      <c r="P548" s="17"/>
      <c r="Q548" s="17"/>
      <c r="R548" s="162"/>
    </row>
    <row r="549" ht="15.75" customHeight="1">
      <c r="C549" s="17"/>
      <c r="D549" s="17"/>
      <c r="E549" s="158"/>
      <c r="F549" s="17"/>
      <c r="G549" s="20"/>
      <c r="H549" s="20"/>
      <c r="I549" s="20"/>
      <c r="J549" s="20"/>
      <c r="K549" s="21"/>
      <c r="L549" s="159"/>
      <c r="M549" s="160"/>
      <c r="N549" s="17"/>
      <c r="O549" s="17"/>
      <c r="P549" s="17"/>
      <c r="Q549" s="17"/>
      <c r="R549" s="162"/>
    </row>
    <row r="550" ht="15.75" customHeight="1">
      <c r="C550" s="17"/>
      <c r="D550" s="17"/>
      <c r="E550" s="158"/>
      <c r="F550" s="17"/>
      <c r="G550" s="20"/>
      <c r="H550" s="20"/>
      <c r="I550" s="20"/>
      <c r="J550" s="20"/>
      <c r="K550" s="21"/>
      <c r="L550" s="159"/>
      <c r="M550" s="160"/>
      <c r="N550" s="17"/>
      <c r="O550" s="17"/>
      <c r="P550" s="17"/>
      <c r="Q550" s="17"/>
      <c r="R550" s="162"/>
    </row>
    <row r="551" ht="15.75" customHeight="1">
      <c r="C551" s="17"/>
      <c r="D551" s="17"/>
      <c r="E551" s="158"/>
      <c r="F551" s="17"/>
      <c r="G551" s="20"/>
      <c r="H551" s="20"/>
      <c r="I551" s="20"/>
      <c r="J551" s="20"/>
      <c r="K551" s="21"/>
      <c r="L551" s="159"/>
      <c r="M551" s="160"/>
      <c r="N551" s="17"/>
      <c r="O551" s="17"/>
      <c r="P551" s="17"/>
      <c r="Q551" s="17"/>
      <c r="R551" s="162"/>
    </row>
    <row r="552" ht="15.75" customHeight="1">
      <c r="C552" s="17"/>
      <c r="D552" s="17"/>
      <c r="E552" s="158"/>
      <c r="F552" s="17"/>
      <c r="G552" s="20"/>
      <c r="H552" s="20"/>
      <c r="I552" s="20"/>
      <c r="J552" s="20"/>
      <c r="K552" s="21"/>
      <c r="L552" s="159"/>
      <c r="M552" s="160"/>
      <c r="N552" s="17"/>
      <c r="O552" s="17"/>
      <c r="P552" s="17"/>
      <c r="Q552" s="17"/>
      <c r="R552" s="162"/>
    </row>
    <row r="553" ht="15.75" customHeight="1">
      <c r="C553" s="17"/>
      <c r="D553" s="17"/>
      <c r="E553" s="158"/>
      <c r="F553" s="17"/>
      <c r="G553" s="20"/>
      <c r="H553" s="20"/>
      <c r="I553" s="20"/>
      <c r="J553" s="20"/>
      <c r="K553" s="21"/>
      <c r="L553" s="159"/>
      <c r="M553" s="160"/>
      <c r="N553" s="17"/>
      <c r="O553" s="17"/>
      <c r="P553" s="17"/>
      <c r="Q553" s="17"/>
      <c r="R553" s="162"/>
    </row>
    <row r="554" ht="15.75" customHeight="1">
      <c r="C554" s="17"/>
      <c r="D554" s="17"/>
      <c r="E554" s="158"/>
      <c r="F554" s="17"/>
      <c r="G554" s="20"/>
      <c r="H554" s="20"/>
      <c r="I554" s="20"/>
      <c r="J554" s="20"/>
      <c r="K554" s="21"/>
      <c r="L554" s="159"/>
      <c r="M554" s="160"/>
      <c r="N554" s="17"/>
      <c r="O554" s="17"/>
      <c r="P554" s="17"/>
      <c r="Q554" s="17"/>
      <c r="R554" s="162"/>
    </row>
    <row r="555" ht="15.75" customHeight="1">
      <c r="C555" s="17"/>
      <c r="D555" s="17"/>
      <c r="E555" s="158"/>
      <c r="F555" s="17"/>
      <c r="G555" s="20"/>
      <c r="H555" s="20"/>
      <c r="I555" s="20"/>
      <c r="J555" s="20"/>
      <c r="K555" s="21"/>
      <c r="L555" s="159"/>
      <c r="M555" s="160"/>
      <c r="N555" s="17"/>
      <c r="O555" s="17"/>
      <c r="P555" s="17"/>
      <c r="Q555" s="17"/>
      <c r="R555" s="162"/>
    </row>
    <row r="556" ht="15.75" customHeight="1">
      <c r="C556" s="17"/>
      <c r="D556" s="17"/>
      <c r="E556" s="158"/>
      <c r="F556" s="17"/>
      <c r="G556" s="20"/>
      <c r="H556" s="20"/>
      <c r="I556" s="20"/>
      <c r="J556" s="20"/>
      <c r="K556" s="21"/>
      <c r="L556" s="159"/>
      <c r="M556" s="160"/>
      <c r="N556" s="17"/>
      <c r="O556" s="17"/>
      <c r="P556" s="17"/>
      <c r="Q556" s="17"/>
      <c r="R556" s="162"/>
    </row>
    <row r="557" ht="15.75" customHeight="1">
      <c r="C557" s="17"/>
      <c r="D557" s="17"/>
      <c r="E557" s="158"/>
      <c r="F557" s="17"/>
      <c r="G557" s="20"/>
      <c r="H557" s="20"/>
      <c r="I557" s="20"/>
      <c r="J557" s="20"/>
      <c r="K557" s="21"/>
      <c r="L557" s="159"/>
      <c r="M557" s="160"/>
      <c r="N557" s="17"/>
      <c r="O557" s="17"/>
      <c r="P557" s="17"/>
      <c r="Q557" s="17"/>
      <c r="R557" s="162"/>
    </row>
    <row r="558" ht="15.75" customHeight="1">
      <c r="C558" s="17"/>
      <c r="D558" s="17"/>
      <c r="E558" s="158"/>
      <c r="F558" s="17"/>
      <c r="G558" s="20"/>
      <c r="H558" s="20"/>
      <c r="I558" s="20"/>
      <c r="J558" s="20"/>
      <c r="K558" s="21"/>
      <c r="L558" s="159"/>
      <c r="M558" s="160"/>
      <c r="N558" s="17"/>
      <c r="O558" s="17"/>
      <c r="P558" s="17"/>
      <c r="Q558" s="17"/>
      <c r="R558" s="162"/>
    </row>
    <row r="559" ht="15.75" customHeight="1">
      <c r="C559" s="17"/>
      <c r="D559" s="17"/>
      <c r="E559" s="158"/>
      <c r="F559" s="17"/>
      <c r="G559" s="20"/>
      <c r="H559" s="20"/>
      <c r="I559" s="20"/>
      <c r="J559" s="20"/>
      <c r="K559" s="21"/>
      <c r="L559" s="159"/>
      <c r="M559" s="160"/>
      <c r="N559" s="17"/>
      <c r="O559" s="17"/>
      <c r="P559" s="17"/>
      <c r="Q559" s="17"/>
      <c r="R559" s="162"/>
    </row>
    <row r="560" ht="15.75" customHeight="1">
      <c r="C560" s="17"/>
      <c r="D560" s="17"/>
      <c r="E560" s="158"/>
      <c r="F560" s="17"/>
      <c r="G560" s="20"/>
      <c r="H560" s="20"/>
      <c r="I560" s="20"/>
      <c r="J560" s="20"/>
      <c r="K560" s="21"/>
      <c r="L560" s="159"/>
      <c r="M560" s="160"/>
      <c r="N560" s="17"/>
      <c r="O560" s="17"/>
      <c r="P560" s="17"/>
      <c r="Q560" s="17"/>
      <c r="R560" s="162"/>
    </row>
    <row r="561" ht="15.75" customHeight="1">
      <c r="C561" s="17"/>
      <c r="D561" s="17"/>
      <c r="E561" s="158"/>
      <c r="F561" s="17"/>
      <c r="G561" s="20"/>
      <c r="H561" s="20"/>
      <c r="I561" s="20"/>
      <c r="J561" s="20"/>
      <c r="K561" s="21"/>
      <c r="L561" s="159"/>
      <c r="M561" s="160"/>
      <c r="N561" s="17"/>
      <c r="O561" s="17"/>
      <c r="P561" s="17"/>
      <c r="Q561" s="17"/>
      <c r="R561" s="162"/>
    </row>
    <row r="562" ht="15.75" customHeight="1">
      <c r="C562" s="17"/>
      <c r="D562" s="17"/>
      <c r="E562" s="158"/>
      <c r="F562" s="17"/>
      <c r="G562" s="20"/>
      <c r="H562" s="20"/>
      <c r="I562" s="20"/>
      <c r="J562" s="20"/>
      <c r="K562" s="21"/>
      <c r="L562" s="159"/>
      <c r="M562" s="160"/>
      <c r="N562" s="17"/>
      <c r="O562" s="17"/>
      <c r="P562" s="17"/>
      <c r="Q562" s="17"/>
      <c r="R562" s="162"/>
    </row>
    <row r="563" ht="15.75" customHeight="1">
      <c r="C563" s="17"/>
      <c r="D563" s="17"/>
      <c r="E563" s="158"/>
      <c r="F563" s="17"/>
      <c r="G563" s="20"/>
      <c r="H563" s="20"/>
      <c r="I563" s="20"/>
      <c r="J563" s="20"/>
      <c r="K563" s="21"/>
      <c r="L563" s="159"/>
      <c r="M563" s="160"/>
      <c r="N563" s="17"/>
      <c r="O563" s="17"/>
      <c r="P563" s="17"/>
      <c r="Q563" s="17"/>
      <c r="R563" s="162"/>
    </row>
    <row r="564" ht="15.75" customHeight="1">
      <c r="C564" s="17"/>
      <c r="D564" s="17"/>
      <c r="E564" s="158"/>
      <c r="F564" s="17"/>
      <c r="G564" s="20"/>
      <c r="H564" s="20"/>
      <c r="I564" s="20"/>
      <c r="J564" s="20"/>
      <c r="K564" s="21"/>
      <c r="L564" s="159"/>
      <c r="M564" s="160"/>
      <c r="N564" s="17"/>
      <c r="O564" s="17"/>
      <c r="P564" s="17"/>
      <c r="Q564" s="17"/>
      <c r="R564" s="162"/>
    </row>
    <row r="565" ht="15.75" customHeight="1">
      <c r="C565" s="17"/>
      <c r="D565" s="17"/>
      <c r="E565" s="158"/>
      <c r="F565" s="17"/>
      <c r="G565" s="20"/>
      <c r="H565" s="20"/>
      <c r="I565" s="20"/>
      <c r="J565" s="20"/>
      <c r="K565" s="21"/>
      <c r="L565" s="159"/>
      <c r="M565" s="160"/>
      <c r="N565" s="17"/>
      <c r="O565" s="17"/>
      <c r="P565" s="17"/>
      <c r="Q565" s="17"/>
      <c r="R565" s="162"/>
    </row>
    <row r="566" ht="15.75" customHeight="1">
      <c r="C566" s="17"/>
      <c r="D566" s="17"/>
      <c r="E566" s="158"/>
      <c r="F566" s="17"/>
      <c r="G566" s="20"/>
      <c r="H566" s="20"/>
      <c r="I566" s="20"/>
      <c r="J566" s="20"/>
      <c r="K566" s="21"/>
      <c r="L566" s="159"/>
      <c r="M566" s="160"/>
      <c r="N566" s="17"/>
      <c r="O566" s="17"/>
      <c r="P566" s="17"/>
      <c r="Q566" s="17"/>
      <c r="R566" s="162"/>
    </row>
    <row r="567" ht="15.75" customHeight="1">
      <c r="C567" s="17"/>
      <c r="D567" s="17"/>
      <c r="E567" s="158"/>
      <c r="F567" s="17"/>
      <c r="G567" s="20"/>
      <c r="H567" s="20"/>
      <c r="I567" s="20"/>
      <c r="J567" s="20"/>
      <c r="K567" s="21"/>
      <c r="L567" s="159"/>
      <c r="M567" s="160"/>
      <c r="N567" s="17"/>
      <c r="O567" s="17"/>
      <c r="P567" s="17"/>
      <c r="Q567" s="17"/>
      <c r="R567" s="162"/>
    </row>
    <row r="568" ht="15.75" customHeight="1">
      <c r="C568" s="17"/>
      <c r="D568" s="17"/>
      <c r="E568" s="158"/>
      <c r="F568" s="17"/>
      <c r="G568" s="20"/>
      <c r="H568" s="20"/>
      <c r="I568" s="20"/>
      <c r="J568" s="20"/>
      <c r="K568" s="21"/>
      <c r="L568" s="159"/>
      <c r="M568" s="160"/>
      <c r="N568" s="17"/>
      <c r="O568" s="17"/>
      <c r="P568" s="17"/>
      <c r="Q568" s="17"/>
      <c r="R568" s="162"/>
    </row>
    <row r="569" ht="15.75" customHeight="1">
      <c r="C569" s="17"/>
      <c r="D569" s="17"/>
      <c r="E569" s="158"/>
      <c r="F569" s="17"/>
      <c r="G569" s="20"/>
      <c r="H569" s="20"/>
      <c r="I569" s="20"/>
      <c r="J569" s="20"/>
      <c r="K569" s="21"/>
      <c r="L569" s="159"/>
      <c r="M569" s="160"/>
      <c r="N569" s="17"/>
      <c r="O569" s="17"/>
      <c r="P569" s="17"/>
      <c r="Q569" s="17"/>
      <c r="R569" s="162"/>
    </row>
    <row r="570" ht="15.75" customHeight="1">
      <c r="C570" s="17"/>
      <c r="D570" s="17"/>
      <c r="E570" s="158"/>
      <c r="F570" s="17"/>
      <c r="G570" s="20"/>
      <c r="H570" s="20"/>
      <c r="I570" s="20"/>
      <c r="J570" s="20"/>
      <c r="K570" s="21"/>
      <c r="L570" s="159"/>
      <c r="M570" s="160"/>
      <c r="N570" s="17"/>
      <c r="O570" s="17"/>
      <c r="P570" s="17"/>
      <c r="Q570" s="17"/>
      <c r="R570" s="162"/>
    </row>
    <row r="571" ht="15.75" customHeight="1">
      <c r="C571" s="17"/>
      <c r="D571" s="17"/>
      <c r="E571" s="158"/>
      <c r="F571" s="17"/>
      <c r="G571" s="20"/>
      <c r="H571" s="20"/>
      <c r="I571" s="20"/>
      <c r="J571" s="20"/>
      <c r="K571" s="21"/>
      <c r="L571" s="159"/>
      <c r="M571" s="160"/>
      <c r="N571" s="17"/>
      <c r="O571" s="17"/>
      <c r="P571" s="17"/>
      <c r="Q571" s="17"/>
      <c r="R571" s="162"/>
    </row>
    <row r="572" ht="15.75" customHeight="1">
      <c r="C572" s="17"/>
      <c r="D572" s="17"/>
      <c r="E572" s="158"/>
      <c r="F572" s="17"/>
      <c r="G572" s="20"/>
      <c r="H572" s="20"/>
      <c r="I572" s="20"/>
      <c r="J572" s="20"/>
      <c r="K572" s="21"/>
      <c r="L572" s="159"/>
      <c r="M572" s="160"/>
      <c r="N572" s="17"/>
      <c r="O572" s="17"/>
      <c r="P572" s="17"/>
      <c r="Q572" s="17"/>
      <c r="R572" s="162"/>
    </row>
    <row r="573" ht="15.75" customHeight="1">
      <c r="C573" s="17"/>
      <c r="D573" s="17"/>
      <c r="E573" s="158"/>
      <c r="F573" s="17"/>
      <c r="G573" s="20"/>
      <c r="H573" s="20"/>
      <c r="I573" s="20"/>
      <c r="J573" s="20"/>
      <c r="K573" s="21"/>
      <c r="L573" s="159"/>
      <c r="M573" s="160"/>
      <c r="N573" s="17"/>
      <c r="O573" s="17"/>
      <c r="P573" s="17"/>
      <c r="Q573" s="17"/>
      <c r="R573" s="162"/>
    </row>
    <row r="574" ht="15.75" customHeight="1">
      <c r="C574" s="17"/>
      <c r="D574" s="17"/>
      <c r="E574" s="158"/>
      <c r="F574" s="17"/>
      <c r="G574" s="20"/>
      <c r="H574" s="20"/>
      <c r="I574" s="20"/>
      <c r="J574" s="20"/>
      <c r="K574" s="21"/>
      <c r="L574" s="159"/>
      <c r="M574" s="160"/>
      <c r="N574" s="17"/>
      <c r="O574" s="17"/>
      <c r="P574" s="17"/>
      <c r="Q574" s="17"/>
      <c r="R574" s="162"/>
    </row>
    <row r="575" ht="15.75" customHeight="1">
      <c r="C575" s="17"/>
      <c r="D575" s="17"/>
      <c r="E575" s="158"/>
      <c r="F575" s="17"/>
      <c r="G575" s="20"/>
      <c r="H575" s="20"/>
      <c r="I575" s="20"/>
      <c r="J575" s="20"/>
      <c r="K575" s="21"/>
      <c r="L575" s="159"/>
      <c r="M575" s="160"/>
      <c r="N575" s="17"/>
      <c r="O575" s="17"/>
      <c r="P575" s="17"/>
      <c r="Q575" s="17"/>
      <c r="R575" s="162"/>
    </row>
    <row r="576" ht="15.75" customHeight="1">
      <c r="C576" s="17"/>
      <c r="D576" s="17"/>
      <c r="E576" s="158"/>
      <c r="F576" s="17"/>
      <c r="G576" s="20"/>
      <c r="H576" s="20"/>
      <c r="I576" s="20"/>
      <c r="J576" s="20"/>
      <c r="K576" s="21"/>
      <c r="L576" s="159"/>
      <c r="M576" s="160"/>
      <c r="N576" s="17"/>
      <c r="O576" s="17"/>
      <c r="P576" s="17"/>
      <c r="Q576" s="17"/>
      <c r="R576" s="162"/>
    </row>
    <row r="577" ht="15.75" customHeight="1">
      <c r="C577" s="17"/>
      <c r="D577" s="17"/>
      <c r="E577" s="158"/>
      <c r="F577" s="17"/>
      <c r="G577" s="20"/>
      <c r="H577" s="20"/>
      <c r="I577" s="20"/>
      <c r="J577" s="20"/>
      <c r="K577" s="21"/>
      <c r="L577" s="159"/>
      <c r="M577" s="160"/>
      <c r="N577" s="17"/>
      <c r="O577" s="17"/>
      <c r="P577" s="17"/>
      <c r="Q577" s="17"/>
      <c r="R577" s="162"/>
    </row>
    <row r="578" ht="15.75" customHeight="1">
      <c r="C578" s="17"/>
      <c r="D578" s="17"/>
      <c r="E578" s="158"/>
      <c r="F578" s="17"/>
      <c r="G578" s="20"/>
      <c r="H578" s="20"/>
      <c r="I578" s="20"/>
      <c r="J578" s="20"/>
      <c r="K578" s="21"/>
      <c r="L578" s="159"/>
      <c r="M578" s="160"/>
      <c r="N578" s="17"/>
      <c r="O578" s="17"/>
      <c r="P578" s="17"/>
      <c r="Q578" s="17"/>
      <c r="R578" s="162"/>
    </row>
    <row r="579" ht="15.75" customHeight="1">
      <c r="C579" s="17"/>
      <c r="D579" s="17"/>
      <c r="E579" s="158"/>
      <c r="F579" s="17"/>
      <c r="G579" s="20"/>
      <c r="H579" s="20"/>
      <c r="I579" s="20"/>
      <c r="J579" s="20"/>
      <c r="K579" s="21"/>
      <c r="L579" s="159"/>
      <c r="M579" s="160"/>
      <c r="N579" s="17"/>
      <c r="O579" s="17"/>
      <c r="P579" s="17"/>
      <c r="Q579" s="17"/>
      <c r="R579" s="162"/>
    </row>
    <row r="580" ht="15.75" customHeight="1">
      <c r="C580" s="17"/>
      <c r="D580" s="17"/>
      <c r="E580" s="158"/>
      <c r="F580" s="17"/>
      <c r="G580" s="20"/>
      <c r="H580" s="20"/>
      <c r="I580" s="20"/>
      <c r="J580" s="20"/>
      <c r="K580" s="21"/>
      <c r="L580" s="159"/>
      <c r="M580" s="160"/>
      <c r="N580" s="17"/>
      <c r="O580" s="17"/>
      <c r="P580" s="17"/>
      <c r="Q580" s="17"/>
      <c r="R580" s="162"/>
    </row>
    <row r="581" ht="15.75" customHeight="1">
      <c r="C581" s="17"/>
      <c r="D581" s="17"/>
      <c r="E581" s="158"/>
      <c r="F581" s="17"/>
      <c r="G581" s="20"/>
      <c r="H581" s="20"/>
      <c r="I581" s="20"/>
      <c r="J581" s="20"/>
      <c r="K581" s="21"/>
      <c r="L581" s="159"/>
      <c r="M581" s="160"/>
      <c r="N581" s="17"/>
      <c r="O581" s="17"/>
      <c r="P581" s="17"/>
      <c r="Q581" s="17"/>
      <c r="R581" s="162"/>
    </row>
    <row r="582" ht="15.75" customHeight="1">
      <c r="C582" s="17"/>
      <c r="D582" s="17"/>
      <c r="E582" s="158"/>
      <c r="F582" s="17"/>
      <c r="G582" s="20"/>
      <c r="H582" s="20"/>
      <c r="I582" s="20"/>
      <c r="J582" s="20"/>
      <c r="K582" s="21"/>
      <c r="L582" s="159"/>
      <c r="M582" s="160"/>
      <c r="N582" s="17"/>
      <c r="O582" s="17"/>
      <c r="P582" s="17"/>
      <c r="Q582" s="17"/>
      <c r="R582" s="162"/>
    </row>
    <row r="583" ht="15.75" customHeight="1">
      <c r="C583" s="17"/>
      <c r="D583" s="17"/>
      <c r="E583" s="158"/>
      <c r="F583" s="17"/>
      <c r="G583" s="20"/>
      <c r="H583" s="20"/>
      <c r="I583" s="20"/>
      <c r="J583" s="20"/>
      <c r="K583" s="21"/>
      <c r="L583" s="159"/>
      <c r="M583" s="160"/>
      <c r="N583" s="17"/>
      <c r="O583" s="17"/>
      <c r="P583" s="17"/>
      <c r="Q583" s="17"/>
      <c r="R583" s="162"/>
    </row>
    <row r="584" ht="15.75" customHeight="1">
      <c r="C584" s="17"/>
      <c r="D584" s="17"/>
      <c r="E584" s="158"/>
      <c r="F584" s="17"/>
      <c r="G584" s="20"/>
      <c r="H584" s="20"/>
      <c r="I584" s="20"/>
      <c r="J584" s="20"/>
      <c r="K584" s="21"/>
      <c r="L584" s="159"/>
      <c r="M584" s="160"/>
      <c r="N584" s="17"/>
      <c r="O584" s="17"/>
      <c r="P584" s="17"/>
      <c r="Q584" s="17"/>
      <c r="R584" s="162"/>
    </row>
    <row r="585" ht="15.75" customHeight="1">
      <c r="C585" s="17"/>
      <c r="D585" s="17"/>
      <c r="E585" s="158"/>
      <c r="F585" s="17"/>
      <c r="G585" s="20"/>
      <c r="H585" s="20"/>
      <c r="I585" s="20"/>
      <c r="J585" s="20"/>
      <c r="K585" s="21"/>
      <c r="L585" s="159"/>
      <c r="M585" s="160"/>
      <c r="N585" s="17"/>
      <c r="O585" s="17"/>
      <c r="P585" s="17"/>
      <c r="Q585" s="17"/>
      <c r="R585" s="162"/>
    </row>
    <row r="586" ht="15.75" customHeight="1">
      <c r="C586" s="17"/>
      <c r="D586" s="17"/>
      <c r="E586" s="158"/>
      <c r="F586" s="17"/>
      <c r="G586" s="20"/>
      <c r="H586" s="20"/>
      <c r="I586" s="20"/>
      <c r="J586" s="20"/>
      <c r="K586" s="21"/>
      <c r="L586" s="159"/>
      <c r="M586" s="160"/>
      <c r="N586" s="17"/>
      <c r="O586" s="17"/>
      <c r="P586" s="17"/>
      <c r="Q586" s="17"/>
      <c r="R586" s="162"/>
    </row>
    <row r="587" ht="15.75" customHeight="1">
      <c r="C587" s="17"/>
      <c r="D587" s="17"/>
      <c r="E587" s="158"/>
      <c r="F587" s="17"/>
      <c r="G587" s="20"/>
      <c r="H587" s="20"/>
      <c r="I587" s="20"/>
      <c r="J587" s="20"/>
      <c r="K587" s="21"/>
      <c r="L587" s="159"/>
      <c r="M587" s="160"/>
      <c r="N587" s="17"/>
      <c r="O587" s="17"/>
      <c r="P587" s="17"/>
      <c r="Q587" s="17"/>
      <c r="R587" s="162"/>
    </row>
    <row r="588" ht="15.75" customHeight="1">
      <c r="C588" s="17"/>
      <c r="D588" s="17"/>
      <c r="E588" s="158"/>
      <c r="F588" s="17"/>
      <c r="G588" s="20"/>
      <c r="H588" s="20"/>
      <c r="I588" s="20"/>
      <c r="J588" s="20"/>
      <c r="K588" s="21"/>
      <c r="L588" s="159"/>
      <c r="M588" s="160"/>
      <c r="N588" s="17"/>
      <c r="O588" s="17"/>
      <c r="P588" s="17"/>
      <c r="Q588" s="17"/>
      <c r="R588" s="162"/>
    </row>
    <row r="589" ht="15.75" customHeight="1">
      <c r="C589" s="17"/>
      <c r="D589" s="17"/>
      <c r="E589" s="158"/>
      <c r="F589" s="17"/>
      <c r="G589" s="20"/>
      <c r="H589" s="20"/>
      <c r="I589" s="20"/>
      <c r="J589" s="20"/>
      <c r="K589" s="21"/>
      <c r="L589" s="159"/>
      <c r="M589" s="160"/>
      <c r="N589" s="17"/>
      <c r="O589" s="17"/>
      <c r="P589" s="17"/>
      <c r="Q589" s="17"/>
      <c r="R589" s="162"/>
    </row>
    <row r="590" ht="15.75" customHeight="1">
      <c r="C590" s="17"/>
      <c r="D590" s="17"/>
      <c r="E590" s="158"/>
      <c r="F590" s="17"/>
      <c r="G590" s="20"/>
      <c r="H590" s="20"/>
      <c r="I590" s="20"/>
      <c r="J590" s="20"/>
      <c r="K590" s="21"/>
      <c r="L590" s="159"/>
      <c r="M590" s="160"/>
      <c r="N590" s="17"/>
      <c r="O590" s="17"/>
      <c r="P590" s="17"/>
      <c r="Q590" s="17"/>
      <c r="R590" s="162"/>
    </row>
    <row r="591" ht="15.75" customHeight="1">
      <c r="C591" s="17"/>
      <c r="D591" s="17"/>
      <c r="E591" s="158"/>
      <c r="F591" s="17"/>
      <c r="G591" s="20"/>
      <c r="H591" s="20"/>
      <c r="I591" s="20"/>
      <c r="J591" s="20"/>
      <c r="K591" s="21"/>
      <c r="L591" s="159"/>
      <c r="M591" s="160"/>
      <c r="N591" s="17"/>
      <c r="O591" s="17"/>
      <c r="P591" s="17"/>
      <c r="Q591" s="17"/>
      <c r="R591" s="162"/>
    </row>
    <row r="592" ht="15.75" customHeight="1">
      <c r="C592" s="17"/>
      <c r="D592" s="17"/>
      <c r="E592" s="158"/>
      <c r="F592" s="17"/>
      <c r="G592" s="20"/>
      <c r="H592" s="20"/>
      <c r="I592" s="20"/>
      <c r="J592" s="20"/>
      <c r="K592" s="21"/>
      <c r="L592" s="159"/>
      <c r="M592" s="160"/>
      <c r="N592" s="17"/>
      <c r="O592" s="17"/>
      <c r="P592" s="17"/>
      <c r="Q592" s="17"/>
      <c r="R592" s="162"/>
    </row>
    <row r="593" ht="15.75" customHeight="1">
      <c r="C593" s="17"/>
      <c r="D593" s="17"/>
      <c r="E593" s="158"/>
      <c r="F593" s="17"/>
      <c r="G593" s="20"/>
      <c r="H593" s="20"/>
      <c r="I593" s="20"/>
      <c r="J593" s="20"/>
      <c r="K593" s="21"/>
      <c r="L593" s="159"/>
      <c r="M593" s="160"/>
      <c r="N593" s="17"/>
      <c r="O593" s="17"/>
      <c r="P593" s="17"/>
      <c r="Q593" s="17"/>
      <c r="R593" s="162"/>
    </row>
    <row r="594" ht="15.75" customHeight="1">
      <c r="C594" s="17"/>
      <c r="D594" s="17"/>
      <c r="E594" s="158"/>
      <c r="F594" s="17"/>
      <c r="G594" s="20"/>
      <c r="H594" s="20"/>
      <c r="I594" s="20"/>
      <c r="J594" s="20"/>
      <c r="K594" s="21"/>
      <c r="L594" s="159"/>
      <c r="M594" s="160"/>
      <c r="N594" s="17"/>
      <c r="O594" s="17"/>
      <c r="P594" s="17"/>
      <c r="Q594" s="17"/>
      <c r="R594" s="162"/>
    </row>
    <row r="595" ht="15.75" customHeight="1">
      <c r="C595" s="17"/>
      <c r="D595" s="17"/>
      <c r="E595" s="158"/>
      <c r="F595" s="17"/>
      <c r="G595" s="20"/>
      <c r="H595" s="20"/>
      <c r="I595" s="20"/>
      <c r="J595" s="20"/>
      <c r="K595" s="21"/>
      <c r="L595" s="159"/>
      <c r="M595" s="160"/>
      <c r="N595" s="17"/>
      <c r="O595" s="17"/>
      <c r="P595" s="17"/>
      <c r="Q595" s="17"/>
      <c r="R595" s="162"/>
    </row>
    <row r="596" ht="15.75" customHeight="1">
      <c r="C596" s="17"/>
      <c r="D596" s="17"/>
      <c r="E596" s="158"/>
      <c r="F596" s="17"/>
      <c r="G596" s="20"/>
      <c r="H596" s="20"/>
      <c r="I596" s="20"/>
      <c r="J596" s="20"/>
      <c r="K596" s="21"/>
      <c r="L596" s="159"/>
      <c r="M596" s="160"/>
      <c r="N596" s="17"/>
      <c r="O596" s="17"/>
      <c r="P596" s="17"/>
      <c r="Q596" s="17"/>
      <c r="R596" s="162"/>
    </row>
    <row r="597" ht="15.75" customHeight="1">
      <c r="C597" s="17"/>
      <c r="D597" s="17"/>
      <c r="E597" s="158"/>
      <c r="F597" s="17"/>
      <c r="G597" s="20"/>
      <c r="H597" s="20"/>
      <c r="I597" s="20"/>
      <c r="J597" s="20"/>
      <c r="K597" s="21"/>
      <c r="L597" s="159"/>
      <c r="M597" s="160"/>
      <c r="N597" s="17"/>
      <c r="O597" s="17"/>
      <c r="P597" s="17"/>
      <c r="Q597" s="17"/>
      <c r="R597" s="162"/>
    </row>
    <row r="598" ht="15.75" customHeight="1">
      <c r="C598" s="17"/>
      <c r="D598" s="17"/>
      <c r="E598" s="158"/>
      <c r="F598" s="17"/>
      <c r="G598" s="20"/>
      <c r="H598" s="20"/>
      <c r="I598" s="20"/>
      <c r="J598" s="20"/>
      <c r="K598" s="21"/>
      <c r="L598" s="159"/>
      <c r="M598" s="160"/>
      <c r="N598" s="17"/>
      <c r="O598" s="17"/>
      <c r="P598" s="17"/>
      <c r="Q598" s="17"/>
      <c r="R598" s="162"/>
    </row>
    <row r="599" ht="15.75" customHeight="1">
      <c r="C599" s="17"/>
      <c r="D599" s="17"/>
      <c r="E599" s="158"/>
      <c r="F599" s="17"/>
      <c r="G599" s="20"/>
      <c r="H599" s="20"/>
      <c r="I599" s="20"/>
      <c r="J599" s="20"/>
      <c r="K599" s="21"/>
      <c r="L599" s="159"/>
      <c r="M599" s="160"/>
      <c r="N599" s="17"/>
      <c r="O599" s="17"/>
      <c r="P599" s="17"/>
      <c r="Q599" s="17"/>
      <c r="R599" s="162"/>
    </row>
    <row r="600" ht="15.75" customHeight="1">
      <c r="C600" s="17"/>
      <c r="D600" s="17"/>
      <c r="E600" s="158"/>
      <c r="F600" s="17"/>
      <c r="G600" s="20"/>
      <c r="H600" s="20"/>
      <c r="I600" s="20"/>
      <c r="J600" s="20"/>
      <c r="K600" s="21"/>
      <c r="L600" s="159"/>
      <c r="M600" s="160"/>
      <c r="N600" s="17"/>
      <c r="O600" s="17"/>
      <c r="P600" s="17"/>
      <c r="Q600" s="17"/>
      <c r="R600" s="162"/>
    </row>
    <row r="601" ht="15.75" customHeight="1">
      <c r="C601" s="17"/>
      <c r="D601" s="17"/>
      <c r="E601" s="158"/>
      <c r="F601" s="17"/>
      <c r="G601" s="20"/>
      <c r="H601" s="20"/>
      <c r="I601" s="20"/>
      <c r="J601" s="20"/>
      <c r="K601" s="21"/>
      <c r="L601" s="159"/>
      <c r="M601" s="160"/>
      <c r="N601" s="17"/>
      <c r="O601" s="17"/>
      <c r="P601" s="17"/>
      <c r="Q601" s="17"/>
      <c r="R601" s="162"/>
    </row>
    <row r="602" ht="15.75" customHeight="1">
      <c r="C602" s="17"/>
      <c r="D602" s="17"/>
      <c r="E602" s="158"/>
      <c r="F602" s="17"/>
      <c r="G602" s="20"/>
      <c r="H602" s="20"/>
      <c r="I602" s="20"/>
      <c r="J602" s="20"/>
      <c r="K602" s="21"/>
      <c r="L602" s="159"/>
      <c r="M602" s="160"/>
      <c r="N602" s="17"/>
      <c r="O602" s="17"/>
      <c r="P602" s="17"/>
      <c r="Q602" s="17"/>
      <c r="R602" s="162"/>
    </row>
    <row r="603" ht="15.75" customHeight="1">
      <c r="C603" s="17"/>
      <c r="D603" s="17"/>
      <c r="E603" s="158"/>
      <c r="F603" s="17"/>
      <c r="G603" s="20"/>
      <c r="H603" s="20"/>
      <c r="I603" s="20"/>
      <c r="J603" s="20"/>
      <c r="K603" s="21"/>
      <c r="L603" s="159"/>
      <c r="M603" s="160"/>
      <c r="N603" s="17"/>
      <c r="O603" s="17"/>
      <c r="P603" s="17"/>
      <c r="Q603" s="17"/>
      <c r="R603" s="162"/>
    </row>
    <row r="604" ht="15.75" customHeight="1">
      <c r="C604" s="17"/>
      <c r="D604" s="17"/>
      <c r="E604" s="158"/>
      <c r="F604" s="17"/>
      <c r="G604" s="20"/>
      <c r="H604" s="20"/>
      <c r="I604" s="20"/>
      <c r="J604" s="20"/>
      <c r="K604" s="21"/>
      <c r="L604" s="159"/>
      <c r="M604" s="160"/>
      <c r="N604" s="17"/>
      <c r="O604" s="17"/>
      <c r="P604" s="17"/>
      <c r="Q604" s="17"/>
      <c r="R604" s="162"/>
    </row>
    <row r="605" ht="15.75" customHeight="1">
      <c r="C605" s="17"/>
      <c r="D605" s="17"/>
      <c r="E605" s="158"/>
      <c r="F605" s="17"/>
      <c r="G605" s="20"/>
      <c r="H605" s="20"/>
      <c r="I605" s="20"/>
      <c r="J605" s="20"/>
      <c r="K605" s="21"/>
      <c r="L605" s="159"/>
      <c r="M605" s="160"/>
      <c r="N605" s="17"/>
      <c r="O605" s="17"/>
      <c r="P605" s="17"/>
      <c r="Q605" s="17"/>
      <c r="R605" s="162"/>
    </row>
    <row r="606" ht="15.75" customHeight="1">
      <c r="C606" s="17"/>
      <c r="D606" s="17"/>
      <c r="E606" s="158"/>
      <c r="F606" s="17"/>
      <c r="G606" s="20"/>
      <c r="H606" s="20"/>
      <c r="I606" s="20"/>
      <c r="J606" s="20"/>
      <c r="K606" s="21"/>
      <c r="L606" s="159"/>
      <c r="M606" s="160"/>
      <c r="N606" s="17"/>
      <c r="O606" s="17"/>
      <c r="P606" s="17"/>
      <c r="Q606" s="17"/>
      <c r="R606" s="162"/>
    </row>
    <row r="607" ht="15.75" customHeight="1">
      <c r="C607" s="17"/>
      <c r="D607" s="17"/>
      <c r="E607" s="158"/>
      <c r="F607" s="17"/>
      <c r="G607" s="20"/>
      <c r="H607" s="20"/>
      <c r="I607" s="20"/>
      <c r="J607" s="20"/>
      <c r="K607" s="21"/>
      <c r="L607" s="159"/>
      <c r="M607" s="160"/>
      <c r="N607" s="17"/>
      <c r="O607" s="17"/>
      <c r="P607" s="17"/>
      <c r="Q607" s="17"/>
      <c r="R607" s="162"/>
    </row>
    <row r="608" ht="15.75" customHeight="1">
      <c r="C608" s="17"/>
      <c r="D608" s="17"/>
      <c r="E608" s="158"/>
      <c r="F608" s="17"/>
      <c r="G608" s="20"/>
      <c r="H608" s="20"/>
      <c r="I608" s="20"/>
      <c r="J608" s="20"/>
      <c r="K608" s="21"/>
      <c r="L608" s="159"/>
      <c r="M608" s="160"/>
      <c r="N608" s="17"/>
      <c r="O608" s="17"/>
      <c r="P608" s="17"/>
      <c r="Q608" s="17"/>
      <c r="R608" s="162"/>
    </row>
    <row r="609" ht="15.75" customHeight="1">
      <c r="C609" s="17"/>
      <c r="D609" s="17"/>
      <c r="E609" s="158"/>
      <c r="F609" s="17"/>
      <c r="G609" s="20"/>
      <c r="H609" s="20"/>
      <c r="I609" s="20"/>
      <c r="J609" s="20"/>
      <c r="K609" s="21"/>
      <c r="L609" s="159"/>
      <c r="M609" s="160"/>
      <c r="N609" s="17"/>
      <c r="O609" s="17"/>
      <c r="P609" s="17"/>
      <c r="Q609" s="17"/>
      <c r="R609" s="162"/>
    </row>
    <row r="610" ht="15.75" customHeight="1">
      <c r="C610" s="17"/>
      <c r="D610" s="17"/>
      <c r="E610" s="158"/>
      <c r="F610" s="17"/>
      <c r="G610" s="20"/>
      <c r="H610" s="20"/>
      <c r="I610" s="20"/>
      <c r="J610" s="20"/>
      <c r="K610" s="21"/>
      <c r="L610" s="159"/>
      <c r="M610" s="160"/>
      <c r="N610" s="17"/>
      <c r="O610" s="17"/>
      <c r="P610" s="17"/>
      <c r="Q610" s="17"/>
      <c r="R610" s="162"/>
    </row>
    <row r="611" ht="15.75" customHeight="1">
      <c r="C611" s="17"/>
      <c r="D611" s="17"/>
      <c r="E611" s="158"/>
      <c r="F611" s="17"/>
      <c r="G611" s="20"/>
      <c r="H611" s="20"/>
      <c r="I611" s="20"/>
      <c r="J611" s="20"/>
      <c r="K611" s="21"/>
      <c r="L611" s="159"/>
      <c r="M611" s="160"/>
      <c r="N611" s="17"/>
      <c r="O611" s="17"/>
      <c r="P611" s="17"/>
      <c r="Q611" s="17"/>
      <c r="R611" s="162"/>
    </row>
    <row r="612" ht="15.75" customHeight="1">
      <c r="C612" s="17"/>
      <c r="D612" s="17"/>
      <c r="E612" s="158"/>
      <c r="F612" s="17"/>
      <c r="G612" s="20"/>
      <c r="H612" s="20"/>
      <c r="I612" s="20"/>
      <c r="J612" s="20"/>
      <c r="K612" s="21"/>
      <c r="L612" s="159"/>
      <c r="M612" s="160"/>
      <c r="N612" s="17"/>
      <c r="O612" s="17"/>
      <c r="P612" s="17"/>
      <c r="Q612" s="17"/>
      <c r="R612" s="162"/>
    </row>
    <row r="613" ht="15.75" customHeight="1">
      <c r="C613" s="17"/>
      <c r="D613" s="17"/>
      <c r="E613" s="158"/>
      <c r="F613" s="17"/>
      <c r="G613" s="20"/>
      <c r="H613" s="20"/>
      <c r="I613" s="20"/>
      <c r="J613" s="20"/>
      <c r="K613" s="21"/>
      <c r="L613" s="159"/>
      <c r="M613" s="160"/>
      <c r="N613" s="17"/>
      <c r="O613" s="17"/>
      <c r="P613" s="17"/>
      <c r="Q613" s="17"/>
      <c r="R613" s="162"/>
    </row>
    <row r="614" ht="15.75" customHeight="1">
      <c r="C614" s="17"/>
      <c r="D614" s="17"/>
      <c r="E614" s="158"/>
      <c r="F614" s="17"/>
      <c r="G614" s="20"/>
      <c r="H614" s="20"/>
      <c r="I614" s="20"/>
      <c r="J614" s="20"/>
      <c r="K614" s="21"/>
      <c r="L614" s="159"/>
      <c r="M614" s="160"/>
      <c r="N614" s="17"/>
      <c r="O614" s="17"/>
      <c r="P614" s="17"/>
      <c r="Q614" s="17"/>
      <c r="R614" s="162"/>
    </row>
    <row r="615" ht="15.75" customHeight="1">
      <c r="C615" s="17"/>
      <c r="D615" s="17"/>
      <c r="E615" s="158"/>
      <c r="F615" s="17"/>
      <c r="G615" s="20"/>
      <c r="H615" s="20"/>
      <c r="I615" s="20"/>
      <c r="J615" s="20"/>
      <c r="K615" s="21"/>
      <c r="L615" s="159"/>
      <c r="M615" s="160"/>
      <c r="N615" s="17"/>
      <c r="O615" s="17"/>
      <c r="P615" s="17"/>
      <c r="Q615" s="17"/>
      <c r="R615" s="162"/>
    </row>
    <row r="616" ht="15.75" customHeight="1">
      <c r="C616" s="17"/>
      <c r="D616" s="17"/>
      <c r="E616" s="158"/>
      <c r="F616" s="17"/>
      <c r="G616" s="20"/>
      <c r="H616" s="20"/>
      <c r="I616" s="20"/>
      <c r="J616" s="20"/>
      <c r="K616" s="21"/>
      <c r="L616" s="159"/>
      <c r="M616" s="160"/>
      <c r="N616" s="17"/>
      <c r="O616" s="17"/>
      <c r="P616" s="17"/>
      <c r="Q616" s="17"/>
      <c r="R616" s="162"/>
    </row>
    <row r="617" ht="15.75" customHeight="1">
      <c r="C617" s="17"/>
      <c r="D617" s="17"/>
      <c r="E617" s="158"/>
      <c r="F617" s="17"/>
      <c r="G617" s="20"/>
      <c r="H617" s="20"/>
      <c r="I617" s="20"/>
      <c r="J617" s="20"/>
      <c r="K617" s="21"/>
      <c r="L617" s="159"/>
      <c r="M617" s="160"/>
      <c r="N617" s="17"/>
      <c r="O617" s="17"/>
      <c r="P617" s="17"/>
      <c r="Q617" s="17"/>
      <c r="R617" s="162"/>
    </row>
    <row r="618" ht="15.75" customHeight="1">
      <c r="C618" s="17"/>
      <c r="D618" s="17"/>
      <c r="E618" s="158"/>
      <c r="F618" s="17"/>
      <c r="G618" s="20"/>
      <c r="H618" s="20"/>
      <c r="I618" s="20"/>
      <c r="J618" s="20"/>
      <c r="K618" s="21"/>
      <c r="L618" s="159"/>
      <c r="M618" s="160"/>
      <c r="N618" s="17"/>
      <c r="O618" s="17"/>
      <c r="P618" s="17"/>
      <c r="Q618" s="17"/>
      <c r="R618" s="162"/>
    </row>
    <row r="619" ht="15.75" customHeight="1">
      <c r="C619" s="17"/>
      <c r="D619" s="17"/>
      <c r="E619" s="158"/>
      <c r="F619" s="17"/>
      <c r="G619" s="20"/>
      <c r="H619" s="20"/>
      <c r="I619" s="20"/>
      <c r="J619" s="20"/>
      <c r="K619" s="21"/>
      <c r="L619" s="159"/>
      <c r="M619" s="160"/>
      <c r="N619" s="17"/>
      <c r="O619" s="17"/>
      <c r="P619" s="17"/>
      <c r="Q619" s="17"/>
      <c r="R619" s="162"/>
    </row>
    <row r="620" ht="15.75" customHeight="1">
      <c r="C620" s="17"/>
      <c r="D620" s="17"/>
      <c r="E620" s="158"/>
      <c r="F620" s="17"/>
      <c r="G620" s="20"/>
      <c r="H620" s="20"/>
      <c r="I620" s="20"/>
      <c r="J620" s="20"/>
      <c r="K620" s="21"/>
      <c r="L620" s="159"/>
      <c r="M620" s="160"/>
      <c r="N620" s="17"/>
      <c r="O620" s="17"/>
      <c r="P620" s="17"/>
      <c r="Q620" s="17"/>
      <c r="R620" s="162"/>
    </row>
    <row r="621" ht="15.75" customHeight="1">
      <c r="C621" s="17"/>
      <c r="D621" s="17"/>
      <c r="E621" s="158"/>
      <c r="F621" s="17"/>
      <c r="G621" s="20"/>
      <c r="H621" s="20"/>
      <c r="I621" s="20"/>
      <c r="J621" s="20"/>
      <c r="K621" s="21"/>
      <c r="L621" s="159"/>
      <c r="M621" s="160"/>
      <c r="N621" s="17"/>
      <c r="O621" s="17"/>
      <c r="P621" s="17"/>
      <c r="Q621" s="17"/>
      <c r="R621" s="162"/>
    </row>
    <row r="622" ht="15.75" customHeight="1">
      <c r="C622" s="17"/>
      <c r="D622" s="17"/>
      <c r="E622" s="158"/>
      <c r="F622" s="17"/>
      <c r="G622" s="20"/>
      <c r="H622" s="20"/>
      <c r="I622" s="20"/>
      <c r="J622" s="20"/>
      <c r="K622" s="21"/>
      <c r="L622" s="159"/>
      <c r="M622" s="160"/>
      <c r="N622" s="17"/>
      <c r="O622" s="17"/>
      <c r="P622" s="17"/>
      <c r="Q622" s="17"/>
      <c r="R622" s="162"/>
    </row>
    <row r="623" ht="15.75" customHeight="1">
      <c r="C623" s="17"/>
      <c r="D623" s="17"/>
      <c r="E623" s="158"/>
      <c r="F623" s="17"/>
      <c r="G623" s="20"/>
      <c r="H623" s="20"/>
      <c r="I623" s="20"/>
      <c r="J623" s="20"/>
      <c r="K623" s="21"/>
      <c r="L623" s="159"/>
      <c r="M623" s="160"/>
      <c r="N623" s="17"/>
      <c r="O623" s="17"/>
      <c r="P623" s="17"/>
      <c r="Q623" s="17"/>
      <c r="R623" s="162"/>
    </row>
    <row r="624" ht="15.75" customHeight="1">
      <c r="C624" s="17"/>
      <c r="D624" s="17"/>
      <c r="E624" s="158"/>
      <c r="F624" s="17"/>
      <c r="G624" s="20"/>
      <c r="H624" s="20"/>
      <c r="I624" s="20"/>
      <c r="J624" s="20"/>
      <c r="K624" s="21"/>
      <c r="L624" s="159"/>
      <c r="M624" s="160"/>
      <c r="N624" s="17"/>
      <c r="O624" s="17"/>
      <c r="P624" s="17"/>
      <c r="Q624" s="17"/>
      <c r="R624" s="162"/>
    </row>
    <row r="625" ht="15.75" customHeight="1">
      <c r="C625" s="17"/>
      <c r="D625" s="17"/>
      <c r="E625" s="158"/>
      <c r="F625" s="17"/>
      <c r="G625" s="20"/>
      <c r="H625" s="20"/>
      <c r="I625" s="20"/>
      <c r="J625" s="20"/>
      <c r="K625" s="21"/>
      <c r="L625" s="159"/>
      <c r="M625" s="160"/>
      <c r="N625" s="17"/>
      <c r="O625" s="17"/>
      <c r="P625" s="17"/>
      <c r="Q625" s="17"/>
      <c r="R625" s="162"/>
    </row>
    <row r="626" ht="15.75" customHeight="1">
      <c r="C626" s="17"/>
      <c r="D626" s="17"/>
      <c r="E626" s="158"/>
      <c r="F626" s="17"/>
      <c r="G626" s="20"/>
      <c r="H626" s="20"/>
      <c r="I626" s="20"/>
      <c r="J626" s="20"/>
      <c r="K626" s="21"/>
      <c r="L626" s="159"/>
      <c r="M626" s="160"/>
      <c r="N626" s="17"/>
      <c r="O626" s="17"/>
      <c r="P626" s="17"/>
      <c r="Q626" s="17"/>
      <c r="R626" s="162"/>
    </row>
    <row r="627" ht="15.75" customHeight="1">
      <c r="C627" s="17"/>
      <c r="D627" s="17"/>
      <c r="E627" s="158"/>
      <c r="F627" s="17"/>
      <c r="G627" s="20"/>
      <c r="H627" s="20"/>
      <c r="I627" s="20"/>
      <c r="J627" s="20"/>
      <c r="K627" s="21"/>
      <c r="L627" s="159"/>
      <c r="M627" s="160"/>
      <c r="N627" s="17"/>
      <c r="O627" s="17"/>
      <c r="P627" s="17"/>
      <c r="Q627" s="17"/>
      <c r="R627" s="162"/>
    </row>
    <row r="628" ht="15.75" customHeight="1">
      <c r="C628" s="17"/>
      <c r="D628" s="17"/>
      <c r="E628" s="158"/>
      <c r="F628" s="17"/>
      <c r="G628" s="20"/>
      <c r="H628" s="20"/>
      <c r="I628" s="20"/>
      <c r="J628" s="20"/>
      <c r="K628" s="21"/>
      <c r="L628" s="159"/>
      <c r="M628" s="160"/>
      <c r="N628" s="17"/>
      <c r="O628" s="17"/>
      <c r="P628" s="17"/>
      <c r="Q628" s="17"/>
      <c r="R628" s="162"/>
    </row>
    <row r="629" ht="15.75" customHeight="1">
      <c r="C629" s="17"/>
      <c r="D629" s="17"/>
      <c r="E629" s="158"/>
      <c r="F629" s="17"/>
      <c r="G629" s="20"/>
      <c r="H629" s="20"/>
      <c r="I629" s="20"/>
      <c r="J629" s="20"/>
      <c r="K629" s="21"/>
      <c r="L629" s="159"/>
      <c r="M629" s="160"/>
      <c r="N629" s="17"/>
      <c r="O629" s="17"/>
      <c r="P629" s="17"/>
      <c r="Q629" s="17"/>
      <c r="R629" s="162"/>
    </row>
    <row r="630" ht="15.75" customHeight="1">
      <c r="C630" s="17"/>
      <c r="D630" s="17"/>
      <c r="E630" s="158"/>
      <c r="F630" s="17"/>
      <c r="G630" s="20"/>
      <c r="H630" s="20"/>
      <c r="I630" s="20"/>
      <c r="J630" s="20"/>
      <c r="K630" s="21"/>
      <c r="L630" s="159"/>
      <c r="M630" s="160"/>
      <c r="N630" s="17"/>
      <c r="O630" s="17"/>
      <c r="P630" s="17"/>
      <c r="Q630" s="17"/>
      <c r="R630" s="162"/>
    </row>
    <row r="631" ht="15.75" customHeight="1">
      <c r="C631" s="17"/>
      <c r="D631" s="17"/>
      <c r="E631" s="158"/>
      <c r="F631" s="17"/>
      <c r="G631" s="20"/>
      <c r="H631" s="20"/>
      <c r="I631" s="20"/>
      <c r="J631" s="20"/>
      <c r="K631" s="21"/>
      <c r="L631" s="159"/>
      <c r="M631" s="160"/>
      <c r="N631" s="17"/>
      <c r="O631" s="17"/>
      <c r="P631" s="17"/>
      <c r="Q631" s="17"/>
      <c r="R631" s="162"/>
    </row>
    <row r="632" ht="15.75" customHeight="1">
      <c r="C632" s="17"/>
      <c r="D632" s="17"/>
      <c r="E632" s="158"/>
      <c r="F632" s="17"/>
      <c r="G632" s="20"/>
      <c r="H632" s="20"/>
      <c r="I632" s="20"/>
      <c r="J632" s="20"/>
      <c r="K632" s="21"/>
      <c r="L632" s="159"/>
      <c r="M632" s="160"/>
      <c r="N632" s="17"/>
      <c r="O632" s="17"/>
      <c r="P632" s="17"/>
      <c r="Q632" s="17"/>
      <c r="R632" s="162"/>
    </row>
    <row r="633" ht="15.75" customHeight="1">
      <c r="C633" s="17"/>
      <c r="D633" s="17"/>
      <c r="E633" s="158"/>
      <c r="F633" s="17"/>
      <c r="G633" s="20"/>
      <c r="H633" s="20"/>
      <c r="I633" s="20"/>
      <c r="J633" s="20"/>
      <c r="K633" s="21"/>
      <c r="L633" s="159"/>
      <c r="M633" s="160"/>
      <c r="N633" s="17"/>
      <c r="O633" s="17"/>
      <c r="P633" s="17"/>
      <c r="Q633" s="17"/>
      <c r="R633" s="162"/>
    </row>
    <row r="634" ht="15.75" customHeight="1">
      <c r="C634" s="17"/>
      <c r="D634" s="17"/>
      <c r="E634" s="158"/>
      <c r="F634" s="17"/>
      <c r="G634" s="20"/>
      <c r="H634" s="20"/>
      <c r="I634" s="20"/>
      <c r="J634" s="20"/>
      <c r="K634" s="21"/>
      <c r="L634" s="159"/>
      <c r="M634" s="160"/>
      <c r="N634" s="17"/>
      <c r="O634" s="17"/>
      <c r="P634" s="17"/>
      <c r="Q634" s="17"/>
      <c r="R634" s="162"/>
    </row>
    <row r="635" ht="15.75" customHeight="1">
      <c r="C635" s="17"/>
      <c r="D635" s="17"/>
      <c r="E635" s="158"/>
      <c r="F635" s="17"/>
      <c r="G635" s="20"/>
      <c r="H635" s="20"/>
      <c r="I635" s="20"/>
      <c r="J635" s="20"/>
      <c r="K635" s="21"/>
      <c r="L635" s="159"/>
      <c r="M635" s="160"/>
      <c r="N635" s="17"/>
      <c r="O635" s="17"/>
      <c r="P635" s="17"/>
      <c r="Q635" s="17"/>
      <c r="R635" s="162"/>
    </row>
    <row r="636" ht="15.75" customHeight="1">
      <c r="C636" s="17"/>
      <c r="D636" s="17"/>
      <c r="E636" s="158"/>
      <c r="F636" s="17"/>
      <c r="G636" s="20"/>
      <c r="H636" s="20"/>
      <c r="I636" s="20"/>
      <c r="J636" s="20"/>
      <c r="K636" s="21"/>
      <c r="L636" s="159"/>
      <c r="M636" s="160"/>
      <c r="N636" s="17"/>
      <c r="O636" s="17"/>
      <c r="P636" s="17"/>
      <c r="Q636" s="17"/>
      <c r="R636" s="162"/>
    </row>
    <row r="637" ht="15.75" customHeight="1">
      <c r="C637" s="17"/>
      <c r="D637" s="17"/>
      <c r="E637" s="158"/>
      <c r="F637" s="17"/>
      <c r="G637" s="20"/>
      <c r="H637" s="20"/>
      <c r="I637" s="20"/>
      <c r="J637" s="20"/>
      <c r="K637" s="21"/>
      <c r="L637" s="159"/>
      <c r="M637" s="160"/>
      <c r="N637" s="17"/>
      <c r="O637" s="17"/>
      <c r="P637" s="17"/>
      <c r="Q637" s="17"/>
      <c r="R637" s="162"/>
    </row>
    <row r="638" ht="15.75" customHeight="1">
      <c r="C638" s="17"/>
      <c r="D638" s="17"/>
      <c r="E638" s="158"/>
      <c r="F638" s="17"/>
      <c r="G638" s="20"/>
      <c r="H638" s="20"/>
      <c r="I638" s="20"/>
      <c r="J638" s="20"/>
      <c r="K638" s="21"/>
      <c r="L638" s="159"/>
      <c r="M638" s="160"/>
      <c r="N638" s="17"/>
      <c r="O638" s="17"/>
      <c r="P638" s="17"/>
      <c r="Q638" s="17"/>
      <c r="R638" s="162"/>
    </row>
    <row r="639" ht="15.75" customHeight="1">
      <c r="C639" s="17"/>
      <c r="D639" s="17"/>
      <c r="E639" s="158"/>
      <c r="F639" s="17"/>
      <c r="G639" s="20"/>
      <c r="H639" s="20"/>
      <c r="I639" s="20"/>
      <c r="J639" s="20"/>
      <c r="K639" s="21"/>
      <c r="L639" s="159"/>
      <c r="M639" s="160"/>
      <c r="N639" s="17"/>
      <c r="O639" s="17"/>
      <c r="P639" s="17"/>
      <c r="Q639" s="17"/>
      <c r="R639" s="162"/>
    </row>
    <row r="640" ht="15.75" customHeight="1">
      <c r="C640" s="17"/>
      <c r="D640" s="17"/>
      <c r="E640" s="158"/>
      <c r="F640" s="17"/>
      <c r="G640" s="20"/>
      <c r="H640" s="20"/>
      <c r="I640" s="20"/>
      <c r="J640" s="20"/>
      <c r="K640" s="21"/>
      <c r="L640" s="159"/>
      <c r="M640" s="160"/>
      <c r="N640" s="17"/>
      <c r="O640" s="17"/>
      <c r="P640" s="17"/>
      <c r="Q640" s="17"/>
      <c r="R640" s="162"/>
    </row>
    <row r="641" ht="15.75" customHeight="1">
      <c r="C641" s="17"/>
      <c r="D641" s="17"/>
      <c r="E641" s="158"/>
      <c r="F641" s="17"/>
      <c r="G641" s="20"/>
      <c r="H641" s="20"/>
      <c r="I641" s="20"/>
      <c r="J641" s="20"/>
      <c r="K641" s="21"/>
      <c r="L641" s="159"/>
      <c r="M641" s="160"/>
      <c r="N641" s="17"/>
      <c r="O641" s="17"/>
      <c r="P641" s="17"/>
      <c r="Q641" s="17"/>
      <c r="R641" s="162"/>
    </row>
    <row r="642" ht="15.75" customHeight="1">
      <c r="C642" s="17"/>
      <c r="D642" s="17"/>
      <c r="E642" s="158"/>
      <c r="F642" s="17"/>
      <c r="G642" s="20"/>
      <c r="H642" s="20"/>
      <c r="I642" s="20"/>
      <c r="J642" s="20"/>
      <c r="K642" s="21"/>
      <c r="L642" s="159"/>
      <c r="M642" s="160"/>
      <c r="N642" s="17"/>
      <c r="O642" s="17"/>
      <c r="P642" s="17"/>
      <c r="Q642" s="17"/>
      <c r="R642" s="162"/>
    </row>
    <row r="643" ht="15.75" customHeight="1">
      <c r="C643" s="17"/>
      <c r="D643" s="17"/>
      <c r="E643" s="158"/>
      <c r="F643" s="17"/>
      <c r="G643" s="20"/>
      <c r="H643" s="20"/>
      <c r="I643" s="20"/>
      <c r="J643" s="20"/>
      <c r="K643" s="21"/>
      <c r="L643" s="159"/>
      <c r="M643" s="160"/>
      <c r="N643" s="17"/>
      <c r="O643" s="17"/>
      <c r="P643" s="17"/>
      <c r="Q643" s="17"/>
      <c r="R643" s="162"/>
    </row>
    <row r="644" ht="15.75" customHeight="1">
      <c r="C644" s="17"/>
      <c r="D644" s="17"/>
      <c r="E644" s="158"/>
      <c r="F644" s="17"/>
      <c r="G644" s="20"/>
      <c r="H644" s="20"/>
      <c r="I644" s="20"/>
      <c r="J644" s="20"/>
      <c r="K644" s="21"/>
      <c r="L644" s="159"/>
      <c r="M644" s="160"/>
      <c r="N644" s="17"/>
      <c r="O644" s="17"/>
      <c r="P644" s="17"/>
      <c r="Q644" s="17"/>
      <c r="R644" s="162"/>
    </row>
    <row r="645" ht="15.75" customHeight="1">
      <c r="C645" s="17"/>
      <c r="D645" s="17"/>
      <c r="E645" s="158"/>
      <c r="F645" s="17"/>
      <c r="G645" s="20"/>
      <c r="H645" s="20"/>
      <c r="I645" s="20"/>
      <c r="J645" s="20"/>
      <c r="K645" s="21"/>
      <c r="L645" s="159"/>
      <c r="M645" s="160"/>
      <c r="N645" s="17"/>
      <c r="O645" s="17"/>
      <c r="P645" s="17"/>
      <c r="Q645" s="17"/>
      <c r="R645" s="162"/>
    </row>
    <row r="646" ht="15.75" customHeight="1">
      <c r="C646" s="17"/>
      <c r="D646" s="17"/>
      <c r="E646" s="158"/>
      <c r="F646" s="17"/>
      <c r="G646" s="20"/>
      <c r="H646" s="20"/>
      <c r="I646" s="20"/>
      <c r="J646" s="20"/>
      <c r="K646" s="21"/>
      <c r="L646" s="159"/>
      <c r="M646" s="160"/>
      <c r="N646" s="17"/>
      <c r="O646" s="17"/>
      <c r="P646" s="17"/>
      <c r="Q646" s="17"/>
      <c r="R646" s="162"/>
    </row>
    <row r="647" ht="15.75" customHeight="1">
      <c r="C647" s="17"/>
      <c r="D647" s="17"/>
      <c r="E647" s="158"/>
      <c r="F647" s="17"/>
      <c r="G647" s="20"/>
      <c r="H647" s="20"/>
      <c r="I647" s="20"/>
      <c r="J647" s="20"/>
      <c r="K647" s="21"/>
      <c r="L647" s="159"/>
      <c r="M647" s="160"/>
      <c r="N647" s="17"/>
      <c r="O647" s="17"/>
      <c r="P647" s="17"/>
      <c r="Q647" s="17"/>
      <c r="R647" s="162"/>
    </row>
    <row r="648" ht="15.75" customHeight="1">
      <c r="C648" s="17"/>
      <c r="D648" s="17"/>
      <c r="E648" s="158"/>
      <c r="F648" s="17"/>
      <c r="G648" s="20"/>
      <c r="H648" s="20"/>
      <c r="I648" s="20"/>
      <c r="J648" s="20"/>
      <c r="K648" s="21"/>
      <c r="L648" s="159"/>
      <c r="M648" s="160"/>
      <c r="N648" s="17"/>
      <c r="O648" s="17"/>
      <c r="P648" s="17"/>
      <c r="Q648" s="17"/>
      <c r="R648" s="162"/>
    </row>
    <row r="649" ht="15.75" customHeight="1">
      <c r="C649" s="17"/>
      <c r="D649" s="17"/>
      <c r="E649" s="158"/>
      <c r="F649" s="17"/>
      <c r="G649" s="20"/>
      <c r="H649" s="20"/>
      <c r="I649" s="20"/>
      <c r="J649" s="20"/>
      <c r="K649" s="21"/>
      <c r="L649" s="159"/>
      <c r="M649" s="160"/>
      <c r="N649" s="17"/>
      <c r="O649" s="17"/>
      <c r="P649" s="17"/>
      <c r="Q649" s="17"/>
      <c r="R649" s="162"/>
    </row>
    <row r="650" ht="15.75" customHeight="1">
      <c r="C650" s="17"/>
      <c r="D650" s="17"/>
      <c r="E650" s="158"/>
      <c r="F650" s="17"/>
      <c r="G650" s="20"/>
      <c r="H650" s="20"/>
      <c r="I650" s="20"/>
      <c r="J650" s="20"/>
      <c r="K650" s="21"/>
      <c r="L650" s="159"/>
      <c r="M650" s="160"/>
      <c r="N650" s="17"/>
      <c r="O650" s="17"/>
      <c r="P650" s="17"/>
      <c r="Q650" s="17"/>
      <c r="R650" s="162"/>
    </row>
    <row r="651" ht="15.75" customHeight="1">
      <c r="C651" s="17"/>
      <c r="D651" s="17"/>
      <c r="E651" s="158"/>
      <c r="F651" s="17"/>
      <c r="G651" s="20"/>
      <c r="H651" s="20"/>
      <c r="I651" s="20"/>
      <c r="J651" s="20"/>
      <c r="K651" s="21"/>
      <c r="L651" s="159"/>
      <c r="M651" s="160"/>
      <c r="N651" s="17"/>
      <c r="O651" s="17"/>
      <c r="P651" s="17"/>
      <c r="Q651" s="17"/>
      <c r="R651" s="162"/>
    </row>
    <row r="652" ht="15.75" customHeight="1">
      <c r="C652" s="17"/>
      <c r="D652" s="17"/>
      <c r="E652" s="158"/>
      <c r="F652" s="17"/>
      <c r="G652" s="20"/>
      <c r="H652" s="20"/>
      <c r="I652" s="20"/>
      <c r="J652" s="20"/>
      <c r="K652" s="21"/>
      <c r="L652" s="159"/>
      <c r="M652" s="160"/>
      <c r="N652" s="17"/>
      <c r="O652" s="17"/>
      <c r="P652" s="17"/>
      <c r="Q652" s="17"/>
      <c r="R652" s="162"/>
    </row>
    <row r="653" ht="15.75" customHeight="1">
      <c r="C653" s="17"/>
      <c r="D653" s="17"/>
      <c r="E653" s="158"/>
      <c r="F653" s="17"/>
      <c r="G653" s="20"/>
      <c r="H653" s="20"/>
      <c r="I653" s="20"/>
      <c r="J653" s="20"/>
      <c r="K653" s="21"/>
      <c r="L653" s="159"/>
      <c r="M653" s="160"/>
      <c r="N653" s="17"/>
      <c r="O653" s="17"/>
      <c r="P653" s="17"/>
      <c r="Q653" s="17"/>
      <c r="R653" s="162"/>
    </row>
    <row r="654" ht="15.75" customHeight="1">
      <c r="C654" s="17"/>
      <c r="D654" s="17"/>
      <c r="E654" s="158"/>
      <c r="F654" s="17"/>
      <c r="G654" s="20"/>
      <c r="H654" s="20"/>
      <c r="I654" s="20"/>
      <c r="J654" s="20"/>
      <c r="K654" s="21"/>
      <c r="L654" s="159"/>
      <c r="M654" s="160"/>
      <c r="N654" s="17"/>
      <c r="O654" s="17"/>
      <c r="P654" s="17"/>
      <c r="Q654" s="17"/>
      <c r="R654" s="162"/>
    </row>
    <row r="655" ht="15.75" customHeight="1">
      <c r="C655" s="17"/>
      <c r="D655" s="17"/>
      <c r="E655" s="158"/>
      <c r="F655" s="17"/>
      <c r="G655" s="20"/>
      <c r="H655" s="20"/>
      <c r="I655" s="20"/>
      <c r="J655" s="20"/>
      <c r="K655" s="21"/>
      <c r="L655" s="159"/>
      <c r="M655" s="160"/>
      <c r="N655" s="17"/>
      <c r="O655" s="17"/>
      <c r="P655" s="17"/>
      <c r="Q655" s="17"/>
      <c r="R655" s="162"/>
    </row>
    <row r="656" ht="15.75" customHeight="1">
      <c r="C656" s="17"/>
      <c r="D656" s="17"/>
      <c r="E656" s="158"/>
      <c r="F656" s="17"/>
      <c r="G656" s="20"/>
      <c r="H656" s="20"/>
      <c r="I656" s="20"/>
      <c r="J656" s="20"/>
      <c r="K656" s="21"/>
      <c r="L656" s="159"/>
      <c r="M656" s="160"/>
      <c r="N656" s="17"/>
      <c r="O656" s="17"/>
      <c r="P656" s="17"/>
      <c r="Q656" s="17"/>
      <c r="R656" s="162"/>
    </row>
    <row r="657" ht="15.75" customHeight="1">
      <c r="C657" s="17"/>
      <c r="D657" s="17"/>
      <c r="E657" s="158"/>
      <c r="F657" s="17"/>
      <c r="G657" s="20"/>
      <c r="H657" s="20"/>
      <c r="I657" s="20"/>
      <c r="J657" s="20"/>
      <c r="K657" s="21"/>
      <c r="L657" s="159"/>
      <c r="M657" s="160"/>
      <c r="N657" s="17"/>
      <c r="O657" s="17"/>
      <c r="P657" s="17"/>
      <c r="Q657" s="17"/>
      <c r="R657" s="162"/>
    </row>
    <row r="658" ht="15.75" customHeight="1">
      <c r="C658" s="17"/>
      <c r="D658" s="17"/>
      <c r="E658" s="158"/>
      <c r="F658" s="17"/>
      <c r="G658" s="20"/>
      <c r="H658" s="20"/>
      <c r="I658" s="20"/>
      <c r="J658" s="20"/>
      <c r="K658" s="21"/>
      <c r="L658" s="159"/>
      <c r="M658" s="160"/>
      <c r="N658" s="17"/>
      <c r="O658" s="17"/>
      <c r="P658" s="17"/>
      <c r="Q658" s="17"/>
      <c r="R658" s="162"/>
    </row>
    <row r="659" ht="15.75" customHeight="1">
      <c r="C659" s="17"/>
      <c r="D659" s="17"/>
      <c r="E659" s="158"/>
      <c r="F659" s="17"/>
      <c r="G659" s="20"/>
      <c r="H659" s="20"/>
      <c r="I659" s="20"/>
      <c r="J659" s="20"/>
      <c r="K659" s="21"/>
      <c r="L659" s="159"/>
      <c r="M659" s="160"/>
      <c r="N659" s="17"/>
      <c r="O659" s="17"/>
      <c r="P659" s="17"/>
      <c r="Q659" s="17"/>
      <c r="R659" s="162"/>
    </row>
    <row r="660" ht="15.75" customHeight="1">
      <c r="C660" s="17"/>
      <c r="D660" s="17"/>
      <c r="E660" s="158"/>
      <c r="F660" s="17"/>
      <c r="G660" s="20"/>
      <c r="H660" s="20"/>
      <c r="I660" s="20"/>
      <c r="J660" s="20"/>
      <c r="K660" s="21"/>
      <c r="L660" s="159"/>
      <c r="M660" s="160"/>
      <c r="N660" s="17"/>
      <c r="O660" s="17"/>
      <c r="P660" s="17"/>
      <c r="Q660" s="17"/>
      <c r="R660" s="162"/>
    </row>
    <row r="661" ht="15.75" customHeight="1">
      <c r="C661" s="17"/>
      <c r="D661" s="17"/>
      <c r="E661" s="158"/>
      <c r="F661" s="17"/>
      <c r="G661" s="20"/>
      <c r="H661" s="20"/>
      <c r="I661" s="20"/>
      <c r="J661" s="20"/>
      <c r="K661" s="21"/>
      <c r="L661" s="159"/>
      <c r="M661" s="160"/>
      <c r="N661" s="17"/>
      <c r="O661" s="17"/>
      <c r="P661" s="17"/>
      <c r="Q661" s="17"/>
      <c r="R661" s="162"/>
    </row>
    <row r="662" ht="15.75" customHeight="1">
      <c r="C662" s="17"/>
      <c r="D662" s="17"/>
      <c r="E662" s="158"/>
      <c r="F662" s="17"/>
      <c r="G662" s="20"/>
      <c r="H662" s="20"/>
      <c r="I662" s="20"/>
      <c r="J662" s="20"/>
      <c r="K662" s="21"/>
      <c r="L662" s="159"/>
      <c r="M662" s="160"/>
      <c r="N662" s="17"/>
      <c r="O662" s="17"/>
      <c r="P662" s="17"/>
      <c r="Q662" s="17"/>
      <c r="R662" s="162"/>
    </row>
    <row r="663" ht="15.75" customHeight="1">
      <c r="C663" s="17"/>
      <c r="D663" s="17"/>
      <c r="E663" s="158"/>
      <c r="F663" s="17"/>
      <c r="G663" s="20"/>
      <c r="H663" s="20"/>
      <c r="I663" s="20"/>
      <c r="J663" s="20"/>
      <c r="K663" s="21"/>
      <c r="L663" s="159"/>
      <c r="M663" s="160"/>
      <c r="N663" s="17"/>
      <c r="O663" s="17"/>
      <c r="P663" s="17"/>
      <c r="Q663" s="17"/>
      <c r="R663" s="162"/>
    </row>
    <row r="664" ht="15.75" customHeight="1">
      <c r="C664" s="17"/>
      <c r="D664" s="17"/>
      <c r="E664" s="158"/>
      <c r="F664" s="17"/>
      <c r="G664" s="20"/>
      <c r="H664" s="20"/>
      <c r="I664" s="20"/>
      <c r="J664" s="20"/>
      <c r="K664" s="21"/>
      <c r="L664" s="159"/>
      <c r="M664" s="160"/>
      <c r="N664" s="17"/>
      <c r="O664" s="17"/>
      <c r="P664" s="17"/>
      <c r="Q664" s="17"/>
      <c r="R664" s="162"/>
    </row>
    <row r="665" ht="15.75" customHeight="1">
      <c r="C665" s="17"/>
      <c r="D665" s="17"/>
      <c r="E665" s="158"/>
      <c r="F665" s="17"/>
      <c r="G665" s="20"/>
      <c r="H665" s="20"/>
      <c r="I665" s="20"/>
      <c r="J665" s="20"/>
      <c r="K665" s="21"/>
      <c r="L665" s="159"/>
      <c r="M665" s="160"/>
      <c r="N665" s="17"/>
      <c r="O665" s="17"/>
      <c r="P665" s="17"/>
      <c r="Q665" s="17"/>
      <c r="R665" s="162"/>
    </row>
    <row r="666" ht="15.75" customHeight="1">
      <c r="C666" s="17"/>
      <c r="D666" s="17"/>
      <c r="E666" s="158"/>
      <c r="F666" s="17"/>
      <c r="G666" s="20"/>
      <c r="H666" s="20"/>
      <c r="I666" s="20"/>
      <c r="J666" s="20"/>
      <c r="K666" s="21"/>
      <c r="L666" s="159"/>
      <c r="M666" s="160"/>
      <c r="N666" s="17"/>
      <c r="O666" s="17"/>
      <c r="P666" s="17"/>
      <c r="Q666" s="17"/>
      <c r="R666" s="162"/>
    </row>
    <row r="667" ht="15.75" customHeight="1">
      <c r="C667" s="17"/>
      <c r="D667" s="17"/>
      <c r="E667" s="158"/>
      <c r="F667" s="17"/>
      <c r="G667" s="20"/>
      <c r="H667" s="20"/>
      <c r="I667" s="20"/>
      <c r="J667" s="20"/>
      <c r="K667" s="21"/>
      <c r="L667" s="159"/>
      <c r="M667" s="160"/>
      <c r="N667" s="17"/>
      <c r="O667" s="17"/>
      <c r="P667" s="17"/>
      <c r="Q667" s="17"/>
      <c r="R667" s="162"/>
    </row>
    <row r="668" ht="15.75" customHeight="1">
      <c r="C668" s="17"/>
      <c r="D668" s="17"/>
      <c r="E668" s="158"/>
      <c r="F668" s="17"/>
      <c r="G668" s="20"/>
      <c r="H668" s="20"/>
      <c r="I668" s="20"/>
      <c r="J668" s="20"/>
      <c r="K668" s="21"/>
      <c r="L668" s="159"/>
      <c r="M668" s="160"/>
      <c r="N668" s="17"/>
      <c r="O668" s="17"/>
      <c r="P668" s="17"/>
      <c r="Q668" s="17"/>
      <c r="R668" s="162"/>
    </row>
    <row r="669" ht="15.75" customHeight="1">
      <c r="C669" s="17"/>
      <c r="D669" s="17"/>
      <c r="E669" s="158"/>
      <c r="F669" s="17"/>
      <c r="G669" s="20"/>
      <c r="H669" s="20"/>
      <c r="I669" s="20"/>
      <c r="J669" s="20"/>
      <c r="K669" s="21"/>
      <c r="L669" s="159"/>
      <c r="M669" s="160"/>
      <c r="N669" s="17"/>
      <c r="O669" s="17"/>
      <c r="P669" s="17"/>
      <c r="Q669" s="17"/>
      <c r="R669" s="162"/>
    </row>
    <row r="670" ht="15.75" customHeight="1">
      <c r="C670" s="17"/>
      <c r="D670" s="17"/>
      <c r="E670" s="158"/>
      <c r="F670" s="17"/>
      <c r="G670" s="20"/>
      <c r="H670" s="20"/>
      <c r="I670" s="20"/>
      <c r="J670" s="20"/>
      <c r="K670" s="21"/>
      <c r="L670" s="159"/>
      <c r="M670" s="160"/>
      <c r="N670" s="17"/>
      <c r="O670" s="17"/>
      <c r="P670" s="17"/>
      <c r="Q670" s="17"/>
      <c r="R670" s="162"/>
    </row>
    <row r="671" ht="15.75" customHeight="1">
      <c r="C671" s="17"/>
      <c r="D671" s="17"/>
      <c r="E671" s="158"/>
      <c r="F671" s="17"/>
      <c r="G671" s="20"/>
      <c r="H671" s="20"/>
      <c r="I671" s="20"/>
      <c r="J671" s="20"/>
      <c r="K671" s="21"/>
      <c r="L671" s="159"/>
      <c r="M671" s="160"/>
      <c r="N671" s="17"/>
      <c r="O671" s="17"/>
      <c r="P671" s="17"/>
      <c r="Q671" s="17"/>
      <c r="R671" s="162"/>
    </row>
    <row r="672" ht="15.75" customHeight="1">
      <c r="C672" s="17"/>
      <c r="D672" s="17"/>
      <c r="E672" s="158"/>
      <c r="F672" s="17"/>
      <c r="G672" s="20"/>
      <c r="H672" s="20"/>
      <c r="I672" s="20"/>
      <c r="J672" s="20"/>
      <c r="K672" s="21"/>
      <c r="L672" s="159"/>
      <c r="M672" s="160"/>
      <c r="N672" s="17"/>
      <c r="O672" s="17"/>
      <c r="P672" s="17"/>
      <c r="Q672" s="17"/>
      <c r="R672" s="162"/>
    </row>
    <row r="673" ht="15.75" customHeight="1">
      <c r="C673" s="17"/>
      <c r="D673" s="17"/>
      <c r="E673" s="158"/>
      <c r="F673" s="17"/>
      <c r="G673" s="20"/>
      <c r="H673" s="20"/>
      <c r="I673" s="20"/>
      <c r="J673" s="20"/>
      <c r="K673" s="21"/>
      <c r="L673" s="159"/>
      <c r="M673" s="160"/>
      <c r="N673" s="17"/>
      <c r="O673" s="17"/>
      <c r="P673" s="17"/>
      <c r="Q673" s="17"/>
      <c r="R673" s="162"/>
    </row>
    <row r="674" ht="15.75" customHeight="1">
      <c r="C674" s="17"/>
      <c r="D674" s="17"/>
      <c r="E674" s="158"/>
      <c r="F674" s="17"/>
      <c r="G674" s="20"/>
      <c r="H674" s="20"/>
      <c r="I674" s="20"/>
      <c r="J674" s="20"/>
      <c r="K674" s="21"/>
      <c r="L674" s="159"/>
      <c r="M674" s="160"/>
      <c r="N674" s="17"/>
      <c r="O674" s="17"/>
      <c r="P674" s="17"/>
      <c r="Q674" s="17"/>
      <c r="R674" s="162"/>
    </row>
    <row r="675" ht="15.75" customHeight="1">
      <c r="C675" s="17"/>
      <c r="D675" s="17"/>
      <c r="E675" s="158"/>
      <c r="F675" s="17"/>
      <c r="G675" s="20"/>
      <c r="H675" s="20"/>
      <c r="I675" s="20"/>
      <c r="J675" s="20"/>
      <c r="K675" s="21"/>
      <c r="L675" s="159"/>
      <c r="M675" s="160"/>
      <c r="N675" s="17"/>
      <c r="O675" s="17"/>
      <c r="P675" s="17"/>
      <c r="Q675" s="17"/>
      <c r="R675" s="162"/>
    </row>
    <row r="676" ht="15.75" customHeight="1">
      <c r="C676" s="17"/>
      <c r="D676" s="17"/>
      <c r="E676" s="158"/>
      <c r="F676" s="17"/>
      <c r="G676" s="20"/>
      <c r="H676" s="20"/>
      <c r="I676" s="20"/>
      <c r="J676" s="20"/>
      <c r="K676" s="21"/>
      <c r="L676" s="159"/>
      <c r="M676" s="160"/>
      <c r="N676" s="17"/>
      <c r="O676" s="17"/>
      <c r="P676" s="17"/>
      <c r="Q676" s="17"/>
      <c r="R676" s="162"/>
    </row>
    <row r="677" ht="15.75" customHeight="1">
      <c r="C677" s="17"/>
      <c r="D677" s="17"/>
      <c r="E677" s="158"/>
      <c r="F677" s="17"/>
      <c r="G677" s="20"/>
      <c r="H677" s="20"/>
      <c r="I677" s="20"/>
      <c r="J677" s="20"/>
      <c r="K677" s="21"/>
      <c r="L677" s="159"/>
      <c r="M677" s="160"/>
      <c r="N677" s="17"/>
      <c r="O677" s="17"/>
      <c r="P677" s="17"/>
      <c r="Q677" s="17"/>
      <c r="R677" s="162"/>
    </row>
    <row r="678" ht="15.75" customHeight="1">
      <c r="C678" s="17"/>
      <c r="D678" s="17"/>
      <c r="E678" s="158"/>
      <c r="F678" s="17"/>
      <c r="G678" s="20"/>
      <c r="H678" s="20"/>
      <c r="I678" s="20"/>
      <c r="J678" s="20"/>
      <c r="K678" s="21"/>
      <c r="L678" s="159"/>
      <c r="M678" s="160"/>
      <c r="N678" s="17"/>
      <c r="O678" s="17"/>
      <c r="P678" s="17"/>
      <c r="Q678" s="17"/>
      <c r="R678" s="162"/>
    </row>
    <row r="679" ht="15.75" customHeight="1">
      <c r="C679" s="17"/>
      <c r="D679" s="17"/>
      <c r="E679" s="158"/>
      <c r="F679" s="17"/>
      <c r="G679" s="20"/>
      <c r="H679" s="20"/>
      <c r="I679" s="20"/>
      <c r="J679" s="20"/>
      <c r="K679" s="21"/>
      <c r="L679" s="159"/>
      <c r="M679" s="160"/>
      <c r="N679" s="17"/>
      <c r="O679" s="17"/>
      <c r="P679" s="17"/>
      <c r="Q679" s="17"/>
      <c r="R679" s="162"/>
    </row>
    <row r="680" ht="15.75" customHeight="1">
      <c r="C680" s="17"/>
      <c r="D680" s="17"/>
      <c r="E680" s="158"/>
      <c r="F680" s="17"/>
      <c r="G680" s="20"/>
      <c r="H680" s="20"/>
      <c r="I680" s="20"/>
      <c r="J680" s="20"/>
      <c r="K680" s="21"/>
      <c r="L680" s="159"/>
      <c r="M680" s="160"/>
      <c r="N680" s="17"/>
      <c r="O680" s="17"/>
      <c r="P680" s="17"/>
      <c r="Q680" s="17"/>
      <c r="R680" s="162"/>
    </row>
    <row r="681" ht="15.75" customHeight="1">
      <c r="C681" s="17"/>
      <c r="D681" s="17"/>
      <c r="E681" s="158"/>
      <c r="F681" s="17"/>
      <c r="G681" s="20"/>
      <c r="H681" s="20"/>
      <c r="I681" s="20"/>
      <c r="J681" s="20"/>
      <c r="K681" s="21"/>
      <c r="L681" s="159"/>
      <c r="M681" s="160"/>
      <c r="N681" s="17"/>
      <c r="O681" s="17"/>
      <c r="P681" s="17"/>
      <c r="Q681" s="17"/>
      <c r="R681" s="162"/>
    </row>
    <row r="682" ht="15.75" customHeight="1">
      <c r="C682" s="17"/>
      <c r="D682" s="17"/>
      <c r="E682" s="158"/>
      <c r="F682" s="17"/>
      <c r="G682" s="20"/>
      <c r="H682" s="20"/>
      <c r="I682" s="20"/>
      <c r="J682" s="20"/>
      <c r="K682" s="21"/>
      <c r="L682" s="159"/>
      <c r="M682" s="160"/>
      <c r="N682" s="17"/>
      <c r="O682" s="17"/>
      <c r="P682" s="17"/>
      <c r="Q682" s="17"/>
      <c r="R682" s="162"/>
    </row>
    <row r="683" ht="15.75" customHeight="1">
      <c r="C683" s="17"/>
      <c r="D683" s="17"/>
      <c r="E683" s="158"/>
      <c r="F683" s="17"/>
      <c r="G683" s="20"/>
      <c r="H683" s="20"/>
      <c r="I683" s="20"/>
      <c r="J683" s="20"/>
      <c r="K683" s="21"/>
      <c r="L683" s="159"/>
      <c r="M683" s="160"/>
      <c r="N683" s="17"/>
      <c r="O683" s="17"/>
      <c r="P683" s="17"/>
      <c r="Q683" s="17"/>
      <c r="R683" s="162"/>
    </row>
    <row r="684" ht="15.75" customHeight="1">
      <c r="C684" s="17"/>
      <c r="D684" s="17"/>
      <c r="E684" s="158"/>
      <c r="F684" s="17"/>
      <c r="G684" s="20"/>
      <c r="H684" s="20"/>
      <c r="I684" s="20"/>
      <c r="J684" s="20"/>
      <c r="K684" s="21"/>
      <c r="L684" s="159"/>
      <c r="M684" s="160"/>
      <c r="N684" s="17"/>
      <c r="O684" s="17"/>
      <c r="P684" s="17"/>
      <c r="Q684" s="17"/>
      <c r="R684" s="162"/>
    </row>
    <row r="685" ht="15.75" customHeight="1">
      <c r="C685" s="17"/>
      <c r="D685" s="17"/>
      <c r="E685" s="158"/>
      <c r="F685" s="17"/>
      <c r="G685" s="20"/>
      <c r="H685" s="20"/>
      <c r="I685" s="20"/>
      <c r="J685" s="20"/>
      <c r="K685" s="21"/>
      <c r="L685" s="159"/>
      <c r="M685" s="160"/>
      <c r="N685" s="17"/>
      <c r="O685" s="17"/>
      <c r="P685" s="17"/>
      <c r="Q685" s="17"/>
      <c r="R685" s="162"/>
    </row>
    <row r="686" ht="15.75" customHeight="1">
      <c r="C686" s="17"/>
      <c r="D686" s="17"/>
      <c r="E686" s="158"/>
      <c r="F686" s="17"/>
      <c r="G686" s="20"/>
      <c r="H686" s="20"/>
      <c r="I686" s="20"/>
      <c r="J686" s="20"/>
      <c r="K686" s="21"/>
      <c r="L686" s="159"/>
      <c r="M686" s="160"/>
      <c r="N686" s="17"/>
      <c r="O686" s="17"/>
      <c r="P686" s="17"/>
      <c r="Q686" s="17"/>
      <c r="R686" s="162"/>
    </row>
    <row r="687" ht="15.75" customHeight="1">
      <c r="C687" s="17"/>
      <c r="D687" s="17"/>
      <c r="E687" s="158"/>
      <c r="F687" s="17"/>
      <c r="G687" s="20"/>
      <c r="H687" s="20"/>
      <c r="I687" s="20"/>
      <c r="J687" s="20"/>
      <c r="K687" s="21"/>
      <c r="L687" s="159"/>
      <c r="M687" s="160"/>
      <c r="N687" s="17"/>
      <c r="O687" s="17"/>
      <c r="P687" s="17"/>
      <c r="Q687" s="17"/>
      <c r="R687" s="162"/>
    </row>
    <row r="688" ht="15.75" customHeight="1">
      <c r="C688" s="17"/>
      <c r="D688" s="17"/>
      <c r="E688" s="158"/>
      <c r="F688" s="17"/>
      <c r="G688" s="20"/>
      <c r="H688" s="20"/>
      <c r="I688" s="20"/>
      <c r="J688" s="20"/>
      <c r="K688" s="21"/>
      <c r="L688" s="159"/>
      <c r="M688" s="160"/>
      <c r="N688" s="17"/>
      <c r="O688" s="17"/>
      <c r="P688" s="17"/>
      <c r="Q688" s="17"/>
      <c r="R688" s="162"/>
    </row>
    <row r="689" ht="15.75" customHeight="1">
      <c r="C689" s="17"/>
      <c r="D689" s="17"/>
      <c r="E689" s="158"/>
      <c r="F689" s="17"/>
      <c r="G689" s="20"/>
      <c r="H689" s="20"/>
      <c r="I689" s="20"/>
      <c r="J689" s="20"/>
      <c r="K689" s="21"/>
      <c r="L689" s="159"/>
      <c r="M689" s="160"/>
      <c r="N689" s="17"/>
      <c r="O689" s="17"/>
      <c r="P689" s="17"/>
      <c r="Q689" s="17"/>
      <c r="R689" s="162"/>
    </row>
    <row r="690" ht="15.75" customHeight="1">
      <c r="C690" s="17"/>
      <c r="D690" s="17"/>
      <c r="E690" s="158"/>
      <c r="F690" s="17"/>
      <c r="G690" s="20"/>
      <c r="H690" s="20"/>
      <c r="I690" s="20"/>
      <c r="J690" s="20"/>
      <c r="K690" s="21"/>
      <c r="L690" s="159"/>
      <c r="M690" s="160"/>
      <c r="N690" s="17"/>
      <c r="O690" s="17"/>
      <c r="P690" s="17"/>
      <c r="Q690" s="17"/>
      <c r="R690" s="162"/>
    </row>
    <row r="691" ht="15.75" customHeight="1">
      <c r="C691" s="17"/>
      <c r="D691" s="17"/>
      <c r="E691" s="158"/>
      <c r="F691" s="17"/>
      <c r="G691" s="20"/>
      <c r="H691" s="20"/>
      <c r="I691" s="20"/>
      <c r="J691" s="20"/>
      <c r="K691" s="21"/>
      <c r="L691" s="159"/>
      <c r="M691" s="160"/>
      <c r="N691" s="17"/>
      <c r="O691" s="17"/>
      <c r="P691" s="17"/>
      <c r="Q691" s="17"/>
      <c r="R691" s="162"/>
    </row>
    <row r="692" ht="15.75" customHeight="1">
      <c r="C692" s="17"/>
      <c r="D692" s="17"/>
      <c r="E692" s="158"/>
      <c r="F692" s="17"/>
      <c r="G692" s="20"/>
      <c r="H692" s="20"/>
      <c r="I692" s="20"/>
      <c r="J692" s="20"/>
      <c r="K692" s="21"/>
      <c r="L692" s="159"/>
      <c r="M692" s="160"/>
      <c r="N692" s="17"/>
      <c r="O692" s="17"/>
      <c r="P692" s="17"/>
      <c r="Q692" s="17"/>
      <c r="R692" s="162"/>
    </row>
    <row r="693" ht="15.75" customHeight="1">
      <c r="C693" s="17"/>
      <c r="D693" s="17"/>
      <c r="E693" s="158"/>
      <c r="F693" s="17"/>
      <c r="G693" s="20"/>
      <c r="H693" s="20"/>
      <c r="I693" s="20"/>
      <c r="J693" s="20"/>
      <c r="K693" s="21"/>
      <c r="L693" s="159"/>
      <c r="M693" s="160"/>
      <c r="N693" s="17"/>
      <c r="O693" s="17"/>
      <c r="P693" s="17"/>
      <c r="Q693" s="17"/>
      <c r="R693" s="162"/>
    </row>
    <row r="694" ht="15.75" customHeight="1">
      <c r="C694" s="17"/>
      <c r="D694" s="17"/>
      <c r="E694" s="158"/>
      <c r="F694" s="17"/>
      <c r="G694" s="20"/>
      <c r="H694" s="20"/>
      <c r="I694" s="20"/>
      <c r="J694" s="20"/>
      <c r="K694" s="21"/>
      <c r="L694" s="159"/>
      <c r="M694" s="160"/>
      <c r="N694" s="17"/>
      <c r="O694" s="17"/>
      <c r="P694" s="17"/>
      <c r="Q694" s="17"/>
      <c r="R694" s="162"/>
    </row>
    <row r="695" ht="15.75" customHeight="1">
      <c r="C695" s="17"/>
      <c r="D695" s="17"/>
      <c r="E695" s="158"/>
      <c r="F695" s="17"/>
      <c r="G695" s="20"/>
      <c r="H695" s="20"/>
      <c r="I695" s="20"/>
      <c r="J695" s="20"/>
      <c r="K695" s="21"/>
      <c r="L695" s="159"/>
      <c r="M695" s="160"/>
      <c r="N695" s="17"/>
      <c r="O695" s="17"/>
      <c r="P695" s="17"/>
      <c r="Q695" s="17"/>
      <c r="R695" s="162"/>
    </row>
    <row r="696" ht="15.75" customHeight="1">
      <c r="C696" s="17"/>
      <c r="D696" s="17"/>
      <c r="E696" s="158"/>
      <c r="F696" s="17"/>
      <c r="G696" s="20"/>
      <c r="H696" s="20"/>
      <c r="I696" s="20"/>
      <c r="J696" s="20"/>
      <c r="K696" s="21"/>
      <c r="L696" s="159"/>
      <c r="M696" s="160"/>
      <c r="N696" s="17"/>
      <c r="O696" s="17"/>
      <c r="P696" s="17"/>
      <c r="Q696" s="17"/>
      <c r="R696" s="162"/>
    </row>
    <row r="697" ht="15.75" customHeight="1">
      <c r="C697" s="17"/>
      <c r="D697" s="17"/>
      <c r="E697" s="158"/>
      <c r="F697" s="17"/>
      <c r="G697" s="20"/>
      <c r="H697" s="20"/>
      <c r="I697" s="20"/>
      <c r="J697" s="20"/>
      <c r="K697" s="21"/>
      <c r="L697" s="159"/>
      <c r="M697" s="160"/>
      <c r="N697" s="17"/>
      <c r="O697" s="17"/>
      <c r="P697" s="17"/>
      <c r="Q697" s="17"/>
      <c r="R697" s="162"/>
    </row>
    <row r="698" ht="15.75" customHeight="1">
      <c r="C698" s="17"/>
      <c r="D698" s="17"/>
      <c r="E698" s="158"/>
      <c r="F698" s="17"/>
      <c r="G698" s="20"/>
      <c r="H698" s="20"/>
      <c r="I698" s="20"/>
      <c r="J698" s="20"/>
      <c r="K698" s="21"/>
      <c r="L698" s="159"/>
      <c r="M698" s="160"/>
      <c r="N698" s="17"/>
      <c r="O698" s="17"/>
      <c r="P698" s="17"/>
      <c r="Q698" s="17"/>
      <c r="R698" s="162"/>
    </row>
    <row r="699" ht="15.75" customHeight="1">
      <c r="C699" s="17"/>
      <c r="D699" s="17"/>
      <c r="E699" s="158"/>
      <c r="F699" s="17"/>
      <c r="G699" s="20"/>
      <c r="H699" s="20"/>
      <c r="I699" s="20"/>
      <c r="J699" s="20"/>
      <c r="K699" s="21"/>
      <c r="L699" s="159"/>
      <c r="M699" s="160"/>
      <c r="N699" s="17"/>
      <c r="O699" s="17"/>
      <c r="P699" s="17"/>
      <c r="Q699" s="17"/>
      <c r="R699" s="162"/>
    </row>
    <row r="700" ht="15.75" customHeight="1">
      <c r="C700" s="17"/>
      <c r="D700" s="17"/>
      <c r="E700" s="158"/>
      <c r="F700" s="17"/>
      <c r="G700" s="20"/>
      <c r="H700" s="20"/>
      <c r="I700" s="20"/>
      <c r="J700" s="20"/>
      <c r="K700" s="21"/>
      <c r="L700" s="159"/>
      <c r="M700" s="160"/>
      <c r="N700" s="17"/>
      <c r="O700" s="17"/>
      <c r="P700" s="17"/>
      <c r="Q700" s="17"/>
      <c r="R700" s="162"/>
    </row>
    <row r="701" ht="15.75" customHeight="1">
      <c r="C701" s="17"/>
      <c r="D701" s="17"/>
      <c r="E701" s="158"/>
      <c r="F701" s="17"/>
      <c r="G701" s="20"/>
      <c r="H701" s="20"/>
      <c r="I701" s="20"/>
      <c r="J701" s="20"/>
      <c r="K701" s="21"/>
      <c r="L701" s="159"/>
      <c r="M701" s="160"/>
      <c r="N701" s="17"/>
      <c r="O701" s="17"/>
      <c r="P701" s="17"/>
      <c r="Q701" s="17"/>
      <c r="R701" s="162"/>
    </row>
    <row r="702" ht="15.75" customHeight="1">
      <c r="C702" s="17"/>
      <c r="D702" s="17"/>
      <c r="E702" s="158"/>
      <c r="F702" s="17"/>
      <c r="G702" s="20"/>
      <c r="H702" s="20"/>
      <c r="I702" s="20"/>
      <c r="J702" s="20"/>
      <c r="K702" s="21"/>
      <c r="L702" s="159"/>
      <c r="M702" s="160"/>
      <c r="N702" s="17"/>
      <c r="O702" s="17"/>
      <c r="P702" s="17"/>
      <c r="Q702" s="17"/>
      <c r="R702" s="162"/>
    </row>
    <row r="703" ht="15.75" customHeight="1">
      <c r="C703" s="17"/>
      <c r="D703" s="17"/>
      <c r="E703" s="158"/>
      <c r="F703" s="17"/>
      <c r="G703" s="20"/>
      <c r="H703" s="20"/>
      <c r="I703" s="20"/>
      <c r="J703" s="20"/>
      <c r="K703" s="21"/>
      <c r="L703" s="159"/>
      <c r="M703" s="160"/>
      <c r="N703" s="17"/>
      <c r="O703" s="17"/>
      <c r="P703" s="17"/>
      <c r="Q703" s="17"/>
      <c r="R703" s="162"/>
    </row>
    <row r="704" ht="15.75" customHeight="1">
      <c r="C704" s="17"/>
      <c r="D704" s="17"/>
      <c r="E704" s="158"/>
      <c r="F704" s="17"/>
      <c r="G704" s="20"/>
      <c r="H704" s="20"/>
      <c r="I704" s="20"/>
      <c r="J704" s="20"/>
      <c r="K704" s="21"/>
      <c r="L704" s="159"/>
      <c r="M704" s="160"/>
      <c r="N704" s="17"/>
      <c r="O704" s="17"/>
      <c r="P704" s="17"/>
      <c r="Q704" s="17"/>
      <c r="R704" s="162"/>
    </row>
    <row r="705" ht="15.75" customHeight="1">
      <c r="C705" s="17"/>
      <c r="D705" s="17"/>
      <c r="E705" s="158"/>
      <c r="F705" s="17"/>
      <c r="G705" s="20"/>
      <c r="H705" s="20"/>
      <c r="I705" s="20"/>
      <c r="J705" s="20"/>
      <c r="K705" s="21"/>
      <c r="L705" s="159"/>
      <c r="M705" s="160"/>
      <c r="N705" s="17"/>
      <c r="O705" s="17"/>
      <c r="P705" s="17"/>
      <c r="Q705" s="17"/>
      <c r="R705" s="162"/>
    </row>
    <row r="706" ht="15.75" customHeight="1">
      <c r="C706" s="17"/>
      <c r="D706" s="17"/>
      <c r="E706" s="158"/>
      <c r="F706" s="17"/>
      <c r="G706" s="20"/>
      <c r="H706" s="20"/>
      <c r="I706" s="20"/>
      <c r="J706" s="20"/>
      <c r="K706" s="21"/>
      <c r="L706" s="159"/>
      <c r="M706" s="160"/>
      <c r="N706" s="17"/>
      <c r="O706" s="17"/>
      <c r="P706" s="17"/>
      <c r="Q706" s="17"/>
      <c r="R706" s="162"/>
    </row>
    <row r="707" ht="15.75" customHeight="1">
      <c r="C707" s="17"/>
      <c r="D707" s="17"/>
      <c r="E707" s="158"/>
      <c r="F707" s="17"/>
      <c r="G707" s="20"/>
      <c r="H707" s="20"/>
      <c r="I707" s="20"/>
      <c r="J707" s="20"/>
      <c r="K707" s="21"/>
      <c r="L707" s="159"/>
      <c r="M707" s="160"/>
      <c r="N707" s="17"/>
      <c r="O707" s="17"/>
      <c r="P707" s="17"/>
      <c r="Q707" s="17"/>
      <c r="R707" s="162"/>
    </row>
    <row r="708" ht="15.75" customHeight="1">
      <c r="C708" s="17"/>
      <c r="D708" s="17"/>
      <c r="E708" s="158"/>
      <c r="F708" s="17"/>
      <c r="G708" s="20"/>
      <c r="H708" s="20"/>
      <c r="I708" s="20"/>
      <c r="J708" s="20"/>
      <c r="K708" s="21"/>
      <c r="L708" s="159"/>
      <c r="M708" s="160"/>
      <c r="N708" s="17"/>
      <c r="O708" s="17"/>
      <c r="P708" s="17"/>
      <c r="Q708" s="17"/>
      <c r="R708" s="162"/>
    </row>
    <row r="709" ht="15.75" customHeight="1">
      <c r="C709" s="17"/>
      <c r="D709" s="17"/>
      <c r="E709" s="158"/>
      <c r="F709" s="17"/>
      <c r="G709" s="20"/>
      <c r="H709" s="20"/>
      <c r="I709" s="20"/>
      <c r="J709" s="20"/>
      <c r="K709" s="21"/>
      <c r="L709" s="159"/>
      <c r="M709" s="160"/>
      <c r="N709" s="17"/>
      <c r="O709" s="17"/>
      <c r="P709" s="17"/>
      <c r="Q709" s="17"/>
      <c r="R709" s="162"/>
    </row>
    <row r="710" ht="15.75" customHeight="1">
      <c r="C710" s="17"/>
      <c r="D710" s="17"/>
      <c r="E710" s="158"/>
      <c r="F710" s="17"/>
      <c r="G710" s="20"/>
      <c r="H710" s="20"/>
      <c r="I710" s="20"/>
      <c r="J710" s="20"/>
      <c r="K710" s="21"/>
      <c r="L710" s="159"/>
      <c r="M710" s="160"/>
      <c r="N710" s="17"/>
      <c r="O710" s="17"/>
      <c r="P710" s="17"/>
      <c r="Q710" s="17"/>
      <c r="R710" s="162"/>
    </row>
    <row r="711" ht="15.75" customHeight="1">
      <c r="C711" s="17"/>
      <c r="D711" s="17"/>
      <c r="E711" s="158"/>
      <c r="F711" s="17"/>
      <c r="G711" s="20"/>
      <c r="H711" s="20"/>
      <c r="I711" s="20"/>
      <c r="J711" s="20"/>
      <c r="K711" s="21"/>
      <c r="L711" s="159"/>
      <c r="M711" s="160"/>
      <c r="N711" s="17"/>
      <c r="O711" s="17"/>
      <c r="P711" s="17"/>
      <c r="Q711" s="17"/>
      <c r="R711" s="162"/>
    </row>
    <row r="712" ht="15.75" customHeight="1">
      <c r="C712" s="17"/>
      <c r="D712" s="17"/>
      <c r="E712" s="158"/>
      <c r="F712" s="17"/>
      <c r="G712" s="20"/>
      <c r="H712" s="20"/>
      <c r="I712" s="20"/>
      <c r="J712" s="20"/>
      <c r="K712" s="21"/>
      <c r="L712" s="159"/>
      <c r="M712" s="160"/>
      <c r="N712" s="17"/>
      <c r="O712" s="17"/>
      <c r="P712" s="17"/>
      <c r="Q712" s="17"/>
      <c r="R712" s="162"/>
    </row>
    <row r="713" ht="15.75" customHeight="1">
      <c r="C713" s="17"/>
      <c r="D713" s="17"/>
      <c r="E713" s="158"/>
      <c r="F713" s="17"/>
      <c r="G713" s="20"/>
      <c r="H713" s="20"/>
      <c r="I713" s="20"/>
      <c r="J713" s="20"/>
      <c r="K713" s="21"/>
      <c r="L713" s="159"/>
      <c r="M713" s="160"/>
      <c r="N713" s="17"/>
      <c r="O713" s="17"/>
      <c r="P713" s="17"/>
      <c r="Q713" s="17"/>
      <c r="R713" s="162"/>
    </row>
    <row r="714" ht="15.75" customHeight="1">
      <c r="C714" s="17"/>
      <c r="D714" s="17"/>
      <c r="E714" s="158"/>
      <c r="F714" s="17"/>
      <c r="G714" s="20"/>
      <c r="H714" s="20"/>
      <c r="I714" s="20"/>
      <c r="J714" s="20"/>
      <c r="K714" s="21"/>
      <c r="L714" s="159"/>
      <c r="M714" s="160"/>
      <c r="N714" s="17"/>
      <c r="O714" s="17"/>
      <c r="P714" s="17"/>
      <c r="Q714" s="17"/>
      <c r="R714" s="162"/>
    </row>
    <row r="715" ht="15.75" customHeight="1">
      <c r="C715" s="17"/>
      <c r="D715" s="17"/>
      <c r="E715" s="158"/>
      <c r="F715" s="17"/>
      <c r="G715" s="20"/>
      <c r="H715" s="20"/>
      <c r="I715" s="20"/>
      <c r="J715" s="20"/>
      <c r="K715" s="21"/>
      <c r="L715" s="159"/>
      <c r="M715" s="160"/>
      <c r="N715" s="17"/>
      <c r="O715" s="17"/>
      <c r="P715" s="17"/>
      <c r="Q715" s="17"/>
      <c r="R715" s="162"/>
    </row>
    <row r="716" ht="15.75" customHeight="1">
      <c r="C716" s="17"/>
      <c r="D716" s="17"/>
      <c r="E716" s="158"/>
      <c r="F716" s="17"/>
      <c r="G716" s="20"/>
      <c r="H716" s="20"/>
      <c r="I716" s="20"/>
      <c r="J716" s="20"/>
      <c r="K716" s="21"/>
      <c r="L716" s="159"/>
      <c r="M716" s="160"/>
      <c r="N716" s="17"/>
      <c r="O716" s="17"/>
      <c r="P716" s="17"/>
      <c r="Q716" s="17"/>
      <c r="R716" s="162"/>
    </row>
    <row r="717" ht="15.75" customHeight="1">
      <c r="C717" s="17"/>
      <c r="D717" s="17"/>
      <c r="E717" s="158"/>
      <c r="F717" s="17"/>
      <c r="G717" s="20"/>
      <c r="H717" s="20"/>
      <c r="I717" s="20"/>
      <c r="J717" s="20"/>
      <c r="K717" s="21"/>
      <c r="L717" s="159"/>
      <c r="M717" s="160"/>
      <c r="N717" s="17"/>
      <c r="O717" s="17"/>
      <c r="P717" s="17"/>
      <c r="Q717" s="17"/>
      <c r="R717" s="162"/>
    </row>
    <row r="718" ht="15.75" customHeight="1">
      <c r="C718" s="17"/>
      <c r="D718" s="17"/>
      <c r="E718" s="158"/>
      <c r="F718" s="17"/>
      <c r="G718" s="20"/>
      <c r="H718" s="20"/>
      <c r="I718" s="20"/>
      <c r="J718" s="20"/>
      <c r="K718" s="21"/>
      <c r="L718" s="159"/>
      <c r="M718" s="160"/>
      <c r="N718" s="17"/>
      <c r="O718" s="17"/>
      <c r="P718" s="17"/>
      <c r="Q718" s="17"/>
      <c r="R718" s="162"/>
    </row>
    <row r="719" ht="15.75" customHeight="1">
      <c r="C719" s="17"/>
      <c r="D719" s="17"/>
      <c r="E719" s="158"/>
      <c r="F719" s="17"/>
      <c r="G719" s="20"/>
      <c r="H719" s="20"/>
      <c r="I719" s="20"/>
      <c r="J719" s="20"/>
      <c r="K719" s="21"/>
      <c r="L719" s="159"/>
      <c r="M719" s="160"/>
      <c r="N719" s="17"/>
      <c r="O719" s="17"/>
      <c r="P719" s="17"/>
      <c r="Q719" s="17"/>
      <c r="R719" s="162"/>
    </row>
    <row r="720" ht="15.75" customHeight="1">
      <c r="C720" s="17"/>
      <c r="D720" s="17"/>
      <c r="E720" s="158"/>
      <c r="F720" s="17"/>
      <c r="G720" s="20"/>
      <c r="H720" s="20"/>
      <c r="I720" s="20"/>
      <c r="J720" s="20"/>
      <c r="K720" s="21"/>
      <c r="L720" s="159"/>
      <c r="M720" s="160"/>
      <c r="N720" s="17"/>
      <c r="O720" s="17"/>
      <c r="P720" s="17"/>
      <c r="Q720" s="17"/>
      <c r="R720" s="162"/>
    </row>
    <row r="721" ht="15.75" customHeight="1">
      <c r="C721" s="17"/>
      <c r="D721" s="17"/>
      <c r="E721" s="158"/>
      <c r="F721" s="17"/>
      <c r="G721" s="20"/>
      <c r="H721" s="20"/>
      <c r="I721" s="20"/>
      <c r="J721" s="20"/>
      <c r="K721" s="21"/>
      <c r="L721" s="159"/>
      <c r="M721" s="160"/>
      <c r="N721" s="17"/>
      <c r="O721" s="17"/>
      <c r="P721" s="17"/>
      <c r="Q721" s="17"/>
      <c r="R721" s="162"/>
    </row>
    <row r="722" ht="15.75" customHeight="1">
      <c r="C722" s="17"/>
      <c r="D722" s="17"/>
      <c r="E722" s="158"/>
      <c r="F722" s="17"/>
      <c r="G722" s="20"/>
      <c r="H722" s="20"/>
      <c r="I722" s="20"/>
      <c r="J722" s="20"/>
      <c r="K722" s="21"/>
      <c r="L722" s="159"/>
      <c r="M722" s="160"/>
      <c r="N722" s="17"/>
      <c r="O722" s="17"/>
      <c r="P722" s="17"/>
      <c r="Q722" s="17"/>
      <c r="R722" s="162"/>
    </row>
    <row r="723" ht="15.75" customHeight="1">
      <c r="C723" s="17"/>
      <c r="D723" s="17"/>
      <c r="E723" s="158"/>
      <c r="F723" s="17"/>
      <c r="G723" s="20"/>
      <c r="H723" s="20"/>
      <c r="I723" s="20"/>
      <c r="J723" s="20"/>
      <c r="K723" s="21"/>
      <c r="L723" s="159"/>
      <c r="M723" s="160"/>
      <c r="N723" s="17"/>
      <c r="O723" s="17"/>
      <c r="P723" s="17"/>
      <c r="Q723" s="17"/>
      <c r="R723" s="162"/>
    </row>
    <row r="724" ht="15.75" customHeight="1">
      <c r="C724" s="17"/>
      <c r="D724" s="17"/>
      <c r="E724" s="158"/>
      <c r="F724" s="17"/>
      <c r="G724" s="20"/>
      <c r="H724" s="20"/>
      <c r="I724" s="20"/>
      <c r="J724" s="20"/>
      <c r="K724" s="21"/>
      <c r="L724" s="159"/>
      <c r="M724" s="160"/>
      <c r="N724" s="17"/>
      <c r="O724" s="17"/>
      <c r="P724" s="17"/>
      <c r="Q724" s="17"/>
      <c r="R724" s="162"/>
    </row>
    <row r="725" ht="15.75" customHeight="1">
      <c r="C725" s="17"/>
      <c r="D725" s="17"/>
      <c r="E725" s="158"/>
      <c r="F725" s="17"/>
      <c r="G725" s="20"/>
      <c r="H725" s="20"/>
      <c r="I725" s="20"/>
      <c r="J725" s="20"/>
      <c r="K725" s="21"/>
      <c r="L725" s="159"/>
      <c r="M725" s="160"/>
      <c r="N725" s="17"/>
      <c r="O725" s="17"/>
      <c r="P725" s="17"/>
      <c r="Q725" s="17"/>
      <c r="R725" s="162"/>
    </row>
    <row r="726" ht="15.75" customHeight="1">
      <c r="C726" s="17"/>
      <c r="D726" s="17"/>
      <c r="E726" s="158"/>
      <c r="F726" s="17"/>
      <c r="G726" s="20"/>
      <c r="H726" s="20"/>
      <c r="I726" s="20"/>
      <c r="J726" s="20"/>
      <c r="K726" s="21"/>
      <c r="L726" s="159"/>
      <c r="M726" s="160"/>
      <c r="N726" s="17"/>
      <c r="O726" s="17"/>
      <c r="P726" s="17"/>
      <c r="Q726" s="17"/>
      <c r="R726" s="162"/>
    </row>
    <row r="727" ht="15.75" customHeight="1">
      <c r="C727" s="17"/>
      <c r="D727" s="17"/>
      <c r="E727" s="158"/>
      <c r="F727" s="17"/>
      <c r="G727" s="20"/>
      <c r="H727" s="20"/>
      <c r="I727" s="20"/>
      <c r="J727" s="20"/>
      <c r="K727" s="21"/>
      <c r="L727" s="159"/>
      <c r="M727" s="160"/>
      <c r="N727" s="17"/>
      <c r="O727" s="17"/>
      <c r="P727" s="17"/>
      <c r="Q727" s="17"/>
      <c r="R727" s="162"/>
    </row>
    <row r="728" ht="15.75" customHeight="1">
      <c r="C728" s="17"/>
      <c r="D728" s="17"/>
      <c r="E728" s="158"/>
      <c r="F728" s="17"/>
      <c r="G728" s="20"/>
      <c r="H728" s="20"/>
      <c r="I728" s="20"/>
      <c r="J728" s="20"/>
      <c r="K728" s="21"/>
      <c r="L728" s="159"/>
      <c r="M728" s="160"/>
      <c r="N728" s="17"/>
      <c r="O728" s="17"/>
      <c r="P728" s="17"/>
      <c r="Q728" s="17"/>
      <c r="R728" s="162"/>
    </row>
    <row r="729" ht="15.75" customHeight="1">
      <c r="C729" s="17"/>
      <c r="D729" s="17"/>
      <c r="E729" s="158"/>
      <c r="F729" s="17"/>
      <c r="G729" s="20"/>
      <c r="H729" s="20"/>
      <c r="I729" s="20"/>
      <c r="J729" s="20"/>
      <c r="K729" s="21"/>
      <c r="L729" s="159"/>
      <c r="M729" s="160"/>
      <c r="N729" s="17"/>
      <c r="O729" s="17"/>
      <c r="P729" s="17"/>
      <c r="Q729" s="17"/>
      <c r="R729" s="162"/>
    </row>
    <row r="730" ht="15.75" customHeight="1">
      <c r="C730" s="17"/>
      <c r="D730" s="17"/>
      <c r="E730" s="158"/>
      <c r="F730" s="17"/>
      <c r="G730" s="20"/>
      <c r="H730" s="20"/>
      <c r="I730" s="20"/>
      <c r="J730" s="20"/>
      <c r="K730" s="21"/>
      <c r="L730" s="159"/>
      <c r="M730" s="160"/>
      <c r="N730" s="17"/>
      <c r="O730" s="17"/>
      <c r="P730" s="17"/>
      <c r="Q730" s="17"/>
      <c r="R730" s="162"/>
    </row>
    <row r="731" ht="15.75" customHeight="1">
      <c r="C731" s="17"/>
      <c r="D731" s="17"/>
      <c r="E731" s="158"/>
      <c r="F731" s="17"/>
      <c r="G731" s="20"/>
      <c r="H731" s="20"/>
      <c r="I731" s="20"/>
      <c r="J731" s="20"/>
      <c r="K731" s="21"/>
      <c r="L731" s="159"/>
      <c r="M731" s="160"/>
      <c r="N731" s="17"/>
      <c r="O731" s="17"/>
      <c r="P731" s="17"/>
      <c r="Q731" s="17"/>
      <c r="R731" s="162"/>
    </row>
    <row r="732" ht="15.75" customHeight="1">
      <c r="C732" s="17"/>
      <c r="D732" s="17"/>
      <c r="E732" s="158"/>
      <c r="F732" s="17"/>
      <c r="G732" s="20"/>
      <c r="H732" s="20"/>
      <c r="I732" s="20"/>
      <c r="J732" s="20"/>
      <c r="K732" s="21"/>
      <c r="L732" s="159"/>
      <c r="M732" s="160"/>
      <c r="N732" s="17"/>
      <c r="O732" s="17"/>
      <c r="P732" s="17"/>
      <c r="Q732" s="17"/>
      <c r="R732" s="162"/>
    </row>
    <row r="733" ht="15.75" customHeight="1">
      <c r="C733" s="17"/>
      <c r="D733" s="17"/>
      <c r="E733" s="158"/>
      <c r="F733" s="17"/>
      <c r="G733" s="20"/>
      <c r="H733" s="20"/>
      <c r="I733" s="20"/>
      <c r="J733" s="20"/>
      <c r="K733" s="21"/>
      <c r="L733" s="159"/>
      <c r="M733" s="160"/>
      <c r="N733" s="17"/>
      <c r="O733" s="17"/>
      <c r="P733" s="17"/>
      <c r="Q733" s="17"/>
      <c r="R733" s="162"/>
    </row>
    <row r="734" ht="15.75" customHeight="1">
      <c r="C734" s="17"/>
      <c r="D734" s="17"/>
      <c r="E734" s="158"/>
      <c r="F734" s="17"/>
      <c r="G734" s="20"/>
      <c r="H734" s="20"/>
      <c r="I734" s="20"/>
      <c r="J734" s="20"/>
      <c r="K734" s="21"/>
      <c r="L734" s="159"/>
      <c r="M734" s="160"/>
      <c r="N734" s="17"/>
      <c r="O734" s="17"/>
      <c r="P734" s="17"/>
      <c r="Q734" s="17"/>
      <c r="R734" s="162"/>
    </row>
    <row r="735" ht="15.75" customHeight="1">
      <c r="C735" s="17"/>
      <c r="D735" s="17"/>
      <c r="E735" s="158"/>
      <c r="F735" s="17"/>
      <c r="G735" s="20"/>
      <c r="H735" s="20"/>
      <c r="I735" s="20"/>
      <c r="J735" s="20"/>
      <c r="K735" s="21"/>
      <c r="L735" s="159"/>
      <c r="M735" s="160"/>
      <c r="N735" s="17"/>
      <c r="O735" s="17"/>
      <c r="P735" s="17"/>
      <c r="Q735" s="17"/>
      <c r="R735" s="162"/>
    </row>
    <row r="736" ht="15.75" customHeight="1">
      <c r="C736" s="17"/>
      <c r="D736" s="17"/>
      <c r="E736" s="158"/>
      <c r="F736" s="17"/>
      <c r="G736" s="20"/>
      <c r="H736" s="20"/>
      <c r="I736" s="20"/>
      <c r="J736" s="20"/>
      <c r="K736" s="21"/>
      <c r="L736" s="159"/>
      <c r="M736" s="160"/>
      <c r="N736" s="17"/>
      <c r="O736" s="17"/>
      <c r="P736" s="17"/>
      <c r="Q736" s="17"/>
      <c r="R736" s="162"/>
    </row>
    <row r="737" ht="15.75" customHeight="1">
      <c r="C737" s="17"/>
      <c r="D737" s="17"/>
      <c r="E737" s="158"/>
      <c r="F737" s="17"/>
      <c r="G737" s="20"/>
      <c r="H737" s="20"/>
      <c r="I737" s="20"/>
      <c r="J737" s="20"/>
      <c r="K737" s="21"/>
      <c r="L737" s="159"/>
      <c r="M737" s="160"/>
      <c r="N737" s="17"/>
      <c r="O737" s="17"/>
      <c r="P737" s="17"/>
      <c r="Q737" s="17"/>
      <c r="R737" s="162"/>
    </row>
    <row r="738" ht="15.75" customHeight="1">
      <c r="C738" s="17"/>
      <c r="D738" s="17"/>
      <c r="E738" s="158"/>
      <c r="F738" s="17"/>
      <c r="G738" s="20"/>
      <c r="H738" s="20"/>
      <c r="I738" s="20"/>
      <c r="J738" s="20"/>
      <c r="K738" s="21"/>
      <c r="L738" s="159"/>
      <c r="M738" s="160"/>
      <c r="N738" s="17"/>
      <c r="O738" s="17"/>
      <c r="P738" s="17"/>
      <c r="Q738" s="17"/>
      <c r="R738" s="162"/>
    </row>
    <row r="739" ht="15.75" customHeight="1">
      <c r="C739" s="17"/>
      <c r="D739" s="17"/>
      <c r="E739" s="158"/>
      <c r="F739" s="17"/>
      <c r="G739" s="20"/>
      <c r="H739" s="20"/>
      <c r="I739" s="20"/>
      <c r="J739" s="20"/>
      <c r="K739" s="21"/>
      <c r="L739" s="159"/>
      <c r="M739" s="160"/>
      <c r="N739" s="17"/>
      <c r="O739" s="17"/>
      <c r="P739" s="17"/>
      <c r="Q739" s="17"/>
      <c r="R739" s="162"/>
    </row>
    <row r="740" ht="15.75" customHeight="1">
      <c r="C740" s="17"/>
      <c r="D740" s="17"/>
      <c r="E740" s="158"/>
      <c r="F740" s="17"/>
      <c r="G740" s="20"/>
      <c r="H740" s="20"/>
      <c r="I740" s="20"/>
      <c r="J740" s="20"/>
      <c r="K740" s="21"/>
      <c r="L740" s="159"/>
      <c r="M740" s="160"/>
      <c r="N740" s="17"/>
      <c r="O740" s="17"/>
      <c r="P740" s="17"/>
      <c r="Q740" s="17"/>
      <c r="R740" s="162"/>
    </row>
    <row r="741" ht="15.75" customHeight="1">
      <c r="C741" s="17"/>
      <c r="D741" s="17"/>
      <c r="E741" s="158"/>
      <c r="F741" s="17"/>
      <c r="G741" s="20"/>
      <c r="H741" s="20"/>
      <c r="I741" s="20"/>
      <c r="J741" s="20"/>
      <c r="K741" s="21"/>
      <c r="L741" s="159"/>
      <c r="M741" s="160"/>
      <c r="N741" s="17"/>
      <c r="O741" s="17"/>
      <c r="P741" s="17"/>
      <c r="Q741" s="17"/>
      <c r="R741" s="162"/>
    </row>
    <row r="742" ht="15.75" customHeight="1">
      <c r="C742" s="17"/>
      <c r="D742" s="17"/>
      <c r="E742" s="158"/>
      <c r="F742" s="17"/>
      <c r="G742" s="20"/>
      <c r="H742" s="20"/>
      <c r="I742" s="20"/>
      <c r="J742" s="20"/>
      <c r="K742" s="21"/>
      <c r="L742" s="159"/>
      <c r="M742" s="160"/>
      <c r="N742" s="17"/>
      <c r="O742" s="17"/>
      <c r="P742" s="17"/>
      <c r="Q742" s="17"/>
      <c r="R742" s="162"/>
    </row>
    <row r="743" ht="15.75" customHeight="1">
      <c r="C743" s="17"/>
      <c r="D743" s="17"/>
      <c r="E743" s="158"/>
      <c r="F743" s="17"/>
      <c r="G743" s="20"/>
      <c r="H743" s="20"/>
      <c r="I743" s="20"/>
      <c r="J743" s="20"/>
      <c r="K743" s="21"/>
      <c r="L743" s="159"/>
      <c r="M743" s="160"/>
      <c r="N743" s="17"/>
      <c r="O743" s="17"/>
      <c r="P743" s="17"/>
      <c r="Q743" s="17"/>
      <c r="R743" s="162"/>
    </row>
    <row r="744" ht="15.75" customHeight="1">
      <c r="C744" s="17"/>
      <c r="D744" s="17"/>
      <c r="E744" s="158"/>
      <c r="F744" s="17"/>
      <c r="G744" s="20"/>
      <c r="H744" s="20"/>
      <c r="I744" s="20"/>
      <c r="J744" s="20"/>
      <c r="K744" s="21"/>
      <c r="L744" s="159"/>
      <c r="M744" s="160"/>
      <c r="N744" s="17"/>
      <c r="O744" s="17"/>
      <c r="P744" s="17"/>
      <c r="Q744" s="17"/>
      <c r="R744" s="162"/>
    </row>
    <row r="745" ht="15.75" customHeight="1">
      <c r="C745" s="17"/>
      <c r="D745" s="17"/>
      <c r="E745" s="158"/>
      <c r="F745" s="17"/>
      <c r="G745" s="20"/>
      <c r="H745" s="20"/>
      <c r="I745" s="20"/>
      <c r="J745" s="20"/>
      <c r="K745" s="21"/>
      <c r="L745" s="159"/>
      <c r="M745" s="160"/>
      <c r="N745" s="17"/>
      <c r="O745" s="17"/>
      <c r="P745" s="17"/>
      <c r="Q745" s="17"/>
      <c r="R745" s="162"/>
    </row>
    <row r="746" ht="15.75" customHeight="1">
      <c r="C746" s="17"/>
      <c r="D746" s="17"/>
      <c r="E746" s="158"/>
      <c r="F746" s="17"/>
      <c r="G746" s="20"/>
      <c r="H746" s="20"/>
      <c r="I746" s="20"/>
      <c r="J746" s="20"/>
      <c r="K746" s="21"/>
      <c r="L746" s="159"/>
      <c r="M746" s="160"/>
      <c r="N746" s="17"/>
      <c r="O746" s="17"/>
      <c r="P746" s="17"/>
      <c r="Q746" s="17"/>
      <c r="R746" s="162"/>
    </row>
    <row r="747" ht="15.75" customHeight="1">
      <c r="C747" s="17"/>
      <c r="D747" s="17"/>
      <c r="E747" s="158"/>
      <c r="F747" s="17"/>
      <c r="G747" s="20"/>
      <c r="H747" s="20"/>
      <c r="I747" s="20"/>
      <c r="J747" s="20"/>
      <c r="K747" s="21"/>
      <c r="L747" s="159"/>
      <c r="M747" s="160"/>
      <c r="N747" s="17"/>
      <c r="O747" s="17"/>
      <c r="P747" s="17"/>
      <c r="Q747" s="17"/>
      <c r="R747" s="162"/>
    </row>
    <row r="748" ht="15.75" customHeight="1">
      <c r="C748" s="17"/>
      <c r="D748" s="17"/>
      <c r="E748" s="158"/>
      <c r="F748" s="17"/>
      <c r="G748" s="20"/>
      <c r="H748" s="20"/>
      <c r="I748" s="20"/>
      <c r="J748" s="20"/>
      <c r="K748" s="21"/>
      <c r="L748" s="159"/>
      <c r="M748" s="160"/>
      <c r="N748" s="17"/>
      <c r="O748" s="17"/>
      <c r="P748" s="17"/>
      <c r="Q748" s="17"/>
      <c r="R748" s="162"/>
    </row>
    <row r="749" ht="15.75" customHeight="1">
      <c r="C749" s="17"/>
      <c r="D749" s="17"/>
      <c r="E749" s="158"/>
      <c r="F749" s="17"/>
      <c r="G749" s="20"/>
      <c r="H749" s="20"/>
      <c r="I749" s="20"/>
      <c r="J749" s="20"/>
      <c r="K749" s="21"/>
      <c r="L749" s="159"/>
      <c r="M749" s="160"/>
      <c r="N749" s="17"/>
      <c r="O749" s="17"/>
      <c r="P749" s="17"/>
      <c r="Q749" s="17"/>
      <c r="R749" s="162"/>
    </row>
    <row r="750" ht="15.75" customHeight="1">
      <c r="C750" s="17"/>
      <c r="D750" s="17"/>
      <c r="E750" s="158"/>
      <c r="F750" s="17"/>
      <c r="G750" s="20"/>
      <c r="H750" s="20"/>
      <c r="I750" s="20"/>
      <c r="J750" s="20"/>
      <c r="K750" s="21"/>
      <c r="L750" s="159"/>
      <c r="M750" s="160"/>
      <c r="N750" s="17"/>
      <c r="O750" s="17"/>
      <c r="P750" s="17"/>
      <c r="Q750" s="17"/>
      <c r="R750" s="162"/>
    </row>
    <row r="751" ht="15.75" customHeight="1">
      <c r="C751" s="17"/>
      <c r="D751" s="17"/>
      <c r="E751" s="158"/>
      <c r="F751" s="17"/>
      <c r="G751" s="20"/>
      <c r="H751" s="20"/>
      <c r="I751" s="20"/>
      <c r="J751" s="20"/>
      <c r="K751" s="21"/>
      <c r="L751" s="159"/>
      <c r="M751" s="160"/>
      <c r="N751" s="17"/>
      <c r="O751" s="17"/>
      <c r="P751" s="17"/>
      <c r="Q751" s="17"/>
      <c r="R751" s="162"/>
    </row>
    <row r="752" ht="15.75" customHeight="1">
      <c r="C752" s="17"/>
      <c r="D752" s="17"/>
      <c r="E752" s="158"/>
      <c r="F752" s="17"/>
      <c r="G752" s="20"/>
      <c r="H752" s="20"/>
      <c r="I752" s="20"/>
      <c r="J752" s="20"/>
      <c r="K752" s="21"/>
      <c r="L752" s="159"/>
      <c r="M752" s="160"/>
      <c r="N752" s="17"/>
      <c r="O752" s="17"/>
      <c r="P752" s="17"/>
      <c r="Q752" s="17"/>
      <c r="R752" s="162"/>
    </row>
    <row r="753" ht="15.75" customHeight="1">
      <c r="C753" s="17"/>
      <c r="D753" s="17"/>
      <c r="E753" s="158"/>
      <c r="F753" s="17"/>
      <c r="G753" s="20"/>
      <c r="H753" s="20"/>
      <c r="I753" s="20"/>
      <c r="J753" s="20"/>
      <c r="K753" s="21"/>
      <c r="L753" s="159"/>
      <c r="M753" s="160"/>
      <c r="N753" s="17"/>
      <c r="O753" s="17"/>
      <c r="P753" s="17"/>
      <c r="Q753" s="17"/>
      <c r="R753" s="162"/>
    </row>
    <row r="754" ht="15.75" customHeight="1">
      <c r="C754" s="17"/>
      <c r="D754" s="17"/>
      <c r="E754" s="158"/>
      <c r="F754" s="17"/>
      <c r="G754" s="20"/>
      <c r="H754" s="20"/>
      <c r="I754" s="20"/>
      <c r="J754" s="20"/>
      <c r="K754" s="21"/>
      <c r="L754" s="159"/>
      <c r="M754" s="160"/>
      <c r="N754" s="17"/>
      <c r="O754" s="17"/>
      <c r="P754" s="17"/>
      <c r="Q754" s="17"/>
      <c r="R754" s="162"/>
    </row>
    <row r="755" ht="15.75" customHeight="1">
      <c r="C755" s="17"/>
      <c r="D755" s="17"/>
      <c r="E755" s="158"/>
      <c r="F755" s="17"/>
      <c r="G755" s="20"/>
      <c r="H755" s="20"/>
      <c r="I755" s="20"/>
      <c r="J755" s="20"/>
      <c r="K755" s="21"/>
      <c r="L755" s="159"/>
      <c r="M755" s="160"/>
      <c r="N755" s="17"/>
      <c r="O755" s="17"/>
      <c r="P755" s="17"/>
      <c r="Q755" s="17"/>
      <c r="R755" s="162"/>
    </row>
    <row r="756" ht="15.75" customHeight="1">
      <c r="C756" s="17"/>
      <c r="D756" s="17"/>
      <c r="E756" s="158"/>
      <c r="F756" s="17"/>
      <c r="G756" s="20"/>
      <c r="H756" s="20"/>
      <c r="I756" s="20"/>
      <c r="J756" s="20"/>
      <c r="K756" s="21"/>
      <c r="L756" s="159"/>
      <c r="M756" s="160"/>
      <c r="N756" s="17"/>
      <c r="O756" s="17"/>
      <c r="P756" s="17"/>
      <c r="Q756" s="17"/>
      <c r="R756" s="162"/>
    </row>
    <row r="757" ht="15.75" customHeight="1">
      <c r="C757" s="17"/>
      <c r="D757" s="17"/>
      <c r="E757" s="158"/>
      <c r="F757" s="17"/>
      <c r="G757" s="20"/>
      <c r="H757" s="20"/>
      <c r="I757" s="20"/>
      <c r="J757" s="20"/>
      <c r="K757" s="21"/>
      <c r="L757" s="159"/>
      <c r="M757" s="160"/>
      <c r="N757" s="17"/>
      <c r="O757" s="17"/>
      <c r="P757" s="17"/>
      <c r="Q757" s="17"/>
      <c r="R757" s="162"/>
    </row>
    <row r="758" ht="15.75" customHeight="1">
      <c r="C758" s="17"/>
      <c r="D758" s="17"/>
      <c r="E758" s="158"/>
      <c r="F758" s="17"/>
      <c r="G758" s="20"/>
      <c r="H758" s="20"/>
      <c r="I758" s="20"/>
      <c r="J758" s="20"/>
      <c r="K758" s="21"/>
      <c r="L758" s="159"/>
      <c r="M758" s="160"/>
      <c r="N758" s="17"/>
      <c r="O758" s="17"/>
      <c r="P758" s="17"/>
      <c r="Q758" s="17"/>
      <c r="R758" s="162"/>
    </row>
    <row r="759" ht="15.75" customHeight="1">
      <c r="C759" s="17"/>
      <c r="D759" s="17"/>
      <c r="E759" s="158"/>
      <c r="F759" s="17"/>
      <c r="G759" s="20"/>
      <c r="H759" s="20"/>
      <c r="I759" s="20"/>
      <c r="J759" s="20"/>
      <c r="K759" s="21"/>
      <c r="L759" s="159"/>
      <c r="M759" s="160"/>
      <c r="N759" s="17"/>
      <c r="O759" s="17"/>
      <c r="P759" s="17"/>
      <c r="Q759" s="17"/>
      <c r="R759" s="162"/>
    </row>
    <row r="760" ht="15.75" customHeight="1">
      <c r="C760" s="17"/>
      <c r="D760" s="17"/>
      <c r="E760" s="158"/>
      <c r="F760" s="17"/>
      <c r="G760" s="20"/>
      <c r="H760" s="20"/>
      <c r="I760" s="20"/>
      <c r="J760" s="20"/>
      <c r="K760" s="21"/>
      <c r="L760" s="159"/>
      <c r="M760" s="160"/>
      <c r="N760" s="17"/>
      <c r="O760" s="17"/>
      <c r="P760" s="17"/>
      <c r="Q760" s="17"/>
      <c r="R760" s="162"/>
    </row>
    <row r="761" ht="15.75" customHeight="1">
      <c r="C761" s="17"/>
      <c r="D761" s="17"/>
      <c r="E761" s="158"/>
      <c r="F761" s="17"/>
      <c r="G761" s="20"/>
      <c r="H761" s="20"/>
      <c r="I761" s="20"/>
      <c r="J761" s="20"/>
      <c r="K761" s="21"/>
      <c r="L761" s="159"/>
      <c r="M761" s="160"/>
      <c r="N761" s="17"/>
      <c r="O761" s="17"/>
      <c r="P761" s="17"/>
      <c r="Q761" s="17"/>
      <c r="R761" s="162"/>
    </row>
    <row r="762" ht="15.75" customHeight="1">
      <c r="C762" s="17"/>
      <c r="D762" s="17"/>
      <c r="E762" s="158"/>
      <c r="F762" s="17"/>
      <c r="G762" s="20"/>
      <c r="H762" s="20"/>
      <c r="I762" s="20"/>
      <c r="J762" s="20"/>
      <c r="K762" s="21"/>
      <c r="L762" s="159"/>
      <c r="M762" s="160"/>
      <c r="N762" s="17"/>
      <c r="O762" s="17"/>
      <c r="P762" s="17"/>
      <c r="Q762" s="17"/>
      <c r="R762" s="162"/>
    </row>
    <row r="763" ht="15.75" customHeight="1">
      <c r="C763" s="17"/>
      <c r="D763" s="17"/>
      <c r="E763" s="158"/>
      <c r="F763" s="17"/>
      <c r="G763" s="20"/>
      <c r="H763" s="20"/>
      <c r="I763" s="20"/>
      <c r="J763" s="20"/>
      <c r="K763" s="21"/>
      <c r="L763" s="159"/>
      <c r="M763" s="160"/>
      <c r="N763" s="17"/>
      <c r="O763" s="17"/>
      <c r="P763" s="17"/>
      <c r="Q763" s="17"/>
      <c r="R763" s="162"/>
    </row>
    <row r="764" ht="15.75" customHeight="1">
      <c r="C764" s="17"/>
      <c r="D764" s="17"/>
      <c r="E764" s="158"/>
      <c r="F764" s="17"/>
      <c r="G764" s="20"/>
      <c r="H764" s="20"/>
      <c r="I764" s="20"/>
      <c r="J764" s="20"/>
      <c r="K764" s="21"/>
      <c r="L764" s="159"/>
      <c r="M764" s="160"/>
      <c r="N764" s="17"/>
      <c r="O764" s="17"/>
      <c r="P764" s="17"/>
      <c r="Q764" s="17"/>
      <c r="R764" s="162"/>
    </row>
    <row r="765" ht="15.75" customHeight="1">
      <c r="C765" s="17"/>
      <c r="D765" s="17"/>
      <c r="E765" s="158"/>
      <c r="F765" s="17"/>
      <c r="G765" s="20"/>
      <c r="H765" s="20"/>
      <c r="I765" s="20"/>
      <c r="J765" s="20"/>
      <c r="K765" s="21"/>
      <c r="L765" s="159"/>
      <c r="M765" s="160"/>
      <c r="N765" s="17"/>
      <c r="O765" s="17"/>
      <c r="P765" s="17"/>
      <c r="Q765" s="17"/>
      <c r="R765" s="162"/>
    </row>
    <row r="766" ht="15.75" customHeight="1">
      <c r="C766" s="17"/>
      <c r="D766" s="17"/>
      <c r="E766" s="158"/>
      <c r="F766" s="17"/>
      <c r="G766" s="20"/>
      <c r="H766" s="20"/>
      <c r="I766" s="20"/>
      <c r="J766" s="20"/>
      <c r="K766" s="21"/>
      <c r="L766" s="159"/>
      <c r="M766" s="160"/>
      <c r="N766" s="17"/>
      <c r="O766" s="17"/>
      <c r="P766" s="17"/>
      <c r="Q766" s="17"/>
      <c r="R766" s="162"/>
    </row>
    <row r="767" ht="15.75" customHeight="1">
      <c r="C767" s="17"/>
      <c r="D767" s="17"/>
      <c r="E767" s="158"/>
      <c r="F767" s="17"/>
      <c r="G767" s="20"/>
      <c r="H767" s="20"/>
      <c r="I767" s="20"/>
      <c r="J767" s="20"/>
      <c r="K767" s="21"/>
      <c r="L767" s="159"/>
      <c r="M767" s="160"/>
      <c r="N767" s="17"/>
      <c r="O767" s="17"/>
      <c r="P767" s="17"/>
      <c r="Q767" s="17"/>
      <c r="R767" s="162"/>
    </row>
    <row r="768" ht="15.75" customHeight="1">
      <c r="C768" s="17"/>
      <c r="D768" s="17"/>
      <c r="E768" s="158"/>
      <c r="F768" s="17"/>
      <c r="G768" s="20"/>
      <c r="H768" s="20"/>
      <c r="I768" s="20"/>
      <c r="J768" s="20"/>
      <c r="K768" s="21"/>
      <c r="L768" s="159"/>
      <c r="M768" s="160"/>
      <c r="N768" s="17"/>
      <c r="O768" s="17"/>
      <c r="P768" s="17"/>
      <c r="Q768" s="17"/>
      <c r="R768" s="162"/>
    </row>
    <row r="769" ht="15.75" customHeight="1">
      <c r="C769" s="17"/>
      <c r="D769" s="17"/>
      <c r="E769" s="158"/>
      <c r="F769" s="17"/>
      <c r="G769" s="20"/>
      <c r="H769" s="20"/>
      <c r="I769" s="20"/>
      <c r="J769" s="20"/>
      <c r="K769" s="21"/>
      <c r="L769" s="159"/>
      <c r="M769" s="160"/>
      <c r="N769" s="17"/>
      <c r="O769" s="17"/>
      <c r="P769" s="17"/>
      <c r="Q769" s="17"/>
      <c r="R769" s="162"/>
    </row>
    <row r="770" ht="15.75" customHeight="1">
      <c r="C770" s="17"/>
      <c r="D770" s="17"/>
      <c r="E770" s="158"/>
      <c r="F770" s="17"/>
      <c r="G770" s="20"/>
      <c r="H770" s="20"/>
      <c r="I770" s="20"/>
      <c r="J770" s="20"/>
      <c r="K770" s="21"/>
      <c r="L770" s="159"/>
      <c r="M770" s="160"/>
      <c r="N770" s="17"/>
      <c r="O770" s="17"/>
      <c r="P770" s="17"/>
      <c r="Q770" s="17"/>
      <c r="R770" s="162"/>
    </row>
    <row r="771" ht="15.75" customHeight="1">
      <c r="C771" s="17"/>
      <c r="D771" s="17"/>
      <c r="E771" s="158"/>
      <c r="F771" s="17"/>
      <c r="G771" s="20"/>
      <c r="H771" s="20"/>
      <c r="I771" s="20"/>
      <c r="J771" s="20"/>
      <c r="K771" s="21"/>
      <c r="L771" s="159"/>
      <c r="M771" s="160"/>
      <c r="N771" s="17"/>
      <c r="O771" s="17"/>
      <c r="P771" s="17"/>
      <c r="Q771" s="17"/>
      <c r="R771" s="162"/>
    </row>
    <row r="772" ht="15.75" customHeight="1">
      <c r="C772" s="17"/>
      <c r="D772" s="17"/>
      <c r="E772" s="158"/>
      <c r="F772" s="17"/>
      <c r="G772" s="20"/>
      <c r="H772" s="20"/>
      <c r="I772" s="20"/>
      <c r="J772" s="20"/>
      <c r="K772" s="21"/>
      <c r="L772" s="159"/>
      <c r="M772" s="160"/>
      <c r="N772" s="17"/>
      <c r="O772" s="17"/>
      <c r="P772" s="17"/>
      <c r="Q772" s="17"/>
      <c r="R772" s="162"/>
    </row>
    <row r="773" ht="15.75" customHeight="1">
      <c r="C773" s="17"/>
      <c r="D773" s="17"/>
      <c r="E773" s="158"/>
      <c r="F773" s="17"/>
      <c r="G773" s="20"/>
      <c r="H773" s="20"/>
      <c r="I773" s="20"/>
      <c r="J773" s="20"/>
      <c r="K773" s="21"/>
      <c r="L773" s="159"/>
      <c r="M773" s="160"/>
      <c r="N773" s="17"/>
      <c r="O773" s="17"/>
      <c r="P773" s="17"/>
      <c r="Q773" s="17"/>
      <c r="R773" s="162"/>
    </row>
    <row r="774" ht="15.75" customHeight="1">
      <c r="C774" s="17"/>
      <c r="D774" s="17"/>
      <c r="E774" s="158"/>
      <c r="F774" s="17"/>
      <c r="G774" s="20"/>
      <c r="H774" s="20"/>
      <c r="I774" s="20"/>
      <c r="J774" s="20"/>
      <c r="K774" s="21"/>
      <c r="L774" s="159"/>
      <c r="M774" s="160"/>
      <c r="N774" s="17"/>
      <c r="O774" s="17"/>
      <c r="P774" s="17"/>
      <c r="Q774" s="17"/>
      <c r="R774" s="162"/>
    </row>
    <row r="775" ht="15.75" customHeight="1">
      <c r="C775" s="17"/>
      <c r="D775" s="17"/>
      <c r="E775" s="158"/>
      <c r="F775" s="17"/>
      <c r="G775" s="20"/>
      <c r="H775" s="20"/>
      <c r="I775" s="20"/>
      <c r="J775" s="20"/>
      <c r="K775" s="21"/>
      <c r="L775" s="159"/>
      <c r="M775" s="160"/>
      <c r="N775" s="17"/>
      <c r="O775" s="17"/>
      <c r="P775" s="17"/>
      <c r="Q775" s="17"/>
      <c r="R775" s="162"/>
    </row>
    <row r="776" ht="15.75" customHeight="1">
      <c r="C776" s="17"/>
      <c r="D776" s="17"/>
      <c r="E776" s="158"/>
      <c r="F776" s="17"/>
      <c r="G776" s="20"/>
      <c r="H776" s="20"/>
      <c r="I776" s="20"/>
      <c r="J776" s="20"/>
      <c r="K776" s="21"/>
      <c r="L776" s="159"/>
      <c r="M776" s="160"/>
      <c r="N776" s="17"/>
      <c r="O776" s="17"/>
      <c r="P776" s="17"/>
      <c r="Q776" s="17"/>
      <c r="R776" s="162"/>
    </row>
    <row r="777" ht="15.75" customHeight="1">
      <c r="C777" s="17"/>
      <c r="D777" s="17"/>
      <c r="E777" s="158"/>
      <c r="F777" s="17"/>
      <c r="G777" s="20"/>
      <c r="H777" s="20"/>
      <c r="I777" s="20"/>
      <c r="J777" s="20"/>
      <c r="K777" s="21"/>
      <c r="L777" s="159"/>
      <c r="M777" s="160"/>
      <c r="N777" s="17"/>
      <c r="O777" s="17"/>
      <c r="P777" s="17"/>
      <c r="Q777" s="17"/>
      <c r="R777" s="162"/>
    </row>
    <row r="778" ht="15.75" customHeight="1">
      <c r="C778" s="17"/>
      <c r="D778" s="17"/>
      <c r="E778" s="158"/>
      <c r="F778" s="17"/>
      <c r="G778" s="20"/>
      <c r="H778" s="20"/>
      <c r="I778" s="20"/>
      <c r="J778" s="20"/>
      <c r="K778" s="21"/>
      <c r="L778" s="159"/>
      <c r="M778" s="160"/>
      <c r="N778" s="17"/>
      <c r="O778" s="17"/>
      <c r="P778" s="17"/>
      <c r="Q778" s="17"/>
      <c r="R778" s="162"/>
    </row>
    <row r="779" ht="15.75" customHeight="1">
      <c r="C779" s="17"/>
      <c r="D779" s="17"/>
      <c r="E779" s="158"/>
      <c r="F779" s="17"/>
      <c r="G779" s="20"/>
      <c r="H779" s="20"/>
      <c r="I779" s="20"/>
      <c r="J779" s="20"/>
      <c r="K779" s="21"/>
      <c r="L779" s="159"/>
      <c r="M779" s="160"/>
      <c r="N779" s="17"/>
      <c r="O779" s="17"/>
      <c r="P779" s="17"/>
      <c r="Q779" s="17"/>
      <c r="R779" s="162"/>
    </row>
    <row r="780" ht="15.75" customHeight="1">
      <c r="C780" s="17"/>
      <c r="D780" s="17"/>
      <c r="E780" s="158"/>
      <c r="F780" s="17"/>
      <c r="G780" s="20"/>
      <c r="H780" s="20"/>
      <c r="I780" s="20"/>
      <c r="J780" s="20"/>
      <c r="K780" s="21"/>
      <c r="L780" s="159"/>
      <c r="M780" s="160"/>
      <c r="N780" s="17"/>
      <c r="O780" s="17"/>
      <c r="P780" s="17"/>
      <c r="Q780" s="17"/>
      <c r="R780" s="162"/>
    </row>
    <row r="781" ht="15.75" customHeight="1">
      <c r="C781" s="17"/>
      <c r="D781" s="17"/>
      <c r="E781" s="158"/>
      <c r="F781" s="17"/>
      <c r="G781" s="20"/>
      <c r="H781" s="20"/>
      <c r="I781" s="20"/>
      <c r="J781" s="20"/>
      <c r="K781" s="21"/>
      <c r="L781" s="159"/>
      <c r="M781" s="160"/>
      <c r="N781" s="17"/>
      <c r="O781" s="17"/>
      <c r="P781" s="17"/>
      <c r="Q781" s="17"/>
      <c r="R781" s="162"/>
    </row>
    <row r="782" ht="15.75" customHeight="1">
      <c r="C782" s="17"/>
      <c r="D782" s="17"/>
      <c r="E782" s="158"/>
      <c r="F782" s="17"/>
      <c r="G782" s="20"/>
      <c r="H782" s="20"/>
      <c r="I782" s="20"/>
      <c r="J782" s="20"/>
      <c r="K782" s="21"/>
      <c r="L782" s="159"/>
      <c r="M782" s="160"/>
      <c r="N782" s="17"/>
      <c r="O782" s="17"/>
      <c r="P782" s="17"/>
      <c r="Q782" s="17"/>
      <c r="R782" s="162"/>
    </row>
    <row r="783" ht="15.75" customHeight="1">
      <c r="C783" s="17"/>
      <c r="D783" s="17"/>
      <c r="E783" s="158"/>
      <c r="F783" s="17"/>
      <c r="G783" s="20"/>
      <c r="H783" s="20"/>
      <c r="I783" s="20"/>
      <c r="J783" s="20"/>
      <c r="K783" s="21"/>
      <c r="L783" s="159"/>
      <c r="M783" s="160"/>
      <c r="N783" s="17"/>
      <c r="O783" s="17"/>
      <c r="P783" s="17"/>
      <c r="Q783" s="17"/>
      <c r="R783" s="162"/>
    </row>
    <row r="784" ht="15.75" customHeight="1">
      <c r="C784" s="17"/>
      <c r="D784" s="17"/>
      <c r="E784" s="158"/>
      <c r="F784" s="17"/>
      <c r="G784" s="20"/>
      <c r="H784" s="20"/>
      <c r="I784" s="20"/>
      <c r="J784" s="20"/>
      <c r="K784" s="21"/>
      <c r="L784" s="159"/>
      <c r="M784" s="160"/>
      <c r="N784" s="17"/>
      <c r="O784" s="17"/>
      <c r="P784" s="17"/>
      <c r="Q784" s="17"/>
      <c r="R784" s="162"/>
    </row>
    <row r="785" ht="15.75" customHeight="1">
      <c r="C785" s="17"/>
      <c r="D785" s="17"/>
      <c r="E785" s="158"/>
      <c r="F785" s="17"/>
      <c r="G785" s="20"/>
      <c r="H785" s="20"/>
      <c r="I785" s="20"/>
      <c r="J785" s="20"/>
      <c r="K785" s="21"/>
      <c r="L785" s="159"/>
      <c r="M785" s="160"/>
      <c r="N785" s="17"/>
      <c r="O785" s="17"/>
      <c r="P785" s="17"/>
      <c r="Q785" s="17"/>
      <c r="R785" s="162"/>
    </row>
    <row r="786" ht="15.75" customHeight="1">
      <c r="C786" s="17"/>
      <c r="D786" s="17"/>
      <c r="E786" s="158"/>
      <c r="F786" s="17"/>
      <c r="G786" s="20"/>
      <c r="H786" s="20"/>
      <c r="I786" s="20"/>
      <c r="J786" s="20"/>
      <c r="K786" s="21"/>
      <c r="L786" s="159"/>
      <c r="M786" s="160"/>
      <c r="N786" s="17"/>
      <c r="O786" s="17"/>
      <c r="P786" s="17"/>
      <c r="Q786" s="17"/>
      <c r="R786" s="162"/>
    </row>
    <row r="787" ht="15.75" customHeight="1">
      <c r="C787" s="17"/>
      <c r="D787" s="17"/>
      <c r="E787" s="158"/>
      <c r="F787" s="17"/>
      <c r="G787" s="20"/>
      <c r="H787" s="20"/>
      <c r="I787" s="20"/>
      <c r="J787" s="20"/>
      <c r="K787" s="21"/>
      <c r="L787" s="159"/>
      <c r="M787" s="160"/>
      <c r="N787" s="17"/>
      <c r="O787" s="17"/>
      <c r="P787" s="17"/>
      <c r="Q787" s="17"/>
      <c r="R787" s="162"/>
    </row>
    <row r="788" ht="15.75" customHeight="1">
      <c r="C788" s="17"/>
      <c r="D788" s="17"/>
      <c r="E788" s="158"/>
      <c r="F788" s="17"/>
      <c r="G788" s="20"/>
      <c r="H788" s="20"/>
      <c r="I788" s="20"/>
      <c r="J788" s="20"/>
      <c r="K788" s="21"/>
      <c r="L788" s="159"/>
      <c r="M788" s="160"/>
      <c r="N788" s="17"/>
      <c r="O788" s="17"/>
      <c r="P788" s="17"/>
      <c r="Q788" s="17"/>
      <c r="R788" s="162"/>
    </row>
    <row r="789" ht="15.75" customHeight="1">
      <c r="C789" s="17"/>
      <c r="D789" s="17"/>
      <c r="E789" s="158"/>
      <c r="F789" s="17"/>
      <c r="G789" s="20"/>
      <c r="H789" s="20"/>
      <c r="I789" s="20"/>
      <c r="J789" s="20"/>
      <c r="K789" s="21"/>
      <c r="L789" s="159"/>
      <c r="M789" s="160"/>
      <c r="N789" s="17"/>
      <c r="O789" s="17"/>
      <c r="P789" s="17"/>
      <c r="Q789" s="17"/>
      <c r="R789" s="162"/>
    </row>
    <row r="790" ht="15.75" customHeight="1">
      <c r="C790" s="17"/>
      <c r="D790" s="17"/>
      <c r="E790" s="158"/>
      <c r="F790" s="17"/>
      <c r="G790" s="20"/>
      <c r="H790" s="20"/>
      <c r="I790" s="20"/>
      <c r="J790" s="20"/>
      <c r="K790" s="21"/>
      <c r="L790" s="159"/>
      <c r="M790" s="160"/>
      <c r="N790" s="17"/>
      <c r="O790" s="17"/>
      <c r="P790" s="17"/>
      <c r="Q790" s="17"/>
      <c r="R790" s="162"/>
    </row>
    <row r="791" ht="15.75" customHeight="1">
      <c r="C791" s="17"/>
      <c r="D791" s="17"/>
      <c r="E791" s="158"/>
      <c r="F791" s="17"/>
      <c r="G791" s="20"/>
      <c r="H791" s="20"/>
      <c r="I791" s="20"/>
      <c r="J791" s="20"/>
      <c r="K791" s="21"/>
      <c r="L791" s="159"/>
      <c r="M791" s="160"/>
      <c r="N791" s="17"/>
      <c r="O791" s="17"/>
      <c r="P791" s="17"/>
      <c r="Q791" s="17"/>
      <c r="R791" s="162"/>
    </row>
    <row r="792" ht="15.75" customHeight="1">
      <c r="C792" s="17"/>
      <c r="D792" s="17"/>
      <c r="E792" s="158"/>
      <c r="F792" s="17"/>
      <c r="G792" s="20"/>
      <c r="H792" s="20"/>
      <c r="I792" s="20"/>
      <c r="J792" s="20"/>
      <c r="K792" s="21"/>
      <c r="L792" s="159"/>
      <c r="M792" s="160"/>
      <c r="N792" s="17"/>
      <c r="O792" s="17"/>
      <c r="P792" s="17"/>
      <c r="Q792" s="17"/>
      <c r="R792" s="162"/>
    </row>
    <row r="793" ht="15.75" customHeight="1">
      <c r="C793" s="17"/>
      <c r="D793" s="17"/>
      <c r="E793" s="158"/>
      <c r="F793" s="17"/>
      <c r="G793" s="20"/>
      <c r="H793" s="20"/>
      <c r="I793" s="20"/>
      <c r="J793" s="20"/>
      <c r="K793" s="21"/>
      <c r="L793" s="159"/>
      <c r="M793" s="160"/>
      <c r="N793" s="17"/>
      <c r="O793" s="17"/>
      <c r="P793" s="17"/>
      <c r="Q793" s="17"/>
      <c r="R793" s="162"/>
    </row>
    <row r="794" ht="15.75" customHeight="1">
      <c r="C794" s="17"/>
      <c r="D794" s="17"/>
      <c r="E794" s="158"/>
      <c r="F794" s="17"/>
      <c r="G794" s="20"/>
      <c r="H794" s="20"/>
      <c r="I794" s="20"/>
      <c r="J794" s="20"/>
      <c r="K794" s="21"/>
      <c r="L794" s="159"/>
      <c r="M794" s="160"/>
      <c r="N794" s="17"/>
      <c r="O794" s="17"/>
      <c r="P794" s="17"/>
      <c r="Q794" s="17"/>
      <c r="R794" s="162"/>
    </row>
    <row r="795" ht="15.75" customHeight="1">
      <c r="C795" s="17"/>
      <c r="D795" s="17"/>
      <c r="E795" s="158"/>
      <c r="F795" s="17"/>
      <c r="G795" s="20"/>
      <c r="H795" s="20"/>
      <c r="I795" s="20"/>
      <c r="J795" s="20"/>
      <c r="K795" s="21"/>
      <c r="L795" s="159"/>
      <c r="M795" s="160"/>
      <c r="N795" s="17"/>
      <c r="O795" s="17"/>
      <c r="P795" s="17"/>
      <c r="Q795" s="17"/>
      <c r="R795" s="162"/>
    </row>
    <row r="796" ht="15.75" customHeight="1">
      <c r="C796" s="17"/>
      <c r="D796" s="17"/>
      <c r="E796" s="158"/>
      <c r="F796" s="17"/>
      <c r="G796" s="20"/>
      <c r="H796" s="20"/>
      <c r="I796" s="20"/>
      <c r="J796" s="20"/>
      <c r="K796" s="21"/>
      <c r="L796" s="159"/>
      <c r="M796" s="160"/>
      <c r="N796" s="17"/>
      <c r="O796" s="17"/>
      <c r="P796" s="17"/>
      <c r="Q796" s="17"/>
      <c r="R796" s="162"/>
    </row>
    <row r="797" ht="15.75" customHeight="1">
      <c r="C797" s="17"/>
      <c r="D797" s="17"/>
      <c r="E797" s="158"/>
      <c r="F797" s="17"/>
      <c r="G797" s="20"/>
      <c r="H797" s="20"/>
      <c r="I797" s="20"/>
      <c r="J797" s="20"/>
      <c r="K797" s="21"/>
      <c r="L797" s="159"/>
      <c r="M797" s="160"/>
      <c r="N797" s="17"/>
      <c r="O797" s="17"/>
      <c r="P797" s="17"/>
      <c r="Q797" s="17"/>
      <c r="R797" s="162"/>
    </row>
    <row r="798" ht="15.75" customHeight="1">
      <c r="C798" s="17"/>
      <c r="D798" s="17"/>
      <c r="E798" s="158"/>
      <c r="F798" s="17"/>
      <c r="G798" s="20"/>
      <c r="H798" s="20"/>
      <c r="I798" s="20"/>
      <c r="J798" s="20"/>
      <c r="K798" s="21"/>
      <c r="L798" s="159"/>
      <c r="M798" s="160"/>
      <c r="N798" s="17"/>
      <c r="O798" s="17"/>
      <c r="P798" s="17"/>
      <c r="Q798" s="17"/>
      <c r="R798" s="162"/>
    </row>
    <row r="799" ht="15.75" customHeight="1">
      <c r="C799" s="17"/>
      <c r="D799" s="17"/>
      <c r="E799" s="158"/>
      <c r="F799" s="17"/>
      <c r="G799" s="20"/>
      <c r="H799" s="20"/>
      <c r="I799" s="20"/>
      <c r="J799" s="20"/>
      <c r="K799" s="21"/>
      <c r="L799" s="159"/>
      <c r="M799" s="160"/>
      <c r="N799" s="17"/>
      <c r="O799" s="17"/>
      <c r="P799" s="17"/>
      <c r="Q799" s="17"/>
      <c r="R799" s="162"/>
    </row>
    <row r="800" ht="15.75" customHeight="1">
      <c r="C800" s="17"/>
      <c r="D800" s="17"/>
      <c r="E800" s="158"/>
      <c r="F800" s="17"/>
      <c r="G800" s="20"/>
      <c r="H800" s="20"/>
      <c r="I800" s="20"/>
      <c r="J800" s="20"/>
      <c r="K800" s="21"/>
      <c r="L800" s="159"/>
      <c r="M800" s="160"/>
      <c r="N800" s="17"/>
      <c r="O800" s="17"/>
      <c r="P800" s="17"/>
      <c r="Q800" s="17"/>
      <c r="R800" s="162"/>
    </row>
    <row r="801" ht="15.75" customHeight="1">
      <c r="C801" s="17"/>
      <c r="D801" s="17"/>
      <c r="E801" s="158"/>
      <c r="F801" s="17"/>
      <c r="G801" s="20"/>
      <c r="H801" s="20"/>
      <c r="I801" s="20"/>
      <c r="J801" s="20"/>
      <c r="K801" s="21"/>
      <c r="L801" s="159"/>
      <c r="M801" s="160"/>
      <c r="N801" s="17"/>
      <c r="O801" s="17"/>
      <c r="P801" s="17"/>
      <c r="Q801" s="17"/>
      <c r="R801" s="162"/>
    </row>
    <row r="802" ht="15.75" customHeight="1">
      <c r="C802" s="17"/>
      <c r="D802" s="17"/>
      <c r="E802" s="158"/>
      <c r="F802" s="17"/>
      <c r="G802" s="20"/>
      <c r="H802" s="20"/>
      <c r="I802" s="20"/>
      <c r="J802" s="20"/>
      <c r="K802" s="21"/>
      <c r="L802" s="159"/>
      <c r="M802" s="160"/>
      <c r="N802" s="17"/>
      <c r="O802" s="17"/>
      <c r="P802" s="17"/>
      <c r="Q802" s="17"/>
      <c r="R802" s="162"/>
    </row>
    <row r="803" ht="15.75" customHeight="1">
      <c r="C803" s="17"/>
      <c r="D803" s="17"/>
      <c r="E803" s="158"/>
      <c r="F803" s="17"/>
      <c r="G803" s="20"/>
      <c r="H803" s="20"/>
      <c r="I803" s="20"/>
      <c r="J803" s="20"/>
      <c r="K803" s="21"/>
      <c r="L803" s="159"/>
      <c r="M803" s="160"/>
      <c r="N803" s="17"/>
      <c r="O803" s="17"/>
      <c r="P803" s="17"/>
      <c r="Q803" s="17"/>
      <c r="R803" s="162"/>
    </row>
    <row r="804" ht="15.75" customHeight="1">
      <c r="C804" s="17"/>
      <c r="D804" s="17"/>
      <c r="E804" s="158"/>
      <c r="F804" s="17"/>
      <c r="G804" s="20"/>
      <c r="H804" s="20"/>
      <c r="I804" s="20"/>
      <c r="J804" s="20"/>
      <c r="K804" s="21"/>
      <c r="L804" s="159"/>
      <c r="M804" s="160"/>
      <c r="N804" s="17"/>
      <c r="O804" s="17"/>
      <c r="P804" s="17"/>
      <c r="Q804" s="17"/>
      <c r="R804" s="162"/>
    </row>
    <row r="805" ht="15.75" customHeight="1">
      <c r="C805" s="17"/>
      <c r="D805" s="17"/>
      <c r="E805" s="158"/>
      <c r="F805" s="17"/>
      <c r="G805" s="20"/>
      <c r="H805" s="20"/>
      <c r="I805" s="20"/>
      <c r="J805" s="20"/>
      <c r="K805" s="21"/>
      <c r="L805" s="159"/>
      <c r="M805" s="160"/>
      <c r="N805" s="17"/>
      <c r="O805" s="17"/>
      <c r="P805" s="17"/>
      <c r="Q805" s="17"/>
      <c r="R805" s="162"/>
    </row>
    <row r="806" ht="15.75" customHeight="1">
      <c r="C806" s="17"/>
      <c r="D806" s="17"/>
      <c r="E806" s="158"/>
      <c r="F806" s="17"/>
      <c r="G806" s="20"/>
      <c r="H806" s="20"/>
      <c r="I806" s="20"/>
      <c r="J806" s="20"/>
      <c r="K806" s="21"/>
      <c r="L806" s="159"/>
      <c r="M806" s="160"/>
      <c r="N806" s="17"/>
      <c r="O806" s="17"/>
      <c r="P806" s="17"/>
      <c r="Q806" s="17"/>
      <c r="R806" s="162"/>
    </row>
    <row r="807" ht="15.75" customHeight="1">
      <c r="C807" s="17"/>
      <c r="D807" s="17"/>
      <c r="E807" s="158"/>
      <c r="F807" s="17"/>
      <c r="G807" s="20"/>
      <c r="H807" s="20"/>
      <c r="I807" s="20"/>
      <c r="J807" s="20"/>
      <c r="K807" s="21"/>
      <c r="L807" s="159"/>
      <c r="M807" s="160"/>
      <c r="N807" s="17"/>
      <c r="O807" s="17"/>
      <c r="P807" s="17"/>
      <c r="Q807" s="17"/>
      <c r="R807" s="162"/>
    </row>
    <row r="808" ht="15.75" customHeight="1">
      <c r="C808" s="17"/>
      <c r="D808" s="17"/>
      <c r="E808" s="158"/>
      <c r="F808" s="17"/>
      <c r="G808" s="20"/>
      <c r="H808" s="20"/>
      <c r="I808" s="20"/>
      <c r="J808" s="20"/>
      <c r="K808" s="21"/>
      <c r="L808" s="159"/>
      <c r="M808" s="160"/>
      <c r="N808" s="17"/>
      <c r="O808" s="17"/>
      <c r="P808" s="17"/>
      <c r="Q808" s="17"/>
      <c r="R808" s="162"/>
    </row>
    <row r="809" ht="15.75" customHeight="1">
      <c r="C809" s="17"/>
      <c r="D809" s="17"/>
      <c r="E809" s="158"/>
      <c r="F809" s="17"/>
      <c r="G809" s="20"/>
      <c r="H809" s="20"/>
      <c r="I809" s="20"/>
      <c r="J809" s="20"/>
      <c r="K809" s="21"/>
      <c r="L809" s="159"/>
      <c r="M809" s="160"/>
      <c r="N809" s="17"/>
      <c r="O809" s="17"/>
      <c r="P809" s="17"/>
      <c r="Q809" s="17"/>
      <c r="R809" s="162"/>
    </row>
    <row r="810" ht="15.75" customHeight="1">
      <c r="C810" s="17"/>
      <c r="D810" s="17"/>
      <c r="E810" s="158"/>
      <c r="F810" s="17"/>
      <c r="G810" s="20"/>
      <c r="H810" s="20"/>
      <c r="I810" s="20"/>
      <c r="J810" s="20"/>
      <c r="K810" s="21"/>
      <c r="L810" s="159"/>
      <c r="M810" s="160"/>
      <c r="N810" s="17"/>
      <c r="O810" s="17"/>
      <c r="P810" s="17"/>
      <c r="Q810" s="17"/>
      <c r="R810" s="162"/>
    </row>
    <row r="811" ht="15.75" customHeight="1">
      <c r="C811" s="17"/>
      <c r="D811" s="17"/>
      <c r="E811" s="158"/>
      <c r="F811" s="17"/>
      <c r="G811" s="20"/>
      <c r="H811" s="20"/>
      <c r="I811" s="20"/>
      <c r="J811" s="20"/>
      <c r="K811" s="21"/>
      <c r="L811" s="159"/>
      <c r="M811" s="160"/>
      <c r="N811" s="17"/>
      <c r="O811" s="17"/>
      <c r="P811" s="17"/>
      <c r="Q811" s="17"/>
      <c r="R811" s="162"/>
    </row>
    <row r="812" ht="15.75" customHeight="1">
      <c r="C812" s="17"/>
      <c r="D812" s="17"/>
      <c r="E812" s="158"/>
      <c r="F812" s="17"/>
      <c r="G812" s="20"/>
      <c r="H812" s="20"/>
      <c r="I812" s="20"/>
      <c r="J812" s="20"/>
      <c r="K812" s="21"/>
      <c r="L812" s="159"/>
      <c r="M812" s="160"/>
      <c r="N812" s="17"/>
      <c r="O812" s="17"/>
      <c r="P812" s="17"/>
      <c r="Q812" s="17"/>
      <c r="R812" s="162"/>
    </row>
    <row r="813" ht="15.75" customHeight="1">
      <c r="C813" s="17"/>
      <c r="D813" s="17"/>
      <c r="E813" s="158"/>
      <c r="F813" s="17"/>
      <c r="G813" s="20"/>
      <c r="H813" s="20"/>
      <c r="I813" s="20"/>
      <c r="J813" s="20"/>
      <c r="K813" s="21"/>
      <c r="L813" s="159"/>
      <c r="M813" s="160"/>
      <c r="N813" s="17"/>
      <c r="O813" s="17"/>
      <c r="P813" s="17"/>
      <c r="Q813" s="17"/>
      <c r="R813" s="162"/>
    </row>
    <row r="814" ht="15.75" customHeight="1">
      <c r="C814" s="17"/>
      <c r="D814" s="17"/>
      <c r="E814" s="158"/>
      <c r="F814" s="17"/>
      <c r="G814" s="20"/>
      <c r="H814" s="20"/>
      <c r="I814" s="20"/>
      <c r="J814" s="20"/>
      <c r="K814" s="21"/>
      <c r="L814" s="159"/>
      <c r="M814" s="160"/>
      <c r="N814" s="17"/>
      <c r="O814" s="17"/>
      <c r="P814" s="17"/>
      <c r="Q814" s="17"/>
      <c r="R814" s="162"/>
    </row>
    <row r="815" ht="15.75" customHeight="1">
      <c r="C815" s="17"/>
      <c r="D815" s="17"/>
      <c r="E815" s="158"/>
      <c r="F815" s="17"/>
      <c r="G815" s="20"/>
      <c r="H815" s="20"/>
      <c r="I815" s="20"/>
      <c r="J815" s="20"/>
      <c r="K815" s="21"/>
      <c r="L815" s="159"/>
      <c r="M815" s="160"/>
      <c r="N815" s="17"/>
      <c r="O815" s="17"/>
      <c r="P815" s="17"/>
      <c r="Q815" s="17"/>
      <c r="R815" s="162"/>
    </row>
    <row r="816" ht="15.75" customHeight="1">
      <c r="C816" s="17"/>
      <c r="D816" s="17"/>
      <c r="E816" s="158"/>
      <c r="F816" s="17"/>
      <c r="G816" s="20"/>
      <c r="H816" s="20"/>
      <c r="I816" s="20"/>
      <c r="J816" s="20"/>
      <c r="K816" s="21"/>
      <c r="L816" s="159"/>
      <c r="M816" s="160"/>
      <c r="N816" s="17"/>
      <c r="O816" s="17"/>
      <c r="P816" s="17"/>
      <c r="Q816" s="17"/>
      <c r="R816" s="162"/>
    </row>
    <row r="817" ht="15.75" customHeight="1">
      <c r="C817" s="17"/>
      <c r="D817" s="17"/>
      <c r="E817" s="158"/>
      <c r="F817" s="17"/>
      <c r="G817" s="20"/>
      <c r="H817" s="20"/>
      <c r="I817" s="20"/>
      <c r="J817" s="20"/>
      <c r="K817" s="21"/>
      <c r="L817" s="159"/>
      <c r="M817" s="160"/>
      <c r="N817" s="17"/>
      <c r="O817" s="17"/>
      <c r="P817" s="17"/>
      <c r="Q817" s="17"/>
      <c r="R817" s="162"/>
    </row>
    <row r="818" ht="15.75" customHeight="1">
      <c r="C818" s="17"/>
      <c r="D818" s="17"/>
      <c r="E818" s="158"/>
      <c r="F818" s="17"/>
      <c r="G818" s="20"/>
      <c r="H818" s="20"/>
      <c r="I818" s="20"/>
      <c r="J818" s="20"/>
      <c r="K818" s="21"/>
      <c r="L818" s="159"/>
      <c r="M818" s="160"/>
      <c r="N818" s="17"/>
      <c r="O818" s="17"/>
      <c r="P818" s="17"/>
      <c r="Q818" s="17"/>
      <c r="R818" s="162"/>
    </row>
    <row r="819" ht="15.75" customHeight="1">
      <c r="C819" s="17"/>
      <c r="D819" s="17"/>
      <c r="E819" s="158"/>
      <c r="F819" s="17"/>
      <c r="G819" s="20"/>
      <c r="H819" s="20"/>
      <c r="I819" s="20"/>
      <c r="J819" s="20"/>
      <c r="K819" s="21"/>
      <c r="L819" s="159"/>
      <c r="M819" s="160"/>
      <c r="N819" s="17"/>
      <c r="O819" s="17"/>
      <c r="P819" s="17"/>
      <c r="Q819" s="17"/>
      <c r="R819" s="162"/>
    </row>
    <row r="820" ht="15.75" customHeight="1">
      <c r="C820" s="17"/>
      <c r="D820" s="17"/>
      <c r="E820" s="158"/>
      <c r="F820" s="17"/>
      <c r="G820" s="20"/>
      <c r="H820" s="20"/>
      <c r="I820" s="20"/>
      <c r="J820" s="20"/>
      <c r="K820" s="21"/>
      <c r="L820" s="159"/>
      <c r="M820" s="160"/>
      <c r="N820" s="17"/>
      <c r="O820" s="17"/>
      <c r="P820" s="17"/>
      <c r="Q820" s="17"/>
      <c r="R820" s="162"/>
    </row>
    <row r="821" ht="15.75" customHeight="1">
      <c r="C821" s="17"/>
      <c r="D821" s="17"/>
      <c r="E821" s="158"/>
      <c r="F821" s="17"/>
      <c r="G821" s="20"/>
      <c r="H821" s="20"/>
      <c r="I821" s="20"/>
      <c r="J821" s="20"/>
      <c r="K821" s="21"/>
      <c r="L821" s="159"/>
      <c r="M821" s="160"/>
      <c r="N821" s="17"/>
      <c r="O821" s="17"/>
      <c r="P821" s="17"/>
      <c r="Q821" s="17"/>
      <c r="R821" s="162"/>
    </row>
    <row r="822" ht="15.75" customHeight="1">
      <c r="C822" s="17"/>
      <c r="D822" s="17"/>
      <c r="E822" s="158"/>
      <c r="F822" s="17"/>
      <c r="G822" s="20"/>
      <c r="H822" s="20"/>
      <c r="I822" s="20"/>
      <c r="J822" s="20"/>
      <c r="K822" s="21"/>
      <c r="L822" s="159"/>
      <c r="M822" s="160"/>
      <c r="N822" s="17"/>
      <c r="O822" s="17"/>
      <c r="P822" s="17"/>
      <c r="Q822" s="17"/>
      <c r="R822" s="162"/>
    </row>
    <row r="823" ht="15.75" customHeight="1">
      <c r="C823" s="17"/>
      <c r="D823" s="17"/>
      <c r="E823" s="158"/>
      <c r="F823" s="17"/>
      <c r="G823" s="20"/>
      <c r="H823" s="20"/>
      <c r="I823" s="20"/>
      <c r="J823" s="20"/>
      <c r="K823" s="21"/>
      <c r="L823" s="159"/>
      <c r="M823" s="160"/>
      <c r="N823" s="17"/>
      <c r="O823" s="17"/>
      <c r="P823" s="17"/>
      <c r="Q823" s="17"/>
      <c r="R823" s="162"/>
    </row>
    <row r="824" ht="15.75" customHeight="1">
      <c r="C824" s="17"/>
      <c r="D824" s="17"/>
      <c r="E824" s="158"/>
      <c r="F824" s="17"/>
      <c r="G824" s="20"/>
      <c r="H824" s="20"/>
      <c r="I824" s="20"/>
      <c r="J824" s="20"/>
      <c r="K824" s="21"/>
      <c r="L824" s="159"/>
      <c r="M824" s="160"/>
      <c r="N824" s="17"/>
      <c r="O824" s="17"/>
      <c r="P824" s="17"/>
      <c r="Q824" s="17"/>
      <c r="R824" s="162"/>
    </row>
    <row r="825" ht="15.75" customHeight="1">
      <c r="C825" s="17"/>
      <c r="D825" s="17"/>
      <c r="E825" s="158"/>
      <c r="F825" s="17"/>
      <c r="G825" s="20"/>
      <c r="H825" s="20"/>
      <c r="I825" s="20"/>
      <c r="J825" s="20"/>
      <c r="K825" s="21"/>
      <c r="L825" s="159"/>
      <c r="M825" s="160"/>
      <c r="N825" s="17"/>
      <c r="O825" s="17"/>
      <c r="P825" s="17"/>
      <c r="Q825" s="17"/>
      <c r="R825" s="162"/>
    </row>
    <row r="826" ht="15.75" customHeight="1">
      <c r="C826" s="17"/>
      <c r="D826" s="17"/>
      <c r="E826" s="158"/>
      <c r="F826" s="17"/>
      <c r="G826" s="20"/>
      <c r="H826" s="20"/>
      <c r="I826" s="20"/>
      <c r="J826" s="20"/>
      <c r="K826" s="21"/>
      <c r="L826" s="159"/>
      <c r="M826" s="160"/>
      <c r="N826" s="17"/>
      <c r="O826" s="17"/>
      <c r="P826" s="17"/>
      <c r="Q826" s="17"/>
      <c r="R826" s="162"/>
    </row>
    <row r="827" ht="15.75" customHeight="1">
      <c r="C827" s="17"/>
      <c r="D827" s="17"/>
      <c r="E827" s="158"/>
      <c r="F827" s="17"/>
      <c r="G827" s="20"/>
      <c r="H827" s="20"/>
      <c r="I827" s="20"/>
      <c r="J827" s="20"/>
      <c r="K827" s="21"/>
      <c r="L827" s="159"/>
      <c r="M827" s="160"/>
      <c r="N827" s="17"/>
      <c r="O827" s="17"/>
      <c r="P827" s="17"/>
      <c r="Q827" s="17"/>
      <c r="R827" s="162"/>
    </row>
    <row r="828" ht="15.75" customHeight="1">
      <c r="C828" s="17"/>
      <c r="D828" s="17"/>
      <c r="E828" s="158"/>
      <c r="F828" s="17"/>
      <c r="G828" s="20"/>
      <c r="H828" s="20"/>
      <c r="I828" s="20"/>
      <c r="J828" s="20"/>
      <c r="K828" s="21"/>
      <c r="L828" s="159"/>
      <c r="M828" s="160"/>
      <c r="N828" s="17"/>
      <c r="O828" s="17"/>
      <c r="P828" s="17"/>
      <c r="Q828" s="17"/>
      <c r="R828" s="162"/>
    </row>
    <row r="829" ht="15.75" customHeight="1">
      <c r="C829" s="17"/>
      <c r="D829" s="17"/>
      <c r="E829" s="158"/>
      <c r="F829" s="17"/>
      <c r="G829" s="20"/>
      <c r="H829" s="20"/>
      <c r="I829" s="20"/>
      <c r="J829" s="20"/>
      <c r="K829" s="21"/>
      <c r="L829" s="159"/>
      <c r="M829" s="160"/>
      <c r="N829" s="17"/>
      <c r="O829" s="17"/>
      <c r="P829" s="17"/>
      <c r="Q829" s="17"/>
      <c r="R829" s="162"/>
    </row>
    <row r="830" ht="15.75" customHeight="1">
      <c r="C830" s="17"/>
      <c r="D830" s="17"/>
      <c r="E830" s="158"/>
      <c r="F830" s="17"/>
      <c r="G830" s="20"/>
      <c r="H830" s="20"/>
      <c r="I830" s="20"/>
      <c r="J830" s="20"/>
      <c r="K830" s="21"/>
      <c r="L830" s="159"/>
      <c r="M830" s="160"/>
      <c r="N830" s="17"/>
      <c r="O830" s="17"/>
      <c r="P830" s="17"/>
      <c r="Q830" s="17"/>
      <c r="R830" s="162"/>
    </row>
    <row r="831" ht="15.75" customHeight="1">
      <c r="C831" s="17"/>
      <c r="D831" s="17"/>
      <c r="E831" s="158"/>
      <c r="F831" s="17"/>
      <c r="G831" s="20"/>
      <c r="H831" s="20"/>
      <c r="I831" s="20"/>
      <c r="J831" s="20"/>
      <c r="K831" s="21"/>
      <c r="L831" s="159"/>
      <c r="M831" s="160"/>
      <c r="N831" s="17"/>
      <c r="O831" s="17"/>
      <c r="P831" s="17"/>
      <c r="Q831" s="17"/>
      <c r="R831" s="162"/>
    </row>
    <row r="832" ht="15.75" customHeight="1">
      <c r="C832" s="17"/>
      <c r="D832" s="17"/>
      <c r="E832" s="158"/>
      <c r="F832" s="17"/>
      <c r="G832" s="20"/>
      <c r="H832" s="20"/>
      <c r="I832" s="20"/>
      <c r="J832" s="20"/>
      <c r="K832" s="21"/>
      <c r="L832" s="159"/>
      <c r="M832" s="160"/>
      <c r="N832" s="17"/>
      <c r="O832" s="17"/>
      <c r="P832" s="17"/>
      <c r="Q832" s="17"/>
      <c r="R832" s="162"/>
    </row>
    <row r="833" ht="15.75" customHeight="1">
      <c r="C833" s="17"/>
      <c r="D833" s="17"/>
      <c r="E833" s="158"/>
      <c r="F833" s="17"/>
      <c r="G833" s="20"/>
      <c r="H833" s="20"/>
      <c r="I833" s="20"/>
      <c r="J833" s="20"/>
      <c r="K833" s="21"/>
      <c r="L833" s="159"/>
      <c r="M833" s="160"/>
      <c r="N833" s="17"/>
      <c r="O833" s="17"/>
      <c r="P833" s="17"/>
      <c r="Q833" s="17"/>
      <c r="R833" s="162"/>
    </row>
    <row r="834" ht="15.75" customHeight="1">
      <c r="C834" s="17"/>
      <c r="D834" s="17"/>
      <c r="E834" s="158"/>
      <c r="F834" s="17"/>
      <c r="G834" s="20"/>
      <c r="H834" s="20"/>
      <c r="I834" s="20"/>
      <c r="J834" s="20"/>
      <c r="K834" s="21"/>
      <c r="L834" s="159"/>
      <c r="M834" s="160"/>
      <c r="N834" s="17"/>
      <c r="O834" s="17"/>
      <c r="P834" s="17"/>
      <c r="Q834" s="17"/>
      <c r="R834" s="162"/>
    </row>
    <row r="835" ht="15.75" customHeight="1">
      <c r="C835" s="17"/>
      <c r="D835" s="17"/>
      <c r="E835" s="158"/>
      <c r="F835" s="17"/>
      <c r="G835" s="20"/>
      <c r="H835" s="20"/>
      <c r="I835" s="20"/>
      <c r="J835" s="20"/>
      <c r="K835" s="21"/>
      <c r="L835" s="159"/>
      <c r="M835" s="160"/>
      <c r="N835" s="17"/>
      <c r="O835" s="17"/>
      <c r="P835" s="17"/>
      <c r="Q835" s="17"/>
      <c r="R835" s="162"/>
    </row>
    <row r="836" ht="15.75" customHeight="1">
      <c r="C836" s="17"/>
      <c r="D836" s="17"/>
      <c r="E836" s="158"/>
      <c r="F836" s="17"/>
      <c r="G836" s="20"/>
      <c r="H836" s="20"/>
      <c r="I836" s="20"/>
      <c r="J836" s="20"/>
      <c r="K836" s="21"/>
      <c r="L836" s="159"/>
      <c r="M836" s="160"/>
      <c r="N836" s="17"/>
      <c r="O836" s="17"/>
      <c r="P836" s="17"/>
      <c r="Q836" s="17"/>
      <c r="R836" s="162"/>
    </row>
    <row r="837" ht="15.75" customHeight="1">
      <c r="C837" s="17"/>
      <c r="D837" s="17"/>
      <c r="E837" s="158"/>
      <c r="F837" s="17"/>
      <c r="G837" s="20"/>
      <c r="H837" s="20"/>
      <c r="I837" s="20"/>
      <c r="J837" s="20"/>
      <c r="K837" s="21"/>
      <c r="L837" s="159"/>
      <c r="M837" s="160"/>
      <c r="N837" s="17"/>
      <c r="O837" s="17"/>
      <c r="P837" s="17"/>
      <c r="Q837" s="17"/>
      <c r="R837" s="162"/>
    </row>
    <row r="838" ht="15.75" customHeight="1">
      <c r="C838" s="17"/>
      <c r="D838" s="17"/>
      <c r="E838" s="158"/>
      <c r="F838" s="17"/>
      <c r="G838" s="20"/>
      <c r="H838" s="20"/>
      <c r="I838" s="20"/>
      <c r="J838" s="20"/>
      <c r="K838" s="21"/>
      <c r="L838" s="159"/>
      <c r="M838" s="160"/>
      <c r="N838" s="17"/>
      <c r="O838" s="17"/>
      <c r="P838" s="17"/>
      <c r="Q838" s="17"/>
      <c r="R838" s="162"/>
    </row>
    <row r="839" ht="15.75" customHeight="1">
      <c r="C839" s="17"/>
      <c r="D839" s="17"/>
      <c r="E839" s="158"/>
      <c r="F839" s="17"/>
      <c r="G839" s="20"/>
      <c r="H839" s="20"/>
      <c r="I839" s="20"/>
      <c r="J839" s="20"/>
      <c r="K839" s="21"/>
      <c r="L839" s="159"/>
      <c r="M839" s="160"/>
      <c r="N839" s="17"/>
      <c r="O839" s="17"/>
      <c r="P839" s="17"/>
      <c r="Q839" s="17"/>
      <c r="R839" s="162"/>
    </row>
    <row r="840" ht="15.75" customHeight="1">
      <c r="C840" s="17"/>
      <c r="D840" s="17"/>
      <c r="E840" s="158"/>
      <c r="F840" s="17"/>
      <c r="G840" s="20"/>
      <c r="H840" s="20"/>
      <c r="I840" s="20"/>
      <c r="J840" s="20"/>
      <c r="K840" s="21"/>
      <c r="L840" s="159"/>
      <c r="M840" s="160"/>
      <c r="N840" s="17"/>
      <c r="O840" s="17"/>
      <c r="P840" s="17"/>
      <c r="Q840" s="17"/>
      <c r="R840" s="162"/>
    </row>
    <row r="841" ht="15.75" customHeight="1">
      <c r="C841" s="17"/>
      <c r="D841" s="17"/>
      <c r="E841" s="158"/>
      <c r="F841" s="17"/>
      <c r="G841" s="20"/>
      <c r="H841" s="20"/>
      <c r="I841" s="20"/>
      <c r="J841" s="20"/>
      <c r="K841" s="21"/>
      <c r="L841" s="159"/>
      <c r="M841" s="160"/>
      <c r="N841" s="17"/>
      <c r="O841" s="17"/>
      <c r="P841" s="17"/>
      <c r="Q841" s="17"/>
      <c r="R841" s="162"/>
    </row>
    <row r="842" ht="15.75" customHeight="1">
      <c r="C842" s="17"/>
      <c r="D842" s="17"/>
      <c r="E842" s="158"/>
      <c r="F842" s="17"/>
      <c r="G842" s="20"/>
      <c r="H842" s="20"/>
      <c r="I842" s="20"/>
      <c r="J842" s="20"/>
      <c r="K842" s="21"/>
      <c r="L842" s="159"/>
      <c r="M842" s="160"/>
      <c r="N842" s="17"/>
      <c r="O842" s="17"/>
      <c r="P842" s="17"/>
      <c r="Q842" s="17"/>
      <c r="R842" s="162"/>
    </row>
    <row r="843" ht="15.75" customHeight="1">
      <c r="C843" s="17"/>
      <c r="D843" s="17"/>
      <c r="E843" s="158"/>
      <c r="F843" s="17"/>
      <c r="G843" s="20"/>
      <c r="H843" s="20"/>
      <c r="I843" s="20"/>
      <c r="J843" s="20"/>
      <c r="K843" s="21"/>
      <c r="L843" s="159"/>
      <c r="M843" s="160"/>
      <c r="N843" s="17"/>
      <c r="O843" s="17"/>
      <c r="P843" s="17"/>
      <c r="Q843" s="17"/>
      <c r="R843" s="162"/>
    </row>
    <row r="844" ht="15.75" customHeight="1">
      <c r="C844" s="17"/>
      <c r="D844" s="17"/>
      <c r="E844" s="158"/>
      <c r="F844" s="17"/>
      <c r="G844" s="20"/>
      <c r="H844" s="20"/>
      <c r="I844" s="20"/>
      <c r="J844" s="20"/>
      <c r="K844" s="21"/>
      <c r="L844" s="159"/>
      <c r="M844" s="160"/>
      <c r="N844" s="17"/>
      <c r="O844" s="17"/>
      <c r="P844" s="17"/>
      <c r="Q844" s="17"/>
      <c r="R844" s="162"/>
    </row>
    <row r="845" ht="15.75" customHeight="1">
      <c r="C845" s="17"/>
      <c r="D845" s="17"/>
      <c r="E845" s="158"/>
      <c r="F845" s="17"/>
      <c r="G845" s="20"/>
      <c r="H845" s="20"/>
      <c r="I845" s="20"/>
      <c r="J845" s="20"/>
      <c r="K845" s="21"/>
      <c r="L845" s="159"/>
      <c r="M845" s="160"/>
      <c r="N845" s="17"/>
      <c r="O845" s="17"/>
      <c r="P845" s="17"/>
      <c r="Q845" s="17"/>
      <c r="R845" s="162"/>
    </row>
    <row r="846" ht="15.75" customHeight="1">
      <c r="C846" s="17"/>
      <c r="D846" s="17"/>
      <c r="E846" s="158"/>
      <c r="F846" s="17"/>
      <c r="G846" s="20"/>
      <c r="H846" s="20"/>
      <c r="I846" s="20"/>
      <c r="J846" s="20"/>
      <c r="K846" s="21"/>
      <c r="L846" s="159"/>
      <c r="M846" s="160"/>
      <c r="N846" s="17"/>
      <c r="O846" s="17"/>
      <c r="P846" s="17"/>
      <c r="Q846" s="17"/>
      <c r="R846" s="162"/>
    </row>
    <row r="847" ht="15.75" customHeight="1">
      <c r="C847" s="17"/>
      <c r="D847" s="17"/>
      <c r="E847" s="158"/>
      <c r="F847" s="17"/>
      <c r="G847" s="20"/>
      <c r="H847" s="20"/>
      <c r="I847" s="20"/>
      <c r="J847" s="20"/>
      <c r="K847" s="21"/>
      <c r="L847" s="159"/>
      <c r="M847" s="160"/>
      <c r="N847" s="17"/>
      <c r="O847" s="17"/>
      <c r="P847" s="17"/>
      <c r="Q847" s="17"/>
      <c r="R847" s="162"/>
    </row>
    <row r="848" ht="15.75" customHeight="1">
      <c r="C848" s="17"/>
      <c r="D848" s="17"/>
      <c r="E848" s="158"/>
      <c r="F848" s="17"/>
      <c r="G848" s="20"/>
      <c r="H848" s="20"/>
      <c r="I848" s="20"/>
      <c r="J848" s="20"/>
      <c r="K848" s="21"/>
      <c r="L848" s="159"/>
      <c r="M848" s="160"/>
      <c r="N848" s="17"/>
      <c r="O848" s="17"/>
      <c r="P848" s="17"/>
      <c r="Q848" s="17"/>
      <c r="R848" s="162"/>
    </row>
    <row r="849" ht="15.75" customHeight="1">
      <c r="C849" s="17"/>
      <c r="D849" s="17"/>
      <c r="E849" s="158"/>
      <c r="F849" s="17"/>
      <c r="G849" s="20"/>
      <c r="H849" s="20"/>
      <c r="I849" s="20"/>
      <c r="J849" s="20"/>
      <c r="K849" s="21"/>
      <c r="L849" s="159"/>
      <c r="M849" s="160"/>
      <c r="N849" s="17"/>
      <c r="O849" s="17"/>
      <c r="P849" s="17"/>
      <c r="Q849" s="17"/>
      <c r="R849" s="162"/>
    </row>
    <row r="850" ht="15.75" customHeight="1">
      <c r="C850" s="17"/>
      <c r="D850" s="17"/>
      <c r="E850" s="158"/>
      <c r="F850" s="17"/>
      <c r="G850" s="20"/>
      <c r="H850" s="20"/>
      <c r="I850" s="20"/>
      <c r="J850" s="20"/>
      <c r="K850" s="21"/>
      <c r="L850" s="159"/>
      <c r="M850" s="160"/>
      <c r="N850" s="17"/>
      <c r="O850" s="17"/>
      <c r="P850" s="17"/>
      <c r="Q850" s="17"/>
      <c r="R850" s="162"/>
    </row>
    <row r="851" ht="15.75" customHeight="1">
      <c r="C851" s="17"/>
      <c r="D851" s="17"/>
      <c r="E851" s="158"/>
      <c r="F851" s="17"/>
      <c r="G851" s="20"/>
      <c r="H851" s="20"/>
      <c r="I851" s="20"/>
      <c r="J851" s="20"/>
      <c r="K851" s="21"/>
      <c r="L851" s="159"/>
      <c r="M851" s="160"/>
      <c r="N851" s="17"/>
      <c r="O851" s="17"/>
      <c r="P851" s="17"/>
      <c r="Q851" s="17"/>
      <c r="R851" s="162"/>
    </row>
    <row r="852" ht="15.75" customHeight="1">
      <c r="C852" s="17"/>
      <c r="D852" s="17"/>
      <c r="E852" s="158"/>
      <c r="F852" s="17"/>
      <c r="G852" s="20"/>
      <c r="H852" s="20"/>
      <c r="I852" s="20"/>
      <c r="J852" s="20"/>
      <c r="K852" s="21"/>
      <c r="L852" s="159"/>
      <c r="M852" s="160"/>
      <c r="N852" s="17"/>
      <c r="O852" s="17"/>
      <c r="P852" s="17"/>
      <c r="Q852" s="17"/>
      <c r="R852" s="162"/>
    </row>
    <row r="853" ht="15.75" customHeight="1">
      <c r="C853" s="17"/>
      <c r="D853" s="17"/>
      <c r="E853" s="158"/>
      <c r="F853" s="17"/>
      <c r="G853" s="20"/>
      <c r="H853" s="20"/>
      <c r="I853" s="20"/>
      <c r="J853" s="20"/>
      <c r="K853" s="21"/>
      <c r="L853" s="159"/>
      <c r="M853" s="160"/>
      <c r="N853" s="17"/>
      <c r="O853" s="17"/>
      <c r="P853" s="17"/>
      <c r="Q853" s="17"/>
      <c r="R853" s="162"/>
    </row>
    <row r="854" ht="15.75" customHeight="1">
      <c r="C854" s="17"/>
      <c r="D854" s="17"/>
      <c r="E854" s="158"/>
      <c r="F854" s="17"/>
      <c r="G854" s="20"/>
      <c r="H854" s="20"/>
      <c r="I854" s="20"/>
      <c r="J854" s="20"/>
      <c r="K854" s="21"/>
      <c r="L854" s="159"/>
      <c r="M854" s="160"/>
      <c r="N854" s="17"/>
      <c r="O854" s="17"/>
      <c r="P854" s="17"/>
      <c r="Q854" s="17"/>
      <c r="R854" s="162"/>
    </row>
    <row r="855" ht="15.75" customHeight="1">
      <c r="C855" s="17"/>
      <c r="D855" s="17"/>
      <c r="E855" s="158"/>
      <c r="F855" s="17"/>
      <c r="G855" s="20"/>
      <c r="H855" s="20"/>
      <c r="I855" s="20"/>
      <c r="J855" s="20"/>
      <c r="K855" s="21"/>
      <c r="L855" s="159"/>
      <c r="M855" s="160"/>
      <c r="N855" s="17"/>
      <c r="O855" s="17"/>
      <c r="P855" s="17"/>
      <c r="Q855" s="17"/>
      <c r="R855" s="162"/>
    </row>
    <row r="856" ht="15.75" customHeight="1">
      <c r="C856" s="17"/>
      <c r="D856" s="17"/>
      <c r="E856" s="158"/>
      <c r="F856" s="17"/>
      <c r="G856" s="20"/>
      <c r="H856" s="20"/>
      <c r="I856" s="20"/>
      <c r="J856" s="20"/>
      <c r="K856" s="21"/>
      <c r="L856" s="159"/>
      <c r="M856" s="160"/>
      <c r="N856" s="17"/>
      <c r="O856" s="17"/>
      <c r="P856" s="17"/>
      <c r="Q856" s="17"/>
      <c r="R856" s="162"/>
    </row>
    <row r="857" ht="15.75" customHeight="1">
      <c r="C857" s="17"/>
      <c r="D857" s="17"/>
      <c r="E857" s="158"/>
      <c r="F857" s="17"/>
      <c r="G857" s="20"/>
      <c r="H857" s="20"/>
      <c r="I857" s="20"/>
      <c r="J857" s="20"/>
      <c r="K857" s="21"/>
      <c r="L857" s="159"/>
      <c r="M857" s="160"/>
      <c r="N857" s="17"/>
      <c r="O857" s="17"/>
      <c r="P857" s="17"/>
      <c r="Q857" s="17"/>
      <c r="R857" s="162"/>
    </row>
    <row r="858" ht="15.75" customHeight="1">
      <c r="C858" s="17"/>
      <c r="D858" s="17"/>
      <c r="E858" s="158"/>
      <c r="F858" s="17"/>
      <c r="G858" s="20"/>
      <c r="H858" s="20"/>
      <c r="I858" s="20"/>
      <c r="J858" s="20"/>
      <c r="K858" s="21"/>
      <c r="L858" s="159"/>
      <c r="M858" s="160"/>
      <c r="N858" s="17"/>
      <c r="O858" s="17"/>
      <c r="P858" s="17"/>
      <c r="Q858" s="17"/>
      <c r="R858" s="162"/>
    </row>
    <row r="859" ht="15.75" customHeight="1">
      <c r="C859" s="17"/>
      <c r="D859" s="17"/>
      <c r="E859" s="158"/>
      <c r="F859" s="17"/>
      <c r="G859" s="20"/>
      <c r="H859" s="20"/>
      <c r="I859" s="20"/>
      <c r="J859" s="20"/>
      <c r="K859" s="21"/>
      <c r="L859" s="159"/>
      <c r="M859" s="160"/>
      <c r="N859" s="17"/>
      <c r="O859" s="17"/>
      <c r="P859" s="17"/>
      <c r="Q859" s="17"/>
      <c r="R859" s="162"/>
    </row>
    <row r="860" ht="15.75" customHeight="1">
      <c r="C860" s="17"/>
      <c r="D860" s="17"/>
      <c r="E860" s="158"/>
      <c r="F860" s="17"/>
      <c r="G860" s="20"/>
      <c r="H860" s="20"/>
      <c r="I860" s="20"/>
      <c r="J860" s="20"/>
      <c r="K860" s="21"/>
      <c r="L860" s="159"/>
      <c r="M860" s="160"/>
      <c r="N860" s="17"/>
      <c r="O860" s="17"/>
      <c r="P860" s="17"/>
      <c r="Q860" s="17"/>
      <c r="R860" s="162"/>
    </row>
    <row r="861" ht="15.75" customHeight="1">
      <c r="C861" s="17"/>
      <c r="D861" s="17"/>
      <c r="E861" s="158"/>
      <c r="F861" s="17"/>
      <c r="G861" s="20"/>
      <c r="H861" s="20"/>
      <c r="I861" s="20"/>
      <c r="J861" s="20"/>
      <c r="K861" s="21"/>
      <c r="L861" s="159"/>
      <c r="M861" s="160"/>
      <c r="N861" s="17"/>
      <c r="O861" s="17"/>
      <c r="P861" s="17"/>
      <c r="Q861" s="17"/>
      <c r="R861" s="162"/>
    </row>
    <row r="862" ht="15.75" customHeight="1">
      <c r="C862" s="17"/>
      <c r="D862" s="17"/>
      <c r="E862" s="158"/>
      <c r="F862" s="17"/>
      <c r="G862" s="20"/>
      <c r="H862" s="20"/>
      <c r="I862" s="20"/>
      <c r="J862" s="20"/>
      <c r="K862" s="21"/>
      <c r="L862" s="159"/>
      <c r="M862" s="160"/>
      <c r="N862" s="17"/>
      <c r="O862" s="17"/>
      <c r="P862" s="17"/>
      <c r="Q862" s="17"/>
      <c r="R862" s="162"/>
    </row>
    <row r="863" ht="15.75" customHeight="1">
      <c r="C863" s="17"/>
      <c r="D863" s="17"/>
      <c r="E863" s="158"/>
      <c r="F863" s="17"/>
      <c r="G863" s="20"/>
      <c r="H863" s="20"/>
      <c r="I863" s="20"/>
      <c r="J863" s="20"/>
      <c r="K863" s="21"/>
      <c r="L863" s="159"/>
      <c r="M863" s="160"/>
      <c r="N863" s="17"/>
      <c r="O863" s="17"/>
      <c r="P863" s="17"/>
      <c r="Q863" s="17"/>
      <c r="R863" s="162"/>
    </row>
    <row r="864" ht="15.75" customHeight="1">
      <c r="C864" s="17"/>
      <c r="D864" s="17"/>
      <c r="E864" s="158"/>
      <c r="F864" s="17"/>
      <c r="G864" s="20"/>
      <c r="H864" s="20"/>
      <c r="I864" s="20"/>
      <c r="J864" s="20"/>
      <c r="K864" s="21"/>
      <c r="L864" s="159"/>
      <c r="M864" s="160"/>
      <c r="N864" s="17"/>
      <c r="O864" s="17"/>
      <c r="P864" s="17"/>
      <c r="Q864" s="17"/>
      <c r="R864" s="162"/>
    </row>
    <row r="865" ht="15.75" customHeight="1">
      <c r="C865" s="17"/>
      <c r="D865" s="17"/>
      <c r="E865" s="158"/>
      <c r="F865" s="17"/>
      <c r="G865" s="20"/>
      <c r="H865" s="20"/>
      <c r="I865" s="20"/>
      <c r="J865" s="20"/>
      <c r="K865" s="21"/>
      <c r="L865" s="159"/>
      <c r="M865" s="160"/>
      <c r="N865" s="17"/>
      <c r="O865" s="17"/>
      <c r="P865" s="17"/>
      <c r="Q865" s="17"/>
      <c r="R865" s="162"/>
    </row>
    <row r="866" ht="15.75" customHeight="1">
      <c r="C866" s="17"/>
      <c r="D866" s="17"/>
      <c r="E866" s="158"/>
      <c r="F866" s="17"/>
      <c r="G866" s="20"/>
      <c r="H866" s="20"/>
      <c r="I866" s="20"/>
      <c r="J866" s="20"/>
      <c r="K866" s="21"/>
      <c r="L866" s="159"/>
      <c r="M866" s="160"/>
      <c r="N866" s="17"/>
      <c r="O866" s="17"/>
      <c r="P866" s="17"/>
      <c r="Q866" s="17"/>
      <c r="R866" s="162"/>
    </row>
    <row r="867" ht="15.75" customHeight="1">
      <c r="C867" s="17"/>
      <c r="D867" s="17"/>
      <c r="E867" s="158"/>
      <c r="F867" s="17"/>
      <c r="G867" s="20"/>
      <c r="H867" s="20"/>
      <c r="I867" s="20"/>
      <c r="J867" s="20"/>
      <c r="K867" s="21"/>
      <c r="L867" s="159"/>
      <c r="M867" s="160"/>
      <c r="N867" s="17"/>
      <c r="O867" s="17"/>
      <c r="P867" s="17"/>
      <c r="Q867" s="17"/>
      <c r="R867" s="162"/>
    </row>
    <row r="868" ht="15.75" customHeight="1">
      <c r="C868" s="17"/>
      <c r="D868" s="17"/>
      <c r="E868" s="158"/>
      <c r="F868" s="17"/>
      <c r="G868" s="20"/>
      <c r="H868" s="20"/>
      <c r="I868" s="20"/>
      <c r="J868" s="20"/>
      <c r="K868" s="21"/>
      <c r="L868" s="159"/>
      <c r="M868" s="160"/>
      <c r="N868" s="17"/>
      <c r="O868" s="17"/>
      <c r="P868" s="17"/>
      <c r="Q868" s="17"/>
      <c r="R868" s="162"/>
    </row>
    <row r="869" ht="15.75" customHeight="1">
      <c r="C869" s="17"/>
      <c r="D869" s="17"/>
      <c r="E869" s="158"/>
      <c r="F869" s="17"/>
      <c r="G869" s="20"/>
      <c r="H869" s="20"/>
      <c r="I869" s="20"/>
      <c r="J869" s="20"/>
      <c r="K869" s="21"/>
      <c r="L869" s="159"/>
      <c r="M869" s="160"/>
      <c r="N869" s="17"/>
      <c r="O869" s="17"/>
      <c r="P869" s="17"/>
      <c r="Q869" s="17"/>
      <c r="R869" s="162"/>
    </row>
    <row r="870" ht="15.75" customHeight="1">
      <c r="C870" s="17"/>
      <c r="D870" s="17"/>
      <c r="E870" s="158"/>
      <c r="F870" s="17"/>
      <c r="G870" s="20"/>
      <c r="H870" s="20"/>
      <c r="I870" s="20"/>
      <c r="J870" s="20"/>
      <c r="K870" s="21"/>
      <c r="L870" s="159"/>
      <c r="M870" s="160"/>
      <c r="N870" s="17"/>
      <c r="O870" s="17"/>
      <c r="P870" s="17"/>
      <c r="Q870" s="17"/>
      <c r="R870" s="162"/>
    </row>
    <row r="871" ht="15.75" customHeight="1">
      <c r="C871" s="17"/>
      <c r="D871" s="17"/>
      <c r="E871" s="158"/>
      <c r="F871" s="17"/>
      <c r="G871" s="20"/>
      <c r="H871" s="20"/>
      <c r="I871" s="20"/>
      <c r="J871" s="20"/>
      <c r="K871" s="21"/>
      <c r="L871" s="159"/>
      <c r="M871" s="160"/>
      <c r="N871" s="17"/>
      <c r="O871" s="17"/>
      <c r="P871" s="17"/>
      <c r="Q871" s="17"/>
      <c r="R871" s="162"/>
    </row>
    <row r="872" ht="15.75" customHeight="1">
      <c r="C872" s="17"/>
      <c r="D872" s="17"/>
      <c r="E872" s="158"/>
      <c r="F872" s="17"/>
      <c r="G872" s="20"/>
      <c r="H872" s="20"/>
      <c r="I872" s="20"/>
      <c r="J872" s="20"/>
      <c r="K872" s="21"/>
      <c r="L872" s="159"/>
      <c r="M872" s="160"/>
      <c r="N872" s="17"/>
      <c r="O872" s="17"/>
      <c r="P872" s="17"/>
      <c r="Q872" s="17"/>
      <c r="R872" s="162"/>
    </row>
    <row r="873" ht="15.75" customHeight="1">
      <c r="C873" s="17"/>
      <c r="D873" s="17"/>
      <c r="E873" s="158"/>
      <c r="F873" s="17"/>
      <c r="G873" s="20"/>
      <c r="H873" s="20"/>
      <c r="I873" s="20"/>
      <c r="J873" s="20"/>
      <c r="K873" s="21"/>
      <c r="L873" s="159"/>
      <c r="M873" s="160"/>
      <c r="N873" s="17"/>
      <c r="O873" s="17"/>
      <c r="P873" s="17"/>
      <c r="Q873" s="17"/>
      <c r="R873" s="162"/>
    </row>
    <row r="874" ht="15.75" customHeight="1">
      <c r="C874" s="17"/>
      <c r="D874" s="17"/>
      <c r="E874" s="158"/>
      <c r="F874" s="17"/>
      <c r="G874" s="20"/>
      <c r="H874" s="20"/>
      <c r="I874" s="20"/>
      <c r="J874" s="20"/>
      <c r="K874" s="21"/>
      <c r="L874" s="159"/>
      <c r="M874" s="160"/>
      <c r="N874" s="17"/>
      <c r="O874" s="17"/>
      <c r="P874" s="17"/>
      <c r="Q874" s="17"/>
      <c r="R874" s="162"/>
    </row>
    <row r="875" ht="15.75" customHeight="1">
      <c r="C875" s="17"/>
      <c r="D875" s="17"/>
      <c r="E875" s="158"/>
      <c r="F875" s="17"/>
      <c r="G875" s="20"/>
      <c r="H875" s="20"/>
      <c r="I875" s="20"/>
      <c r="J875" s="20"/>
      <c r="K875" s="21"/>
      <c r="L875" s="159"/>
      <c r="M875" s="160"/>
      <c r="N875" s="17"/>
      <c r="O875" s="17"/>
      <c r="P875" s="17"/>
      <c r="Q875" s="17"/>
      <c r="R875" s="162"/>
    </row>
    <row r="876" ht="15.75" customHeight="1">
      <c r="C876" s="17"/>
      <c r="D876" s="17"/>
      <c r="E876" s="158"/>
      <c r="F876" s="17"/>
      <c r="G876" s="20"/>
      <c r="H876" s="20"/>
      <c r="I876" s="20"/>
      <c r="J876" s="20"/>
      <c r="K876" s="21"/>
      <c r="L876" s="159"/>
      <c r="M876" s="160"/>
      <c r="N876" s="17"/>
      <c r="O876" s="17"/>
      <c r="P876" s="17"/>
      <c r="Q876" s="17"/>
      <c r="R876" s="162"/>
    </row>
    <row r="877" ht="15.75" customHeight="1">
      <c r="C877" s="17"/>
      <c r="D877" s="17"/>
      <c r="E877" s="158"/>
      <c r="F877" s="17"/>
      <c r="G877" s="20"/>
      <c r="H877" s="20"/>
      <c r="I877" s="20"/>
      <c r="J877" s="20"/>
      <c r="K877" s="21"/>
      <c r="L877" s="159"/>
      <c r="M877" s="160"/>
      <c r="N877" s="17"/>
      <c r="O877" s="17"/>
      <c r="P877" s="17"/>
      <c r="Q877" s="17"/>
      <c r="R877" s="162"/>
    </row>
    <row r="878" ht="15.75" customHeight="1">
      <c r="C878" s="17"/>
      <c r="D878" s="17"/>
      <c r="E878" s="158"/>
      <c r="F878" s="17"/>
      <c r="G878" s="20"/>
      <c r="H878" s="20"/>
      <c r="I878" s="20"/>
      <c r="J878" s="20"/>
      <c r="K878" s="21"/>
      <c r="L878" s="159"/>
      <c r="M878" s="160"/>
      <c r="N878" s="17"/>
      <c r="O878" s="17"/>
      <c r="P878" s="17"/>
      <c r="Q878" s="17"/>
      <c r="R878" s="162"/>
    </row>
    <row r="879" ht="15.75" customHeight="1">
      <c r="C879" s="17"/>
      <c r="D879" s="17"/>
      <c r="E879" s="158"/>
      <c r="F879" s="17"/>
      <c r="G879" s="20"/>
      <c r="H879" s="20"/>
      <c r="I879" s="20"/>
      <c r="J879" s="20"/>
      <c r="K879" s="21"/>
      <c r="L879" s="159"/>
      <c r="M879" s="160"/>
      <c r="N879" s="17"/>
      <c r="O879" s="17"/>
      <c r="P879" s="17"/>
      <c r="Q879" s="17"/>
      <c r="R879" s="162"/>
    </row>
    <row r="880" ht="15.75" customHeight="1">
      <c r="C880" s="17"/>
      <c r="D880" s="17"/>
      <c r="E880" s="158"/>
      <c r="F880" s="17"/>
      <c r="G880" s="20"/>
      <c r="H880" s="20"/>
      <c r="I880" s="20"/>
      <c r="J880" s="20"/>
      <c r="K880" s="21"/>
      <c r="L880" s="159"/>
      <c r="M880" s="160"/>
      <c r="N880" s="17"/>
      <c r="O880" s="17"/>
      <c r="P880" s="17"/>
      <c r="Q880" s="17"/>
      <c r="R880" s="162"/>
    </row>
    <row r="881" ht="15.75" customHeight="1">
      <c r="C881" s="17"/>
      <c r="D881" s="17"/>
      <c r="E881" s="158"/>
      <c r="F881" s="17"/>
      <c r="G881" s="20"/>
      <c r="H881" s="20"/>
      <c r="I881" s="20"/>
      <c r="J881" s="20"/>
      <c r="K881" s="21"/>
      <c r="L881" s="159"/>
      <c r="M881" s="160"/>
      <c r="N881" s="17"/>
      <c r="O881" s="17"/>
      <c r="P881" s="17"/>
      <c r="Q881" s="17"/>
      <c r="R881" s="162"/>
    </row>
    <row r="882" ht="15.75" customHeight="1">
      <c r="C882" s="17"/>
      <c r="D882" s="17"/>
      <c r="E882" s="158"/>
      <c r="F882" s="17"/>
      <c r="G882" s="20"/>
      <c r="H882" s="20"/>
      <c r="I882" s="20"/>
      <c r="J882" s="20"/>
      <c r="K882" s="21"/>
      <c r="L882" s="159"/>
      <c r="M882" s="160"/>
      <c r="N882" s="17"/>
      <c r="O882" s="17"/>
      <c r="P882" s="17"/>
      <c r="Q882" s="17"/>
      <c r="R882" s="162"/>
    </row>
    <row r="883" ht="15.75" customHeight="1">
      <c r="C883" s="17"/>
      <c r="D883" s="17"/>
      <c r="E883" s="158"/>
      <c r="F883" s="17"/>
      <c r="G883" s="20"/>
      <c r="H883" s="20"/>
      <c r="I883" s="20"/>
      <c r="J883" s="20"/>
      <c r="K883" s="21"/>
      <c r="L883" s="159"/>
      <c r="M883" s="160"/>
      <c r="N883" s="17"/>
      <c r="O883" s="17"/>
      <c r="P883" s="17"/>
      <c r="Q883" s="17"/>
      <c r="R883" s="162"/>
    </row>
    <row r="884" ht="15.75" customHeight="1">
      <c r="C884" s="17"/>
      <c r="D884" s="17"/>
      <c r="E884" s="158"/>
      <c r="F884" s="17"/>
      <c r="G884" s="20"/>
      <c r="H884" s="20"/>
      <c r="I884" s="20"/>
      <c r="J884" s="20"/>
      <c r="K884" s="21"/>
      <c r="L884" s="159"/>
      <c r="M884" s="160"/>
      <c r="N884" s="17"/>
      <c r="O884" s="17"/>
      <c r="P884" s="17"/>
      <c r="Q884" s="17"/>
      <c r="R884" s="162"/>
    </row>
    <row r="885" ht="15.75" customHeight="1">
      <c r="C885" s="17"/>
      <c r="D885" s="17"/>
      <c r="E885" s="158"/>
      <c r="F885" s="17"/>
      <c r="G885" s="20"/>
      <c r="H885" s="20"/>
      <c r="I885" s="20"/>
      <c r="J885" s="20"/>
      <c r="K885" s="21"/>
      <c r="L885" s="159"/>
      <c r="M885" s="160"/>
      <c r="N885" s="17"/>
      <c r="O885" s="17"/>
      <c r="P885" s="17"/>
      <c r="Q885" s="17"/>
      <c r="R885" s="162"/>
    </row>
    <row r="886" ht="15.75" customHeight="1">
      <c r="C886" s="17"/>
      <c r="D886" s="17"/>
      <c r="E886" s="158"/>
      <c r="F886" s="17"/>
      <c r="G886" s="20"/>
      <c r="H886" s="20"/>
      <c r="I886" s="20"/>
      <c r="J886" s="20"/>
      <c r="K886" s="21"/>
      <c r="L886" s="159"/>
      <c r="M886" s="160"/>
      <c r="N886" s="17"/>
      <c r="O886" s="17"/>
      <c r="P886" s="17"/>
      <c r="Q886" s="17"/>
      <c r="R886" s="162"/>
    </row>
    <row r="887" ht="15.75" customHeight="1">
      <c r="C887" s="17"/>
      <c r="D887" s="17"/>
      <c r="E887" s="158"/>
      <c r="F887" s="17"/>
      <c r="G887" s="20"/>
      <c r="H887" s="20"/>
      <c r="I887" s="20"/>
      <c r="J887" s="20"/>
      <c r="K887" s="21"/>
      <c r="L887" s="159"/>
      <c r="M887" s="160"/>
      <c r="N887" s="17"/>
      <c r="O887" s="17"/>
      <c r="P887" s="17"/>
      <c r="Q887" s="17"/>
      <c r="R887" s="162"/>
    </row>
    <row r="888" ht="15.75" customHeight="1">
      <c r="C888" s="17"/>
      <c r="D888" s="17"/>
      <c r="E888" s="158"/>
      <c r="F888" s="17"/>
      <c r="G888" s="20"/>
      <c r="H888" s="20"/>
      <c r="I888" s="20"/>
      <c r="J888" s="20"/>
      <c r="K888" s="21"/>
      <c r="L888" s="159"/>
      <c r="M888" s="160"/>
      <c r="N888" s="17"/>
      <c r="O888" s="17"/>
      <c r="P888" s="17"/>
      <c r="Q888" s="17"/>
      <c r="R888" s="162"/>
    </row>
    <row r="889" ht="15.75" customHeight="1">
      <c r="C889" s="17"/>
      <c r="D889" s="17"/>
      <c r="E889" s="158"/>
      <c r="F889" s="17"/>
      <c r="G889" s="20"/>
      <c r="H889" s="20"/>
      <c r="I889" s="20"/>
      <c r="J889" s="20"/>
      <c r="K889" s="21"/>
      <c r="L889" s="159"/>
      <c r="M889" s="160"/>
      <c r="N889" s="17"/>
      <c r="O889" s="17"/>
      <c r="P889" s="17"/>
      <c r="Q889" s="17"/>
      <c r="R889" s="162"/>
    </row>
    <row r="890" ht="15.75" customHeight="1">
      <c r="C890" s="17"/>
      <c r="D890" s="17"/>
      <c r="E890" s="158"/>
      <c r="F890" s="17"/>
      <c r="G890" s="20"/>
      <c r="H890" s="20"/>
      <c r="I890" s="20"/>
      <c r="J890" s="20"/>
      <c r="K890" s="21"/>
      <c r="L890" s="159"/>
      <c r="M890" s="160"/>
      <c r="N890" s="17"/>
      <c r="O890" s="17"/>
      <c r="P890" s="17"/>
      <c r="Q890" s="17"/>
      <c r="R890" s="162"/>
    </row>
    <row r="891" ht="15.75" customHeight="1">
      <c r="C891" s="17"/>
      <c r="D891" s="17"/>
      <c r="E891" s="158"/>
      <c r="F891" s="17"/>
      <c r="G891" s="20"/>
      <c r="H891" s="20"/>
      <c r="I891" s="20"/>
      <c r="J891" s="20"/>
      <c r="K891" s="21"/>
      <c r="L891" s="159"/>
      <c r="M891" s="160"/>
      <c r="N891" s="17"/>
      <c r="O891" s="17"/>
      <c r="P891" s="17"/>
      <c r="Q891" s="17"/>
      <c r="R891" s="162"/>
    </row>
    <row r="892" ht="15.75" customHeight="1">
      <c r="C892" s="17"/>
      <c r="D892" s="17"/>
      <c r="E892" s="158"/>
      <c r="F892" s="17"/>
      <c r="G892" s="20"/>
      <c r="H892" s="20"/>
      <c r="I892" s="20"/>
      <c r="J892" s="20"/>
      <c r="K892" s="21"/>
      <c r="L892" s="159"/>
      <c r="M892" s="160"/>
      <c r="N892" s="17"/>
      <c r="O892" s="17"/>
      <c r="P892" s="17"/>
      <c r="Q892" s="17"/>
      <c r="R892" s="162"/>
    </row>
    <row r="893" ht="15.75" customHeight="1">
      <c r="C893" s="17"/>
      <c r="D893" s="17"/>
      <c r="E893" s="158"/>
      <c r="F893" s="17"/>
      <c r="G893" s="20"/>
      <c r="H893" s="20"/>
      <c r="I893" s="20"/>
      <c r="J893" s="20"/>
      <c r="K893" s="21"/>
      <c r="L893" s="159"/>
      <c r="M893" s="160"/>
      <c r="N893" s="17"/>
      <c r="O893" s="17"/>
      <c r="P893" s="17"/>
      <c r="Q893" s="17"/>
      <c r="R893" s="162"/>
    </row>
    <row r="894" ht="15.75" customHeight="1">
      <c r="C894" s="17"/>
      <c r="D894" s="17"/>
      <c r="E894" s="158"/>
      <c r="F894" s="17"/>
      <c r="G894" s="20"/>
      <c r="H894" s="20"/>
      <c r="I894" s="20"/>
      <c r="J894" s="20"/>
      <c r="K894" s="21"/>
      <c r="L894" s="159"/>
      <c r="M894" s="160"/>
      <c r="N894" s="17"/>
      <c r="O894" s="17"/>
      <c r="P894" s="17"/>
      <c r="Q894" s="17"/>
      <c r="R894" s="162"/>
    </row>
    <row r="895" ht="15.75" customHeight="1">
      <c r="C895" s="17"/>
      <c r="D895" s="17"/>
      <c r="E895" s="158"/>
      <c r="F895" s="17"/>
      <c r="G895" s="20"/>
      <c r="H895" s="20"/>
      <c r="I895" s="20"/>
      <c r="J895" s="20"/>
      <c r="K895" s="21"/>
      <c r="L895" s="159"/>
      <c r="M895" s="160"/>
      <c r="N895" s="17"/>
      <c r="O895" s="17"/>
      <c r="P895" s="17"/>
      <c r="Q895" s="17"/>
      <c r="R895" s="162"/>
    </row>
    <row r="896" ht="15.75" customHeight="1">
      <c r="C896" s="17"/>
      <c r="D896" s="17"/>
      <c r="E896" s="158"/>
      <c r="F896" s="17"/>
      <c r="G896" s="20"/>
      <c r="H896" s="20"/>
      <c r="I896" s="20"/>
      <c r="J896" s="20"/>
      <c r="K896" s="21"/>
      <c r="L896" s="159"/>
      <c r="M896" s="160"/>
      <c r="N896" s="17"/>
      <c r="O896" s="17"/>
      <c r="P896" s="17"/>
      <c r="Q896" s="17"/>
      <c r="R896" s="162"/>
    </row>
    <row r="897" ht="15.75" customHeight="1">
      <c r="C897" s="17"/>
      <c r="D897" s="17"/>
      <c r="E897" s="158"/>
      <c r="F897" s="17"/>
      <c r="G897" s="20"/>
      <c r="H897" s="20"/>
      <c r="I897" s="20"/>
      <c r="J897" s="20"/>
      <c r="K897" s="21"/>
      <c r="L897" s="159"/>
      <c r="M897" s="160"/>
      <c r="N897" s="17"/>
      <c r="O897" s="17"/>
      <c r="P897" s="17"/>
      <c r="Q897" s="17"/>
      <c r="R897" s="162"/>
    </row>
    <row r="898" ht="15.75" customHeight="1">
      <c r="C898" s="17"/>
      <c r="D898" s="17"/>
      <c r="E898" s="158"/>
      <c r="F898" s="17"/>
      <c r="G898" s="20"/>
      <c r="H898" s="20"/>
      <c r="I898" s="20"/>
      <c r="J898" s="20"/>
      <c r="K898" s="21"/>
      <c r="L898" s="159"/>
      <c r="M898" s="160"/>
      <c r="N898" s="17"/>
      <c r="O898" s="17"/>
      <c r="P898" s="17"/>
      <c r="Q898" s="17"/>
      <c r="R898" s="162"/>
    </row>
    <row r="899" ht="15.75" customHeight="1">
      <c r="C899" s="17"/>
      <c r="D899" s="17"/>
      <c r="E899" s="158"/>
      <c r="F899" s="17"/>
      <c r="G899" s="20"/>
      <c r="H899" s="20"/>
      <c r="I899" s="20"/>
      <c r="J899" s="20"/>
      <c r="K899" s="21"/>
      <c r="L899" s="159"/>
      <c r="M899" s="160"/>
      <c r="N899" s="17"/>
      <c r="O899" s="17"/>
      <c r="P899" s="17"/>
      <c r="Q899" s="17"/>
      <c r="R899" s="162"/>
    </row>
    <row r="900" ht="15.75" customHeight="1">
      <c r="C900" s="17"/>
      <c r="D900" s="17"/>
      <c r="E900" s="158"/>
      <c r="F900" s="17"/>
      <c r="G900" s="20"/>
      <c r="H900" s="20"/>
      <c r="I900" s="20"/>
      <c r="J900" s="20"/>
      <c r="K900" s="21"/>
      <c r="L900" s="159"/>
      <c r="M900" s="160"/>
      <c r="N900" s="17"/>
      <c r="O900" s="17"/>
      <c r="P900" s="17"/>
      <c r="Q900" s="17"/>
      <c r="R900" s="162"/>
    </row>
    <row r="901" ht="15.75" customHeight="1">
      <c r="C901" s="17"/>
      <c r="D901" s="17"/>
      <c r="E901" s="158"/>
      <c r="F901" s="17"/>
      <c r="G901" s="20"/>
      <c r="H901" s="20"/>
      <c r="I901" s="20"/>
      <c r="J901" s="20"/>
      <c r="K901" s="21"/>
      <c r="L901" s="159"/>
      <c r="M901" s="160"/>
      <c r="N901" s="17"/>
      <c r="O901" s="17"/>
      <c r="P901" s="17"/>
      <c r="Q901" s="17"/>
      <c r="R901" s="162"/>
    </row>
    <row r="902" ht="15.75" customHeight="1">
      <c r="C902" s="17"/>
      <c r="D902" s="17"/>
      <c r="E902" s="158"/>
      <c r="F902" s="17"/>
      <c r="G902" s="20"/>
      <c r="H902" s="20"/>
      <c r="I902" s="20"/>
      <c r="J902" s="20"/>
      <c r="K902" s="21"/>
      <c r="L902" s="159"/>
      <c r="M902" s="160"/>
      <c r="N902" s="17"/>
      <c r="O902" s="17"/>
      <c r="P902" s="17"/>
      <c r="Q902" s="17"/>
      <c r="R902" s="162"/>
    </row>
    <row r="903" ht="15.75" customHeight="1">
      <c r="C903" s="17"/>
      <c r="D903" s="17"/>
      <c r="E903" s="158"/>
      <c r="F903" s="17"/>
      <c r="G903" s="20"/>
      <c r="H903" s="20"/>
      <c r="I903" s="20"/>
      <c r="J903" s="20"/>
      <c r="K903" s="21"/>
      <c r="L903" s="159"/>
      <c r="M903" s="160"/>
      <c r="N903" s="17"/>
      <c r="O903" s="17"/>
      <c r="P903" s="17"/>
      <c r="Q903" s="17"/>
      <c r="R903" s="162"/>
    </row>
    <row r="904" ht="15.75" customHeight="1">
      <c r="C904" s="17"/>
      <c r="D904" s="17"/>
      <c r="E904" s="158"/>
      <c r="F904" s="17"/>
      <c r="G904" s="20"/>
      <c r="H904" s="20"/>
      <c r="I904" s="20"/>
      <c r="J904" s="20"/>
      <c r="K904" s="21"/>
      <c r="L904" s="159"/>
      <c r="M904" s="160"/>
      <c r="N904" s="17"/>
      <c r="O904" s="17"/>
      <c r="P904" s="17"/>
      <c r="Q904" s="17"/>
      <c r="R904" s="162"/>
    </row>
    <row r="905" ht="15.75" customHeight="1">
      <c r="C905" s="17"/>
      <c r="D905" s="17"/>
      <c r="E905" s="158"/>
      <c r="F905" s="17"/>
      <c r="G905" s="20"/>
      <c r="H905" s="20"/>
      <c r="I905" s="20"/>
      <c r="J905" s="20"/>
      <c r="K905" s="21"/>
      <c r="L905" s="159"/>
      <c r="M905" s="160"/>
      <c r="N905" s="17"/>
      <c r="O905" s="17"/>
      <c r="P905" s="17"/>
      <c r="Q905" s="17"/>
      <c r="R905" s="162"/>
    </row>
    <row r="906" ht="15.75" customHeight="1">
      <c r="C906" s="17"/>
      <c r="D906" s="17"/>
      <c r="E906" s="158"/>
      <c r="F906" s="17"/>
      <c r="G906" s="20"/>
      <c r="H906" s="20"/>
      <c r="I906" s="20"/>
      <c r="J906" s="20"/>
      <c r="K906" s="21"/>
      <c r="L906" s="159"/>
      <c r="M906" s="160"/>
      <c r="N906" s="17"/>
      <c r="O906" s="17"/>
      <c r="P906" s="17"/>
      <c r="Q906" s="17"/>
      <c r="R906" s="162"/>
    </row>
    <row r="907" ht="15.75" customHeight="1">
      <c r="C907" s="17"/>
      <c r="D907" s="17"/>
      <c r="E907" s="158"/>
      <c r="F907" s="17"/>
      <c r="G907" s="20"/>
      <c r="H907" s="20"/>
      <c r="I907" s="20"/>
      <c r="J907" s="20"/>
      <c r="K907" s="21"/>
      <c r="L907" s="159"/>
      <c r="M907" s="160"/>
      <c r="N907" s="17"/>
      <c r="O907" s="17"/>
      <c r="P907" s="17"/>
      <c r="Q907" s="17"/>
      <c r="R907" s="162"/>
    </row>
    <row r="908" ht="15.75" customHeight="1">
      <c r="C908" s="17"/>
      <c r="D908" s="17"/>
      <c r="E908" s="158"/>
      <c r="F908" s="17"/>
      <c r="G908" s="20"/>
      <c r="H908" s="20"/>
      <c r="I908" s="20"/>
      <c r="J908" s="20"/>
      <c r="K908" s="21"/>
      <c r="L908" s="159"/>
      <c r="M908" s="160"/>
      <c r="N908" s="17"/>
      <c r="O908" s="17"/>
      <c r="P908" s="17"/>
      <c r="Q908" s="17"/>
      <c r="R908" s="162"/>
    </row>
    <row r="909" ht="15.75" customHeight="1">
      <c r="C909" s="17"/>
      <c r="D909" s="17"/>
      <c r="E909" s="158"/>
      <c r="F909" s="17"/>
      <c r="G909" s="20"/>
      <c r="H909" s="20"/>
      <c r="I909" s="20"/>
      <c r="J909" s="20"/>
      <c r="K909" s="21"/>
      <c r="L909" s="159"/>
      <c r="M909" s="160"/>
      <c r="N909" s="17"/>
      <c r="O909" s="17"/>
      <c r="P909" s="17"/>
      <c r="Q909" s="17"/>
      <c r="R909" s="162"/>
    </row>
    <row r="910" ht="15.75" customHeight="1">
      <c r="C910" s="17"/>
      <c r="D910" s="17"/>
      <c r="E910" s="158"/>
      <c r="F910" s="17"/>
      <c r="G910" s="20"/>
      <c r="H910" s="20"/>
      <c r="I910" s="20"/>
      <c r="J910" s="20"/>
      <c r="K910" s="21"/>
      <c r="L910" s="159"/>
      <c r="M910" s="160"/>
      <c r="N910" s="17"/>
      <c r="O910" s="17"/>
      <c r="P910" s="17"/>
      <c r="Q910" s="17"/>
      <c r="R910" s="162"/>
    </row>
    <row r="911" ht="15.75" customHeight="1">
      <c r="C911" s="17"/>
      <c r="D911" s="17"/>
      <c r="E911" s="158"/>
      <c r="F911" s="17"/>
      <c r="G911" s="20"/>
      <c r="H911" s="20"/>
      <c r="I911" s="20"/>
      <c r="J911" s="20"/>
      <c r="K911" s="21"/>
      <c r="L911" s="159"/>
      <c r="M911" s="160"/>
      <c r="N911" s="17"/>
      <c r="O911" s="17"/>
      <c r="P911" s="17"/>
      <c r="Q911" s="17"/>
      <c r="R911" s="162"/>
    </row>
    <row r="912" ht="15.75" customHeight="1">
      <c r="C912" s="17"/>
      <c r="D912" s="17"/>
      <c r="E912" s="158"/>
      <c r="F912" s="17"/>
      <c r="G912" s="20"/>
      <c r="H912" s="20"/>
      <c r="I912" s="20"/>
      <c r="J912" s="20"/>
      <c r="K912" s="21"/>
      <c r="L912" s="159"/>
      <c r="M912" s="160"/>
      <c r="N912" s="17"/>
      <c r="O912" s="17"/>
      <c r="P912" s="17"/>
      <c r="Q912" s="17"/>
      <c r="R912" s="162"/>
    </row>
    <row r="913" ht="15.75" customHeight="1">
      <c r="C913" s="17"/>
      <c r="D913" s="17"/>
      <c r="E913" s="158"/>
      <c r="F913" s="17"/>
      <c r="G913" s="20"/>
      <c r="H913" s="20"/>
      <c r="I913" s="20"/>
      <c r="J913" s="20"/>
      <c r="K913" s="21"/>
      <c r="L913" s="159"/>
      <c r="M913" s="160"/>
      <c r="N913" s="17"/>
      <c r="O913" s="17"/>
      <c r="P913" s="17"/>
      <c r="Q913" s="17"/>
      <c r="R913" s="162"/>
    </row>
    <row r="914" ht="15.75" customHeight="1">
      <c r="C914" s="17"/>
      <c r="D914" s="17"/>
      <c r="E914" s="158"/>
      <c r="F914" s="17"/>
      <c r="G914" s="20"/>
      <c r="H914" s="20"/>
      <c r="I914" s="20"/>
      <c r="J914" s="20"/>
      <c r="K914" s="21"/>
      <c r="L914" s="159"/>
      <c r="M914" s="160"/>
      <c r="N914" s="17"/>
      <c r="O914" s="17"/>
      <c r="P914" s="17"/>
      <c r="Q914" s="17"/>
      <c r="R914" s="162"/>
    </row>
    <row r="915" ht="15.75" customHeight="1">
      <c r="C915" s="17"/>
      <c r="D915" s="17"/>
      <c r="E915" s="158"/>
      <c r="F915" s="17"/>
      <c r="G915" s="20"/>
      <c r="H915" s="20"/>
      <c r="I915" s="20"/>
      <c r="J915" s="20"/>
      <c r="K915" s="21"/>
      <c r="L915" s="159"/>
      <c r="M915" s="160"/>
      <c r="N915" s="17"/>
      <c r="O915" s="17"/>
      <c r="P915" s="17"/>
      <c r="Q915" s="17"/>
      <c r="R915" s="162"/>
    </row>
    <row r="916" ht="15.75" customHeight="1">
      <c r="C916" s="17"/>
      <c r="D916" s="17"/>
      <c r="E916" s="158"/>
      <c r="F916" s="17"/>
      <c r="G916" s="20"/>
      <c r="H916" s="20"/>
      <c r="I916" s="20"/>
      <c r="J916" s="20"/>
      <c r="K916" s="21"/>
      <c r="L916" s="159"/>
      <c r="M916" s="160"/>
      <c r="N916" s="17"/>
      <c r="O916" s="17"/>
      <c r="P916" s="17"/>
      <c r="Q916" s="17"/>
      <c r="R916" s="162"/>
    </row>
    <row r="917" ht="15.75" customHeight="1">
      <c r="C917" s="17"/>
      <c r="D917" s="17"/>
      <c r="E917" s="158"/>
      <c r="F917" s="17"/>
      <c r="G917" s="20"/>
      <c r="H917" s="20"/>
      <c r="I917" s="20"/>
      <c r="J917" s="20"/>
      <c r="K917" s="21"/>
      <c r="L917" s="159"/>
      <c r="M917" s="160"/>
      <c r="N917" s="17"/>
      <c r="O917" s="17"/>
      <c r="P917" s="17"/>
      <c r="Q917" s="17"/>
      <c r="R917" s="162"/>
    </row>
    <row r="918" ht="15.75" customHeight="1">
      <c r="C918" s="17"/>
      <c r="D918" s="17"/>
      <c r="E918" s="158"/>
      <c r="F918" s="17"/>
      <c r="G918" s="20"/>
      <c r="H918" s="20"/>
      <c r="I918" s="20"/>
      <c r="J918" s="20"/>
      <c r="K918" s="21"/>
      <c r="L918" s="159"/>
      <c r="M918" s="160"/>
      <c r="N918" s="17"/>
      <c r="O918" s="17"/>
      <c r="P918" s="17"/>
      <c r="Q918" s="17"/>
      <c r="R918" s="162"/>
    </row>
    <row r="919" ht="15.75" customHeight="1">
      <c r="C919" s="17"/>
      <c r="D919" s="17"/>
      <c r="E919" s="158"/>
      <c r="F919" s="17"/>
      <c r="G919" s="20"/>
      <c r="H919" s="20"/>
      <c r="I919" s="20"/>
      <c r="J919" s="20"/>
      <c r="K919" s="21"/>
      <c r="L919" s="159"/>
      <c r="M919" s="160"/>
      <c r="N919" s="17"/>
      <c r="O919" s="17"/>
      <c r="P919" s="17"/>
      <c r="Q919" s="17"/>
      <c r="R919" s="162"/>
    </row>
    <row r="920" ht="15.75" customHeight="1">
      <c r="C920" s="17"/>
      <c r="D920" s="17"/>
      <c r="E920" s="158"/>
      <c r="F920" s="17"/>
      <c r="G920" s="20"/>
      <c r="H920" s="20"/>
      <c r="I920" s="20"/>
      <c r="J920" s="20"/>
      <c r="K920" s="21"/>
      <c r="L920" s="159"/>
      <c r="M920" s="160"/>
      <c r="N920" s="17"/>
      <c r="O920" s="17"/>
      <c r="P920" s="17"/>
      <c r="Q920" s="17"/>
      <c r="R920" s="162"/>
    </row>
    <row r="921" ht="15.75" customHeight="1">
      <c r="C921" s="17"/>
      <c r="D921" s="17"/>
      <c r="E921" s="158"/>
      <c r="F921" s="17"/>
      <c r="G921" s="20"/>
      <c r="H921" s="20"/>
      <c r="I921" s="20"/>
      <c r="J921" s="20"/>
      <c r="K921" s="21"/>
      <c r="L921" s="159"/>
      <c r="M921" s="160"/>
      <c r="N921" s="17"/>
      <c r="O921" s="17"/>
      <c r="P921" s="17"/>
      <c r="Q921" s="17"/>
      <c r="R921" s="162"/>
    </row>
    <row r="922" ht="15.75" customHeight="1">
      <c r="C922" s="17"/>
      <c r="D922" s="17"/>
      <c r="E922" s="158"/>
      <c r="F922" s="17"/>
      <c r="G922" s="20"/>
      <c r="H922" s="20"/>
      <c r="I922" s="20"/>
      <c r="J922" s="20"/>
      <c r="K922" s="21"/>
      <c r="L922" s="159"/>
      <c r="M922" s="160"/>
      <c r="N922" s="17"/>
      <c r="O922" s="17"/>
      <c r="P922" s="17"/>
      <c r="Q922" s="17"/>
      <c r="R922" s="162"/>
    </row>
    <row r="923" ht="15.75" customHeight="1">
      <c r="C923" s="17"/>
      <c r="D923" s="17"/>
      <c r="E923" s="158"/>
      <c r="F923" s="17"/>
      <c r="G923" s="20"/>
      <c r="H923" s="20"/>
      <c r="I923" s="20"/>
      <c r="J923" s="20"/>
      <c r="K923" s="21"/>
      <c r="L923" s="159"/>
      <c r="M923" s="160"/>
      <c r="N923" s="17"/>
      <c r="O923" s="17"/>
      <c r="P923" s="17"/>
      <c r="Q923" s="17"/>
      <c r="R923" s="162"/>
    </row>
    <row r="924" ht="15.75" customHeight="1">
      <c r="C924" s="17"/>
      <c r="D924" s="17"/>
      <c r="E924" s="158"/>
      <c r="F924" s="17"/>
      <c r="G924" s="20"/>
      <c r="H924" s="20"/>
      <c r="I924" s="20"/>
      <c r="J924" s="20"/>
      <c r="K924" s="21"/>
      <c r="L924" s="159"/>
      <c r="M924" s="160"/>
      <c r="N924" s="17"/>
      <c r="O924" s="17"/>
      <c r="P924" s="17"/>
      <c r="Q924" s="17"/>
      <c r="R924" s="162"/>
    </row>
    <row r="925" ht="15.75" customHeight="1">
      <c r="C925" s="17"/>
      <c r="D925" s="17"/>
      <c r="E925" s="158"/>
      <c r="F925" s="17"/>
      <c r="G925" s="20"/>
      <c r="H925" s="20"/>
      <c r="I925" s="20"/>
      <c r="J925" s="20"/>
      <c r="K925" s="21"/>
      <c r="L925" s="159"/>
      <c r="M925" s="160"/>
      <c r="N925" s="17"/>
      <c r="O925" s="17"/>
      <c r="P925" s="17"/>
      <c r="Q925" s="17"/>
      <c r="R925" s="162"/>
    </row>
    <row r="926" ht="15.75" customHeight="1">
      <c r="C926" s="17"/>
      <c r="D926" s="17"/>
      <c r="E926" s="158"/>
      <c r="F926" s="17"/>
      <c r="G926" s="20"/>
      <c r="H926" s="20"/>
      <c r="I926" s="20"/>
      <c r="J926" s="20"/>
      <c r="K926" s="21"/>
      <c r="L926" s="159"/>
      <c r="M926" s="160"/>
      <c r="N926" s="17"/>
      <c r="O926" s="17"/>
      <c r="P926" s="17"/>
      <c r="Q926" s="17"/>
      <c r="R926" s="162"/>
    </row>
    <row r="927" ht="15.75" customHeight="1">
      <c r="C927" s="17"/>
      <c r="D927" s="17"/>
      <c r="E927" s="158"/>
      <c r="F927" s="17"/>
      <c r="G927" s="20"/>
      <c r="H927" s="20"/>
      <c r="I927" s="20"/>
      <c r="J927" s="20"/>
      <c r="K927" s="21"/>
      <c r="L927" s="159"/>
      <c r="M927" s="160"/>
      <c r="N927" s="17"/>
      <c r="O927" s="17"/>
      <c r="P927" s="17"/>
      <c r="Q927" s="17"/>
      <c r="R927" s="162"/>
    </row>
    <row r="928" ht="15.75" customHeight="1">
      <c r="C928" s="17"/>
      <c r="D928" s="17"/>
      <c r="E928" s="158"/>
      <c r="F928" s="17"/>
      <c r="G928" s="20"/>
      <c r="H928" s="20"/>
      <c r="I928" s="20"/>
      <c r="J928" s="20"/>
      <c r="K928" s="21"/>
      <c r="L928" s="159"/>
      <c r="M928" s="160"/>
      <c r="N928" s="17"/>
      <c r="O928" s="17"/>
      <c r="P928" s="17"/>
      <c r="Q928" s="17"/>
      <c r="R928" s="162"/>
    </row>
    <row r="929" ht="15.75" customHeight="1">
      <c r="C929" s="17"/>
      <c r="D929" s="17"/>
      <c r="E929" s="158"/>
      <c r="F929" s="17"/>
      <c r="G929" s="20"/>
      <c r="H929" s="20"/>
      <c r="I929" s="20"/>
      <c r="J929" s="20"/>
      <c r="K929" s="21"/>
      <c r="L929" s="159"/>
      <c r="M929" s="160"/>
      <c r="N929" s="17"/>
      <c r="O929" s="17"/>
      <c r="P929" s="17"/>
      <c r="Q929" s="17"/>
      <c r="R929" s="162"/>
    </row>
    <row r="930" ht="15.75" customHeight="1">
      <c r="C930" s="17"/>
      <c r="D930" s="17"/>
      <c r="E930" s="158"/>
      <c r="F930" s="17"/>
      <c r="G930" s="20"/>
      <c r="H930" s="20"/>
      <c r="I930" s="20"/>
      <c r="J930" s="20"/>
      <c r="K930" s="21"/>
      <c r="L930" s="159"/>
      <c r="M930" s="160"/>
      <c r="N930" s="17"/>
      <c r="O930" s="17"/>
      <c r="P930" s="17"/>
      <c r="Q930" s="17"/>
      <c r="R930" s="162"/>
    </row>
    <row r="931" ht="15.75" customHeight="1">
      <c r="C931" s="17"/>
      <c r="D931" s="17"/>
      <c r="E931" s="158"/>
      <c r="F931" s="17"/>
      <c r="G931" s="20"/>
      <c r="H931" s="20"/>
      <c r="I931" s="20"/>
      <c r="J931" s="20"/>
      <c r="K931" s="21"/>
      <c r="L931" s="159"/>
      <c r="M931" s="160"/>
      <c r="N931" s="17"/>
      <c r="O931" s="17"/>
      <c r="P931" s="17"/>
      <c r="Q931" s="17"/>
      <c r="R931" s="162"/>
    </row>
    <row r="932" ht="15.75" customHeight="1">
      <c r="C932" s="17"/>
      <c r="D932" s="17"/>
      <c r="E932" s="158"/>
      <c r="F932" s="17"/>
      <c r="G932" s="20"/>
      <c r="H932" s="20"/>
      <c r="I932" s="20"/>
      <c r="J932" s="20"/>
      <c r="K932" s="21"/>
      <c r="L932" s="159"/>
      <c r="M932" s="160"/>
      <c r="N932" s="17"/>
      <c r="O932" s="17"/>
      <c r="P932" s="17"/>
      <c r="Q932" s="17"/>
      <c r="R932" s="162"/>
    </row>
    <row r="933" ht="15.75" customHeight="1">
      <c r="C933" s="17"/>
      <c r="D933" s="17"/>
      <c r="E933" s="158"/>
      <c r="F933" s="17"/>
      <c r="G933" s="20"/>
      <c r="H933" s="20"/>
      <c r="I933" s="20"/>
      <c r="J933" s="20"/>
      <c r="K933" s="21"/>
      <c r="L933" s="159"/>
      <c r="M933" s="160"/>
      <c r="N933" s="17"/>
      <c r="O933" s="17"/>
      <c r="P933" s="17"/>
      <c r="Q933" s="17"/>
      <c r="R933" s="162"/>
    </row>
    <row r="934" ht="15.75" customHeight="1">
      <c r="C934" s="17"/>
      <c r="D934" s="17"/>
      <c r="E934" s="158"/>
      <c r="F934" s="17"/>
      <c r="G934" s="20"/>
      <c r="H934" s="20"/>
      <c r="I934" s="20"/>
      <c r="J934" s="20"/>
      <c r="K934" s="21"/>
      <c r="L934" s="159"/>
      <c r="M934" s="160"/>
      <c r="N934" s="17"/>
      <c r="O934" s="17"/>
      <c r="P934" s="17"/>
      <c r="Q934" s="17"/>
      <c r="R934" s="162"/>
    </row>
    <row r="935" ht="15.75" customHeight="1">
      <c r="C935" s="17"/>
      <c r="D935" s="17"/>
      <c r="E935" s="158"/>
      <c r="F935" s="17"/>
      <c r="G935" s="20"/>
      <c r="H935" s="20"/>
      <c r="I935" s="20"/>
      <c r="J935" s="20"/>
      <c r="K935" s="21"/>
      <c r="L935" s="159"/>
      <c r="M935" s="160"/>
      <c r="N935" s="17"/>
      <c r="O935" s="17"/>
      <c r="P935" s="17"/>
      <c r="Q935" s="17"/>
      <c r="R935" s="162"/>
    </row>
    <row r="936" ht="15.75" customHeight="1">
      <c r="C936" s="17"/>
      <c r="D936" s="17"/>
      <c r="E936" s="158"/>
      <c r="F936" s="17"/>
      <c r="G936" s="20"/>
      <c r="H936" s="20"/>
      <c r="I936" s="20"/>
      <c r="J936" s="20"/>
      <c r="K936" s="21"/>
      <c r="L936" s="159"/>
      <c r="M936" s="160"/>
      <c r="N936" s="17"/>
      <c r="O936" s="17"/>
      <c r="P936" s="17"/>
      <c r="Q936" s="17"/>
      <c r="R936" s="162"/>
    </row>
    <row r="937" ht="15.75" customHeight="1">
      <c r="C937" s="17"/>
      <c r="D937" s="17"/>
      <c r="E937" s="158"/>
      <c r="F937" s="17"/>
      <c r="G937" s="20"/>
      <c r="H937" s="20"/>
      <c r="I937" s="20"/>
      <c r="J937" s="20"/>
      <c r="K937" s="21"/>
      <c r="L937" s="159"/>
      <c r="M937" s="160"/>
      <c r="N937" s="17"/>
      <c r="O937" s="17"/>
      <c r="P937" s="17"/>
      <c r="Q937" s="17"/>
      <c r="R937" s="162"/>
    </row>
    <row r="938" ht="15.75" customHeight="1">
      <c r="C938" s="17"/>
      <c r="D938" s="17"/>
      <c r="E938" s="158"/>
      <c r="F938" s="17"/>
      <c r="G938" s="20"/>
      <c r="H938" s="20"/>
      <c r="I938" s="20"/>
      <c r="J938" s="20"/>
      <c r="K938" s="21"/>
      <c r="L938" s="159"/>
      <c r="M938" s="160"/>
      <c r="N938" s="17"/>
      <c r="O938" s="17"/>
      <c r="P938" s="17"/>
      <c r="Q938" s="17"/>
      <c r="R938" s="162"/>
    </row>
    <row r="939" ht="15.75" customHeight="1">
      <c r="C939" s="17"/>
      <c r="D939" s="17"/>
      <c r="E939" s="158"/>
      <c r="F939" s="17"/>
      <c r="G939" s="20"/>
      <c r="H939" s="20"/>
      <c r="I939" s="20"/>
      <c r="J939" s="20"/>
      <c r="K939" s="21"/>
      <c r="L939" s="159"/>
      <c r="M939" s="160"/>
      <c r="N939" s="17"/>
      <c r="O939" s="17"/>
      <c r="P939" s="17"/>
      <c r="Q939" s="17"/>
      <c r="R939" s="162"/>
    </row>
    <row r="940" ht="15.75" customHeight="1">
      <c r="C940" s="17"/>
      <c r="D940" s="17"/>
      <c r="E940" s="158"/>
      <c r="F940" s="17"/>
      <c r="G940" s="20"/>
      <c r="H940" s="20"/>
      <c r="I940" s="20"/>
      <c r="J940" s="20"/>
      <c r="K940" s="21"/>
      <c r="L940" s="159"/>
      <c r="M940" s="160"/>
      <c r="N940" s="17"/>
      <c r="O940" s="17"/>
      <c r="P940" s="17"/>
      <c r="Q940" s="17"/>
      <c r="R940" s="162"/>
    </row>
    <row r="941" ht="15.75" customHeight="1">
      <c r="C941" s="17"/>
      <c r="D941" s="17"/>
      <c r="E941" s="158"/>
      <c r="F941" s="17"/>
      <c r="G941" s="20"/>
      <c r="H941" s="20"/>
      <c r="I941" s="20"/>
      <c r="J941" s="20"/>
      <c r="K941" s="21"/>
      <c r="L941" s="159"/>
      <c r="M941" s="160"/>
      <c r="N941" s="17"/>
      <c r="O941" s="17"/>
      <c r="P941" s="17"/>
      <c r="Q941" s="17"/>
      <c r="R941" s="162"/>
    </row>
    <row r="942" ht="15.75" customHeight="1">
      <c r="C942" s="17"/>
      <c r="D942" s="17"/>
      <c r="E942" s="158"/>
      <c r="F942" s="17"/>
      <c r="G942" s="20"/>
      <c r="H942" s="20"/>
      <c r="I942" s="20"/>
      <c r="J942" s="20"/>
      <c r="K942" s="21"/>
      <c r="L942" s="159"/>
      <c r="M942" s="160"/>
      <c r="N942" s="17"/>
      <c r="O942" s="17"/>
      <c r="P942" s="17"/>
      <c r="Q942" s="17"/>
      <c r="R942" s="162"/>
    </row>
    <row r="943" ht="15.75" customHeight="1">
      <c r="C943" s="17"/>
      <c r="D943" s="17"/>
      <c r="E943" s="158"/>
      <c r="F943" s="17"/>
      <c r="G943" s="20"/>
      <c r="H943" s="20"/>
      <c r="I943" s="20"/>
      <c r="J943" s="20"/>
      <c r="K943" s="21"/>
      <c r="L943" s="159"/>
      <c r="M943" s="160"/>
      <c r="N943" s="17"/>
      <c r="O943" s="17"/>
      <c r="P943" s="17"/>
      <c r="Q943" s="17"/>
      <c r="R943" s="162"/>
    </row>
    <row r="944" ht="15.75" customHeight="1">
      <c r="C944" s="17"/>
      <c r="D944" s="17"/>
      <c r="E944" s="158"/>
      <c r="F944" s="17"/>
      <c r="G944" s="20"/>
      <c r="H944" s="20"/>
      <c r="I944" s="20"/>
      <c r="J944" s="20"/>
      <c r="K944" s="21"/>
      <c r="L944" s="159"/>
      <c r="M944" s="160"/>
      <c r="N944" s="17"/>
      <c r="O944" s="17"/>
      <c r="P944" s="17"/>
      <c r="Q944" s="17"/>
      <c r="R944" s="162"/>
    </row>
    <row r="945" ht="15.75" customHeight="1">
      <c r="C945" s="17"/>
      <c r="D945" s="17"/>
      <c r="E945" s="158"/>
      <c r="F945" s="17"/>
      <c r="G945" s="20"/>
      <c r="H945" s="20"/>
      <c r="I945" s="20"/>
      <c r="J945" s="20"/>
      <c r="K945" s="21"/>
      <c r="L945" s="159"/>
      <c r="M945" s="160"/>
      <c r="N945" s="17"/>
      <c r="O945" s="17"/>
      <c r="P945" s="17"/>
      <c r="Q945" s="17"/>
      <c r="R945" s="162"/>
    </row>
    <row r="946" ht="15.75" customHeight="1">
      <c r="C946" s="17"/>
      <c r="D946" s="17"/>
      <c r="E946" s="158"/>
      <c r="F946" s="17"/>
      <c r="G946" s="20"/>
      <c r="H946" s="20"/>
      <c r="I946" s="20"/>
      <c r="J946" s="20"/>
      <c r="K946" s="21"/>
      <c r="L946" s="159"/>
      <c r="M946" s="160"/>
      <c r="N946" s="17"/>
      <c r="O946" s="17"/>
      <c r="P946" s="17"/>
      <c r="Q946" s="17"/>
      <c r="R946" s="162"/>
    </row>
    <row r="947" ht="15.75" customHeight="1">
      <c r="C947" s="17"/>
      <c r="D947" s="17"/>
      <c r="E947" s="158"/>
      <c r="F947" s="17"/>
      <c r="G947" s="20"/>
      <c r="H947" s="20"/>
      <c r="I947" s="20"/>
      <c r="J947" s="20"/>
      <c r="K947" s="21"/>
      <c r="L947" s="159"/>
      <c r="M947" s="160"/>
      <c r="N947" s="17"/>
      <c r="O947" s="17"/>
      <c r="P947" s="17"/>
      <c r="Q947" s="17"/>
      <c r="R947" s="162"/>
    </row>
    <row r="948" ht="15.75" customHeight="1">
      <c r="C948" s="17"/>
      <c r="D948" s="17"/>
      <c r="E948" s="158"/>
      <c r="F948" s="17"/>
      <c r="G948" s="20"/>
      <c r="H948" s="20"/>
      <c r="I948" s="20"/>
      <c r="J948" s="20"/>
      <c r="K948" s="21"/>
      <c r="L948" s="159"/>
      <c r="M948" s="160"/>
      <c r="N948" s="17"/>
      <c r="O948" s="17"/>
      <c r="P948" s="17"/>
      <c r="Q948" s="17"/>
      <c r="R948" s="162"/>
    </row>
    <row r="949" ht="15.75" customHeight="1">
      <c r="C949" s="17"/>
      <c r="D949" s="17"/>
      <c r="E949" s="158"/>
      <c r="F949" s="17"/>
      <c r="G949" s="20"/>
      <c r="H949" s="20"/>
      <c r="I949" s="20"/>
      <c r="J949" s="20"/>
      <c r="K949" s="21"/>
      <c r="L949" s="159"/>
      <c r="M949" s="160"/>
      <c r="N949" s="17"/>
      <c r="O949" s="17"/>
      <c r="P949" s="17"/>
      <c r="Q949" s="17"/>
      <c r="R949" s="162"/>
    </row>
    <row r="950" ht="15.75" customHeight="1">
      <c r="C950" s="17"/>
      <c r="D950" s="17"/>
      <c r="E950" s="158"/>
      <c r="F950" s="17"/>
      <c r="G950" s="20"/>
      <c r="H950" s="20"/>
      <c r="I950" s="20"/>
      <c r="J950" s="20"/>
      <c r="K950" s="21"/>
      <c r="L950" s="159"/>
      <c r="M950" s="160"/>
      <c r="N950" s="17"/>
      <c r="O950" s="17"/>
      <c r="P950" s="17"/>
      <c r="Q950" s="17"/>
      <c r="R950" s="162"/>
    </row>
    <row r="951" ht="15.75" customHeight="1">
      <c r="C951" s="17"/>
      <c r="D951" s="17"/>
      <c r="E951" s="158"/>
      <c r="F951" s="17"/>
      <c r="G951" s="20"/>
      <c r="H951" s="20"/>
      <c r="I951" s="20"/>
      <c r="J951" s="20"/>
      <c r="K951" s="21"/>
      <c r="L951" s="159"/>
      <c r="M951" s="160"/>
      <c r="N951" s="17"/>
      <c r="O951" s="17"/>
      <c r="P951" s="17"/>
      <c r="Q951" s="17"/>
      <c r="R951" s="162"/>
    </row>
    <row r="952" ht="15.75" customHeight="1">
      <c r="C952" s="17"/>
      <c r="D952" s="17"/>
      <c r="E952" s="158"/>
      <c r="F952" s="17"/>
      <c r="G952" s="20"/>
      <c r="H952" s="20"/>
      <c r="I952" s="20"/>
      <c r="J952" s="20"/>
      <c r="K952" s="21"/>
      <c r="L952" s="159"/>
      <c r="M952" s="160"/>
      <c r="N952" s="17"/>
      <c r="O952" s="17"/>
      <c r="P952" s="17"/>
      <c r="Q952" s="17"/>
      <c r="R952" s="162"/>
    </row>
    <row r="953" ht="15.75" customHeight="1">
      <c r="C953" s="17"/>
      <c r="D953" s="17"/>
      <c r="E953" s="158"/>
      <c r="F953" s="17"/>
      <c r="G953" s="20"/>
      <c r="H953" s="20"/>
      <c r="I953" s="20"/>
      <c r="J953" s="20"/>
      <c r="K953" s="21"/>
      <c r="L953" s="159"/>
      <c r="M953" s="160"/>
      <c r="N953" s="17"/>
      <c r="O953" s="17"/>
      <c r="P953" s="17"/>
      <c r="Q953" s="17"/>
      <c r="R953" s="162"/>
    </row>
    <row r="954" ht="15.75" customHeight="1">
      <c r="C954" s="17"/>
      <c r="D954" s="17"/>
      <c r="E954" s="158"/>
      <c r="F954" s="17"/>
      <c r="G954" s="20"/>
      <c r="H954" s="20"/>
      <c r="I954" s="20"/>
      <c r="J954" s="20"/>
      <c r="K954" s="21"/>
      <c r="L954" s="159"/>
      <c r="M954" s="160"/>
      <c r="N954" s="17"/>
      <c r="O954" s="17"/>
      <c r="P954" s="17"/>
      <c r="Q954" s="17"/>
      <c r="R954" s="162"/>
    </row>
    <row r="955" ht="15.75" customHeight="1">
      <c r="C955" s="17"/>
      <c r="D955" s="17"/>
      <c r="E955" s="158"/>
      <c r="F955" s="17"/>
      <c r="G955" s="20"/>
      <c r="H955" s="20"/>
      <c r="I955" s="20"/>
      <c r="J955" s="20"/>
      <c r="K955" s="21"/>
      <c r="L955" s="159"/>
      <c r="M955" s="160"/>
      <c r="N955" s="17"/>
      <c r="O955" s="17"/>
      <c r="P955" s="17"/>
      <c r="Q955" s="17"/>
      <c r="R955" s="162"/>
    </row>
    <row r="956" ht="15.75" customHeight="1">
      <c r="C956" s="17"/>
      <c r="D956" s="17"/>
      <c r="E956" s="158"/>
      <c r="F956" s="17"/>
      <c r="G956" s="20"/>
      <c r="H956" s="20"/>
      <c r="I956" s="20"/>
      <c r="J956" s="20"/>
      <c r="K956" s="21"/>
      <c r="L956" s="159"/>
      <c r="M956" s="160"/>
      <c r="N956" s="17"/>
      <c r="O956" s="17"/>
      <c r="P956" s="17"/>
      <c r="Q956" s="17"/>
      <c r="R956" s="162"/>
    </row>
    <row r="957" ht="15.75" customHeight="1">
      <c r="C957" s="17"/>
      <c r="D957" s="17"/>
      <c r="E957" s="158"/>
      <c r="F957" s="17"/>
      <c r="G957" s="20"/>
      <c r="H957" s="20"/>
      <c r="I957" s="20"/>
      <c r="J957" s="20"/>
      <c r="K957" s="21"/>
      <c r="L957" s="159"/>
      <c r="M957" s="160"/>
      <c r="N957" s="17"/>
      <c r="O957" s="17"/>
      <c r="P957" s="17"/>
      <c r="Q957" s="17"/>
      <c r="R957" s="162"/>
    </row>
    <row r="958" ht="15.75" customHeight="1">
      <c r="C958" s="17"/>
      <c r="D958" s="17"/>
      <c r="E958" s="158"/>
      <c r="F958" s="17"/>
      <c r="G958" s="20"/>
      <c r="H958" s="20"/>
      <c r="I958" s="20"/>
      <c r="J958" s="20"/>
      <c r="K958" s="21"/>
      <c r="L958" s="159"/>
      <c r="M958" s="160"/>
      <c r="N958" s="17"/>
      <c r="O958" s="17"/>
      <c r="P958" s="17"/>
      <c r="Q958" s="17"/>
      <c r="R958" s="162"/>
    </row>
    <row r="959" ht="15.75" customHeight="1">
      <c r="C959" s="17"/>
      <c r="D959" s="17"/>
      <c r="E959" s="158"/>
      <c r="F959" s="17"/>
      <c r="G959" s="20"/>
      <c r="H959" s="20"/>
      <c r="I959" s="20"/>
      <c r="J959" s="20"/>
      <c r="K959" s="21"/>
      <c r="L959" s="159"/>
      <c r="M959" s="160"/>
      <c r="N959" s="17"/>
      <c r="O959" s="17"/>
      <c r="P959" s="17"/>
      <c r="Q959" s="17"/>
      <c r="R959" s="162"/>
    </row>
    <row r="960" ht="15.75" customHeight="1">
      <c r="C960" s="17"/>
      <c r="D960" s="17"/>
      <c r="E960" s="158"/>
      <c r="F960" s="17"/>
      <c r="G960" s="20"/>
      <c r="H960" s="20"/>
      <c r="I960" s="20"/>
      <c r="J960" s="20"/>
      <c r="K960" s="21"/>
      <c r="L960" s="159"/>
      <c r="M960" s="160"/>
      <c r="N960" s="17"/>
      <c r="O960" s="17"/>
      <c r="P960" s="17"/>
      <c r="Q960" s="17"/>
      <c r="R960" s="162"/>
    </row>
    <row r="961" ht="15.75" customHeight="1">
      <c r="C961" s="17"/>
      <c r="D961" s="17"/>
      <c r="E961" s="158"/>
      <c r="F961" s="17"/>
      <c r="G961" s="20"/>
      <c r="H961" s="20"/>
      <c r="I961" s="20"/>
      <c r="J961" s="20"/>
      <c r="K961" s="21"/>
      <c r="L961" s="159"/>
      <c r="M961" s="160"/>
      <c r="N961" s="17"/>
      <c r="O961" s="17"/>
      <c r="P961" s="17"/>
      <c r="Q961" s="17"/>
      <c r="R961" s="162"/>
    </row>
    <row r="962" ht="15.75" customHeight="1">
      <c r="C962" s="17"/>
      <c r="D962" s="17"/>
      <c r="E962" s="158"/>
      <c r="F962" s="17"/>
      <c r="G962" s="20"/>
      <c r="H962" s="20"/>
      <c r="I962" s="20"/>
      <c r="J962" s="20"/>
      <c r="K962" s="21"/>
      <c r="L962" s="159"/>
      <c r="M962" s="160"/>
      <c r="N962" s="17"/>
      <c r="O962" s="17"/>
      <c r="P962" s="17"/>
      <c r="Q962" s="17"/>
      <c r="R962" s="162"/>
    </row>
    <row r="963" ht="15.75" customHeight="1">
      <c r="C963" s="17"/>
      <c r="D963" s="17"/>
      <c r="E963" s="158"/>
      <c r="F963" s="17"/>
      <c r="G963" s="20"/>
      <c r="H963" s="20"/>
      <c r="I963" s="20"/>
      <c r="J963" s="20"/>
      <c r="K963" s="21"/>
      <c r="L963" s="159"/>
      <c r="M963" s="160"/>
      <c r="N963" s="17"/>
      <c r="O963" s="17"/>
      <c r="P963" s="17"/>
      <c r="Q963" s="17"/>
      <c r="R963" s="162"/>
    </row>
    <row r="964" ht="15.75" customHeight="1">
      <c r="C964" s="17"/>
      <c r="D964" s="17"/>
      <c r="E964" s="158"/>
      <c r="F964" s="17"/>
      <c r="G964" s="20"/>
      <c r="H964" s="20"/>
      <c r="I964" s="20"/>
      <c r="J964" s="20"/>
      <c r="K964" s="21"/>
      <c r="L964" s="159"/>
      <c r="M964" s="160"/>
      <c r="N964" s="17"/>
      <c r="O964" s="17"/>
      <c r="P964" s="17"/>
      <c r="Q964" s="17"/>
      <c r="R964" s="162"/>
    </row>
    <row r="965" ht="15.75" customHeight="1">
      <c r="C965" s="17"/>
      <c r="D965" s="17"/>
      <c r="E965" s="158"/>
      <c r="F965" s="17"/>
      <c r="G965" s="20"/>
      <c r="H965" s="20"/>
      <c r="I965" s="20"/>
      <c r="J965" s="20"/>
      <c r="K965" s="21"/>
      <c r="L965" s="159"/>
      <c r="M965" s="160"/>
      <c r="N965" s="17"/>
      <c r="O965" s="17"/>
      <c r="P965" s="17"/>
      <c r="Q965" s="17"/>
      <c r="R965" s="162"/>
    </row>
    <row r="966" ht="15.75" customHeight="1">
      <c r="C966" s="17"/>
      <c r="D966" s="17"/>
      <c r="E966" s="158"/>
      <c r="F966" s="17"/>
      <c r="G966" s="20"/>
      <c r="H966" s="20"/>
      <c r="I966" s="20"/>
      <c r="J966" s="20"/>
      <c r="K966" s="21"/>
      <c r="L966" s="159"/>
      <c r="M966" s="160"/>
      <c r="N966" s="17"/>
      <c r="O966" s="17"/>
      <c r="P966" s="17"/>
      <c r="Q966" s="17"/>
      <c r="R966" s="162"/>
    </row>
    <row r="967" ht="15.75" customHeight="1">
      <c r="C967" s="17"/>
      <c r="D967" s="17"/>
      <c r="E967" s="158"/>
      <c r="F967" s="17"/>
      <c r="G967" s="20"/>
      <c r="H967" s="20"/>
      <c r="I967" s="20"/>
      <c r="J967" s="20"/>
      <c r="K967" s="21"/>
      <c r="L967" s="159"/>
      <c r="M967" s="160"/>
      <c r="N967" s="17"/>
      <c r="O967" s="17"/>
      <c r="P967" s="17"/>
      <c r="Q967" s="17"/>
      <c r="R967" s="162"/>
    </row>
    <row r="968" ht="15.75" customHeight="1">
      <c r="C968" s="17"/>
      <c r="D968" s="17"/>
      <c r="E968" s="158"/>
      <c r="F968" s="17"/>
      <c r="G968" s="20"/>
      <c r="H968" s="20"/>
      <c r="I968" s="20"/>
      <c r="J968" s="20"/>
      <c r="K968" s="21"/>
      <c r="L968" s="159"/>
      <c r="M968" s="160"/>
      <c r="N968" s="17"/>
      <c r="O968" s="17"/>
      <c r="P968" s="17"/>
      <c r="Q968" s="17"/>
      <c r="R968" s="162"/>
    </row>
    <row r="969" ht="15.75" customHeight="1">
      <c r="C969" s="17"/>
      <c r="D969" s="17"/>
      <c r="E969" s="158"/>
      <c r="F969" s="17"/>
      <c r="G969" s="20"/>
      <c r="H969" s="20"/>
      <c r="I969" s="20"/>
      <c r="J969" s="20"/>
      <c r="K969" s="21"/>
      <c r="L969" s="159"/>
      <c r="M969" s="160"/>
      <c r="N969" s="17"/>
      <c r="O969" s="17"/>
      <c r="P969" s="17"/>
      <c r="Q969" s="17"/>
      <c r="R969" s="162"/>
    </row>
    <row r="970" ht="15.75" customHeight="1">
      <c r="C970" s="17"/>
      <c r="D970" s="17"/>
      <c r="E970" s="158"/>
      <c r="F970" s="17"/>
      <c r="G970" s="20"/>
      <c r="H970" s="20"/>
      <c r="I970" s="20"/>
      <c r="J970" s="20"/>
      <c r="K970" s="21"/>
      <c r="L970" s="159"/>
      <c r="M970" s="160"/>
      <c r="N970" s="17"/>
      <c r="O970" s="17"/>
      <c r="P970" s="17"/>
      <c r="Q970" s="17"/>
      <c r="R970" s="162"/>
    </row>
    <row r="971" ht="15.75" customHeight="1">
      <c r="C971" s="17"/>
      <c r="D971" s="17"/>
      <c r="E971" s="158"/>
      <c r="F971" s="17"/>
      <c r="G971" s="20"/>
      <c r="H971" s="20"/>
      <c r="I971" s="20"/>
      <c r="J971" s="20"/>
      <c r="K971" s="21"/>
      <c r="L971" s="159"/>
      <c r="M971" s="160"/>
      <c r="N971" s="17"/>
      <c r="O971" s="17"/>
      <c r="P971" s="17"/>
      <c r="Q971" s="17"/>
      <c r="R971" s="162"/>
    </row>
    <row r="972" ht="15.75" customHeight="1">
      <c r="C972" s="17"/>
      <c r="D972" s="17"/>
      <c r="E972" s="158"/>
      <c r="F972" s="17"/>
      <c r="G972" s="20"/>
      <c r="H972" s="20"/>
      <c r="I972" s="20"/>
      <c r="J972" s="20"/>
      <c r="K972" s="21"/>
      <c r="L972" s="159"/>
      <c r="M972" s="160"/>
      <c r="N972" s="17"/>
      <c r="O972" s="17"/>
      <c r="P972" s="17"/>
      <c r="Q972" s="17"/>
      <c r="R972" s="162"/>
    </row>
    <row r="973" ht="15.75" customHeight="1">
      <c r="C973" s="17"/>
      <c r="D973" s="17"/>
      <c r="E973" s="158"/>
      <c r="F973" s="17"/>
      <c r="G973" s="20"/>
      <c r="H973" s="20"/>
      <c r="I973" s="20"/>
      <c r="J973" s="20"/>
      <c r="K973" s="21"/>
      <c r="L973" s="159"/>
      <c r="M973" s="160"/>
      <c r="N973" s="17"/>
      <c r="O973" s="17"/>
      <c r="P973" s="17"/>
      <c r="Q973" s="17"/>
      <c r="R973" s="162"/>
    </row>
    <row r="974" ht="15.75" customHeight="1">
      <c r="C974" s="17"/>
      <c r="D974" s="17"/>
      <c r="E974" s="158"/>
      <c r="F974" s="17"/>
      <c r="G974" s="20"/>
      <c r="H974" s="20"/>
      <c r="I974" s="20"/>
      <c r="J974" s="20"/>
      <c r="K974" s="21"/>
      <c r="L974" s="159"/>
      <c r="M974" s="160"/>
      <c r="N974" s="17"/>
      <c r="O974" s="17"/>
      <c r="P974" s="17"/>
      <c r="Q974" s="17"/>
      <c r="R974" s="162"/>
    </row>
    <row r="975" ht="15.75" customHeight="1">
      <c r="C975" s="17"/>
      <c r="D975" s="17"/>
      <c r="E975" s="158"/>
      <c r="F975" s="17"/>
      <c r="G975" s="20"/>
      <c r="H975" s="20"/>
      <c r="I975" s="20"/>
      <c r="J975" s="20"/>
      <c r="K975" s="21"/>
      <c r="L975" s="159"/>
      <c r="M975" s="160"/>
      <c r="N975" s="17"/>
      <c r="O975" s="17"/>
      <c r="P975" s="17"/>
      <c r="Q975" s="17"/>
      <c r="R975" s="162"/>
    </row>
    <row r="976" ht="15.75" customHeight="1">
      <c r="C976" s="17"/>
      <c r="D976" s="17"/>
      <c r="E976" s="158"/>
      <c r="F976" s="17"/>
      <c r="G976" s="20"/>
      <c r="H976" s="20"/>
      <c r="I976" s="20"/>
      <c r="J976" s="20"/>
      <c r="K976" s="21"/>
      <c r="L976" s="159"/>
      <c r="M976" s="160"/>
      <c r="N976" s="17"/>
      <c r="O976" s="17"/>
      <c r="P976" s="17"/>
      <c r="Q976" s="17"/>
      <c r="R976" s="162"/>
    </row>
    <row r="977" ht="15.75" customHeight="1">
      <c r="C977" s="17"/>
      <c r="D977" s="17"/>
      <c r="E977" s="158"/>
      <c r="F977" s="17"/>
      <c r="G977" s="20"/>
      <c r="H977" s="20"/>
      <c r="I977" s="20"/>
      <c r="J977" s="20"/>
      <c r="K977" s="21"/>
      <c r="L977" s="159"/>
      <c r="M977" s="160"/>
      <c r="N977" s="17"/>
      <c r="O977" s="17"/>
      <c r="P977" s="17"/>
      <c r="Q977" s="17"/>
      <c r="R977" s="162"/>
    </row>
    <row r="978" ht="15.75" customHeight="1">
      <c r="C978" s="17"/>
      <c r="D978" s="17"/>
      <c r="E978" s="158"/>
      <c r="F978" s="17"/>
      <c r="G978" s="20"/>
      <c r="H978" s="20"/>
      <c r="I978" s="20"/>
      <c r="J978" s="20"/>
      <c r="K978" s="21"/>
      <c r="L978" s="159"/>
      <c r="M978" s="160"/>
      <c r="N978" s="17"/>
      <c r="O978" s="17"/>
      <c r="P978" s="17"/>
      <c r="Q978" s="17"/>
      <c r="R978" s="162"/>
    </row>
    <row r="979" ht="15.75" customHeight="1">
      <c r="C979" s="17"/>
      <c r="D979" s="17"/>
      <c r="E979" s="158"/>
      <c r="F979" s="17"/>
      <c r="G979" s="20"/>
      <c r="H979" s="20"/>
      <c r="I979" s="20"/>
      <c r="J979" s="20"/>
      <c r="K979" s="21"/>
      <c r="L979" s="159"/>
      <c r="M979" s="160"/>
      <c r="N979" s="17"/>
      <c r="O979" s="17"/>
      <c r="P979" s="17"/>
      <c r="Q979" s="17"/>
      <c r="R979" s="162"/>
    </row>
    <row r="980" ht="15.75" customHeight="1">
      <c r="C980" s="17"/>
      <c r="D980" s="17"/>
      <c r="E980" s="158"/>
      <c r="F980" s="17"/>
      <c r="G980" s="20"/>
      <c r="H980" s="20"/>
      <c r="I980" s="20"/>
      <c r="J980" s="20"/>
      <c r="K980" s="21"/>
      <c r="L980" s="159"/>
      <c r="M980" s="160"/>
      <c r="N980" s="17"/>
      <c r="O980" s="17"/>
      <c r="P980" s="17"/>
      <c r="Q980" s="17"/>
      <c r="R980" s="162"/>
    </row>
    <row r="981" ht="15.75" customHeight="1">
      <c r="C981" s="17"/>
      <c r="D981" s="17"/>
      <c r="E981" s="158"/>
      <c r="F981" s="17"/>
      <c r="G981" s="20"/>
      <c r="H981" s="20"/>
      <c r="I981" s="20"/>
      <c r="J981" s="20"/>
      <c r="K981" s="21"/>
      <c r="L981" s="159"/>
      <c r="M981" s="160"/>
      <c r="N981" s="17"/>
      <c r="O981" s="17"/>
      <c r="P981" s="17"/>
      <c r="Q981" s="17"/>
      <c r="R981" s="162"/>
    </row>
    <row r="982" ht="15.75" customHeight="1">
      <c r="C982" s="17"/>
      <c r="D982" s="17"/>
      <c r="E982" s="158"/>
      <c r="F982" s="17"/>
      <c r="G982" s="20"/>
      <c r="H982" s="20"/>
      <c r="I982" s="20"/>
      <c r="J982" s="20"/>
      <c r="K982" s="21"/>
      <c r="L982" s="159"/>
      <c r="M982" s="160"/>
      <c r="N982" s="17"/>
      <c r="O982" s="17"/>
      <c r="P982" s="17"/>
      <c r="Q982" s="17"/>
      <c r="R982" s="162"/>
    </row>
    <row r="983" ht="15.75" customHeight="1">
      <c r="C983" s="17"/>
      <c r="D983" s="17"/>
      <c r="E983" s="158"/>
      <c r="F983" s="17"/>
      <c r="G983" s="20"/>
      <c r="H983" s="20"/>
      <c r="I983" s="20"/>
      <c r="J983" s="20"/>
      <c r="K983" s="21"/>
      <c r="L983" s="159"/>
      <c r="M983" s="160"/>
      <c r="N983" s="17"/>
      <c r="O983" s="17"/>
      <c r="P983" s="17"/>
      <c r="Q983" s="17"/>
      <c r="R983" s="162"/>
    </row>
    <row r="984" ht="15.75" customHeight="1">
      <c r="C984" s="17"/>
      <c r="D984" s="17"/>
      <c r="E984" s="158"/>
      <c r="F984" s="17"/>
      <c r="G984" s="20"/>
      <c r="H984" s="20"/>
      <c r="I984" s="20"/>
      <c r="J984" s="20"/>
      <c r="K984" s="21"/>
      <c r="L984" s="159"/>
      <c r="M984" s="160"/>
      <c r="N984" s="17"/>
      <c r="O984" s="17"/>
      <c r="P984" s="17"/>
      <c r="Q984" s="17"/>
      <c r="R984" s="162"/>
    </row>
    <row r="985" ht="15.75" customHeight="1">
      <c r="C985" s="17"/>
      <c r="D985" s="17"/>
      <c r="E985" s="158"/>
      <c r="F985" s="17"/>
      <c r="G985" s="20"/>
      <c r="H985" s="20"/>
      <c r="I985" s="20"/>
      <c r="J985" s="20"/>
      <c r="K985" s="21"/>
      <c r="L985" s="159"/>
      <c r="M985" s="160"/>
      <c r="N985" s="17"/>
      <c r="O985" s="17"/>
      <c r="P985" s="17"/>
      <c r="Q985" s="17"/>
      <c r="R985" s="162"/>
    </row>
    <row r="986" ht="15.75" customHeight="1">
      <c r="C986" s="17"/>
      <c r="D986" s="17"/>
      <c r="E986" s="158"/>
      <c r="F986" s="17"/>
      <c r="G986" s="20"/>
      <c r="H986" s="20"/>
      <c r="I986" s="20"/>
      <c r="J986" s="20"/>
      <c r="K986" s="21"/>
      <c r="L986" s="159"/>
      <c r="M986" s="160"/>
      <c r="N986" s="17"/>
      <c r="O986" s="17"/>
      <c r="P986" s="17"/>
      <c r="Q986" s="17"/>
      <c r="R986" s="162"/>
    </row>
    <row r="987" ht="15.75" customHeight="1">
      <c r="C987" s="17"/>
      <c r="D987" s="17"/>
      <c r="E987" s="158"/>
      <c r="F987" s="17"/>
      <c r="G987" s="20"/>
      <c r="H987" s="20"/>
      <c r="I987" s="20"/>
      <c r="J987" s="20"/>
      <c r="K987" s="21"/>
      <c r="L987" s="159"/>
      <c r="M987" s="160"/>
      <c r="N987" s="17"/>
      <c r="O987" s="17"/>
      <c r="P987" s="17"/>
      <c r="Q987" s="17"/>
      <c r="R987" s="162"/>
    </row>
    <row r="988" ht="15.75" customHeight="1">
      <c r="C988" s="17"/>
      <c r="D988" s="17"/>
      <c r="E988" s="158"/>
      <c r="F988" s="17"/>
      <c r="G988" s="20"/>
      <c r="H988" s="20"/>
      <c r="I988" s="20"/>
      <c r="J988" s="20"/>
      <c r="K988" s="21"/>
      <c r="L988" s="159"/>
      <c r="M988" s="160"/>
      <c r="N988" s="17"/>
      <c r="O988" s="17"/>
      <c r="P988" s="17"/>
      <c r="Q988" s="17"/>
      <c r="R988" s="162"/>
    </row>
    <row r="989" ht="15.75" customHeight="1">
      <c r="C989" s="17"/>
      <c r="D989" s="17"/>
      <c r="E989" s="158"/>
      <c r="F989" s="17"/>
      <c r="G989" s="20"/>
      <c r="H989" s="20"/>
      <c r="I989" s="20"/>
      <c r="J989" s="20"/>
      <c r="K989" s="21"/>
      <c r="L989" s="159"/>
      <c r="M989" s="160"/>
      <c r="N989" s="17"/>
      <c r="O989" s="17"/>
      <c r="P989" s="17"/>
      <c r="Q989" s="17"/>
      <c r="R989" s="162"/>
    </row>
    <row r="990" ht="15.75" customHeight="1">
      <c r="C990" s="17"/>
      <c r="D990" s="17"/>
      <c r="E990" s="158"/>
      <c r="F990" s="17"/>
      <c r="G990" s="20"/>
      <c r="H990" s="20"/>
      <c r="I990" s="20"/>
      <c r="J990" s="20"/>
      <c r="K990" s="21"/>
      <c r="L990" s="159"/>
      <c r="M990" s="160"/>
      <c r="N990" s="17"/>
      <c r="O990" s="17"/>
      <c r="P990" s="17"/>
      <c r="Q990" s="17"/>
      <c r="R990" s="162"/>
    </row>
    <row r="991" ht="15.75" customHeight="1">
      <c r="C991" s="17"/>
      <c r="D991" s="17"/>
      <c r="E991" s="158"/>
      <c r="F991" s="17"/>
      <c r="G991" s="20"/>
      <c r="H991" s="20"/>
      <c r="I991" s="20"/>
      <c r="J991" s="20"/>
      <c r="K991" s="21"/>
      <c r="L991" s="159"/>
      <c r="M991" s="160"/>
      <c r="N991" s="17"/>
      <c r="O991" s="17"/>
      <c r="P991" s="17"/>
      <c r="Q991" s="17"/>
      <c r="R991" s="162"/>
    </row>
    <row r="992" ht="15.75" customHeight="1">
      <c r="C992" s="17"/>
      <c r="D992" s="17"/>
      <c r="E992" s="158"/>
      <c r="F992" s="17"/>
      <c r="G992" s="20"/>
      <c r="H992" s="20"/>
      <c r="I992" s="20"/>
      <c r="J992" s="20"/>
      <c r="K992" s="21"/>
      <c r="L992" s="159"/>
      <c r="M992" s="160"/>
      <c r="N992" s="17"/>
      <c r="O992" s="17"/>
      <c r="P992" s="17"/>
      <c r="Q992" s="17"/>
      <c r="R992" s="162"/>
    </row>
    <row r="993" ht="15.75" customHeight="1">
      <c r="C993" s="17"/>
      <c r="D993" s="17"/>
      <c r="E993" s="158"/>
      <c r="F993" s="17"/>
      <c r="G993" s="20"/>
      <c r="H993" s="20"/>
      <c r="I993" s="20"/>
      <c r="J993" s="20"/>
      <c r="K993" s="21"/>
      <c r="L993" s="159"/>
      <c r="M993" s="160"/>
      <c r="N993" s="17"/>
      <c r="O993" s="17"/>
      <c r="P993" s="17"/>
      <c r="Q993" s="17"/>
      <c r="R993" s="162"/>
    </row>
    <row r="994" ht="15.75" customHeight="1">
      <c r="C994" s="17"/>
      <c r="D994" s="17"/>
      <c r="E994" s="158"/>
      <c r="F994" s="17"/>
      <c r="G994" s="20"/>
      <c r="H994" s="20"/>
      <c r="I994" s="20"/>
      <c r="J994" s="20"/>
      <c r="K994" s="21"/>
      <c r="L994" s="159"/>
      <c r="M994" s="160"/>
      <c r="N994" s="17"/>
      <c r="O994" s="17"/>
      <c r="P994" s="17"/>
      <c r="Q994" s="17"/>
      <c r="R994" s="162"/>
    </row>
    <row r="995" ht="15.75" customHeight="1">
      <c r="C995" s="17"/>
      <c r="D995" s="17"/>
      <c r="E995" s="158"/>
      <c r="F995" s="17"/>
      <c r="G995" s="20"/>
      <c r="H995" s="20"/>
      <c r="I995" s="20"/>
      <c r="J995" s="20"/>
      <c r="K995" s="21"/>
      <c r="L995" s="159"/>
      <c r="M995" s="160"/>
      <c r="N995" s="17"/>
      <c r="O995" s="17"/>
      <c r="P995" s="17"/>
      <c r="Q995" s="17"/>
      <c r="R995" s="162"/>
    </row>
    <row r="996" ht="15.75" customHeight="1">
      <c r="C996" s="17"/>
      <c r="D996" s="17"/>
      <c r="E996" s="158"/>
      <c r="F996" s="17"/>
      <c r="G996" s="20"/>
      <c r="H996" s="20"/>
      <c r="I996" s="20"/>
      <c r="J996" s="20"/>
      <c r="K996" s="21"/>
      <c r="L996" s="159"/>
      <c r="M996" s="160"/>
      <c r="N996" s="17"/>
      <c r="O996" s="17"/>
      <c r="P996" s="17"/>
      <c r="Q996" s="17"/>
      <c r="R996" s="162"/>
    </row>
    <row r="997" ht="15.75" customHeight="1">
      <c r="C997" s="17"/>
      <c r="D997" s="17"/>
      <c r="E997" s="158"/>
      <c r="F997" s="17"/>
      <c r="G997" s="20"/>
      <c r="H997" s="20"/>
      <c r="I997" s="20"/>
      <c r="J997" s="20"/>
      <c r="K997" s="21"/>
      <c r="L997" s="159"/>
      <c r="M997" s="160"/>
      <c r="N997" s="17"/>
      <c r="O997" s="17"/>
      <c r="P997" s="17"/>
      <c r="Q997" s="17"/>
      <c r="R997" s="162"/>
    </row>
    <row r="998" ht="15.75" customHeight="1">
      <c r="C998" s="17"/>
      <c r="D998" s="17"/>
      <c r="E998" s="158"/>
      <c r="F998" s="17"/>
      <c r="G998" s="20"/>
      <c r="H998" s="20"/>
      <c r="I998" s="20"/>
      <c r="J998" s="20"/>
      <c r="K998" s="21"/>
      <c r="L998" s="159"/>
      <c r="M998" s="160"/>
      <c r="N998" s="17"/>
      <c r="O998" s="17"/>
      <c r="P998" s="17"/>
      <c r="Q998" s="17"/>
      <c r="R998" s="162"/>
    </row>
    <row r="999" ht="15.75" customHeight="1">
      <c r="C999" s="17"/>
      <c r="D999" s="17"/>
      <c r="E999" s="158"/>
      <c r="F999" s="17"/>
      <c r="G999" s="20"/>
      <c r="H999" s="20"/>
      <c r="I999" s="20"/>
      <c r="J999" s="20"/>
      <c r="K999" s="21"/>
      <c r="L999" s="159"/>
      <c r="M999" s="160"/>
      <c r="N999" s="17"/>
      <c r="O999" s="17"/>
      <c r="P999" s="17"/>
      <c r="Q999" s="17"/>
      <c r="R999" s="162"/>
    </row>
    <row r="1000" ht="15.75" customHeight="1">
      <c r="C1000" s="17"/>
      <c r="D1000" s="17"/>
      <c r="E1000" s="158"/>
      <c r="F1000" s="17"/>
      <c r="G1000" s="20"/>
      <c r="H1000" s="20"/>
      <c r="I1000" s="20"/>
      <c r="J1000" s="20"/>
      <c r="K1000" s="21"/>
      <c r="L1000" s="159"/>
      <c r="M1000" s="160"/>
      <c r="N1000" s="17"/>
      <c r="O1000" s="17"/>
      <c r="P1000" s="17"/>
      <c r="Q1000" s="17"/>
      <c r="R1000" s="162"/>
    </row>
  </sheetData>
  <conditionalFormatting sqref="Q2:Q139">
    <cfRule type="cellIs" dxfId="0" priority="1" operator="lessThan">
      <formula>1</formula>
    </cfRule>
  </conditionalFormatting>
  <conditionalFormatting sqref="Q2:Q139">
    <cfRule type="cellIs" dxfId="1" priority="2" operator="between">
      <formula>4</formula>
      <formula>7</formula>
    </cfRule>
  </conditionalFormatting>
  <conditionalFormatting sqref="Q2:Q139">
    <cfRule type="cellIs" dxfId="2" priority="3" operator="between">
      <formula>7</formula>
      <formula>9</formula>
    </cfRule>
  </conditionalFormatting>
  <conditionalFormatting sqref="Q2:Q139">
    <cfRule type="cellIs" dxfId="3" priority="4" operator="greaterThan">
      <formula>9</formula>
    </cfRule>
  </conditionalFormatting>
  <conditionalFormatting sqref="Q2:Q139">
    <cfRule type="expression" dxfId="4" priority="5">
      <formula>ISERROR(Q2)</formula>
    </cfRule>
  </conditionalFormatting>
  <printOptions/>
  <pageMargins bottom="0.75" footer="0.0" header="0.0" left="0.7" right="0.7" top="0.75"/>
  <pageSetup scale="49" orientation="landscape"/>
  <headerFooter>
    <oddHeader>&amp;RPage &amp;P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14"/>
    <col customWidth="1" min="4" max="4" width="4.29"/>
    <col customWidth="1" min="5" max="6" width="9.14"/>
    <col customWidth="1" min="7" max="7" width="4.29"/>
    <col customWidth="1" min="8" max="8" width="9.14"/>
    <col customWidth="1" min="9" max="9" width="4.29"/>
    <col customWidth="1" min="10" max="26" width="8.71"/>
  </cols>
  <sheetData>
    <row r="1">
      <c r="A1" s="185" t="s">
        <v>1296</v>
      </c>
      <c r="B1" s="123"/>
      <c r="C1" s="124"/>
      <c r="E1" s="186" t="s">
        <v>1300</v>
      </c>
      <c r="F1" s="124"/>
      <c r="H1" s="187" t="s">
        <v>1301</v>
      </c>
    </row>
    <row r="2">
      <c r="A2" s="6" t="s">
        <v>1302</v>
      </c>
      <c r="B2" s="6" t="s">
        <v>1303</v>
      </c>
      <c r="C2" s="6" t="s">
        <v>1304</v>
      </c>
      <c r="E2" s="6" t="s">
        <v>1304</v>
      </c>
      <c r="F2" s="6" t="s">
        <v>1307</v>
      </c>
      <c r="H2" s="187" t="s">
        <v>614</v>
      </c>
    </row>
    <row r="3">
      <c r="A3" s="17">
        <v>15.0</v>
      </c>
      <c r="B3" s="17">
        <v>59.0</v>
      </c>
      <c r="C3" s="159">
        <v>3300.0</v>
      </c>
      <c r="E3" s="17">
        <v>1500.0</v>
      </c>
      <c r="F3" s="17">
        <v>3400.0</v>
      </c>
      <c r="H3" s="17">
        <v>4.5</v>
      </c>
      <c r="J3" s="16"/>
      <c r="K3" s="16"/>
      <c r="L3" s="16"/>
      <c r="M3" s="16"/>
      <c r="N3" s="16"/>
    </row>
    <row r="4">
      <c r="A4" s="17">
        <v>20.0</v>
      </c>
      <c r="B4" s="17">
        <v>68.0</v>
      </c>
      <c r="C4" s="159">
        <v>4100.0</v>
      </c>
      <c r="E4" s="17"/>
      <c r="F4" s="17"/>
      <c r="H4" s="17"/>
      <c r="J4" s="16"/>
      <c r="K4" s="16"/>
      <c r="L4" s="16"/>
      <c r="M4" s="16"/>
      <c r="N4" s="16"/>
    </row>
    <row r="5">
      <c r="A5" s="17">
        <v>25.0</v>
      </c>
      <c r="B5" s="17">
        <v>77.0</v>
      </c>
      <c r="C5" s="159">
        <v>5000.0</v>
      </c>
      <c r="E5" s="17"/>
      <c r="F5" s="17"/>
      <c r="H5" s="17"/>
      <c r="J5" s="16"/>
      <c r="K5" s="16"/>
      <c r="L5" s="16"/>
      <c r="M5" s="16"/>
      <c r="N5" s="16"/>
    </row>
    <row r="6">
      <c r="A6" s="17">
        <v>30.0</v>
      </c>
      <c r="B6" s="17">
        <v>86.0</v>
      </c>
      <c r="C6" s="159">
        <v>6100.0</v>
      </c>
      <c r="E6" s="17"/>
      <c r="F6" s="17"/>
      <c r="H6" s="17"/>
    </row>
    <row r="7">
      <c r="A7" s="17">
        <v>35.0</v>
      </c>
      <c r="B7" s="17">
        <v>95.0</v>
      </c>
      <c r="C7" s="159">
        <v>7500.0</v>
      </c>
      <c r="E7" s="188" t="s">
        <v>1310</v>
      </c>
      <c r="F7" s="124"/>
      <c r="H7" s="17"/>
    </row>
    <row r="8">
      <c r="A8" s="17">
        <v>40.0</v>
      </c>
      <c r="B8" s="17">
        <v>104.0</v>
      </c>
      <c r="C8" s="159">
        <v>9500.0</v>
      </c>
      <c r="E8" s="188" t="s">
        <v>1311</v>
      </c>
      <c r="F8" s="124"/>
      <c r="H8" s="17"/>
    </row>
    <row r="9">
      <c r="A9" s="17"/>
      <c r="B9" s="17"/>
      <c r="C9" s="17"/>
      <c r="E9" s="6" t="s">
        <v>1304</v>
      </c>
      <c r="F9" s="6" t="s">
        <v>1307</v>
      </c>
      <c r="H9" s="17"/>
    </row>
    <row r="10">
      <c r="A10" s="189" t="s">
        <v>1313</v>
      </c>
      <c r="C10" s="190"/>
      <c r="E10" s="191"/>
      <c r="F10" s="191"/>
      <c r="H10" s="17"/>
    </row>
    <row r="11">
      <c r="A11" s="17"/>
      <c r="B11" s="17"/>
      <c r="C11" s="17"/>
      <c r="E11" s="17"/>
      <c r="F11" s="17"/>
      <c r="H11" s="17"/>
    </row>
    <row r="12">
      <c r="A12" s="189" t="s">
        <v>1315</v>
      </c>
      <c r="C12" s="17">
        <f>C10-E3</f>
        <v>-1500</v>
      </c>
      <c r="E12" s="192" t="s">
        <v>1317</v>
      </c>
      <c r="F12" s="124"/>
      <c r="H12" s="193" t="s">
        <v>1320</v>
      </c>
    </row>
    <row r="13">
      <c r="A13" s="17"/>
      <c r="B13" s="17"/>
      <c r="C13" s="17"/>
      <c r="E13" s="6" t="s">
        <v>1304</v>
      </c>
      <c r="F13" s="6" t="s">
        <v>1307</v>
      </c>
      <c r="H13" s="193" t="s">
        <v>614</v>
      </c>
    </row>
    <row r="14">
      <c r="A14" s="189" t="s">
        <v>1321</v>
      </c>
      <c r="C14" s="86">
        <f>C12/H3</f>
        <v>-333.3333333</v>
      </c>
      <c r="E14" s="17">
        <f>C10-E10</f>
        <v>0</v>
      </c>
      <c r="F14" s="86">
        <f>(F3+C14)-F10</f>
        <v>3066.666667</v>
      </c>
      <c r="H14" s="19">
        <f>E14/F14</f>
        <v>0</v>
      </c>
    </row>
    <row r="15">
      <c r="A15" s="17"/>
      <c r="B15" s="17"/>
      <c r="C15" s="17"/>
      <c r="E15" s="17"/>
      <c r="F15" s="17"/>
      <c r="H15" s="17"/>
    </row>
    <row r="16">
      <c r="A16" s="189" t="s">
        <v>1324</v>
      </c>
      <c r="C16" s="194" t="str">
        <f>E18*H18</f>
        <v>#DIV/0!</v>
      </c>
      <c r="E16" s="195" t="s">
        <v>1325</v>
      </c>
      <c r="F16" s="124"/>
      <c r="H16" s="196" t="s">
        <v>1326</v>
      </c>
    </row>
    <row r="17">
      <c r="A17" s="17"/>
      <c r="B17" s="17"/>
      <c r="C17" s="17"/>
      <c r="E17" s="6" t="s">
        <v>1304</v>
      </c>
      <c r="F17" s="6" t="s">
        <v>1307</v>
      </c>
      <c r="H17" s="196" t="s">
        <v>8</v>
      </c>
    </row>
    <row r="18">
      <c r="A18" s="189" t="s">
        <v>1329</v>
      </c>
      <c r="C18" s="197" t="str">
        <f>F18*H18</f>
        <v>#DIV/0!</v>
      </c>
      <c r="E18" s="198"/>
      <c r="F18" s="198"/>
      <c r="H18" s="24" t="str">
        <f>E14/E18</f>
        <v>#DIV/0!</v>
      </c>
    </row>
    <row r="19">
      <c r="A19" s="17"/>
      <c r="B19" s="17"/>
      <c r="C19" s="17"/>
      <c r="E19" s="17"/>
      <c r="F19" s="17"/>
      <c r="H19" s="17"/>
    </row>
    <row r="20">
      <c r="A20" s="17"/>
      <c r="B20" s="17"/>
      <c r="C20" s="17"/>
      <c r="E20" s="199" t="s">
        <v>1330</v>
      </c>
      <c r="F20" s="124"/>
      <c r="H20" s="17"/>
    </row>
    <row r="21" ht="15.75" customHeight="1">
      <c r="A21" s="17"/>
      <c r="B21" s="17"/>
      <c r="C21" s="17"/>
      <c r="E21" s="199" t="s">
        <v>1310</v>
      </c>
      <c r="F21" s="124"/>
      <c r="H21" s="17"/>
    </row>
    <row r="22" ht="15.75" customHeight="1">
      <c r="A22" s="17"/>
      <c r="B22" s="17"/>
      <c r="C22" s="17"/>
      <c r="E22" s="6" t="s">
        <v>1304</v>
      </c>
      <c r="F22" s="6" t="s">
        <v>1307</v>
      </c>
      <c r="H22" s="6" t="s">
        <v>1333</v>
      </c>
    </row>
    <row r="23" ht="15.75" customHeight="1">
      <c r="A23" s="189" t="s">
        <v>1334</v>
      </c>
      <c r="C23" s="86">
        <f>F3+C14</f>
        <v>3066.666667</v>
      </c>
      <c r="E23" s="17" t="str">
        <f>E10+C16</f>
        <v>#DIV/0!</v>
      </c>
      <c r="F23" s="86" t="str">
        <f>F10+C18</f>
        <v>#DIV/0!</v>
      </c>
      <c r="H23" s="86" t="str">
        <f>F23-C23</f>
        <v>#DIV/0!</v>
      </c>
    </row>
    <row r="24" ht="15.75" customHeight="1">
      <c r="A24" s="17"/>
      <c r="B24" s="17"/>
      <c r="C24" s="17"/>
      <c r="E24" s="17"/>
      <c r="F24" s="17"/>
      <c r="H24" s="17"/>
    </row>
    <row r="25" ht="15.75" customHeight="1">
      <c r="A25" s="17"/>
      <c r="B25" s="17"/>
      <c r="C25" s="17"/>
      <c r="E25" s="17"/>
      <c r="F25" s="17"/>
      <c r="H25" s="17"/>
    </row>
    <row r="26" ht="15.75" customHeight="1">
      <c r="A26" s="17"/>
      <c r="B26" s="17"/>
      <c r="C26" s="17"/>
      <c r="E26" s="17"/>
      <c r="F26" s="17"/>
      <c r="H26" s="17"/>
    </row>
    <row r="27" ht="15.75" customHeight="1">
      <c r="A27" s="17"/>
      <c r="B27" s="17"/>
      <c r="C27" s="17"/>
      <c r="E27" s="17"/>
      <c r="F27" s="17"/>
      <c r="H27" s="17"/>
    </row>
    <row r="28" ht="15.75" customHeight="1">
      <c r="A28" s="17"/>
      <c r="B28" s="17"/>
      <c r="C28" s="17"/>
      <c r="E28" s="17"/>
      <c r="F28" s="17"/>
      <c r="H28" s="17"/>
    </row>
    <row r="29" ht="15.75" customHeight="1">
      <c r="A29" s="17"/>
      <c r="B29" s="17"/>
      <c r="C29" s="17"/>
      <c r="E29" s="17"/>
      <c r="F29" s="17"/>
      <c r="H29" s="17"/>
    </row>
    <row r="30" ht="15.75" customHeight="1">
      <c r="A30" s="17"/>
      <c r="B30" s="17"/>
      <c r="C30" s="17"/>
      <c r="E30" s="17"/>
      <c r="F30" s="17"/>
      <c r="H30" s="17"/>
    </row>
    <row r="31" ht="15.75" customHeight="1">
      <c r="A31" s="17"/>
      <c r="B31" s="17"/>
      <c r="C31" s="17"/>
      <c r="E31" s="17"/>
      <c r="F31" s="17"/>
      <c r="H31" s="17"/>
    </row>
    <row r="32" ht="15.75" customHeight="1">
      <c r="A32" s="17"/>
      <c r="B32" s="17"/>
      <c r="C32" s="17"/>
      <c r="E32" s="17"/>
      <c r="F32" s="17"/>
      <c r="H32" s="17"/>
    </row>
    <row r="33" ht="15.75" customHeight="1">
      <c r="A33" s="17"/>
      <c r="B33" s="17"/>
      <c r="C33" s="17"/>
      <c r="E33" s="17"/>
      <c r="F33" s="17"/>
      <c r="H33" s="17"/>
    </row>
    <row r="34" ht="15.75" customHeight="1">
      <c r="A34" s="17"/>
      <c r="B34" s="17"/>
      <c r="C34" s="17"/>
      <c r="E34" s="17"/>
      <c r="F34" s="17"/>
      <c r="H34" s="17"/>
    </row>
    <row r="35" ht="15.75" customHeight="1">
      <c r="A35" s="17"/>
      <c r="B35" s="17"/>
      <c r="C35" s="17"/>
      <c r="E35" s="17"/>
      <c r="F35" s="17"/>
      <c r="H35" s="17"/>
    </row>
    <row r="36" ht="15.75" customHeight="1">
      <c r="A36" s="17"/>
      <c r="B36" s="17"/>
      <c r="C36" s="17"/>
      <c r="E36" s="17"/>
      <c r="F36" s="17"/>
      <c r="H36" s="17"/>
    </row>
    <row r="37" ht="15.75" customHeight="1">
      <c r="A37" s="17"/>
      <c r="B37" s="17"/>
      <c r="C37" s="17"/>
      <c r="E37" s="17"/>
      <c r="F37" s="17"/>
      <c r="H37" s="17"/>
    </row>
    <row r="38" ht="15.75" customHeight="1">
      <c r="A38" s="17"/>
      <c r="B38" s="17"/>
      <c r="C38" s="17"/>
      <c r="E38" s="17"/>
      <c r="F38" s="17"/>
      <c r="H38" s="17"/>
    </row>
    <row r="39" ht="15.75" customHeight="1">
      <c r="A39" s="17"/>
      <c r="B39" s="17"/>
      <c r="C39" s="17"/>
      <c r="E39" s="17"/>
      <c r="F39" s="17"/>
      <c r="H39" s="17"/>
    </row>
    <row r="40" ht="15.75" customHeight="1">
      <c r="A40" s="17"/>
      <c r="B40" s="17"/>
      <c r="C40" s="17"/>
      <c r="E40" s="17"/>
      <c r="F40" s="17"/>
      <c r="H40" s="17"/>
    </row>
    <row r="41" ht="15.75" customHeight="1">
      <c r="A41" s="17"/>
      <c r="B41" s="17"/>
      <c r="C41" s="17"/>
      <c r="E41" s="17"/>
      <c r="F41" s="17"/>
      <c r="H41" s="17"/>
    </row>
    <row r="42" ht="15.75" customHeight="1">
      <c r="A42" s="17"/>
      <c r="B42" s="17"/>
      <c r="C42" s="17"/>
      <c r="E42" s="17"/>
      <c r="F42" s="17"/>
      <c r="H42" s="17"/>
    </row>
    <row r="43" ht="15.75" customHeight="1">
      <c r="A43" s="17"/>
      <c r="B43" s="17"/>
      <c r="C43" s="17"/>
      <c r="E43" s="17"/>
      <c r="F43" s="17"/>
      <c r="H43" s="17"/>
    </row>
    <row r="44" ht="15.75" customHeight="1">
      <c r="A44" s="17"/>
      <c r="B44" s="17"/>
      <c r="C44" s="17"/>
      <c r="E44" s="17"/>
      <c r="F44" s="17"/>
      <c r="H44" s="17"/>
    </row>
    <row r="45" ht="15.75" customHeight="1">
      <c r="A45" s="17"/>
      <c r="B45" s="17"/>
      <c r="C45" s="17"/>
      <c r="E45" s="17"/>
      <c r="F45" s="17"/>
      <c r="H45" s="17"/>
    </row>
    <row r="46" ht="15.75" customHeight="1">
      <c r="A46" s="17"/>
      <c r="B46" s="17"/>
      <c r="C46" s="17"/>
      <c r="E46" s="17"/>
      <c r="F46" s="17"/>
      <c r="H46" s="17"/>
    </row>
    <row r="47" ht="15.75" customHeight="1">
      <c r="A47" s="17"/>
      <c r="B47" s="17"/>
      <c r="C47" s="17"/>
      <c r="E47" s="17"/>
      <c r="F47" s="17"/>
      <c r="H47" s="17"/>
    </row>
    <row r="48" ht="15.75" customHeight="1">
      <c r="A48" s="17"/>
      <c r="B48" s="17"/>
      <c r="C48" s="17"/>
      <c r="E48" s="17"/>
      <c r="F48" s="17"/>
      <c r="H48" s="17"/>
    </row>
    <row r="49" ht="15.75" customHeight="1">
      <c r="A49" s="17"/>
      <c r="B49" s="17"/>
      <c r="C49" s="17"/>
      <c r="E49" s="17"/>
      <c r="F49" s="17"/>
      <c r="H49" s="17"/>
    </row>
    <row r="50" ht="15.75" customHeight="1">
      <c r="A50" s="17"/>
      <c r="B50" s="17"/>
      <c r="C50" s="17"/>
      <c r="E50" s="17"/>
      <c r="F50" s="17"/>
      <c r="H50" s="17"/>
    </row>
    <row r="51" ht="15.75" customHeight="1">
      <c r="A51" s="17"/>
      <c r="B51" s="17"/>
      <c r="C51" s="17"/>
      <c r="E51" s="17"/>
      <c r="F51" s="17"/>
      <c r="H51" s="17"/>
    </row>
    <row r="52" ht="15.75" customHeight="1">
      <c r="A52" s="17"/>
      <c r="B52" s="17"/>
      <c r="C52" s="17"/>
      <c r="E52" s="17"/>
      <c r="F52" s="17"/>
      <c r="H52" s="17"/>
    </row>
    <row r="53" ht="15.75" customHeight="1">
      <c r="A53" s="17"/>
      <c r="B53" s="17"/>
      <c r="C53" s="17"/>
      <c r="E53" s="17"/>
      <c r="F53" s="17"/>
      <c r="H53" s="17"/>
    </row>
    <row r="54" ht="15.75" customHeight="1">
      <c r="A54" s="17"/>
      <c r="B54" s="17"/>
      <c r="C54" s="17"/>
      <c r="E54" s="17"/>
      <c r="F54" s="17"/>
      <c r="H54" s="17"/>
    </row>
    <row r="55" ht="15.75" customHeight="1">
      <c r="A55" s="17"/>
      <c r="B55" s="17"/>
      <c r="C55" s="17"/>
      <c r="E55" s="17"/>
      <c r="F55" s="17"/>
      <c r="H55" s="17"/>
    </row>
    <row r="56" ht="15.75" customHeight="1">
      <c r="A56" s="17"/>
      <c r="B56" s="17"/>
      <c r="C56" s="17"/>
      <c r="E56" s="17"/>
      <c r="F56" s="17"/>
      <c r="H56" s="17"/>
    </row>
    <row r="57" ht="15.75" customHeight="1">
      <c r="A57" s="17"/>
      <c r="B57" s="17"/>
      <c r="C57" s="17"/>
      <c r="E57" s="17"/>
      <c r="F57" s="17"/>
      <c r="H57" s="17"/>
    </row>
    <row r="58" ht="15.75" customHeight="1">
      <c r="A58" s="17"/>
      <c r="B58" s="17"/>
      <c r="C58" s="17"/>
      <c r="E58" s="17"/>
      <c r="F58" s="17"/>
      <c r="H58" s="17"/>
    </row>
    <row r="59" ht="15.75" customHeight="1">
      <c r="A59" s="17"/>
      <c r="B59" s="17"/>
      <c r="C59" s="17"/>
      <c r="E59" s="17"/>
      <c r="F59" s="17"/>
      <c r="H59" s="17"/>
    </row>
    <row r="60" ht="15.75" customHeight="1">
      <c r="A60" s="17"/>
      <c r="B60" s="17"/>
      <c r="C60" s="17"/>
      <c r="E60" s="17"/>
      <c r="F60" s="17"/>
      <c r="H60" s="17"/>
    </row>
    <row r="61" ht="15.75" customHeight="1">
      <c r="A61" s="17"/>
      <c r="B61" s="17"/>
      <c r="C61" s="17"/>
      <c r="E61" s="17"/>
      <c r="F61" s="17"/>
      <c r="H61" s="17"/>
    </row>
    <row r="62" ht="15.75" customHeight="1">
      <c r="A62" s="17"/>
      <c r="B62" s="17"/>
      <c r="C62" s="17"/>
      <c r="E62" s="17"/>
      <c r="F62" s="17"/>
      <c r="H62" s="17"/>
    </row>
    <row r="63" ht="15.75" customHeight="1">
      <c r="A63" s="17"/>
      <c r="B63" s="17"/>
      <c r="C63" s="17"/>
      <c r="E63" s="17"/>
      <c r="F63" s="17"/>
      <c r="H63" s="17"/>
    </row>
    <row r="64" ht="15.75" customHeight="1">
      <c r="A64" s="17"/>
      <c r="B64" s="17"/>
      <c r="C64" s="17"/>
      <c r="E64" s="17"/>
      <c r="F64" s="17"/>
      <c r="H64" s="17"/>
    </row>
    <row r="65" ht="15.75" customHeight="1">
      <c r="A65" s="17"/>
      <c r="B65" s="17"/>
      <c r="C65" s="17"/>
      <c r="E65" s="17"/>
      <c r="F65" s="17"/>
      <c r="H65" s="17"/>
    </row>
    <row r="66" ht="15.75" customHeight="1">
      <c r="A66" s="17"/>
      <c r="B66" s="17"/>
      <c r="C66" s="17"/>
      <c r="E66" s="17"/>
      <c r="F66" s="17"/>
      <c r="H66" s="17"/>
    </row>
    <row r="67" ht="15.75" customHeight="1">
      <c r="A67" s="17"/>
      <c r="B67" s="17"/>
      <c r="C67" s="17"/>
      <c r="E67" s="17"/>
      <c r="F67" s="17"/>
      <c r="H67" s="17"/>
    </row>
    <row r="68" ht="15.75" customHeight="1">
      <c r="A68" s="17"/>
      <c r="B68" s="17"/>
      <c r="C68" s="17"/>
      <c r="E68" s="17"/>
      <c r="F68" s="17"/>
      <c r="H68" s="17"/>
    </row>
    <row r="69" ht="15.75" customHeight="1">
      <c r="A69" s="17"/>
      <c r="B69" s="17"/>
      <c r="C69" s="17"/>
      <c r="E69" s="17"/>
      <c r="F69" s="17"/>
      <c r="H69" s="17"/>
    </row>
    <row r="70" ht="15.75" customHeight="1">
      <c r="A70" s="17"/>
      <c r="B70" s="17"/>
      <c r="C70" s="17"/>
      <c r="E70" s="17"/>
      <c r="F70" s="17"/>
      <c r="H70" s="17"/>
    </row>
    <row r="71" ht="15.75" customHeight="1">
      <c r="A71" s="17"/>
      <c r="B71" s="17"/>
      <c r="C71" s="17"/>
      <c r="E71" s="17"/>
      <c r="F71" s="17"/>
      <c r="H71" s="17"/>
    </row>
    <row r="72" ht="15.75" customHeight="1">
      <c r="A72" s="17"/>
      <c r="B72" s="17"/>
      <c r="C72" s="17"/>
      <c r="E72" s="17"/>
      <c r="F72" s="17"/>
      <c r="H72" s="17"/>
    </row>
    <row r="73" ht="15.75" customHeight="1">
      <c r="A73" s="17"/>
      <c r="B73" s="17"/>
      <c r="C73" s="17"/>
      <c r="E73" s="17"/>
      <c r="F73" s="17"/>
      <c r="H73" s="17"/>
    </row>
    <row r="74" ht="15.75" customHeight="1">
      <c r="A74" s="17"/>
      <c r="B74" s="17"/>
      <c r="C74" s="17"/>
      <c r="E74" s="17"/>
      <c r="F74" s="17"/>
      <c r="H74" s="17"/>
    </row>
    <row r="75" ht="15.75" customHeight="1">
      <c r="A75" s="17"/>
      <c r="B75" s="17"/>
      <c r="C75" s="17"/>
      <c r="E75" s="17"/>
      <c r="F75" s="17"/>
      <c r="H75" s="17"/>
    </row>
    <row r="76" ht="15.75" customHeight="1">
      <c r="A76" s="17"/>
      <c r="B76" s="17"/>
      <c r="C76" s="17"/>
      <c r="E76" s="17"/>
      <c r="F76" s="17"/>
      <c r="H76" s="17"/>
    </row>
    <row r="77" ht="15.75" customHeight="1">
      <c r="A77" s="17"/>
      <c r="B77" s="17"/>
      <c r="C77" s="17"/>
      <c r="E77" s="17"/>
      <c r="F77" s="17"/>
      <c r="H77" s="17"/>
    </row>
    <row r="78" ht="15.75" customHeight="1">
      <c r="A78" s="17"/>
      <c r="B78" s="17"/>
      <c r="C78" s="17"/>
      <c r="E78" s="17"/>
      <c r="F78" s="17"/>
      <c r="H78" s="17"/>
    </row>
    <row r="79" ht="15.75" customHeight="1">
      <c r="A79" s="17"/>
      <c r="B79" s="17"/>
      <c r="C79" s="17"/>
      <c r="E79" s="17"/>
      <c r="F79" s="17"/>
      <c r="H79" s="17"/>
    </row>
    <row r="80" ht="15.75" customHeight="1">
      <c r="A80" s="17"/>
      <c r="B80" s="17"/>
      <c r="C80" s="17"/>
      <c r="E80" s="17"/>
      <c r="F80" s="17"/>
      <c r="H80" s="17"/>
    </row>
    <row r="81" ht="15.75" customHeight="1">
      <c r="A81" s="17"/>
      <c r="B81" s="17"/>
      <c r="C81" s="17"/>
      <c r="E81" s="17"/>
      <c r="F81" s="17"/>
      <c r="H81" s="17"/>
    </row>
    <row r="82" ht="15.75" customHeight="1">
      <c r="A82" s="17"/>
      <c r="B82" s="17"/>
      <c r="C82" s="17"/>
      <c r="E82" s="17"/>
      <c r="F82" s="17"/>
      <c r="H82" s="17"/>
    </row>
    <row r="83" ht="15.75" customHeight="1">
      <c r="A83" s="17"/>
      <c r="B83" s="17"/>
      <c r="C83" s="17"/>
      <c r="E83" s="17"/>
      <c r="F83" s="17"/>
      <c r="H83" s="17"/>
    </row>
    <row r="84" ht="15.75" customHeight="1">
      <c r="A84" s="17"/>
      <c r="B84" s="17"/>
      <c r="C84" s="17"/>
      <c r="E84" s="17"/>
      <c r="F84" s="17"/>
      <c r="H84" s="17"/>
    </row>
    <row r="85" ht="15.75" customHeight="1">
      <c r="A85" s="17"/>
      <c r="B85" s="17"/>
      <c r="C85" s="17"/>
      <c r="E85" s="17"/>
      <c r="F85" s="17"/>
      <c r="H85" s="17"/>
    </row>
    <row r="86" ht="15.75" customHeight="1">
      <c r="A86" s="17"/>
      <c r="B86" s="17"/>
      <c r="C86" s="17"/>
      <c r="E86" s="17"/>
      <c r="F86" s="17"/>
      <c r="H86" s="17"/>
    </row>
    <row r="87" ht="15.75" customHeight="1">
      <c r="A87" s="17"/>
      <c r="B87" s="17"/>
      <c r="C87" s="17"/>
      <c r="E87" s="17"/>
      <c r="F87" s="17"/>
      <c r="H87" s="17"/>
    </row>
    <row r="88" ht="15.75" customHeight="1">
      <c r="A88" s="17"/>
      <c r="B88" s="17"/>
      <c r="C88" s="17"/>
      <c r="E88" s="17"/>
      <c r="F88" s="17"/>
      <c r="H88" s="17"/>
    </row>
    <row r="89" ht="15.75" customHeight="1">
      <c r="A89" s="17"/>
      <c r="B89" s="17"/>
      <c r="C89" s="17"/>
      <c r="E89" s="17"/>
      <c r="F89" s="17"/>
      <c r="H89" s="17"/>
    </row>
    <row r="90" ht="15.75" customHeight="1">
      <c r="A90" s="17"/>
      <c r="B90" s="17"/>
      <c r="C90" s="17"/>
      <c r="E90" s="17"/>
      <c r="F90" s="17"/>
      <c r="H90" s="17"/>
    </row>
    <row r="91" ht="15.75" customHeight="1">
      <c r="A91" s="17"/>
      <c r="B91" s="17"/>
      <c r="C91" s="17"/>
      <c r="E91" s="17"/>
      <c r="F91" s="17"/>
      <c r="H91" s="17"/>
    </row>
    <row r="92" ht="15.75" customHeight="1">
      <c r="A92" s="17"/>
      <c r="B92" s="17"/>
      <c r="C92" s="17"/>
      <c r="E92" s="17"/>
      <c r="F92" s="17"/>
      <c r="H92" s="17"/>
    </row>
    <row r="93" ht="15.75" customHeight="1">
      <c r="A93" s="17"/>
      <c r="B93" s="17"/>
      <c r="C93" s="17"/>
      <c r="E93" s="17"/>
      <c r="F93" s="17"/>
      <c r="H93" s="17"/>
    </row>
    <row r="94" ht="15.75" customHeight="1">
      <c r="A94" s="17"/>
      <c r="B94" s="17"/>
      <c r="C94" s="17"/>
      <c r="E94" s="17"/>
      <c r="F94" s="17"/>
      <c r="H94" s="17"/>
    </row>
    <row r="95" ht="15.75" customHeight="1">
      <c r="A95" s="17"/>
      <c r="B95" s="17"/>
      <c r="C95" s="17"/>
      <c r="E95" s="17"/>
      <c r="F95" s="17"/>
      <c r="H95" s="17"/>
    </row>
    <row r="96" ht="15.75" customHeight="1">
      <c r="A96" s="17"/>
      <c r="B96" s="17"/>
      <c r="C96" s="17"/>
      <c r="E96" s="17"/>
      <c r="F96" s="17"/>
      <c r="H96" s="17"/>
    </row>
    <row r="97" ht="15.75" customHeight="1">
      <c r="A97" s="17"/>
      <c r="B97" s="17"/>
      <c r="C97" s="17"/>
      <c r="E97" s="17"/>
      <c r="F97" s="17"/>
      <c r="H97" s="17"/>
    </row>
    <row r="98" ht="15.75" customHeight="1">
      <c r="A98" s="17"/>
      <c r="B98" s="17"/>
      <c r="C98" s="17"/>
      <c r="E98" s="17"/>
      <c r="F98" s="17"/>
      <c r="H98" s="17"/>
    </row>
    <row r="99" ht="15.75" customHeight="1">
      <c r="A99" s="17"/>
      <c r="B99" s="17"/>
      <c r="C99" s="17"/>
      <c r="E99" s="17"/>
      <c r="F99" s="17"/>
      <c r="H99" s="17"/>
    </row>
    <row r="100" ht="15.75" customHeight="1">
      <c r="A100" s="17"/>
      <c r="B100" s="17"/>
      <c r="C100" s="17"/>
      <c r="E100" s="17"/>
      <c r="F100" s="17"/>
      <c r="H100" s="17"/>
    </row>
    <row r="101" ht="15.75" customHeight="1">
      <c r="A101" s="17"/>
      <c r="B101" s="17"/>
      <c r="C101" s="17"/>
      <c r="E101" s="17"/>
      <c r="F101" s="17"/>
      <c r="H101" s="17"/>
    </row>
    <row r="102" ht="15.75" customHeight="1">
      <c r="A102" s="17"/>
      <c r="B102" s="17"/>
      <c r="C102" s="17"/>
      <c r="E102" s="17"/>
      <c r="F102" s="17"/>
      <c r="H102" s="17"/>
    </row>
    <row r="103" ht="15.75" customHeight="1">
      <c r="A103" s="17"/>
      <c r="B103" s="17"/>
      <c r="C103" s="17"/>
      <c r="E103" s="17"/>
      <c r="F103" s="17"/>
      <c r="H103" s="17"/>
    </row>
    <row r="104" ht="15.75" customHeight="1">
      <c r="A104" s="17"/>
      <c r="B104" s="17"/>
      <c r="C104" s="17"/>
      <c r="E104" s="17"/>
      <c r="F104" s="17"/>
      <c r="H104" s="17"/>
    </row>
    <row r="105" ht="15.75" customHeight="1">
      <c r="A105" s="17"/>
      <c r="B105" s="17"/>
      <c r="C105" s="17"/>
      <c r="E105" s="17"/>
      <c r="F105" s="17"/>
      <c r="H105" s="17"/>
    </row>
    <row r="106" ht="15.75" customHeight="1">
      <c r="A106" s="17"/>
      <c r="B106" s="17"/>
      <c r="C106" s="17"/>
      <c r="E106" s="17"/>
      <c r="F106" s="17"/>
      <c r="H106" s="17"/>
    </row>
    <row r="107" ht="15.75" customHeight="1">
      <c r="A107" s="17"/>
      <c r="B107" s="17"/>
      <c r="C107" s="17"/>
      <c r="E107" s="17"/>
      <c r="F107" s="17"/>
      <c r="H107" s="17"/>
    </row>
    <row r="108" ht="15.75" customHeight="1">
      <c r="A108" s="17"/>
      <c r="B108" s="17"/>
      <c r="C108" s="17"/>
      <c r="E108" s="17"/>
      <c r="F108" s="17"/>
      <c r="H108" s="17"/>
    </row>
    <row r="109" ht="15.75" customHeight="1">
      <c r="A109" s="17"/>
      <c r="B109" s="17"/>
      <c r="C109" s="17"/>
      <c r="E109" s="17"/>
      <c r="F109" s="17"/>
      <c r="H109" s="17"/>
    </row>
    <row r="110" ht="15.75" customHeight="1">
      <c r="A110" s="17"/>
      <c r="B110" s="17"/>
      <c r="C110" s="17"/>
      <c r="E110" s="17"/>
      <c r="F110" s="17"/>
      <c r="H110" s="17"/>
    </row>
    <row r="111" ht="15.75" customHeight="1">
      <c r="A111" s="17"/>
      <c r="B111" s="17"/>
      <c r="C111" s="17"/>
      <c r="E111" s="17"/>
      <c r="F111" s="17"/>
      <c r="H111" s="17"/>
    </row>
    <row r="112" ht="15.75" customHeight="1">
      <c r="A112" s="17"/>
      <c r="B112" s="17"/>
      <c r="C112" s="17"/>
      <c r="E112" s="17"/>
      <c r="F112" s="17"/>
      <c r="H112" s="17"/>
    </row>
    <row r="113" ht="15.75" customHeight="1">
      <c r="A113" s="17"/>
      <c r="B113" s="17"/>
      <c r="C113" s="17"/>
      <c r="E113" s="17"/>
      <c r="F113" s="17"/>
      <c r="H113" s="17"/>
    </row>
    <row r="114" ht="15.75" customHeight="1">
      <c r="A114" s="17"/>
      <c r="B114" s="17"/>
      <c r="C114" s="17"/>
      <c r="E114" s="17"/>
      <c r="F114" s="17"/>
      <c r="H114" s="17"/>
    </row>
    <row r="115" ht="15.75" customHeight="1">
      <c r="A115" s="17"/>
      <c r="B115" s="17"/>
      <c r="C115" s="17"/>
      <c r="E115" s="17"/>
      <c r="F115" s="17"/>
      <c r="H115" s="17"/>
    </row>
    <row r="116" ht="15.75" customHeight="1">
      <c r="A116" s="17"/>
      <c r="B116" s="17"/>
      <c r="C116" s="17"/>
      <c r="E116" s="17"/>
      <c r="F116" s="17"/>
      <c r="H116" s="17"/>
    </row>
    <row r="117" ht="15.75" customHeight="1">
      <c r="A117" s="17"/>
      <c r="B117" s="17"/>
      <c r="C117" s="17"/>
      <c r="E117" s="17"/>
      <c r="F117" s="17"/>
      <c r="H117" s="17"/>
    </row>
    <row r="118" ht="15.75" customHeight="1">
      <c r="A118" s="17"/>
      <c r="B118" s="17"/>
      <c r="C118" s="17"/>
      <c r="E118" s="17"/>
      <c r="F118" s="17"/>
      <c r="H118" s="17"/>
    </row>
    <row r="119" ht="15.75" customHeight="1">
      <c r="A119" s="17"/>
      <c r="B119" s="17"/>
      <c r="C119" s="17"/>
      <c r="E119" s="17"/>
      <c r="F119" s="17"/>
      <c r="H119" s="17"/>
    </row>
    <row r="120" ht="15.75" customHeight="1">
      <c r="A120" s="17"/>
      <c r="B120" s="17"/>
      <c r="C120" s="17"/>
      <c r="E120" s="17"/>
      <c r="F120" s="17"/>
      <c r="H120" s="17"/>
    </row>
    <row r="121" ht="15.75" customHeight="1">
      <c r="A121" s="17"/>
      <c r="B121" s="17"/>
      <c r="C121" s="17"/>
      <c r="E121" s="17"/>
      <c r="F121" s="17"/>
      <c r="H121" s="17"/>
    </row>
    <row r="122" ht="15.75" customHeight="1">
      <c r="A122" s="17"/>
      <c r="B122" s="17"/>
      <c r="C122" s="17"/>
      <c r="E122" s="17"/>
      <c r="F122" s="17"/>
      <c r="H122" s="17"/>
    </row>
    <row r="123" ht="15.75" customHeight="1">
      <c r="A123" s="17"/>
      <c r="B123" s="17"/>
      <c r="C123" s="17"/>
      <c r="E123" s="17"/>
      <c r="F123" s="17"/>
      <c r="H123" s="17"/>
    </row>
    <row r="124" ht="15.75" customHeight="1">
      <c r="A124" s="17"/>
      <c r="B124" s="17"/>
      <c r="C124" s="17"/>
      <c r="E124" s="17"/>
      <c r="F124" s="17"/>
      <c r="H124" s="17"/>
    </row>
    <row r="125" ht="15.75" customHeight="1">
      <c r="A125" s="17"/>
      <c r="B125" s="17"/>
      <c r="C125" s="17"/>
      <c r="E125" s="17"/>
      <c r="F125" s="17"/>
      <c r="H125" s="17"/>
    </row>
    <row r="126" ht="15.75" customHeight="1">
      <c r="A126" s="17"/>
      <c r="B126" s="17"/>
      <c r="C126" s="17"/>
      <c r="E126" s="17"/>
      <c r="F126" s="17"/>
      <c r="H126" s="17"/>
    </row>
    <row r="127" ht="15.75" customHeight="1">
      <c r="A127" s="17"/>
      <c r="B127" s="17"/>
      <c r="C127" s="17"/>
      <c r="E127" s="17"/>
      <c r="F127" s="17"/>
      <c r="H127" s="17"/>
    </row>
    <row r="128" ht="15.75" customHeight="1">
      <c r="A128" s="17"/>
      <c r="B128" s="17"/>
      <c r="C128" s="17"/>
      <c r="E128" s="17"/>
      <c r="F128" s="17"/>
      <c r="H128" s="17"/>
    </row>
    <row r="129" ht="15.75" customHeight="1">
      <c r="A129" s="17"/>
      <c r="B129" s="17"/>
      <c r="C129" s="17"/>
      <c r="E129" s="17"/>
      <c r="F129" s="17"/>
      <c r="H129" s="17"/>
    </row>
    <row r="130" ht="15.75" customHeight="1">
      <c r="A130" s="17"/>
      <c r="B130" s="17"/>
      <c r="C130" s="17"/>
      <c r="E130" s="17"/>
      <c r="F130" s="17"/>
      <c r="H130" s="17"/>
    </row>
    <row r="131" ht="15.75" customHeight="1">
      <c r="A131" s="17"/>
      <c r="B131" s="17"/>
      <c r="C131" s="17"/>
      <c r="E131" s="17"/>
      <c r="F131" s="17"/>
      <c r="H131" s="17"/>
    </row>
    <row r="132" ht="15.75" customHeight="1">
      <c r="A132" s="17"/>
      <c r="B132" s="17"/>
      <c r="C132" s="17"/>
      <c r="E132" s="17"/>
      <c r="F132" s="17"/>
      <c r="H132" s="17"/>
    </row>
    <row r="133" ht="15.75" customHeight="1">
      <c r="A133" s="17"/>
      <c r="B133" s="17"/>
      <c r="C133" s="17"/>
      <c r="E133" s="17"/>
      <c r="F133" s="17"/>
      <c r="H133" s="17"/>
    </row>
    <row r="134" ht="15.75" customHeight="1">
      <c r="A134" s="17"/>
      <c r="B134" s="17"/>
      <c r="C134" s="17"/>
      <c r="E134" s="17"/>
      <c r="F134" s="17"/>
      <c r="H134" s="17"/>
    </row>
    <row r="135" ht="15.75" customHeight="1">
      <c r="A135" s="17"/>
      <c r="B135" s="17"/>
      <c r="C135" s="17"/>
      <c r="E135" s="17"/>
      <c r="F135" s="17"/>
      <c r="H135" s="17"/>
    </row>
    <row r="136" ht="15.75" customHeight="1">
      <c r="A136" s="17"/>
      <c r="B136" s="17"/>
      <c r="C136" s="17"/>
      <c r="E136" s="17"/>
      <c r="F136" s="17"/>
      <c r="H136" s="17"/>
    </row>
    <row r="137" ht="15.75" customHeight="1">
      <c r="A137" s="17"/>
      <c r="B137" s="17"/>
      <c r="C137" s="17"/>
      <c r="E137" s="17"/>
      <c r="F137" s="17"/>
      <c r="H137" s="17"/>
    </row>
    <row r="138" ht="15.75" customHeight="1">
      <c r="A138" s="17"/>
      <c r="B138" s="17"/>
      <c r="C138" s="17"/>
      <c r="E138" s="17"/>
      <c r="F138" s="17"/>
      <c r="H138" s="17"/>
    </row>
    <row r="139" ht="15.75" customHeight="1">
      <c r="A139" s="17"/>
      <c r="B139" s="17"/>
      <c r="C139" s="17"/>
      <c r="E139" s="17"/>
      <c r="F139" s="17"/>
      <c r="H139" s="17"/>
    </row>
    <row r="140" ht="15.75" customHeight="1">
      <c r="A140" s="17"/>
      <c r="B140" s="17"/>
      <c r="C140" s="17"/>
      <c r="E140" s="17"/>
      <c r="F140" s="17"/>
      <c r="H140" s="17"/>
    </row>
    <row r="141" ht="15.75" customHeight="1">
      <c r="A141" s="17"/>
      <c r="B141" s="17"/>
      <c r="C141" s="17"/>
      <c r="E141" s="17"/>
      <c r="F141" s="17"/>
      <c r="H141" s="17"/>
    </row>
    <row r="142" ht="15.75" customHeight="1">
      <c r="A142" s="17"/>
      <c r="B142" s="17"/>
      <c r="C142" s="17"/>
      <c r="E142" s="17"/>
      <c r="F142" s="17"/>
      <c r="H142" s="17"/>
    </row>
    <row r="143" ht="15.75" customHeight="1">
      <c r="A143" s="17"/>
      <c r="B143" s="17"/>
      <c r="C143" s="17"/>
      <c r="E143" s="17"/>
      <c r="F143" s="17"/>
      <c r="H143" s="17"/>
    </row>
    <row r="144" ht="15.75" customHeight="1">
      <c r="A144" s="17"/>
      <c r="B144" s="17"/>
      <c r="C144" s="17"/>
      <c r="E144" s="17"/>
      <c r="F144" s="17"/>
      <c r="H144" s="17"/>
    </row>
    <row r="145" ht="15.75" customHeight="1">
      <c r="A145" s="17"/>
      <c r="B145" s="17"/>
      <c r="C145" s="17"/>
      <c r="E145" s="17"/>
      <c r="F145" s="17"/>
      <c r="H145" s="17"/>
    </row>
    <row r="146" ht="15.75" customHeight="1">
      <c r="A146" s="17"/>
      <c r="B146" s="17"/>
      <c r="C146" s="17"/>
      <c r="E146" s="17"/>
      <c r="F146" s="17"/>
      <c r="H146" s="17"/>
    </row>
    <row r="147" ht="15.75" customHeight="1">
      <c r="A147" s="17"/>
      <c r="B147" s="17"/>
      <c r="C147" s="17"/>
      <c r="E147" s="17"/>
      <c r="F147" s="17"/>
      <c r="H147" s="17"/>
    </row>
    <row r="148" ht="15.75" customHeight="1">
      <c r="A148" s="17"/>
      <c r="B148" s="17"/>
      <c r="C148" s="17"/>
      <c r="E148" s="17"/>
      <c r="F148" s="17"/>
      <c r="H148" s="17"/>
    </row>
    <row r="149" ht="15.75" customHeight="1">
      <c r="A149" s="17"/>
      <c r="B149" s="17"/>
      <c r="C149" s="17"/>
      <c r="E149" s="17"/>
      <c r="F149" s="17"/>
      <c r="H149" s="17"/>
    </row>
    <row r="150" ht="15.75" customHeight="1">
      <c r="A150" s="17"/>
      <c r="B150" s="17"/>
      <c r="C150" s="17"/>
      <c r="E150" s="17"/>
      <c r="F150" s="17"/>
      <c r="H150" s="17"/>
    </row>
    <row r="151" ht="15.75" customHeight="1">
      <c r="A151" s="17"/>
      <c r="B151" s="17"/>
      <c r="C151" s="17"/>
      <c r="E151" s="17"/>
      <c r="F151" s="17"/>
      <c r="H151" s="17"/>
    </row>
    <row r="152" ht="15.75" customHeight="1">
      <c r="A152" s="17"/>
      <c r="B152" s="17"/>
      <c r="C152" s="17"/>
      <c r="E152" s="17"/>
      <c r="F152" s="17"/>
      <c r="H152" s="17"/>
    </row>
    <row r="153" ht="15.75" customHeight="1">
      <c r="A153" s="17"/>
      <c r="B153" s="17"/>
      <c r="C153" s="17"/>
      <c r="E153" s="17"/>
      <c r="F153" s="17"/>
      <c r="H153" s="17"/>
    </row>
    <row r="154" ht="15.75" customHeight="1">
      <c r="A154" s="17"/>
      <c r="B154" s="17"/>
      <c r="C154" s="17"/>
      <c r="E154" s="17"/>
      <c r="F154" s="17"/>
      <c r="H154" s="17"/>
    </row>
    <row r="155" ht="15.75" customHeight="1">
      <c r="A155" s="17"/>
      <c r="B155" s="17"/>
      <c r="C155" s="17"/>
      <c r="E155" s="17"/>
      <c r="F155" s="17"/>
      <c r="H155" s="17"/>
    </row>
    <row r="156" ht="15.75" customHeight="1">
      <c r="A156" s="17"/>
      <c r="B156" s="17"/>
      <c r="C156" s="17"/>
      <c r="E156" s="17"/>
      <c r="F156" s="17"/>
      <c r="H156" s="17"/>
    </row>
    <row r="157" ht="15.75" customHeight="1">
      <c r="A157" s="17"/>
      <c r="B157" s="17"/>
      <c r="C157" s="17"/>
      <c r="E157" s="17"/>
      <c r="F157" s="17"/>
      <c r="H157" s="17"/>
    </row>
    <row r="158" ht="15.75" customHeight="1">
      <c r="A158" s="17"/>
      <c r="B158" s="17"/>
      <c r="C158" s="17"/>
      <c r="E158" s="17"/>
      <c r="F158" s="17"/>
      <c r="H158" s="17"/>
    </row>
    <row r="159" ht="15.75" customHeight="1">
      <c r="A159" s="17"/>
      <c r="B159" s="17"/>
      <c r="C159" s="17"/>
      <c r="E159" s="17"/>
      <c r="F159" s="17"/>
      <c r="H159" s="17"/>
    </row>
    <row r="160" ht="15.75" customHeight="1">
      <c r="A160" s="17"/>
      <c r="B160" s="17"/>
      <c r="C160" s="17"/>
      <c r="E160" s="17"/>
      <c r="F160" s="17"/>
      <c r="H160" s="17"/>
    </row>
    <row r="161" ht="15.75" customHeight="1">
      <c r="A161" s="17"/>
      <c r="B161" s="17"/>
      <c r="C161" s="17"/>
      <c r="E161" s="17"/>
      <c r="F161" s="17"/>
      <c r="H161" s="17"/>
    </row>
    <row r="162" ht="15.75" customHeight="1">
      <c r="A162" s="17"/>
      <c r="B162" s="17"/>
      <c r="C162" s="17"/>
      <c r="E162" s="17"/>
      <c r="F162" s="17"/>
      <c r="H162" s="17"/>
    </row>
    <row r="163" ht="15.75" customHeight="1">
      <c r="A163" s="17"/>
      <c r="B163" s="17"/>
      <c r="C163" s="17"/>
      <c r="E163" s="17"/>
      <c r="F163" s="17"/>
      <c r="H163" s="17"/>
    </row>
    <row r="164" ht="15.75" customHeight="1">
      <c r="A164" s="17"/>
      <c r="B164" s="17"/>
      <c r="C164" s="17"/>
      <c r="E164" s="17"/>
      <c r="F164" s="17"/>
      <c r="H164" s="17"/>
    </row>
    <row r="165" ht="15.75" customHeight="1">
      <c r="A165" s="17"/>
      <c r="B165" s="17"/>
      <c r="C165" s="17"/>
      <c r="E165" s="17"/>
      <c r="F165" s="17"/>
      <c r="H165" s="17"/>
    </row>
    <row r="166" ht="15.75" customHeight="1">
      <c r="A166" s="17"/>
      <c r="B166" s="17"/>
      <c r="C166" s="17"/>
      <c r="E166" s="17"/>
      <c r="F166" s="17"/>
      <c r="H166" s="17"/>
    </row>
    <row r="167" ht="15.75" customHeight="1">
      <c r="A167" s="17"/>
      <c r="B167" s="17"/>
      <c r="C167" s="17"/>
      <c r="E167" s="17"/>
      <c r="F167" s="17"/>
      <c r="H167" s="17"/>
    </row>
    <row r="168" ht="15.75" customHeight="1">
      <c r="A168" s="17"/>
      <c r="B168" s="17"/>
      <c r="C168" s="17"/>
      <c r="E168" s="17"/>
      <c r="F168" s="17"/>
      <c r="H168" s="17"/>
    </row>
    <row r="169" ht="15.75" customHeight="1">
      <c r="A169" s="17"/>
      <c r="B169" s="17"/>
      <c r="C169" s="17"/>
      <c r="E169" s="17"/>
      <c r="F169" s="17"/>
      <c r="H169" s="17"/>
    </row>
    <row r="170" ht="15.75" customHeight="1">
      <c r="A170" s="17"/>
      <c r="B170" s="17"/>
      <c r="C170" s="17"/>
      <c r="E170" s="17"/>
      <c r="F170" s="17"/>
      <c r="H170" s="17"/>
    </row>
    <row r="171" ht="15.75" customHeight="1">
      <c r="A171" s="17"/>
      <c r="B171" s="17"/>
      <c r="C171" s="17"/>
      <c r="E171" s="17"/>
      <c r="F171" s="17"/>
      <c r="H171" s="17"/>
    </row>
    <row r="172" ht="15.75" customHeight="1">
      <c r="A172" s="17"/>
      <c r="B172" s="17"/>
      <c r="C172" s="17"/>
      <c r="E172" s="17"/>
      <c r="F172" s="17"/>
      <c r="H172" s="17"/>
    </row>
    <row r="173" ht="15.75" customHeight="1">
      <c r="A173" s="17"/>
      <c r="B173" s="17"/>
      <c r="C173" s="17"/>
      <c r="E173" s="17"/>
      <c r="F173" s="17"/>
      <c r="H173" s="17"/>
    </row>
    <row r="174" ht="15.75" customHeight="1">
      <c r="A174" s="17"/>
      <c r="B174" s="17"/>
      <c r="C174" s="17"/>
      <c r="E174" s="17"/>
      <c r="F174" s="17"/>
      <c r="H174" s="17"/>
    </row>
    <row r="175" ht="15.75" customHeight="1">
      <c r="A175" s="17"/>
      <c r="B175" s="17"/>
      <c r="C175" s="17"/>
      <c r="E175" s="17"/>
      <c r="F175" s="17"/>
      <c r="H175" s="17"/>
    </row>
    <row r="176" ht="15.75" customHeight="1">
      <c r="A176" s="17"/>
      <c r="B176" s="17"/>
      <c r="C176" s="17"/>
      <c r="E176" s="17"/>
      <c r="F176" s="17"/>
      <c r="H176" s="17"/>
    </row>
    <row r="177" ht="15.75" customHeight="1">
      <c r="A177" s="17"/>
      <c r="B177" s="17"/>
      <c r="C177" s="17"/>
      <c r="E177" s="17"/>
      <c r="F177" s="17"/>
      <c r="H177" s="17"/>
    </row>
    <row r="178" ht="15.75" customHeight="1">
      <c r="A178" s="17"/>
      <c r="B178" s="17"/>
      <c r="C178" s="17"/>
      <c r="E178" s="17"/>
      <c r="F178" s="17"/>
      <c r="H178" s="17"/>
    </row>
    <row r="179" ht="15.75" customHeight="1">
      <c r="A179" s="17"/>
      <c r="B179" s="17"/>
      <c r="C179" s="17"/>
      <c r="E179" s="17"/>
      <c r="F179" s="17"/>
      <c r="H179" s="17"/>
    </row>
    <row r="180" ht="15.75" customHeight="1">
      <c r="A180" s="17"/>
      <c r="B180" s="17"/>
      <c r="C180" s="17"/>
      <c r="E180" s="17"/>
      <c r="F180" s="17"/>
      <c r="H180" s="17"/>
    </row>
    <row r="181" ht="15.75" customHeight="1">
      <c r="A181" s="17"/>
      <c r="B181" s="17"/>
      <c r="C181" s="17"/>
      <c r="E181" s="17"/>
      <c r="F181" s="17"/>
      <c r="H181" s="17"/>
    </row>
    <row r="182" ht="15.75" customHeight="1">
      <c r="A182" s="17"/>
      <c r="B182" s="17"/>
      <c r="C182" s="17"/>
      <c r="E182" s="17"/>
      <c r="F182" s="17"/>
      <c r="H182" s="17"/>
    </row>
    <row r="183" ht="15.75" customHeight="1">
      <c r="A183" s="17"/>
      <c r="B183" s="17"/>
      <c r="C183" s="17"/>
      <c r="E183" s="17"/>
      <c r="F183" s="17"/>
      <c r="H183" s="17"/>
    </row>
    <row r="184" ht="15.75" customHeight="1">
      <c r="A184" s="17"/>
      <c r="B184" s="17"/>
      <c r="C184" s="17"/>
      <c r="E184" s="17"/>
      <c r="F184" s="17"/>
      <c r="H184" s="17"/>
    </row>
    <row r="185" ht="15.75" customHeight="1">
      <c r="A185" s="17"/>
      <c r="B185" s="17"/>
      <c r="C185" s="17"/>
      <c r="E185" s="17"/>
      <c r="F185" s="17"/>
      <c r="H185" s="17"/>
    </row>
    <row r="186" ht="15.75" customHeight="1">
      <c r="A186" s="17"/>
      <c r="B186" s="17"/>
      <c r="C186" s="17"/>
      <c r="E186" s="17"/>
      <c r="F186" s="17"/>
      <c r="H186" s="17"/>
    </row>
    <row r="187" ht="15.75" customHeight="1">
      <c r="A187" s="17"/>
      <c r="B187" s="17"/>
      <c r="C187" s="17"/>
      <c r="E187" s="17"/>
      <c r="F187" s="17"/>
      <c r="H187" s="17"/>
    </row>
    <row r="188" ht="15.75" customHeight="1">
      <c r="A188" s="17"/>
      <c r="B188" s="17"/>
      <c r="C188" s="17"/>
      <c r="E188" s="17"/>
      <c r="F188" s="17"/>
      <c r="H188" s="17"/>
    </row>
    <row r="189" ht="15.75" customHeight="1">
      <c r="A189" s="17"/>
      <c r="B189" s="17"/>
      <c r="C189" s="17"/>
      <c r="E189" s="17"/>
      <c r="F189" s="17"/>
      <c r="H189" s="17"/>
    </row>
    <row r="190" ht="15.75" customHeight="1">
      <c r="A190" s="17"/>
      <c r="B190" s="17"/>
      <c r="C190" s="17"/>
      <c r="E190" s="17"/>
      <c r="F190" s="17"/>
      <c r="H190" s="17"/>
    </row>
    <row r="191" ht="15.75" customHeight="1">
      <c r="A191" s="17"/>
      <c r="B191" s="17"/>
      <c r="C191" s="17"/>
      <c r="E191" s="17"/>
      <c r="F191" s="17"/>
      <c r="H191" s="17"/>
    </row>
    <row r="192" ht="15.75" customHeight="1">
      <c r="A192" s="17"/>
      <c r="B192" s="17"/>
      <c r="C192" s="17"/>
      <c r="E192" s="17"/>
      <c r="F192" s="17"/>
      <c r="H192" s="17"/>
    </row>
    <row r="193" ht="15.75" customHeight="1">
      <c r="A193" s="17"/>
      <c r="B193" s="17"/>
      <c r="C193" s="17"/>
      <c r="E193" s="17"/>
      <c r="F193" s="17"/>
      <c r="H193" s="17"/>
    </row>
    <row r="194" ht="15.75" customHeight="1">
      <c r="A194" s="17"/>
      <c r="B194" s="17"/>
      <c r="C194" s="17"/>
      <c r="E194" s="17"/>
      <c r="F194" s="17"/>
      <c r="H194" s="17"/>
    </row>
    <row r="195" ht="15.75" customHeight="1">
      <c r="A195" s="17"/>
      <c r="B195" s="17"/>
      <c r="C195" s="17"/>
      <c r="E195" s="17"/>
      <c r="F195" s="17"/>
      <c r="H195" s="17"/>
    </row>
    <row r="196" ht="15.75" customHeight="1">
      <c r="A196" s="17"/>
      <c r="B196" s="17"/>
      <c r="C196" s="17"/>
      <c r="E196" s="17"/>
      <c r="F196" s="17"/>
      <c r="H196" s="17"/>
    </row>
    <row r="197" ht="15.75" customHeight="1">
      <c r="A197" s="17"/>
      <c r="B197" s="17"/>
      <c r="C197" s="17"/>
      <c r="E197" s="17"/>
      <c r="F197" s="17"/>
      <c r="H197" s="17"/>
    </row>
    <row r="198" ht="15.75" customHeight="1">
      <c r="A198" s="17"/>
      <c r="B198" s="17"/>
      <c r="C198" s="17"/>
      <c r="E198" s="17"/>
      <c r="F198" s="17"/>
      <c r="H198" s="17"/>
    </row>
    <row r="199" ht="15.75" customHeight="1">
      <c r="A199" s="17"/>
      <c r="B199" s="17"/>
      <c r="C199" s="17"/>
      <c r="E199" s="17"/>
      <c r="F199" s="17"/>
      <c r="H199" s="17"/>
    </row>
    <row r="200" ht="15.75" customHeight="1">
      <c r="A200" s="17"/>
      <c r="B200" s="17"/>
      <c r="C200" s="17"/>
      <c r="E200" s="17"/>
      <c r="F200" s="17"/>
      <c r="H200" s="17"/>
    </row>
    <row r="201" ht="15.75" customHeight="1">
      <c r="A201" s="17"/>
      <c r="B201" s="17"/>
      <c r="C201" s="17"/>
      <c r="E201" s="17"/>
      <c r="F201" s="17"/>
      <c r="H201" s="17"/>
    </row>
    <row r="202" ht="15.75" customHeight="1">
      <c r="A202" s="17"/>
      <c r="B202" s="17"/>
      <c r="C202" s="17"/>
      <c r="E202" s="17"/>
      <c r="F202" s="17"/>
      <c r="H202" s="17"/>
    </row>
    <row r="203" ht="15.75" customHeight="1">
      <c r="A203" s="17"/>
      <c r="B203" s="17"/>
      <c r="C203" s="17"/>
      <c r="E203" s="17"/>
      <c r="F203" s="17"/>
      <c r="H203" s="17"/>
    </row>
    <row r="204" ht="15.75" customHeight="1">
      <c r="A204" s="17"/>
      <c r="B204" s="17"/>
      <c r="C204" s="17"/>
      <c r="E204" s="17"/>
      <c r="F204" s="17"/>
      <c r="H204" s="17"/>
    </row>
    <row r="205" ht="15.75" customHeight="1">
      <c r="A205" s="17"/>
      <c r="B205" s="17"/>
      <c r="C205" s="17"/>
      <c r="E205" s="17"/>
      <c r="F205" s="17"/>
      <c r="H205" s="17"/>
    </row>
    <row r="206" ht="15.75" customHeight="1">
      <c r="A206" s="17"/>
      <c r="B206" s="17"/>
      <c r="C206" s="17"/>
      <c r="E206" s="17"/>
      <c r="F206" s="17"/>
      <c r="H206" s="17"/>
    </row>
    <row r="207" ht="15.75" customHeight="1">
      <c r="A207" s="17"/>
      <c r="B207" s="17"/>
      <c r="C207" s="17"/>
      <c r="E207" s="17"/>
      <c r="F207" s="17"/>
      <c r="H207" s="17"/>
    </row>
    <row r="208" ht="15.75" customHeight="1">
      <c r="A208" s="17"/>
      <c r="B208" s="17"/>
      <c r="C208" s="17"/>
      <c r="E208" s="17"/>
      <c r="F208" s="17"/>
      <c r="H208" s="17"/>
    </row>
    <row r="209" ht="15.75" customHeight="1">
      <c r="A209" s="17"/>
      <c r="B209" s="17"/>
      <c r="C209" s="17"/>
      <c r="E209" s="17"/>
      <c r="F209" s="17"/>
      <c r="H209" s="17"/>
    </row>
    <row r="210" ht="15.75" customHeight="1">
      <c r="A210" s="17"/>
      <c r="B210" s="17"/>
      <c r="C210" s="17"/>
      <c r="E210" s="17"/>
      <c r="F210" s="17"/>
      <c r="H210" s="17"/>
    </row>
    <row r="211" ht="15.75" customHeight="1">
      <c r="A211" s="17"/>
      <c r="B211" s="17"/>
      <c r="C211" s="17"/>
      <c r="E211" s="17"/>
      <c r="F211" s="17"/>
      <c r="H211" s="17"/>
    </row>
    <row r="212" ht="15.75" customHeight="1">
      <c r="A212" s="17"/>
      <c r="B212" s="17"/>
      <c r="C212" s="17"/>
      <c r="E212" s="17"/>
      <c r="F212" s="17"/>
      <c r="H212" s="17"/>
    </row>
    <row r="213" ht="15.75" customHeight="1">
      <c r="A213" s="17"/>
      <c r="B213" s="17"/>
      <c r="C213" s="17"/>
      <c r="E213" s="17"/>
      <c r="F213" s="17"/>
      <c r="H213" s="17"/>
    </row>
    <row r="214" ht="15.75" customHeight="1">
      <c r="A214" s="17"/>
      <c r="B214" s="17"/>
      <c r="C214" s="17"/>
      <c r="E214" s="17"/>
      <c r="F214" s="17"/>
      <c r="H214" s="17"/>
    </row>
    <row r="215" ht="15.75" customHeight="1">
      <c r="A215" s="17"/>
      <c r="B215" s="17"/>
      <c r="C215" s="17"/>
      <c r="E215" s="17"/>
      <c r="F215" s="17"/>
      <c r="H215" s="17"/>
    </row>
    <row r="216" ht="15.75" customHeight="1">
      <c r="A216" s="17"/>
      <c r="B216" s="17"/>
      <c r="C216" s="17"/>
      <c r="E216" s="17"/>
      <c r="F216" s="17"/>
      <c r="H216" s="17"/>
    </row>
    <row r="217" ht="15.75" customHeight="1">
      <c r="A217" s="17"/>
      <c r="B217" s="17"/>
      <c r="C217" s="17"/>
      <c r="E217" s="17"/>
      <c r="F217" s="17"/>
      <c r="H217" s="17"/>
    </row>
    <row r="218" ht="15.75" customHeight="1">
      <c r="A218" s="17"/>
      <c r="B218" s="17"/>
      <c r="C218" s="17"/>
      <c r="E218" s="17"/>
      <c r="F218" s="17"/>
      <c r="H218" s="17"/>
    </row>
    <row r="219" ht="15.75" customHeight="1">
      <c r="A219" s="17"/>
      <c r="B219" s="17"/>
      <c r="C219" s="17"/>
      <c r="E219" s="17"/>
      <c r="F219" s="17"/>
      <c r="H219" s="17"/>
    </row>
    <row r="220" ht="15.75" customHeight="1">
      <c r="A220" s="17"/>
      <c r="B220" s="17"/>
      <c r="C220" s="17"/>
      <c r="E220" s="17"/>
      <c r="F220" s="17"/>
      <c r="H220" s="17"/>
    </row>
    <row r="221" ht="15.75" customHeight="1">
      <c r="A221" s="17"/>
      <c r="B221" s="17"/>
      <c r="C221" s="17"/>
      <c r="E221" s="17"/>
      <c r="F221" s="17"/>
      <c r="H221" s="17"/>
    </row>
    <row r="222" ht="15.75" customHeight="1">
      <c r="A222" s="17"/>
      <c r="B222" s="17"/>
      <c r="C222" s="17"/>
      <c r="E222" s="17"/>
      <c r="F222" s="17"/>
      <c r="H222" s="17"/>
    </row>
    <row r="223" ht="15.75" customHeight="1">
      <c r="A223" s="17"/>
      <c r="B223" s="17"/>
      <c r="C223" s="17"/>
      <c r="E223" s="17"/>
      <c r="F223" s="17"/>
      <c r="H223" s="17"/>
    </row>
    <row r="224" ht="15.75" customHeight="1">
      <c r="A224" s="17"/>
      <c r="B224" s="17"/>
      <c r="C224" s="17"/>
      <c r="E224" s="17"/>
      <c r="F224" s="17"/>
      <c r="H224" s="17"/>
    </row>
    <row r="225" ht="15.75" customHeight="1">
      <c r="A225" s="17"/>
      <c r="B225" s="17"/>
      <c r="C225" s="17"/>
      <c r="E225" s="17"/>
      <c r="F225" s="17"/>
      <c r="H225" s="17"/>
    </row>
    <row r="226" ht="15.75" customHeight="1">
      <c r="A226" s="17"/>
      <c r="B226" s="17"/>
      <c r="C226" s="17"/>
      <c r="E226" s="17"/>
      <c r="F226" s="17"/>
      <c r="H226" s="17"/>
    </row>
    <row r="227" ht="15.75" customHeight="1">
      <c r="A227" s="17"/>
      <c r="B227" s="17"/>
      <c r="C227" s="17"/>
      <c r="E227" s="17"/>
      <c r="F227" s="17"/>
      <c r="H227" s="17"/>
    </row>
    <row r="228" ht="15.75" customHeight="1">
      <c r="A228" s="17"/>
      <c r="B228" s="17"/>
      <c r="C228" s="17"/>
      <c r="E228" s="17"/>
      <c r="F228" s="17"/>
      <c r="H228" s="17"/>
    </row>
    <row r="229" ht="15.75" customHeight="1">
      <c r="A229" s="17"/>
      <c r="B229" s="17"/>
      <c r="C229" s="17"/>
      <c r="E229" s="17"/>
      <c r="F229" s="17"/>
      <c r="H229" s="17"/>
    </row>
    <row r="230" ht="15.75" customHeight="1">
      <c r="A230" s="17"/>
      <c r="B230" s="17"/>
      <c r="C230" s="17"/>
      <c r="E230" s="17"/>
      <c r="F230" s="17"/>
      <c r="H230" s="17"/>
    </row>
    <row r="231" ht="15.75" customHeight="1">
      <c r="A231" s="17"/>
      <c r="B231" s="17"/>
      <c r="C231" s="17"/>
      <c r="E231" s="17"/>
      <c r="F231" s="17"/>
      <c r="H231" s="17"/>
    </row>
    <row r="232" ht="15.75" customHeight="1">
      <c r="A232" s="17"/>
      <c r="B232" s="17"/>
      <c r="C232" s="17"/>
      <c r="E232" s="17"/>
      <c r="F232" s="17"/>
      <c r="H232" s="17"/>
    </row>
    <row r="233" ht="15.75" customHeight="1">
      <c r="A233" s="17"/>
      <c r="B233" s="17"/>
      <c r="C233" s="17"/>
      <c r="E233" s="17"/>
      <c r="F233" s="17"/>
      <c r="H233" s="17"/>
    </row>
    <row r="234" ht="15.75" customHeight="1">
      <c r="A234" s="17"/>
      <c r="B234" s="17"/>
      <c r="C234" s="17"/>
      <c r="E234" s="17"/>
      <c r="F234" s="17"/>
      <c r="H234" s="17"/>
    </row>
    <row r="235" ht="15.75" customHeight="1">
      <c r="A235" s="17"/>
      <c r="B235" s="17"/>
      <c r="C235" s="17"/>
      <c r="E235" s="17"/>
      <c r="F235" s="17"/>
      <c r="H235" s="17"/>
    </row>
    <row r="236" ht="15.75" customHeight="1">
      <c r="A236" s="17"/>
      <c r="B236" s="17"/>
      <c r="C236" s="17"/>
      <c r="E236" s="17"/>
      <c r="F236" s="17"/>
      <c r="H236" s="17"/>
    </row>
    <row r="237" ht="15.75" customHeight="1">
      <c r="A237" s="17"/>
      <c r="B237" s="17"/>
      <c r="C237" s="17"/>
      <c r="E237" s="17"/>
      <c r="F237" s="17"/>
      <c r="H237" s="17"/>
    </row>
    <row r="238" ht="15.75" customHeight="1">
      <c r="A238" s="17"/>
      <c r="B238" s="17"/>
      <c r="C238" s="17"/>
      <c r="E238" s="17"/>
      <c r="F238" s="17"/>
      <c r="H238" s="17"/>
    </row>
    <row r="239" ht="15.75" customHeight="1">
      <c r="A239" s="17"/>
      <c r="B239" s="17"/>
      <c r="C239" s="17"/>
      <c r="E239" s="17"/>
      <c r="F239" s="17"/>
      <c r="H239" s="17"/>
    </row>
    <row r="240" ht="15.75" customHeight="1">
      <c r="A240" s="17"/>
      <c r="B240" s="17"/>
      <c r="C240" s="17"/>
      <c r="E240" s="17"/>
      <c r="F240" s="17"/>
      <c r="H240" s="17"/>
    </row>
    <row r="241" ht="15.75" customHeight="1">
      <c r="A241" s="17"/>
      <c r="B241" s="17"/>
      <c r="C241" s="17"/>
      <c r="E241" s="17"/>
      <c r="F241" s="17"/>
      <c r="H241" s="17"/>
    </row>
    <row r="242" ht="15.75" customHeight="1">
      <c r="A242" s="17"/>
      <c r="B242" s="17"/>
      <c r="C242" s="17"/>
      <c r="E242" s="17"/>
      <c r="F242" s="17"/>
      <c r="H242" s="17"/>
    </row>
    <row r="243" ht="15.75" customHeight="1">
      <c r="A243" s="17"/>
      <c r="B243" s="17"/>
      <c r="C243" s="17"/>
      <c r="E243" s="17"/>
      <c r="F243" s="17"/>
      <c r="H243" s="17"/>
    </row>
    <row r="244" ht="15.75" customHeight="1">
      <c r="A244" s="17"/>
      <c r="B244" s="17"/>
      <c r="C244" s="17"/>
      <c r="E244" s="17"/>
      <c r="F244" s="17"/>
      <c r="H244" s="17"/>
    </row>
    <row r="245" ht="15.75" customHeight="1">
      <c r="A245" s="17"/>
      <c r="B245" s="17"/>
      <c r="C245" s="17"/>
      <c r="E245" s="17"/>
      <c r="F245" s="17"/>
      <c r="H245" s="17"/>
    </row>
    <row r="246" ht="15.75" customHeight="1">
      <c r="A246" s="17"/>
      <c r="B246" s="17"/>
      <c r="C246" s="17"/>
      <c r="E246" s="17"/>
      <c r="F246" s="17"/>
      <c r="H246" s="17"/>
    </row>
    <row r="247" ht="15.75" customHeight="1">
      <c r="A247" s="17"/>
      <c r="B247" s="17"/>
      <c r="C247" s="17"/>
      <c r="E247" s="17"/>
      <c r="F247" s="17"/>
      <c r="H247" s="17"/>
    </row>
    <row r="248" ht="15.75" customHeight="1">
      <c r="A248" s="17"/>
      <c r="B248" s="17"/>
      <c r="C248" s="17"/>
      <c r="E248" s="17"/>
      <c r="F248" s="17"/>
      <c r="H248" s="17"/>
    </row>
    <row r="249" ht="15.75" customHeight="1">
      <c r="A249" s="17"/>
      <c r="B249" s="17"/>
      <c r="C249" s="17"/>
      <c r="E249" s="17"/>
      <c r="F249" s="17"/>
      <c r="H249" s="17"/>
    </row>
    <row r="250" ht="15.75" customHeight="1">
      <c r="A250" s="17"/>
      <c r="B250" s="17"/>
      <c r="C250" s="17"/>
      <c r="E250" s="17"/>
      <c r="F250" s="17"/>
      <c r="H250" s="17"/>
    </row>
    <row r="251" ht="15.75" customHeight="1">
      <c r="A251" s="17"/>
      <c r="B251" s="17"/>
      <c r="C251" s="17"/>
      <c r="E251" s="17"/>
      <c r="F251" s="17"/>
      <c r="H251" s="17"/>
    </row>
    <row r="252" ht="15.75" customHeight="1">
      <c r="A252" s="17"/>
      <c r="B252" s="17"/>
      <c r="C252" s="17"/>
      <c r="E252" s="17"/>
      <c r="F252" s="17"/>
      <c r="H252" s="17"/>
    </row>
    <row r="253" ht="15.75" customHeight="1">
      <c r="A253" s="17"/>
      <c r="B253" s="17"/>
      <c r="C253" s="17"/>
      <c r="E253" s="17"/>
      <c r="F253" s="17"/>
      <c r="H253" s="17"/>
    </row>
    <row r="254" ht="15.75" customHeight="1">
      <c r="A254" s="17"/>
      <c r="B254" s="17"/>
      <c r="C254" s="17"/>
      <c r="E254" s="17"/>
      <c r="F254" s="17"/>
      <c r="H254" s="17"/>
    </row>
    <row r="255" ht="15.75" customHeight="1">
      <c r="A255" s="17"/>
      <c r="B255" s="17"/>
      <c r="C255" s="17"/>
      <c r="E255" s="17"/>
      <c r="F255" s="17"/>
      <c r="H255" s="17"/>
    </row>
    <row r="256" ht="15.75" customHeight="1">
      <c r="A256" s="17"/>
      <c r="B256" s="17"/>
      <c r="C256" s="17"/>
      <c r="E256" s="17"/>
      <c r="F256" s="17"/>
      <c r="H256" s="17"/>
    </row>
    <row r="257" ht="15.75" customHeight="1">
      <c r="A257" s="17"/>
      <c r="B257" s="17"/>
      <c r="C257" s="17"/>
      <c r="E257" s="17"/>
      <c r="F257" s="17"/>
      <c r="H257" s="17"/>
    </row>
    <row r="258" ht="15.75" customHeight="1">
      <c r="A258" s="17"/>
      <c r="B258" s="17"/>
      <c r="C258" s="17"/>
      <c r="E258" s="17"/>
      <c r="F258" s="17"/>
      <c r="H258" s="17"/>
    </row>
    <row r="259" ht="15.75" customHeight="1">
      <c r="A259" s="17"/>
      <c r="B259" s="17"/>
      <c r="C259" s="17"/>
      <c r="E259" s="17"/>
      <c r="F259" s="17"/>
      <c r="H259" s="17"/>
    </row>
    <row r="260" ht="15.75" customHeight="1">
      <c r="A260" s="17"/>
      <c r="B260" s="17"/>
      <c r="C260" s="17"/>
      <c r="E260" s="17"/>
      <c r="F260" s="17"/>
      <c r="H260" s="17"/>
    </row>
    <row r="261" ht="15.75" customHeight="1">
      <c r="A261" s="17"/>
      <c r="B261" s="17"/>
      <c r="C261" s="17"/>
      <c r="E261" s="17"/>
      <c r="F261" s="17"/>
      <c r="H261" s="17"/>
    </row>
    <row r="262" ht="15.75" customHeight="1">
      <c r="A262" s="17"/>
      <c r="B262" s="17"/>
      <c r="C262" s="17"/>
      <c r="E262" s="17"/>
      <c r="F262" s="17"/>
      <c r="H262" s="17"/>
    </row>
    <row r="263" ht="15.75" customHeight="1">
      <c r="A263" s="17"/>
      <c r="B263" s="17"/>
      <c r="C263" s="17"/>
      <c r="E263" s="17"/>
      <c r="F263" s="17"/>
      <c r="H263" s="17"/>
    </row>
    <row r="264" ht="15.75" customHeight="1">
      <c r="A264" s="17"/>
      <c r="B264" s="17"/>
      <c r="C264" s="17"/>
      <c r="E264" s="17"/>
      <c r="F264" s="17"/>
      <c r="H264" s="17"/>
    </row>
    <row r="265" ht="15.75" customHeight="1">
      <c r="A265" s="17"/>
      <c r="B265" s="17"/>
      <c r="C265" s="17"/>
      <c r="E265" s="17"/>
      <c r="F265" s="17"/>
      <c r="H265" s="17"/>
    </row>
    <row r="266" ht="15.75" customHeight="1">
      <c r="A266" s="17"/>
      <c r="B266" s="17"/>
      <c r="C266" s="17"/>
      <c r="E266" s="17"/>
      <c r="F266" s="17"/>
      <c r="H266" s="17"/>
    </row>
    <row r="267" ht="15.75" customHeight="1">
      <c r="A267" s="17"/>
      <c r="B267" s="17"/>
      <c r="C267" s="17"/>
      <c r="E267" s="17"/>
      <c r="F267" s="17"/>
      <c r="H267" s="17"/>
    </row>
    <row r="268" ht="15.75" customHeight="1">
      <c r="A268" s="17"/>
      <c r="B268" s="17"/>
      <c r="C268" s="17"/>
      <c r="E268" s="17"/>
      <c r="F268" s="17"/>
      <c r="H268" s="17"/>
    </row>
    <row r="269" ht="15.75" customHeight="1">
      <c r="A269" s="17"/>
      <c r="B269" s="17"/>
      <c r="C269" s="17"/>
      <c r="E269" s="17"/>
      <c r="F269" s="17"/>
      <c r="H269" s="17"/>
    </row>
    <row r="270" ht="15.75" customHeight="1">
      <c r="A270" s="17"/>
      <c r="B270" s="17"/>
      <c r="C270" s="17"/>
      <c r="E270" s="17"/>
      <c r="F270" s="17"/>
      <c r="H270" s="17"/>
    </row>
    <row r="271" ht="15.75" customHeight="1">
      <c r="A271" s="17"/>
      <c r="B271" s="17"/>
      <c r="C271" s="17"/>
      <c r="E271" s="17"/>
      <c r="F271" s="17"/>
      <c r="H271" s="17"/>
    </row>
    <row r="272" ht="15.75" customHeight="1">
      <c r="A272" s="17"/>
      <c r="B272" s="17"/>
      <c r="C272" s="17"/>
      <c r="E272" s="17"/>
      <c r="F272" s="17"/>
      <c r="H272" s="17"/>
    </row>
    <row r="273" ht="15.75" customHeight="1">
      <c r="A273" s="17"/>
      <c r="B273" s="17"/>
      <c r="C273" s="17"/>
      <c r="E273" s="17"/>
      <c r="F273" s="17"/>
      <c r="H273" s="17"/>
    </row>
    <row r="274" ht="15.75" customHeight="1">
      <c r="A274" s="17"/>
      <c r="B274" s="17"/>
      <c r="C274" s="17"/>
      <c r="E274" s="17"/>
      <c r="F274" s="17"/>
      <c r="H274" s="17"/>
    </row>
    <row r="275" ht="15.75" customHeight="1">
      <c r="A275" s="17"/>
      <c r="B275" s="17"/>
      <c r="C275" s="17"/>
      <c r="E275" s="17"/>
      <c r="F275" s="17"/>
      <c r="H275" s="17"/>
    </row>
    <row r="276" ht="15.75" customHeight="1">
      <c r="A276" s="17"/>
      <c r="B276" s="17"/>
      <c r="C276" s="17"/>
      <c r="E276" s="17"/>
      <c r="F276" s="17"/>
      <c r="H276" s="17"/>
    </row>
    <row r="277" ht="15.75" customHeight="1">
      <c r="A277" s="17"/>
      <c r="B277" s="17"/>
      <c r="C277" s="17"/>
      <c r="E277" s="17"/>
      <c r="F277" s="17"/>
      <c r="H277" s="17"/>
    </row>
    <row r="278" ht="15.75" customHeight="1">
      <c r="A278" s="17"/>
      <c r="B278" s="17"/>
      <c r="C278" s="17"/>
      <c r="E278" s="17"/>
      <c r="F278" s="17"/>
      <c r="H278" s="17"/>
    </row>
    <row r="279" ht="15.75" customHeight="1">
      <c r="A279" s="17"/>
      <c r="B279" s="17"/>
      <c r="C279" s="17"/>
      <c r="E279" s="17"/>
      <c r="F279" s="17"/>
      <c r="H279" s="17"/>
    </row>
    <row r="280" ht="15.75" customHeight="1">
      <c r="A280" s="17"/>
      <c r="B280" s="17"/>
      <c r="C280" s="17"/>
      <c r="E280" s="17"/>
      <c r="F280" s="17"/>
      <c r="H280" s="17"/>
    </row>
    <row r="281" ht="15.75" customHeight="1">
      <c r="A281" s="17"/>
      <c r="B281" s="17"/>
      <c r="C281" s="17"/>
      <c r="E281" s="17"/>
      <c r="F281" s="17"/>
      <c r="H281" s="17"/>
    </row>
    <row r="282" ht="15.75" customHeight="1">
      <c r="A282" s="17"/>
      <c r="B282" s="17"/>
      <c r="C282" s="17"/>
      <c r="E282" s="17"/>
      <c r="F282" s="17"/>
      <c r="H282" s="17"/>
    </row>
    <row r="283" ht="15.75" customHeight="1">
      <c r="A283" s="17"/>
      <c r="B283" s="17"/>
      <c r="C283" s="17"/>
      <c r="E283" s="17"/>
      <c r="F283" s="17"/>
      <c r="H283" s="17"/>
    </row>
    <row r="284" ht="15.75" customHeight="1">
      <c r="A284" s="17"/>
      <c r="B284" s="17"/>
      <c r="C284" s="17"/>
      <c r="E284" s="17"/>
      <c r="F284" s="17"/>
      <c r="H284" s="17"/>
    </row>
    <row r="285" ht="15.75" customHeight="1">
      <c r="A285" s="17"/>
      <c r="B285" s="17"/>
      <c r="C285" s="17"/>
      <c r="E285" s="17"/>
      <c r="F285" s="17"/>
      <c r="H285" s="17"/>
    </row>
    <row r="286" ht="15.75" customHeight="1">
      <c r="A286" s="17"/>
      <c r="B286" s="17"/>
      <c r="C286" s="17"/>
      <c r="E286" s="17"/>
      <c r="F286" s="17"/>
      <c r="H286" s="17"/>
    </row>
    <row r="287" ht="15.75" customHeight="1">
      <c r="A287" s="17"/>
      <c r="B287" s="17"/>
      <c r="C287" s="17"/>
      <c r="E287" s="17"/>
      <c r="F287" s="17"/>
      <c r="H287" s="17"/>
    </row>
    <row r="288" ht="15.75" customHeight="1">
      <c r="A288" s="17"/>
      <c r="B288" s="17"/>
      <c r="C288" s="17"/>
      <c r="E288" s="17"/>
      <c r="F288" s="17"/>
      <c r="H288" s="17"/>
    </row>
    <row r="289" ht="15.75" customHeight="1">
      <c r="A289" s="17"/>
      <c r="B289" s="17"/>
      <c r="C289" s="17"/>
      <c r="E289" s="17"/>
      <c r="F289" s="17"/>
      <c r="H289" s="17"/>
    </row>
    <row r="290" ht="15.75" customHeight="1">
      <c r="A290" s="17"/>
      <c r="B290" s="17"/>
      <c r="C290" s="17"/>
      <c r="E290" s="17"/>
      <c r="F290" s="17"/>
      <c r="H290" s="17"/>
    </row>
    <row r="291" ht="15.75" customHeight="1">
      <c r="A291" s="17"/>
      <c r="B291" s="17"/>
      <c r="C291" s="17"/>
      <c r="E291" s="17"/>
      <c r="F291" s="17"/>
      <c r="H291" s="17"/>
    </row>
    <row r="292" ht="15.75" customHeight="1">
      <c r="A292" s="17"/>
      <c r="B292" s="17"/>
      <c r="C292" s="17"/>
      <c r="E292" s="17"/>
      <c r="F292" s="17"/>
      <c r="H292" s="17"/>
    </row>
    <row r="293" ht="15.75" customHeight="1">
      <c r="A293" s="17"/>
      <c r="B293" s="17"/>
      <c r="C293" s="17"/>
      <c r="E293" s="17"/>
      <c r="F293" s="17"/>
      <c r="H293" s="17"/>
    </row>
    <row r="294" ht="15.75" customHeight="1">
      <c r="A294" s="17"/>
      <c r="B294" s="17"/>
      <c r="C294" s="17"/>
      <c r="E294" s="17"/>
      <c r="F294" s="17"/>
      <c r="H294" s="17"/>
    </row>
    <row r="295" ht="15.75" customHeight="1">
      <c r="A295" s="17"/>
      <c r="B295" s="17"/>
      <c r="C295" s="17"/>
      <c r="E295" s="17"/>
      <c r="F295" s="17"/>
      <c r="H295" s="17"/>
    </row>
    <row r="296" ht="15.75" customHeight="1">
      <c r="A296" s="17"/>
      <c r="B296" s="17"/>
      <c r="C296" s="17"/>
      <c r="E296" s="17"/>
      <c r="F296" s="17"/>
      <c r="H296" s="17"/>
    </row>
    <row r="297" ht="15.75" customHeight="1">
      <c r="A297" s="17"/>
      <c r="B297" s="17"/>
      <c r="C297" s="17"/>
      <c r="E297" s="17"/>
      <c r="F297" s="17"/>
      <c r="H297" s="17"/>
    </row>
    <row r="298" ht="15.75" customHeight="1">
      <c r="A298" s="17"/>
      <c r="B298" s="17"/>
      <c r="C298" s="17"/>
      <c r="E298" s="17"/>
      <c r="F298" s="17"/>
      <c r="H298" s="17"/>
    </row>
    <row r="299" ht="15.75" customHeight="1">
      <c r="A299" s="17"/>
      <c r="B299" s="17"/>
      <c r="C299" s="17"/>
      <c r="E299" s="17"/>
      <c r="F299" s="17"/>
      <c r="H299" s="17"/>
    </row>
    <row r="300" ht="15.75" customHeight="1">
      <c r="A300" s="17"/>
      <c r="B300" s="17"/>
      <c r="C300" s="17"/>
      <c r="E300" s="17"/>
      <c r="F300" s="17"/>
      <c r="H300" s="17"/>
    </row>
    <row r="301" ht="15.75" customHeight="1">
      <c r="A301" s="17"/>
      <c r="B301" s="17"/>
      <c r="C301" s="17"/>
      <c r="E301" s="17"/>
      <c r="F301" s="17"/>
      <c r="H301" s="17"/>
    </row>
    <row r="302" ht="15.75" customHeight="1">
      <c r="A302" s="17"/>
      <c r="B302" s="17"/>
      <c r="C302" s="17"/>
      <c r="E302" s="17"/>
      <c r="F302" s="17"/>
      <c r="H302" s="17"/>
    </row>
    <row r="303" ht="15.75" customHeight="1">
      <c r="A303" s="17"/>
      <c r="B303" s="17"/>
      <c r="C303" s="17"/>
      <c r="E303" s="17"/>
      <c r="F303" s="17"/>
      <c r="H303" s="17"/>
    </row>
    <row r="304" ht="15.75" customHeight="1">
      <c r="A304" s="17"/>
      <c r="B304" s="17"/>
      <c r="C304" s="17"/>
      <c r="E304" s="17"/>
      <c r="F304" s="17"/>
      <c r="H304" s="17"/>
    </row>
    <row r="305" ht="15.75" customHeight="1">
      <c r="A305" s="17"/>
      <c r="B305" s="17"/>
      <c r="C305" s="17"/>
      <c r="E305" s="17"/>
      <c r="F305" s="17"/>
      <c r="H305" s="17"/>
    </row>
    <row r="306" ht="15.75" customHeight="1">
      <c r="A306" s="17"/>
      <c r="B306" s="17"/>
      <c r="C306" s="17"/>
      <c r="E306" s="17"/>
      <c r="F306" s="17"/>
      <c r="H306" s="17"/>
    </row>
    <row r="307" ht="15.75" customHeight="1">
      <c r="A307" s="17"/>
      <c r="B307" s="17"/>
      <c r="C307" s="17"/>
      <c r="E307" s="17"/>
      <c r="F307" s="17"/>
      <c r="H307" s="17"/>
    </row>
    <row r="308" ht="15.75" customHeight="1">
      <c r="A308" s="17"/>
      <c r="B308" s="17"/>
      <c r="C308" s="17"/>
      <c r="E308" s="17"/>
      <c r="F308" s="17"/>
      <c r="H308" s="17"/>
    </row>
    <row r="309" ht="15.75" customHeight="1">
      <c r="A309" s="17"/>
      <c r="B309" s="17"/>
      <c r="C309" s="17"/>
      <c r="E309" s="17"/>
      <c r="F309" s="17"/>
      <c r="H309" s="17"/>
    </row>
    <row r="310" ht="15.75" customHeight="1">
      <c r="A310" s="17"/>
      <c r="B310" s="17"/>
      <c r="C310" s="17"/>
      <c r="E310" s="17"/>
      <c r="F310" s="17"/>
      <c r="H310" s="17"/>
    </row>
    <row r="311" ht="15.75" customHeight="1">
      <c r="A311" s="17"/>
      <c r="B311" s="17"/>
      <c r="C311" s="17"/>
      <c r="E311" s="17"/>
      <c r="F311" s="17"/>
      <c r="H311" s="17"/>
    </row>
    <row r="312" ht="15.75" customHeight="1">
      <c r="A312" s="17"/>
      <c r="B312" s="17"/>
      <c r="C312" s="17"/>
      <c r="E312" s="17"/>
      <c r="F312" s="17"/>
      <c r="H312" s="17"/>
    </row>
    <row r="313" ht="15.75" customHeight="1">
      <c r="A313" s="17"/>
      <c r="B313" s="17"/>
      <c r="C313" s="17"/>
      <c r="E313" s="17"/>
      <c r="F313" s="17"/>
      <c r="H313" s="17"/>
    </row>
    <row r="314" ht="15.75" customHeight="1">
      <c r="A314" s="17"/>
      <c r="B314" s="17"/>
      <c r="C314" s="17"/>
      <c r="E314" s="17"/>
      <c r="F314" s="17"/>
      <c r="H314" s="17"/>
    </row>
    <row r="315" ht="15.75" customHeight="1">
      <c r="A315" s="17"/>
      <c r="B315" s="17"/>
      <c r="C315" s="17"/>
      <c r="E315" s="17"/>
      <c r="F315" s="17"/>
      <c r="H315" s="17"/>
    </row>
    <row r="316" ht="15.75" customHeight="1">
      <c r="A316" s="17"/>
      <c r="B316" s="17"/>
      <c r="C316" s="17"/>
      <c r="E316" s="17"/>
      <c r="F316" s="17"/>
      <c r="H316" s="17"/>
    </row>
    <row r="317" ht="15.75" customHeight="1">
      <c r="A317" s="17"/>
      <c r="B317" s="17"/>
      <c r="C317" s="17"/>
      <c r="E317" s="17"/>
      <c r="F317" s="17"/>
      <c r="H317" s="17"/>
    </row>
    <row r="318" ht="15.75" customHeight="1">
      <c r="A318" s="17"/>
      <c r="B318" s="17"/>
      <c r="C318" s="17"/>
      <c r="E318" s="17"/>
      <c r="F318" s="17"/>
      <c r="H318" s="17"/>
    </row>
    <row r="319" ht="15.75" customHeight="1">
      <c r="A319" s="17"/>
      <c r="B319" s="17"/>
      <c r="C319" s="17"/>
      <c r="E319" s="17"/>
      <c r="F319" s="17"/>
      <c r="H319" s="17"/>
    </row>
    <row r="320" ht="15.75" customHeight="1">
      <c r="A320" s="17"/>
      <c r="B320" s="17"/>
      <c r="C320" s="17"/>
      <c r="E320" s="17"/>
      <c r="F320" s="17"/>
      <c r="H320" s="17"/>
    </row>
    <row r="321" ht="15.75" customHeight="1">
      <c r="A321" s="17"/>
      <c r="B321" s="17"/>
      <c r="C321" s="17"/>
      <c r="E321" s="17"/>
      <c r="F321" s="17"/>
      <c r="H321" s="17"/>
    </row>
    <row r="322" ht="15.75" customHeight="1">
      <c r="A322" s="17"/>
      <c r="B322" s="17"/>
      <c r="C322" s="17"/>
      <c r="E322" s="17"/>
      <c r="F322" s="17"/>
      <c r="H322" s="17"/>
    </row>
    <row r="323" ht="15.75" customHeight="1">
      <c r="A323" s="17"/>
      <c r="B323" s="17"/>
      <c r="C323" s="17"/>
      <c r="E323" s="17"/>
      <c r="F323" s="17"/>
      <c r="H323" s="17"/>
    </row>
    <row r="324" ht="15.75" customHeight="1">
      <c r="A324" s="17"/>
      <c r="B324" s="17"/>
      <c r="C324" s="17"/>
      <c r="E324" s="17"/>
      <c r="F324" s="17"/>
      <c r="H324" s="17"/>
    </row>
    <row r="325" ht="15.75" customHeight="1">
      <c r="A325" s="17"/>
      <c r="B325" s="17"/>
      <c r="C325" s="17"/>
      <c r="E325" s="17"/>
      <c r="F325" s="17"/>
      <c r="H325" s="17"/>
    </row>
    <row r="326" ht="15.75" customHeight="1">
      <c r="A326" s="17"/>
      <c r="B326" s="17"/>
      <c r="C326" s="17"/>
      <c r="E326" s="17"/>
      <c r="F326" s="17"/>
      <c r="H326" s="17"/>
    </row>
    <row r="327" ht="15.75" customHeight="1">
      <c r="A327" s="17"/>
      <c r="B327" s="17"/>
      <c r="C327" s="17"/>
      <c r="E327" s="17"/>
      <c r="F327" s="17"/>
      <c r="H327" s="17"/>
    </row>
    <row r="328" ht="15.75" customHeight="1">
      <c r="A328" s="17"/>
      <c r="B328" s="17"/>
      <c r="C328" s="17"/>
      <c r="E328" s="17"/>
      <c r="F328" s="17"/>
      <c r="H328" s="17"/>
    </row>
    <row r="329" ht="15.75" customHeight="1">
      <c r="A329" s="17"/>
      <c r="B329" s="17"/>
      <c r="C329" s="17"/>
      <c r="E329" s="17"/>
      <c r="F329" s="17"/>
      <c r="H329" s="17"/>
    </row>
    <row r="330" ht="15.75" customHeight="1">
      <c r="A330" s="17"/>
      <c r="B330" s="17"/>
      <c r="C330" s="17"/>
      <c r="E330" s="17"/>
      <c r="F330" s="17"/>
      <c r="H330" s="17"/>
    </row>
    <row r="331" ht="15.75" customHeight="1">
      <c r="A331" s="17"/>
      <c r="B331" s="17"/>
      <c r="C331" s="17"/>
      <c r="E331" s="17"/>
      <c r="F331" s="17"/>
      <c r="H331" s="17"/>
    </row>
    <row r="332" ht="15.75" customHeight="1">
      <c r="A332" s="17"/>
      <c r="B332" s="17"/>
      <c r="C332" s="17"/>
      <c r="E332" s="17"/>
      <c r="F332" s="17"/>
      <c r="H332" s="17"/>
    </row>
    <row r="333" ht="15.75" customHeight="1">
      <c r="A333" s="17"/>
      <c r="B333" s="17"/>
      <c r="C333" s="17"/>
      <c r="E333" s="17"/>
      <c r="F333" s="17"/>
      <c r="H333" s="17"/>
    </row>
    <row r="334" ht="15.75" customHeight="1">
      <c r="A334" s="17"/>
      <c r="B334" s="17"/>
      <c r="C334" s="17"/>
      <c r="E334" s="17"/>
      <c r="F334" s="17"/>
      <c r="H334" s="17"/>
    </row>
    <row r="335" ht="15.75" customHeight="1">
      <c r="A335" s="17"/>
      <c r="B335" s="17"/>
      <c r="C335" s="17"/>
      <c r="E335" s="17"/>
      <c r="F335" s="17"/>
      <c r="H335" s="17"/>
    </row>
    <row r="336" ht="15.75" customHeight="1">
      <c r="A336" s="17"/>
      <c r="B336" s="17"/>
      <c r="C336" s="17"/>
      <c r="E336" s="17"/>
      <c r="F336" s="17"/>
      <c r="H336" s="17"/>
    </row>
    <row r="337" ht="15.75" customHeight="1">
      <c r="A337" s="17"/>
      <c r="B337" s="17"/>
      <c r="C337" s="17"/>
      <c r="E337" s="17"/>
      <c r="F337" s="17"/>
      <c r="H337" s="17"/>
    </row>
    <row r="338" ht="15.75" customHeight="1">
      <c r="A338" s="17"/>
      <c r="B338" s="17"/>
      <c r="C338" s="17"/>
      <c r="E338" s="17"/>
      <c r="F338" s="17"/>
      <c r="H338" s="17"/>
    </row>
    <row r="339" ht="15.75" customHeight="1">
      <c r="A339" s="17"/>
      <c r="B339" s="17"/>
      <c r="C339" s="17"/>
      <c r="E339" s="17"/>
      <c r="F339" s="17"/>
      <c r="H339" s="17"/>
    </row>
    <row r="340" ht="15.75" customHeight="1">
      <c r="A340" s="17"/>
      <c r="B340" s="17"/>
      <c r="C340" s="17"/>
      <c r="E340" s="17"/>
      <c r="F340" s="17"/>
      <c r="H340" s="17"/>
    </row>
    <row r="341" ht="15.75" customHeight="1">
      <c r="A341" s="17"/>
      <c r="B341" s="17"/>
      <c r="C341" s="17"/>
      <c r="E341" s="17"/>
      <c r="F341" s="17"/>
      <c r="H341" s="17"/>
    </row>
    <row r="342" ht="15.75" customHeight="1">
      <c r="A342" s="17"/>
      <c r="B342" s="17"/>
      <c r="C342" s="17"/>
      <c r="E342" s="17"/>
      <c r="F342" s="17"/>
      <c r="H342" s="17"/>
    </row>
    <row r="343" ht="15.75" customHeight="1">
      <c r="A343" s="17"/>
      <c r="B343" s="17"/>
      <c r="C343" s="17"/>
      <c r="E343" s="17"/>
      <c r="F343" s="17"/>
      <c r="H343" s="17"/>
    </row>
    <row r="344" ht="15.75" customHeight="1">
      <c r="A344" s="17"/>
      <c r="B344" s="17"/>
      <c r="C344" s="17"/>
      <c r="E344" s="17"/>
      <c r="F344" s="17"/>
      <c r="H344" s="17"/>
    </row>
    <row r="345" ht="15.75" customHeight="1">
      <c r="A345" s="17"/>
      <c r="B345" s="17"/>
      <c r="C345" s="17"/>
      <c r="E345" s="17"/>
      <c r="F345" s="17"/>
      <c r="H345" s="17"/>
    </row>
    <row r="346" ht="15.75" customHeight="1">
      <c r="A346" s="17"/>
      <c r="B346" s="17"/>
      <c r="C346" s="17"/>
      <c r="E346" s="17"/>
      <c r="F346" s="17"/>
      <c r="H346" s="17"/>
    </row>
    <row r="347" ht="15.75" customHeight="1">
      <c r="A347" s="17"/>
      <c r="B347" s="17"/>
      <c r="C347" s="17"/>
      <c r="E347" s="17"/>
      <c r="F347" s="17"/>
      <c r="H347" s="17"/>
    </row>
    <row r="348" ht="15.75" customHeight="1">
      <c r="A348" s="17"/>
      <c r="B348" s="17"/>
      <c r="C348" s="17"/>
      <c r="E348" s="17"/>
      <c r="F348" s="17"/>
      <c r="H348" s="17"/>
    </row>
    <row r="349" ht="15.75" customHeight="1">
      <c r="A349" s="17"/>
      <c r="B349" s="17"/>
      <c r="C349" s="17"/>
      <c r="E349" s="17"/>
      <c r="F349" s="17"/>
      <c r="H349" s="17"/>
    </row>
    <row r="350" ht="15.75" customHeight="1">
      <c r="A350" s="17"/>
      <c r="B350" s="17"/>
      <c r="C350" s="17"/>
      <c r="E350" s="17"/>
      <c r="F350" s="17"/>
      <c r="H350" s="17"/>
    </row>
    <row r="351" ht="15.75" customHeight="1">
      <c r="A351" s="17"/>
      <c r="B351" s="17"/>
      <c r="C351" s="17"/>
      <c r="E351" s="17"/>
      <c r="F351" s="17"/>
      <c r="H351" s="17"/>
    </row>
    <row r="352" ht="15.75" customHeight="1">
      <c r="A352" s="17"/>
      <c r="B352" s="17"/>
      <c r="C352" s="17"/>
      <c r="E352" s="17"/>
      <c r="F352" s="17"/>
      <c r="H352" s="17"/>
    </row>
    <row r="353" ht="15.75" customHeight="1">
      <c r="A353" s="17"/>
      <c r="B353" s="17"/>
      <c r="C353" s="17"/>
      <c r="E353" s="17"/>
      <c r="F353" s="17"/>
      <c r="H353" s="17"/>
    </row>
    <row r="354" ht="15.75" customHeight="1">
      <c r="A354" s="17"/>
      <c r="B354" s="17"/>
      <c r="C354" s="17"/>
      <c r="E354" s="17"/>
      <c r="F354" s="17"/>
      <c r="H354" s="17"/>
    </row>
    <row r="355" ht="15.75" customHeight="1">
      <c r="A355" s="17"/>
      <c r="B355" s="17"/>
      <c r="C355" s="17"/>
      <c r="E355" s="17"/>
      <c r="F355" s="17"/>
      <c r="H355" s="17"/>
    </row>
    <row r="356" ht="15.75" customHeight="1">
      <c r="A356" s="17"/>
      <c r="B356" s="17"/>
      <c r="C356" s="17"/>
      <c r="E356" s="17"/>
      <c r="F356" s="17"/>
      <c r="H356" s="17"/>
    </row>
    <row r="357" ht="15.75" customHeight="1">
      <c r="A357" s="17"/>
      <c r="B357" s="17"/>
      <c r="C357" s="17"/>
      <c r="E357" s="17"/>
      <c r="F357" s="17"/>
      <c r="H357" s="17"/>
    </row>
    <row r="358" ht="15.75" customHeight="1">
      <c r="A358" s="17"/>
      <c r="B358" s="17"/>
      <c r="C358" s="17"/>
      <c r="E358" s="17"/>
      <c r="F358" s="17"/>
      <c r="H358" s="17"/>
    </row>
    <row r="359" ht="15.75" customHeight="1">
      <c r="A359" s="17"/>
      <c r="B359" s="17"/>
      <c r="C359" s="17"/>
      <c r="E359" s="17"/>
      <c r="F359" s="17"/>
      <c r="H359" s="17"/>
    </row>
    <row r="360" ht="15.75" customHeight="1">
      <c r="A360" s="17"/>
      <c r="B360" s="17"/>
      <c r="C360" s="17"/>
      <c r="E360" s="17"/>
      <c r="F360" s="17"/>
      <c r="H360" s="17"/>
    </row>
    <row r="361" ht="15.75" customHeight="1">
      <c r="A361" s="17"/>
      <c r="B361" s="17"/>
      <c r="C361" s="17"/>
      <c r="E361" s="17"/>
      <c r="F361" s="17"/>
      <c r="H361" s="17"/>
    </row>
    <row r="362" ht="15.75" customHeight="1">
      <c r="A362" s="17"/>
      <c r="B362" s="17"/>
      <c r="C362" s="17"/>
      <c r="E362" s="17"/>
      <c r="F362" s="17"/>
      <c r="H362" s="17"/>
    </row>
    <row r="363" ht="15.75" customHeight="1">
      <c r="A363" s="17"/>
      <c r="B363" s="17"/>
      <c r="C363" s="17"/>
      <c r="E363" s="17"/>
      <c r="F363" s="17"/>
      <c r="H363" s="17"/>
    </row>
    <row r="364" ht="15.75" customHeight="1">
      <c r="A364" s="17"/>
      <c r="B364" s="17"/>
      <c r="C364" s="17"/>
      <c r="E364" s="17"/>
      <c r="F364" s="17"/>
      <c r="H364" s="17"/>
    </row>
    <row r="365" ht="15.75" customHeight="1">
      <c r="A365" s="17"/>
      <c r="B365" s="17"/>
      <c r="C365" s="17"/>
      <c r="E365" s="17"/>
      <c r="F365" s="17"/>
      <c r="H365" s="17"/>
    </row>
    <row r="366" ht="15.75" customHeight="1">
      <c r="A366" s="17"/>
      <c r="B366" s="17"/>
      <c r="C366" s="17"/>
      <c r="E366" s="17"/>
      <c r="F366" s="17"/>
      <c r="H366" s="17"/>
    </row>
    <row r="367" ht="15.75" customHeight="1">
      <c r="A367" s="17"/>
      <c r="B367" s="17"/>
      <c r="C367" s="17"/>
      <c r="E367" s="17"/>
      <c r="F367" s="17"/>
      <c r="H367" s="17"/>
    </row>
    <row r="368" ht="15.75" customHeight="1">
      <c r="A368" s="17"/>
      <c r="B368" s="17"/>
      <c r="C368" s="17"/>
      <c r="E368" s="17"/>
      <c r="F368" s="17"/>
      <c r="H368" s="17"/>
    </row>
    <row r="369" ht="15.75" customHeight="1">
      <c r="A369" s="17"/>
      <c r="B369" s="17"/>
      <c r="C369" s="17"/>
      <c r="E369" s="17"/>
      <c r="F369" s="17"/>
      <c r="H369" s="17"/>
    </row>
    <row r="370" ht="15.75" customHeight="1">
      <c r="A370" s="17"/>
      <c r="B370" s="17"/>
      <c r="C370" s="17"/>
      <c r="E370" s="17"/>
      <c r="F370" s="17"/>
      <c r="H370" s="17"/>
    </row>
    <row r="371" ht="15.75" customHeight="1">
      <c r="A371" s="17"/>
      <c r="B371" s="17"/>
      <c r="C371" s="17"/>
      <c r="E371" s="17"/>
      <c r="F371" s="17"/>
      <c r="H371" s="17"/>
    </row>
    <row r="372" ht="15.75" customHeight="1">
      <c r="A372" s="17"/>
      <c r="B372" s="17"/>
      <c r="C372" s="17"/>
      <c r="E372" s="17"/>
      <c r="F372" s="17"/>
      <c r="H372" s="17"/>
    </row>
    <row r="373" ht="15.75" customHeight="1">
      <c r="A373" s="17"/>
      <c r="B373" s="17"/>
      <c r="C373" s="17"/>
      <c r="E373" s="17"/>
      <c r="F373" s="17"/>
      <c r="H373" s="17"/>
    </row>
    <row r="374" ht="15.75" customHeight="1">
      <c r="A374" s="17"/>
      <c r="B374" s="17"/>
      <c r="C374" s="17"/>
      <c r="E374" s="17"/>
      <c r="F374" s="17"/>
      <c r="H374" s="17"/>
    </row>
    <row r="375" ht="15.75" customHeight="1">
      <c r="A375" s="17"/>
      <c r="B375" s="17"/>
      <c r="C375" s="17"/>
      <c r="E375" s="17"/>
      <c r="F375" s="17"/>
      <c r="H375" s="17"/>
    </row>
    <row r="376" ht="15.75" customHeight="1">
      <c r="A376" s="17"/>
      <c r="B376" s="17"/>
      <c r="C376" s="17"/>
      <c r="E376" s="17"/>
      <c r="F376" s="17"/>
      <c r="H376" s="17"/>
    </row>
    <row r="377" ht="15.75" customHeight="1">
      <c r="A377" s="17"/>
      <c r="B377" s="17"/>
      <c r="C377" s="17"/>
      <c r="E377" s="17"/>
      <c r="F377" s="17"/>
      <c r="H377" s="17"/>
    </row>
    <row r="378" ht="15.75" customHeight="1">
      <c r="A378" s="17"/>
      <c r="B378" s="17"/>
      <c r="C378" s="17"/>
      <c r="E378" s="17"/>
      <c r="F378" s="17"/>
      <c r="H378" s="17"/>
    </row>
    <row r="379" ht="15.75" customHeight="1">
      <c r="A379" s="17"/>
      <c r="B379" s="17"/>
      <c r="C379" s="17"/>
      <c r="E379" s="17"/>
      <c r="F379" s="17"/>
      <c r="H379" s="17"/>
    </row>
    <row r="380" ht="15.75" customHeight="1">
      <c r="A380" s="17"/>
      <c r="B380" s="17"/>
      <c r="C380" s="17"/>
      <c r="E380" s="17"/>
      <c r="F380" s="17"/>
      <c r="H380" s="17"/>
    </row>
    <row r="381" ht="15.75" customHeight="1">
      <c r="A381" s="17"/>
      <c r="B381" s="17"/>
      <c r="C381" s="17"/>
      <c r="E381" s="17"/>
      <c r="F381" s="17"/>
      <c r="H381" s="17"/>
    </row>
    <row r="382" ht="15.75" customHeight="1">
      <c r="A382" s="17"/>
      <c r="B382" s="17"/>
      <c r="C382" s="17"/>
      <c r="E382" s="17"/>
      <c r="F382" s="17"/>
      <c r="H382" s="17"/>
    </row>
    <row r="383" ht="15.75" customHeight="1">
      <c r="A383" s="17"/>
      <c r="B383" s="17"/>
      <c r="C383" s="17"/>
      <c r="E383" s="17"/>
      <c r="F383" s="17"/>
      <c r="H383" s="17"/>
    </row>
    <row r="384" ht="15.75" customHeight="1">
      <c r="A384" s="17"/>
      <c r="B384" s="17"/>
      <c r="C384" s="17"/>
      <c r="E384" s="17"/>
      <c r="F384" s="17"/>
      <c r="H384" s="17"/>
    </row>
    <row r="385" ht="15.75" customHeight="1">
      <c r="A385" s="17"/>
      <c r="B385" s="17"/>
      <c r="C385" s="17"/>
      <c r="E385" s="17"/>
      <c r="F385" s="17"/>
      <c r="H385" s="17"/>
    </row>
    <row r="386" ht="15.75" customHeight="1">
      <c r="A386" s="17"/>
      <c r="B386" s="17"/>
      <c r="C386" s="17"/>
      <c r="E386" s="17"/>
      <c r="F386" s="17"/>
      <c r="H386" s="17"/>
    </row>
    <row r="387" ht="15.75" customHeight="1">
      <c r="A387" s="17"/>
      <c r="B387" s="17"/>
      <c r="C387" s="17"/>
      <c r="E387" s="17"/>
      <c r="F387" s="17"/>
      <c r="H387" s="17"/>
    </row>
    <row r="388" ht="15.75" customHeight="1">
      <c r="A388" s="17"/>
      <c r="B388" s="17"/>
      <c r="C388" s="17"/>
      <c r="E388" s="17"/>
      <c r="F388" s="17"/>
      <c r="H388" s="17"/>
    </row>
    <row r="389" ht="15.75" customHeight="1">
      <c r="A389" s="17"/>
      <c r="B389" s="17"/>
      <c r="C389" s="17"/>
      <c r="E389" s="17"/>
      <c r="F389" s="17"/>
      <c r="H389" s="17"/>
    </row>
    <row r="390" ht="15.75" customHeight="1">
      <c r="A390" s="17"/>
      <c r="B390" s="17"/>
      <c r="C390" s="17"/>
      <c r="E390" s="17"/>
      <c r="F390" s="17"/>
      <c r="H390" s="17"/>
    </row>
    <row r="391" ht="15.75" customHeight="1">
      <c r="A391" s="17"/>
      <c r="B391" s="17"/>
      <c r="C391" s="17"/>
      <c r="E391" s="17"/>
      <c r="F391" s="17"/>
      <c r="H391" s="17"/>
    </row>
    <row r="392" ht="15.75" customHeight="1">
      <c r="A392" s="17"/>
      <c r="B392" s="17"/>
      <c r="C392" s="17"/>
      <c r="E392" s="17"/>
      <c r="F392" s="17"/>
      <c r="H392" s="17"/>
    </row>
    <row r="393" ht="15.75" customHeight="1">
      <c r="A393" s="17"/>
      <c r="B393" s="17"/>
      <c r="C393" s="17"/>
      <c r="E393" s="17"/>
      <c r="F393" s="17"/>
      <c r="H393" s="17"/>
    </row>
    <row r="394" ht="15.75" customHeight="1">
      <c r="A394" s="17"/>
      <c r="B394" s="17"/>
      <c r="C394" s="17"/>
      <c r="E394" s="17"/>
      <c r="F394" s="17"/>
      <c r="H394" s="17"/>
    </row>
    <row r="395" ht="15.75" customHeight="1">
      <c r="A395" s="17"/>
      <c r="B395" s="17"/>
      <c r="C395" s="17"/>
      <c r="E395" s="17"/>
      <c r="F395" s="17"/>
      <c r="H395" s="17"/>
    </row>
    <row r="396" ht="15.75" customHeight="1">
      <c r="A396" s="17"/>
      <c r="B396" s="17"/>
      <c r="C396" s="17"/>
      <c r="E396" s="17"/>
      <c r="F396" s="17"/>
      <c r="H396" s="17"/>
    </row>
    <row r="397" ht="15.75" customHeight="1">
      <c r="A397" s="17"/>
      <c r="B397" s="17"/>
      <c r="C397" s="17"/>
      <c r="E397" s="17"/>
      <c r="F397" s="17"/>
      <c r="H397" s="17"/>
    </row>
    <row r="398" ht="15.75" customHeight="1">
      <c r="A398" s="17"/>
      <c r="B398" s="17"/>
      <c r="C398" s="17"/>
      <c r="E398" s="17"/>
      <c r="F398" s="17"/>
      <c r="H398" s="17"/>
    </row>
    <row r="399" ht="15.75" customHeight="1">
      <c r="A399" s="17"/>
      <c r="B399" s="17"/>
      <c r="C399" s="17"/>
      <c r="E399" s="17"/>
      <c r="F399" s="17"/>
      <c r="H399" s="17"/>
    </row>
    <row r="400" ht="15.75" customHeight="1">
      <c r="A400" s="17"/>
      <c r="B400" s="17"/>
      <c r="C400" s="17"/>
      <c r="E400" s="17"/>
      <c r="F400" s="17"/>
      <c r="H400" s="17"/>
    </row>
    <row r="401" ht="15.75" customHeight="1">
      <c r="A401" s="17"/>
      <c r="B401" s="17"/>
      <c r="C401" s="17"/>
      <c r="E401" s="17"/>
      <c r="F401" s="17"/>
      <c r="H401" s="17"/>
    </row>
    <row r="402" ht="15.75" customHeight="1">
      <c r="A402" s="17"/>
      <c r="B402" s="17"/>
      <c r="C402" s="17"/>
      <c r="E402" s="17"/>
      <c r="F402" s="17"/>
      <c r="H402" s="17"/>
    </row>
    <row r="403" ht="15.75" customHeight="1">
      <c r="A403" s="17"/>
      <c r="B403" s="17"/>
      <c r="C403" s="17"/>
      <c r="E403" s="17"/>
      <c r="F403" s="17"/>
      <c r="H403" s="17"/>
    </row>
    <row r="404" ht="15.75" customHeight="1">
      <c r="A404" s="17"/>
      <c r="B404" s="17"/>
      <c r="C404" s="17"/>
      <c r="E404" s="17"/>
      <c r="F404" s="17"/>
      <c r="H404" s="17"/>
    </row>
    <row r="405" ht="15.75" customHeight="1">
      <c r="A405" s="17"/>
      <c r="B405" s="17"/>
      <c r="C405" s="17"/>
      <c r="E405" s="17"/>
      <c r="F405" s="17"/>
      <c r="H405" s="17"/>
    </row>
    <row r="406" ht="15.75" customHeight="1">
      <c r="A406" s="17"/>
      <c r="B406" s="17"/>
      <c r="C406" s="17"/>
      <c r="E406" s="17"/>
      <c r="F406" s="17"/>
      <c r="H406" s="17"/>
    </row>
    <row r="407" ht="15.75" customHeight="1">
      <c r="A407" s="17"/>
      <c r="B407" s="17"/>
      <c r="C407" s="17"/>
      <c r="E407" s="17"/>
      <c r="F407" s="17"/>
      <c r="H407" s="17"/>
    </row>
    <row r="408" ht="15.75" customHeight="1">
      <c r="A408" s="17"/>
      <c r="B408" s="17"/>
      <c r="C408" s="17"/>
      <c r="E408" s="17"/>
      <c r="F408" s="17"/>
      <c r="H408" s="17"/>
    </row>
    <row r="409" ht="15.75" customHeight="1">
      <c r="A409" s="17"/>
      <c r="B409" s="17"/>
      <c r="C409" s="17"/>
      <c r="E409" s="17"/>
      <c r="F409" s="17"/>
      <c r="H409" s="17"/>
    </row>
    <row r="410" ht="15.75" customHeight="1">
      <c r="A410" s="17"/>
      <c r="B410" s="17"/>
      <c r="C410" s="17"/>
      <c r="E410" s="17"/>
      <c r="F410" s="17"/>
      <c r="H410" s="17"/>
    </row>
    <row r="411" ht="15.75" customHeight="1">
      <c r="A411" s="17"/>
      <c r="B411" s="17"/>
      <c r="C411" s="17"/>
      <c r="E411" s="17"/>
      <c r="F411" s="17"/>
      <c r="H411" s="17"/>
    </row>
    <row r="412" ht="15.75" customHeight="1">
      <c r="A412" s="17"/>
      <c r="B412" s="17"/>
      <c r="C412" s="17"/>
      <c r="E412" s="17"/>
      <c r="F412" s="17"/>
      <c r="H412" s="17"/>
    </row>
    <row r="413" ht="15.75" customHeight="1">
      <c r="A413" s="17"/>
      <c r="B413" s="17"/>
      <c r="C413" s="17"/>
      <c r="E413" s="17"/>
      <c r="F413" s="17"/>
      <c r="H413" s="17"/>
    </row>
    <row r="414" ht="15.75" customHeight="1">
      <c r="A414" s="17"/>
      <c r="B414" s="17"/>
      <c r="C414" s="17"/>
      <c r="E414" s="17"/>
      <c r="F414" s="17"/>
      <c r="H414" s="17"/>
    </row>
    <row r="415" ht="15.75" customHeight="1">
      <c r="A415" s="17"/>
      <c r="B415" s="17"/>
      <c r="C415" s="17"/>
      <c r="E415" s="17"/>
      <c r="F415" s="17"/>
      <c r="H415" s="17"/>
    </row>
    <row r="416" ht="15.75" customHeight="1">
      <c r="A416" s="17"/>
      <c r="B416" s="17"/>
      <c r="C416" s="17"/>
      <c r="E416" s="17"/>
      <c r="F416" s="17"/>
      <c r="H416" s="17"/>
    </row>
    <row r="417" ht="15.75" customHeight="1">
      <c r="A417" s="17"/>
      <c r="B417" s="17"/>
      <c r="C417" s="17"/>
      <c r="E417" s="17"/>
      <c r="F417" s="17"/>
      <c r="H417" s="17"/>
    </row>
    <row r="418" ht="15.75" customHeight="1">
      <c r="A418" s="17"/>
      <c r="B418" s="17"/>
      <c r="C418" s="17"/>
      <c r="E418" s="17"/>
      <c r="F418" s="17"/>
      <c r="H418" s="17"/>
    </row>
    <row r="419" ht="15.75" customHeight="1">
      <c r="A419" s="17"/>
      <c r="B419" s="17"/>
      <c r="C419" s="17"/>
      <c r="E419" s="17"/>
      <c r="F419" s="17"/>
      <c r="H419" s="17"/>
    </row>
    <row r="420" ht="15.75" customHeight="1">
      <c r="A420" s="17"/>
      <c r="B420" s="17"/>
      <c r="C420" s="17"/>
      <c r="E420" s="17"/>
      <c r="F420" s="17"/>
      <c r="H420" s="17"/>
    </row>
    <row r="421" ht="15.75" customHeight="1">
      <c r="A421" s="17"/>
      <c r="B421" s="17"/>
      <c r="C421" s="17"/>
      <c r="E421" s="17"/>
      <c r="F421" s="17"/>
      <c r="H421" s="17"/>
    </row>
    <row r="422" ht="15.75" customHeight="1">
      <c r="A422" s="17"/>
      <c r="B422" s="17"/>
      <c r="C422" s="17"/>
      <c r="E422" s="17"/>
      <c r="F422" s="17"/>
      <c r="H422" s="17"/>
    </row>
    <row r="423" ht="15.75" customHeight="1">
      <c r="A423" s="17"/>
      <c r="B423" s="17"/>
      <c r="C423" s="17"/>
      <c r="E423" s="17"/>
      <c r="F423" s="17"/>
      <c r="H423" s="17"/>
    </row>
    <row r="424" ht="15.75" customHeight="1">
      <c r="A424" s="17"/>
      <c r="B424" s="17"/>
      <c r="C424" s="17"/>
      <c r="E424" s="17"/>
      <c r="F424" s="17"/>
      <c r="H424" s="17"/>
    </row>
    <row r="425" ht="15.75" customHeight="1">
      <c r="A425" s="17"/>
      <c r="B425" s="17"/>
      <c r="C425" s="17"/>
      <c r="E425" s="17"/>
      <c r="F425" s="17"/>
      <c r="H425" s="17"/>
    </row>
    <row r="426" ht="15.75" customHeight="1">
      <c r="A426" s="17"/>
      <c r="B426" s="17"/>
      <c r="C426" s="17"/>
      <c r="E426" s="17"/>
      <c r="F426" s="17"/>
      <c r="H426" s="17"/>
    </row>
    <row r="427" ht="15.75" customHeight="1">
      <c r="A427" s="17"/>
      <c r="B427" s="17"/>
      <c r="C427" s="17"/>
      <c r="E427" s="17"/>
      <c r="F427" s="17"/>
      <c r="H427" s="17"/>
    </row>
    <row r="428" ht="15.75" customHeight="1">
      <c r="A428" s="17"/>
      <c r="B428" s="17"/>
      <c r="C428" s="17"/>
      <c r="E428" s="17"/>
      <c r="F428" s="17"/>
      <c r="H428" s="17"/>
    </row>
    <row r="429" ht="15.75" customHeight="1">
      <c r="A429" s="17"/>
      <c r="B429" s="17"/>
      <c r="C429" s="17"/>
      <c r="E429" s="17"/>
      <c r="F429" s="17"/>
      <c r="H429" s="17"/>
    </row>
    <row r="430" ht="15.75" customHeight="1">
      <c r="A430" s="17"/>
      <c r="B430" s="17"/>
      <c r="C430" s="17"/>
      <c r="E430" s="17"/>
      <c r="F430" s="17"/>
      <c r="H430" s="17"/>
    </row>
    <row r="431" ht="15.75" customHeight="1">
      <c r="A431" s="17"/>
      <c r="B431" s="17"/>
      <c r="C431" s="17"/>
      <c r="E431" s="17"/>
      <c r="F431" s="17"/>
      <c r="H431" s="17"/>
    </row>
    <row r="432" ht="15.75" customHeight="1">
      <c r="A432" s="17"/>
      <c r="B432" s="17"/>
      <c r="C432" s="17"/>
      <c r="E432" s="17"/>
      <c r="F432" s="17"/>
      <c r="H432" s="17"/>
    </row>
    <row r="433" ht="15.75" customHeight="1">
      <c r="A433" s="17"/>
      <c r="B433" s="17"/>
      <c r="C433" s="17"/>
      <c r="E433" s="17"/>
      <c r="F433" s="17"/>
      <c r="H433" s="17"/>
    </row>
    <row r="434" ht="15.75" customHeight="1">
      <c r="A434" s="17"/>
      <c r="B434" s="17"/>
      <c r="C434" s="17"/>
      <c r="E434" s="17"/>
      <c r="F434" s="17"/>
      <c r="H434" s="17"/>
    </row>
    <row r="435" ht="15.75" customHeight="1">
      <c r="A435" s="17"/>
      <c r="B435" s="17"/>
      <c r="C435" s="17"/>
      <c r="E435" s="17"/>
      <c r="F435" s="17"/>
      <c r="H435" s="17"/>
    </row>
    <row r="436" ht="15.75" customHeight="1">
      <c r="A436" s="17"/>
      <c r="B436" s="17"/>
      <c r="C436" s="17"/>
      <c r="E436" s="17"/>
      <c r="F436" s="17"/>
      <c r="H436" s="17"/>
    </row>
    <row r="437" ht="15.75" customHeight="1">
      <c r="A437" s="17"/>
      <c r="B437" s="17"/>
      <c r="C437" s="17"/>
      <c r="E437" s="17"/>
      <c r="F437" s="17"/>
      <c r="H437" s="17"/>
    </row>
    <row r="438" ht="15.75" customHeight="1">
      <c r="A438" s="17"/>
      <c r="B438" s="17"/>
      <c r="C438" s="17"/>
      <c r="E438" s="17"/>
      <c r="F438" s="17"/>
      <c r="H438" s="17"/>
    </row>
    <row r="439" ht="15.75" customHeight="1">
      <c r="A439" s="17"/>
      <c r="B439" s="17"/>
      <c r="C439" s="17"/>
      <c r="E439" s="17"/>
      <c r="F439" s="17"/>
      <c r="H439" s="17"/>
    </row>
    <row r="440" ht="15.75" customHeight="1">
      <c r="A440" s="17"/>
      <c r="B440" s="17"/>
      <c r="C440" s="17"/>
      <c r="E440" s="17"/>
      <c r="F440" s="17"/>
      <c r="H440" s="17"/>
    </row>
    <row r="441" ht="15.75" customHeight="1">
      <c r="A441" s="17"/>
      <c r="B441" s="17"/>
      <c r="C441" s="17"/>
      <c r="E441" s="17"/>
      <c r="F441" s="17"/>
      <c r="H441" s="17"/>
    </row>
    <row r="442" ht="15.75" customHeight="1">
      <c r="A442" s="17"/>
      <c r="B442" s="17"/>
      <c r="C442" s="17"/>
      <c r="E442" s="17"/>
      <c r="F442" s="17"/>
      <c r="H442" s="17"/>
    </row>
    <row r="443" ht="15.75" customHeight="1">
      <c r="A443" s="17"/>
      <c r="B443" s="17"/>
      <c r="C443" s="17"/>
      <c r="E443" s="17"/>
      <c r="F443" s="17"/>
      <c r="H443" s="17"/>
    </row>
    <row r="444" ht="15.75" customHeight="1">
      <c r="A444" s="17"/>
      <c r="B444" s="17"/>
      <c r="C444" s="17"/>
      <c r="E444" s="17"/>
      <c r="F444" s="17"/>
      <c r="H444" s="17"/>
    </row>
    <row r="445" ht="15.75" customHeight="1">
      <c r="A445" s="17"/>
      <c r="B445" s="17"/>
      <c r="C445" s="17"/>
      <c r="E445" s="17"/>
      <c r="F445" s="17"/>
      <c r="H445" s="17"/>
    </row>
    <row r="446" ht="15.75" customHeight="1">
      <c r="A446" s="17"/>
      <c r="B446" s="17"/>
      <c r="C446" s="17"/>
      <c r="E446" s="17"/>
      <c r="F446" s="17"/>
      <c r="H446" s="17"/>
    </row>
    <row r="447" ht="15.75" customHeight="1">
      <c r="A447" s="17"/>
      <c r="B447" s="17"/>
      <c r="C447" s="17"/>
      <c r="E447" s="17"/>
      <c r="F447" s="17"/>
      <c r="H447" s="17"/>
    </row>
    <row r="448" ht="15.75" customHeight="1">
      <c r="A448" s="17"/>
      <c r="B448" s="17"/>
      <c r="C448" s="17"/>
      <c r="E448" s="17"/>
      <c r="F448" s="17"/>
      <c r="H448" s="17"/>
    </row>
    <row r="449" ht="15.75" customHeight="1">
      <c r="A449" s="17"/>
      <c r="B449" s="17"/>
      <c r="C449" s="17"/>
      <c r="E449" s="17"/>
      <c r="F449" s="17"/>
      <c r="H449" s="17"/>
    </row>
    <row r="450" ht="15.75" customHeight="1">
      <c r="A450" s="17"/>
      <c r="B450" s="17"/>
      <c r="C450" s="17"/>
      <c r="E450" s="17"/>
      <c r="F450" s="17"/>
      <c r="H450" s="17"/>
    </row>
    <row r="451" ht="15.75" customHeight="1">
      <c r="A451" s="17"/>
      <c r="B451" s="17"/>
      <c r="C451" s="17"/>
      <c r="E451" s="17"/>
      <c r="F451" s="17"/>
      <c r="H451" s="17"/>
    </row>
    <row r="452" ht="15.75" customHeight="1">
      <c r="A452" s="17"/>
      <c r="B452" s="17"/>
      <c r="C452" s="17"/>
      <c r="E452" s="17"/>
      <c r="F452" s="17"/>
      <c r="H452" s="17"/>
    </row>
    <row r="453" ht="15.75" customHeight="1">
      <c r="A453" s="17"/>
      <c r="B453" s="17"/>
      <c r="C453" s="17"/>
      <c r="E453" s="17"/>
      <c r="F453" s="17"/>
      <c r="H453" s="17"/>
    </row>
    <row r="454" ht="15.75" customHeight="1">
      <c r="A454" s="17"/>
      <c r="B454" s="17"/>
      <c r="C454" s="17"/>
      <c r="E454" s="17"/>
      <c r="F454" s="17"/>
      <c r="H454" s="17"/>
    </row>
    <row r="455" ht="15.75" customHeight="1">
      <c r="A455" s="17"/>
      <c r="B455" s="17"/>
      <c r="C455" s="17"/>
      <c r="E455" s="17"/>
      <c r="F455" s="17"/>
      <c r="H455" s="17"/>
    </row>
    <row r="456" ht="15.75" customHeight="1">
      <c r="A456" s="17"/>
      <c r="B456" s="17"/>
      <c r="C456" s="17"/>
      <c r="E456" s="17"/>
      <c r="F456" s="17"/>
      <c r="H456" s="17"/>
    </row>
    <row r="457" ht="15.75" customHeight="1">
      <c r="A457" s="17"/>
      <c r="B457" s="17"/>
      <c r="C457" s="17"/>
      <c r="E457" s="17"/>
      <c r="F457" s="17"/>
      <c r="H457" s="17"/>
    </row>
    <row r="458" ht="15.75" customHeight="1">
      <c r="A458" s="17"/>
      <c r="B458" s="17"/>
      <c r="C458" s="17"/>
      <c r="E458" s="17"/>
      <c r="F458" s="17"/>
      <c r="H458" s="17"/>
    </row>
    <row r="459" ht="15.75" customHeight="1">
      <c r="A459" s="17"/>
      <c r="B459" s="17"/>
      <c r="C459" s="17"/>
      <c r="E459" s="17"/>
      <c r="F459" s="17"/>
      <c r="H459" s="17"/>
    </row>
    <row r="460" ht="15.75" customHeight="1">
      <c r="A460" s="17"/>
      <c r="B460" s="17"/>
      <c r="C460" s="17"/>
      <c r="E460" s="17"/>
      <c r="F460" s="17"/>
      <c r="H460" s="17"/>
    </row>
    <row r="461" ht="15.75" customHeight="1">
      <c r="A461" s="17"/>
      <c r="B461" s="17"/>
      <c r="C461" s="17"/>
      <c r="E461" s="17"/>
      <c r="F461" s="17"/>
      <c r="H461" s="17"/>
    </row>
    <row r="462" ht="15.75" customHeight="1">
      <c r="A462" s="17"/>
      <c r="B462" s="17"/>
      <c r="C462" s="17"/>
      <c r="E462" s="17"/>
      <c r="F462" s="17"/>
      <c r="H462" s="17"/>
    </row>
    <row r="463" ht="15.75" customHeight="1">
      <c r="A463" s="17"/>
      <c r="B463" s="17"/>
      <c r="C463" s="17"/>
      <c r="E463" s="17"/>
      <c r="F463" s="17"/>
      <c r="H463" s="17"/>
    </row>
    <row r="464" ht="15.75" customHeight="1">
      <c r="A464" s="17"/>
      <c r="B464" s="17"/>
      <c r="C464" s="17"/>
      <c r="E464" s="17"/>
      <c r="F464" s="17"/>
      <c r="H464" s="17"/>
    </row>
    <row r="465" ht="15.75" customHeight="1">
      <c r="A465" s="17"/>
      <c r="B465" s="17"/>
      <c r="C465" s="17"/>
      <c r="E465" s="17"/>
      <c r="F465" s="17"/>
      <c r="H465" s="17"/>
    </row>
    <row r="466" ht="15.75" customHeight="1">
      <c r="A466" s="17"/>
      <c r="B466" s="17"/>
      <c r="C466" s="17"/>
      <c r="E466" s="17"/>
      <c r="F466" s="17"/>
      <c r="H466" s="17"/>
    </row>
    <row r="467" ht="15.75" customHeight="1">
      <c r="A467" s="17"/>
      <c r="B467" s="17"/>
      <c r="C467" s="17"/>
      <c r="E467" s="17"/>
      <c r="F467" s="17"/>
      <c r="H467" s="17"/>
    </row>
    <row r="468" ht="15.75" customHeight="1">
      <c r="A468" s="17"/>
      <c r="B468" s="17"/>
      <c r="C468" s="17"/>
      <c r="E468" s="17"/>
      <c r="F468" s="17"/>
      <c r="H468" s="17"/>
    </row>
    <row r="469" ht="15.75" customHeight="1">
      <c r="A469" s="17"/>
      <c r="B469" s="17"/>
      <c r="C469" s="17"/>
      <c r="E469" s="17"/>
      <c r="F469" s="17"/>
      <c r="H469" s="17"/>
    </row>
    <row r="470" ht="15.75" customHeight="1">
      <c r="A470" s="17"/>
      <c r="B470" s="17"/>
      <c r="C470" s="17"/>
      <c r="E470" s="17"/>
      <c r="F470" s="17"/>
      <c r="H470" s="17"/>
    </row>
    <row r="471" ht="15.75" customHeight="1">
      <c r="A471" s="17"/>
      <c r="B471" s="17"/>
      <c r="C471" s="17"/>
      <c r="E471" s="17"/>
      <c r="F471" s="17"/>
      <c r="H471" s="17"/>
    </row>
    <row r="472" ht="15.75" customHeight="1">
      <c r="A472" s="17"/>
      <c r="B472" s="17"/>
      <c r="C472" s="17"/>
      <c r="E472" s="17"/>
      <c r="F472" s="17"/>
      <c r="H472" s="17"/>
    </row>
    <row r="473" ht="15.75" customHeight="1">
      <c r="A473" s="17"/>
      <c r="B473" s="17"/>
      <c r="C473" s="17"/>
      <c r="E473" s="17"/>
      <c r="F473" s="17"/>
      <c r="H473" s="17"/>
    </row>
    <row r="474" ht="15.75" customHeight="1">
      <c r="A474" s="17"/>
      <c r="B474" s="17"/>
      <c r="C474" s="17"/>
      <c r="E474" s="17"/>
      <c r="F474" s="17"/>
      <c r="H474" s="17"/>
    </row>
    <row r="475" ht="15.75" customHeight="1">
      <c r="A475" s="17"/>
      <c r="B475" s="17"/>
      <c r="C475" s="17"/>
      <c r="E475" s="17"/>
      <c r="F475" s="17"/>
      <c r="H475" s="17"/>
    </row>
    <row r="476" ht="15.75" customHeight="1">
      <c r="A476" s="17"/>
      <c r="B476" s="17"/>
      <c r="C476" s="17"/>
      <c r="E476" s="17"/>
      <c r="F476" s="17"/>
      <c r="H476" s="17"/>
    </row>
    <row r="477" ht="15.75" customHeight="1">
      <c r="A477" s="17"/>
      <c r="B477" s="17"/>
      <c r="C477" s="17"/>
      <c r="E477" s="17"/>
      <c r="F477" s="17"/>
      <c r="H477" s="17"/>
    </row>
    <row r="478" ht="15.75" customHeight="1">
      <c r="A478" s="17"/>
      <c r="B478" s="17"/>
      <c r="C478" s="17"/>
      <c r="E478" s="17"/>
      <c r="F478" s="17"/>
      <c r="H478" s="17"/>
    </row>
    <row r="479" ht="15.75" customHeight="1">
      <c r="A479" s="17"/>
      <c r="B479" s="17"/>
      <c r="C479" s="17"/>
      <c r="E479" s="17"/>
      <c r="F479" s="17"/>
      <c r="H479" s="17"/>
    </row>
    <row r="480" ht="15.75" customHeight="1">
      <c r="A480" s="17"/>
      <c r="B480" s="17"/>
      <c r="C480" s="17"/>
      <c r="E480" s="17"/>
      <c r="F480" s="17"/>
      <c r="H480" s="17"/>
    </row>
    <row r="481" ht="15.75" customHeight="1">
      <c r="A481" s="17"/>
      <c r="B481" s="17"/>
      <c r="C481" s="17"/>
      <c r="E481" s="17"/>
      <c r="F481" s="17"/>
      <c r="H481" s="17"/>
    </row>
    <row r="482" ht="15.75" customHeight="1">
      <c r="A482" s="17"/>
      <c r="B482" s="17"/>
      <c r="C482" s="17"/>
      <c r="E482" s="17"/>
      <c r="F482" s="17"/>
      <c r="H482" s="17"/>
    </row>
    <row r="483" ht="15.75" customHeight="1">
      <c r="A483" s="17"/>
      <c r="B483" s="17"/>
      <c r="C483" s="17"/>
      <c r="E483" s="17"/>
      <c r="F483" s="17"/>
      <c r="H483" s="17"/>
    </row>
    <row r="484" ht="15.75" customHeight="1">
      <c r="A484" s="17"/>
      <c r="B484" s="17"/>
      <c r="C484" s="17"/>
      <c r="E484" s="17"/>
      <c r="F484" s="17"/>
      <c r="H484" s="17"/>
    </row>
    <row r="485" ht="15.75" customHeight="1">
      <c r="A485" s="17"/>
      <c r="B485" s="17"/>
      <c r="C485" s="17"/>
      <c r="E485" s="17"/>
      <c r="F485" s="17"/>
      <c r="H485" s="17"/>
    </row>
    <row r="486" ht="15.75" customHeight="1">
      <c r="A486" s="17"/>
      <c r="B486" s="17"/>
      <c r="C486" s="17"/>
      <c r="E486" s="17"/>
      <c r="F486" s="17"/>
      <c r="H486" s="17"/>
    </row>
    <row r="487" ht="15.75" customHeight="1">
      <c r="A487" s="17"/>
      <c r="B487" s="17"/>
      <c r="C487" s="17"/>
      <c r="E487" s="17"/>
      <c r="F487" s="17"/>
      <c r="H487" s="17"/>
    </row>
    <row r="488" ht="15.75" customHeight="1">
      <c r="A488" s="17"/>
      <c r="B488" s="17"/>
      <c r="C488" s="17"/>
      <c r="E488" s="17"/>
      <c r="F488" s="17"/>
      <c r="H488" s="17"/>
    </row>
    <row r="489" ht="15.75" customHeight="1">
      <c r="A489" s="17"/>
      <c r="B489" s="17"/>
      <c r="C489" s="17"/>
      <c r="E489" s="17"/>
      <c r="F489" s="17"/>
      <c r="H489" s="17"/>
    </row>
    <row r="490" ht="15.75" customHeight="1">
      <c r="A490" s="17"/>
      <c r="B490" s="17"/>
      <c r="C490" s="17"/>
      <c r="E490" s="17"/>
      <c r="F490" s="17"/>
      <c r="H490" s="17"/>
    </row>
    <row r="491" ht="15.75" customHeight="1">
      <c r="A491" s="17"/>
      <c r="B491" s="17"/>
      <c r="C491" s="17"/>
      <c r="E491" s="17"/>
      <c r="F491" s="17"/>
      <c r="H491" s="17"/>
    </row>
    <row r="492" ht="15.75" customHeight="1">
      <c r="A492" s="17"/>
      <c r="B492" s="17"/>
      <c r="C492" s="17"/>
      <c r="E492" s="17"/>
      <c r="F492" s="17"/>
      <c r="H492" s="17"/>
    </row>
    <row r="493" ht="15.75" customHeight="1">
      <c r="A493" s="17"/>
      <c r="B493" s="17"/>
      <c r="C493" s="17"/>
      <c r="E493" s="17"/>
      <c r="F493" s="17"/>
      <c r="H493" s="17"/>
    </row>
    <row r="494" ht="15.75" customHeight="1">
      <c r="A494" s="17"/>
      <c r="B494" s="17"/>
      <c r="C494" s="17"/>
      <c r="E494" s="17"/>
      <c r="F494" s="17"/>
      <c r="H494" s="17"/>
    </row>
    <row r="495" ht="15.75" customHeight="1">
      <c r="A495" s="17"/>
      <c r="B495" s="17"/>
      <c r="C495" s="17"/>
      <c r="E495" s="17"/>
      <c r="F495" s="17"/>
      <c r="H495" s="17"/>
    </row>
    <row r="496" ht="15.75" customHeight="1">
      <c r="A496" s="17"/>
      <c r="B496" s="17"/>
      <c r="C496" s="17"/>
      <c r="E496" s="17"/>
      <c r="F496" s="17"/>
      <c r="H496" s="17"/>
    </row>
    <row r="497" ht="15.75" customHeight="1">
      <c r="A497" s="17"/>
      <c r="B497" s="17"/>
      <c r="C497" s="17"/>
      <c r="E497" s="17"/>
      <c r="F497" s="17"/>
      <c r="H497" s="17"/>
    </row>
    <row r="498" ht="15.75" customHeight="1">
      <c r="A498" s="17"/>
      <c r="B498" s="17"/>
      <c r="C498" s="17"/>
      <c r="E498" s="17"/>
      <c r="F498" s="17"/>
      <c r="H498" s="17"/>
    </row>
    <row r="499" ht="15.75" customHeight="1">
      <c r="A499" s="17"/>
      <c r="B499" s="17"/>
      <c r="C499" s="17"/>
      <c r="E499" s="17"/>
      <c r="F499" s="17"/>
      <c r="H499" s="17"/>
    </row>
    <row r="500" ht="15.75" customHeight="1">
      <c r="A500" s="17"/>
      <c r="B500" s="17"/>
      <c r="C500" s="17"/>
      <c r="E500" s="17"/>
      <c r="F500" s="17"/>
      <c r="H500" s="17"/>
    </row>
    <row r="501" ht="15.75" customHeight="1">
      <c r="A501" s="17"/>
      <c r="B501" s="17"/>
      <c r="C501" s="17"/>
      <c r="E501" s="17"/>
      <c r="F501" s="17"/>
      <c r="H501" s="17"/>
    </row>
    <row r="502" ht="15.75" customHeight="1">
      <c r="A502" s="17"/>
      <c r="B502" s="17"/>
      <c r="C502" s="17"/>
      <c r="E502" s="17"/>
      <c r="F502" s="17"/>
      <c r="H502" s="17"/>
    </row>
    <row r="503" ht="15.75" customHeight="1">
      <c r="A503" s="17"/>
      <c r="B503" s="17"/>
      <c r="C503" s="17"/>
      <c r="E503" s="17"/>
      <c r="F503" s="17"/>
      <c r="H503" s="17"/>
    </row>
    <row r="504" ht="15.75" customHeight="1">
      <c r="A504" s="17"/>
      <c r="B504" s="17"/>
      <c r="C504" s="17"/>
      <c r="E504" s="17"/>
      <c r="F504" s="17"/>
      <c r="H504" s="17"/>
    </row>
    <row r="505" ht="15.75" customHeight="1">
      <c r="A505" s="17"/>
      <c r="B505" s="17"/>
      <c r="C505" s="17"/>
      <c r="E505" s="17"/>
      <c r="F505" s="17"/>
      <c r="H505" s="17"/>
    </row>
    <row r="506" ht="15.75" customHeight="1">
      <c r="A506" s="17"/>
      <c r="B506" s="17"/>
      <c r="C506" s="17"/>
      <c r="E506" s="17"/>
      <c r="F506" s="17"/>
      <c r="H506" s="17"/>
    </row>
    <row r="507" ht="15.75" customHeight="1">
      <c r="A507" s="17"/>
      <c r="B507" s="17"/>
      <c r="C507" s="17"/>
      <c r="E507" s="17"/>
      <c r="F507" s="17"/>
      <c r="H507" s="17"/>
    </row>
    <row r="508" ht="15.75" customHeight="1">
      <c r="A508" s="17"/>
      <c r="B508" s="17"/>
      <c r="C508" s="17"/>
      <c r="E508" s="17"/>
      <c r="F508" s="17"/>
      <c r="H508" s="17"/>
    </row>
    <row r="509" ht="15.75" customHeight="1">
      <c r="A509" s="17"/>
      <c r="B509" s="17"/>
      <c r="C509" s="17"/>
      <c r="E509" s="17"/>
      <c r="F509" s="17"/>
      <c r="H509" s="17"/>
    </row>
    <row r="510" ht="15.75" customHeight="1">
      <c r="A510" s="17"/>
      <c r="B510" s="17"/>
      <c r="C510" s="17"/>
      <c r="E510" s="17"/>
      <c r="F510" s="17"/>
      <c r="H510" s="17"/>
    </row>
    <row r="511" ht="15.75" customHeight="1">
      <c r="A511" s="17"/>
      <c r="B511" s="17"/>
      <c r="C511" s="17"/>
      <c r="E511" s="17"/>
      <c r="F511" s="17"/>
      <c r="H511" s="17"/>
    </row>
    <row r="512" ht="15.75" customHeight="1">
      <c r="A512" s="17"/>
      <c r="B512" s="17"/>
      <c r="C512" s="17"/>
      <c r="E512" s="17"/>
      <c r="F512" s="17"/>
      <c r="H512" s="17"/>
    </row>
    <row r="513" ht="15.75" customHeight="1">
      <c r="A513" s="17"/>
      <c r="B513" s="17"/>
      <c r="C513" s="17"/>
      <c r="E513" s="17"/>
      <c r="F513" s="17"/>
      <c r="H513" s="17"/>
    </row>
    <row r="514" ht="15.75" customHeight="1">
      <c r="A514" s="17"/>
      <c r="B514" s="17"/>
      <c r="C514" s="17"/>
      <c r="E514" s="17"/>
      <c r="F514" s="17"/>
      <c r="H514" s="17"/>
    </row>
    <row r="515" ht="15.75" customHeight="1">
      <c r="A515" s="17"/>
      <c r="B515" s="17"/>
      <c r="C515" s="17"/>
      <c r="E515" s="17"/>
      <c r="F515" s="17"/>
      <c r="H515" s="17"/>
    </row>
    <row r="516" ht="15.75" customHeight="1">
      <c r="A516" s="17"/>
      <c r="B516" s="17"/>
      <c r="C516" s="17"/>
      <c r="E516" s="17"/>
      <c r="F516" s="17"/>
      <c r="H516" s="17"/>
    </row>
    <row r="517" ht="15.75" customHeight="1">
      <c r="A517" s="17"/>
      <c r="B517" s="17"/>
      <c r="C517" s="17"/>
      <c r="E517" s="17"/>
      <c r="F517" s="17"/>
      <c r="H517" s="17"/>
    </row>
    <row r="518" ht="15.75" customHeight="1">
      <c r="A518" s="17"/>
      <c r="B518" s="17"/>
      <c r="C518" s="17"/>
      <c r="E518" s="17"/>
      <c r="F518" s="17"/>
      <c r="H518" s="17"/>
    </row>
    <row r="519" ht="15.75" customHeight="1">
      <c r="A519" s="17"/>
      <c r="B519" s="17"/>
      <c r="C519" s="17"/>
      <c r="E519" s="17"/>
      <c r="F519" s="17"/>
      <c r="H519" s="17"/>
    </row>
    <row r="520" ht="15.75" customHeight="1">
      <c r="A520" s="17"/>
      <c r="B520" s="17"/>
      <c r="C520" s="17"/>
      <c r="E520" s="17"/>
      <c r="F520" s="17"/>
      <c r="H520" s="17"/>
    </row>
    <row r="521" ht="15.75" customHeight="1">
      <c r="A521" s="17"/>
      <c r="B521" s="17"/>
      <c r="C521" s="17"/>
      <c r="E521" s="17"/>
      <c r="F521" s="17"/>
      <c r="H521" s="17"/>
    </row>
    <row r="522" ht="15.75" customHeight="1">
      <c r="A522" s="17"/>
      <c r="B522" s="17"/>
      <c r="C522" s="17"/>
      <c r="E522" s="17"/>
      <c r="F522" s="17"/>
      <c r="H522" s="17"/>
    </row>
    <row r="523" ht="15.75" customHeight="1">
      <c r="A523" s="17"/>
      <c r="B523" s="17"/>
      <c r="C523" s="17"/>
      <c r="E523" s="17"/>
      <c r="F523" s="17"/>
      <c r="H523" s="17"/>
    </row>
    <row r="524" ht="15.75" customHeight="1">
      <c r="A524" s="17"/>
      <c r="B524" s="17"/>
      <c r="C524" s="17"/>
      <c r="E524" s="17"/>
      <c r="F524" s="17"/>
      <c r="H524" s="17"/>
    </row>
    <row r="525" ht="15.75" customHeight="1">
      <c r="A525" s="17"/>
      <c r="B525" s="17"/>
      <c r="C525" s="17"/>
      <c r="E525" s="17"/>
      <c r="F525" s="17"/>
      <c r="H525" s="17"/>
    </row>
    <row r="526" ht="15.75" customHeight="1">
      <c r="A526" s="17"/>
      <c r="B526" s="17"/>
      <c r="C526" s="17"/>
      <c r="E526" s="17"/>
      <c r="F526" s="17"/>
      <c r="H526" s="17"/>
    </row>
    <row r="527" ht="15.75" customHeight="1">
      <c r="A527" s="17"/>
      <c r="B527" s="17"/>
      <c r="C527" s="17"/>
      <c r="E527" s="17"/>
      <c r="F527" s="17"/>
      <c r="H527" s="17"/>
    </row>
    <row r="528" ht="15.75" customHeight="1">
      <c r="A528" s="17"/>
      <c r="B528" s="17"/>
      <c r="C528" s="17"/>
      <c r="E528" s="17"/>
      <c r="F528" s="17"/>
      <c r="H528" s="17"/>
    </row>
    <row r="529" ht="15.75" customHeight="1">
      <c r="A529" s="17"/>
      <c r="B529" s="17"/>
      <c r="C529" s="17"/>
      <c r="E529" s="17"/>
      <c r="F529" s="17"/>
      <c r="H529" s="17"/>
    </row>
    <row r="530" ht="15.75" customHeight="1">
      <c r="A530" s="17"/>
      <c r="B530" s="17"/>
      <c r="C530" s="17"/>
      <c r="E530" s="17"/>
      <c r="F530" s="17"/>
      <c r="H530" s="17"/>
    </row>
    <row r="531" ht="15.75" customHeight="1">
      <c r="A531" s="17"/>
      <c r="B531" s="17"/>
      <c r="C531" s="17"/>
      <c r="E531" s="17"/>
      <c r="F531" s="17"/>
      <c r="H531" s="17"/>
    </row>
    <row r="532" ht="15.75" customHeight="1">
      <c r="A532" s="17"/>
      <c r="B532" s="17"/>
      <c r="C532" s="17"/>
      <c r="E532" s="17"/>
      <c r="F532" s="17"/>
      <c r="H532" s="17"/>
    </row>
    <row r="533" ht="15.75" customHeight="1">
      <c r="A533" s="17"/>
      <c r="B533" s="17"/>
      <c r="C533" s="17"/>
      <c r="E533" s="17"/>
      <c r="F533" s="17"/>
      <c r="H533" s="17"/>
    </row>
    <row r="534" ht="15.75" customHeight="1">
      <c r="A534" s="17"/>
      <c r="B534" s="17"/>
      <c r="C534" s="17"/>
      <c r="E534" s="17"/>
      <c r="F534" s="17"/>
      <c r="H534" s="17"/>
    </row>
    <row r="535" ht="15.75" customHeight="1">
      <c r="A535" s="17"/>
      <c r="B535" s="17"/>
      <c r="C535" s="17"/>
      <c r="E535" s="17"/>
      <c r="F535" s="17"/>
      <c r="H535" s="17"/>
    </row>
    <row r="536" ht="15.75" customHeight="1">
      <c r="A536" s="17"/>
      <c r="B536" s="17"/>
      <c r="C536" s="17"/>
      <c r="E536" s="17"/>
      <c r="F536" s="17"/>
      <c r="H536" s="17"/>
    </row>
    <row r="537" ht="15.75" customHeight="1">
      <c r="A537" s="17"/>
      <c r="B537" s="17"/>
      <c r="C537" s="17"/>
      <c r="E537" s="17"/>
      <c r="F537" s="17"/>
      <c r="H537" s="17"/>
    </row>
    <row r="538" ht="15.75" customHeight="1">
      <c r="A538" s="17"/>
      <c r="B538" s="17"/>
      <c r="C538" s="17"/>
      <c r="E538" s="17"/>
      <c r="F538" s="17"/>
      <c r="H538" s="17"/>
    </row>
    <row r="539" ht="15.75" customHeight="1">
      <c r="A539" s="17"/>
      <c r="B539" s="17"/>
      <c r="C539" s="17"/>
      <c r="E539" s="17"/>
      <c r="F539" s="17"/>
      <c r="H539" s="17"/>
    </row>
    <row r="540" ht="15.75" customHeight="1">
      <c r="A540" s="17"/>
      <c r="B540" s="17"/>
      <c r="C540" s="17"/>
      <c r="E540" s="17"/>
      <c r="F540" s="17"/>
      <c r="H540" s="17"/>
    </row>
    <row r="541" ht="15.75" customHeight="1">
      <c r="A541" s="17"/>
      <c r="B541" s="17"/>
      <c r="C541" s="17"/>
      <c r="E541" s="17"/>
      <c r="F541" s="17"/>
      <c r="H541" s="17"/>
    </row>
    <row r="542" ht="15.75" customHeight="1">
      <c r="A542" s="17"/>
      <c r="B542" s="17"/>
      <c r="C542" s="17"/>
      <c r="E542" s="17"/>
      <c r="F542" s="17"/>
      <c r="H542" s="17"/>
    </row>
    <row r="543" ht="15.75" customHeight="1">
      <c r="A543" s="17"/>
      <c r="B543" s="17"/>
      <c r="C543" s="17"/>
      <c r="E543" s="17"/>
      <c r="F543" s="17"/>
      <c r="H543" s="17"/>
    </row>
    <row r="544" ht="15.75" customHeight="1">
      <c r="A544" s="17"/>
      <c r="B544" s="17"/>
      <c r="C544" s="17"/>
      <c r="E544" s="17"/>
      <c r="F544" s="17"/>
      <c r="H544" s="17"/>
    </row>
    <row r="545" ht="15.75" customHeight="1">
      <c r="A545" s="17"/>
      <c r="B545" s="17"/>
      <c r="C545" s="17"/>
      <c r="E545" s="17"/>
      <c r="F545" s="17"/>
      <c r="H545" s="17"/>
    </row>
    <row r="546" ht="15.75" customHeight="1">
      <c r="A546" s="17"/>
      <c r="B546" s="17"/>
      <c r="C546" s="17"/>
      <c r="E546" s="17"/>
      <c r="F546" s="17"/>
      <c r="H546" s="17"/>
    </row>
    <row r="547" ht="15.75" customHeight="1">
      <c r="A547" s="17"/>
      <c r="B547" s="17"/>
      <c r="C547" s="17"/>
      <c r="E547" s="17"/>
      <c r="F547" s="17"/>
      <c r="H547" s="17"/>
    </row>
    <row r="548" ht="15.75" customHeight="1">
      <c r="A548" s="17"/>
      <c r="B548" s="17"/>
      <c r="C548" s="17"/>
      <c r="E548" s="17"/>
      <c r="F548" s="17"/>
      <c r="H548" s="17"/>
    </row>
    <row r="549" ht="15.75" customHeight="1">
      <c r="A549" s="17"/>
      <c r="B549" s="17"/>
      <c r="C549" s="17"/>
      <c r="E549" s="17"/>
      <c r="F549" s="17"/>
      <c r="H549" s="17"/>
    </row>
    <row r="550" ht="15.75" customHeight="1">
      <c r="A550" s="17"/>
      <c r="B550" s="17"/>
      <c r="C550" s="17"/>
      <c r="E550" s="17"/>
      <c r="F550" s="17"/>
      <c r="H550" s="17"/>
    </row>
    <row r="551" ht="15.75" customHeight="1">
      <c r="A551" s="17"/>
      <c r="B551" s="17"/>
      <c r="C551" s="17"/>
      <c r="E551" s="17"/>
      <c r="F551" s="17"/>
      <c r="H551" s="17"/>
    </row>
    <row r="552" ht="15.75" customHeight="1">
      <c r="A552" s="17"/>
      <c r="B552" s="17"/>
      <c r="C552" s="17"/>
      <c r="E552" s="17"/>
      <c r="F552" s="17"/>
      <c r="H552" s="17"/>
    </row>
    <row r="553" ht="15.75" customHeight="1">
      <c r="A553" s="17"/>
      <c r="B553" s="17"/>
      <c r="C553" s="17"/>
      <c r="E553" s="17"/>
      <c r="F553" s="17"/>
      <c r="H553" s="17"/>
    </row>
    <row r="554" ht="15.75" customHeight="1">
      <c r="A554" s="17"/>
      <c r="B554" s="17"/>
      <c r="C554" s="17"/>
      <c r="E554" s="17"/>
      <c r="F554" s="17"/>
      <c r="H554" s="17"/>
    </row>
    <row r="555" ht="15.75" customHeight="1">
      <c r="A555" s="17"/>
      <c r="B555" s="17"/>
      <c r="C555" s="17"/>
      <c r="E555" s="17"/>
      <c r="F555" s="17"/>
      <c r="H555" s="17"/>
    </row>
    <row r="556" ht="15.75" customHeight="1">
      <c r="A556" s="17"/>
      <c r="B556" s="17"/>
      <c r="C556" s="17"/>
      <c r="E556" s="17"/>
      <c r="F556" s="17"/>
      <c r="H556" s="17"/>
    </row>
    <row r="557" ht="15.75" customHeight="1">
      <c r="A557" s="17"/>
      <c r="B557" s="17"/>
      <c r="C557" s="17"/>
      <c r="E557" s="17"/>
      <c r="F557" s="17"/>
      <c r="H557" s="17"/>
    </row>
    <row r="558" ht="15.75" customHeight="1">
      <c r="A558" s="17"/>
      <c r="B558" s="17"/>
      <c r="C558" s="17"/>
      <c r="E558" s="17"/>
      <c r="F558" s="17"/>
      <c r="H558" s="17"/>
    </row>
    <row r="559" ht="15.75" customHeight="1">
      <c r="A559" s="17"/>
      <c r="B559" s="17"/>
      <c r="C559" s="17"/>
      <c r="E559" s="17"/>
      <c r="F559" s="17"/>
      <c r="H559" s="17"/>
    </row>
    <row r="560" ht="15.75" customHeight="1">
      <c r="A560" s="17"/>
      <c r="B560" s="17"/>
      <c r="C560" s="17"/>
      <c r="E560" s="17"/>
      <c r="F560" s="17"/>
      <c r="H560" s="17"/>
    </row>
    <row r="561" ht="15.75" customHeight="1">
      <c r="A561" s="17"/>
      <c r="B561" s="17"/>
      <c r="C561" s="17"/>
      <c r="E561" s="17"/>
      <c r="F561" s="17"/>
      <c r="H561" s="17"/>
    </row>
    <row r="562" ht="15.75" customHeight="1">
      <c r="A562" s="17"/>
      <c r="B562" s="17"/>
      <c r="C562" s="17"/>
      <c r="E562" s="17"/>
      <c r="F562" s="17"/>
      <c r="H562" s="17"/>
    </row>
    <row r="563" ht="15.75" customHeight="1">
      <c r="A563" s="17"/>
      <c r="B563" s="17"/>
      <c r="C563" s="17"/>
      <c r="E563" s="17"/>
      <c r="F563" s="17"/>
      <c r="H563" s="17"/>
    </row>
    <row r="564" ht="15.75" customHeight="1">
      <c r="A564" s="17"/>
      <c r="B564" s="17"/>
      <c r="C564" s="17"/>
      <c r="E564" s="17"/>
      <c r="F564" s="17"/>
      <c r="H564" s="17"/>
    </row>
    <row r="565" ht="15.75" customHeight="1">
      <c r="A565" s="17"/>
      <c r="B565" s="17"/>
      <c r="C565" s="17"/>
      <c r="E565" s="17"/>
      <c r="F565" s="17"/>
      <c r="H565" s="17"/>
    </row>
    <row r="566" ht="15.75" customHeight="1">
      <c r="A566" s="17"/>
      <c r="B566" s="17"/>
      <c r="C566" s="17"/>
      <c r="E566" s="17"/>
      <c r="F566" s="17"/>
      <c r="H566" s="17"/>
    </row>
    <row r="567" ht="15.75" customHeight="1">
      <c r="A567" s="17"/>
      <c r="B567" s="17"/>
      <c r="C567" s="17"/>
      <c r="E567" s="17"/>
      <c r="F567" s="17"/>
      <c r="H567" s="17"/>
    </row>
    <row r="568" ht="15.75" customHeight="1">
      <c r="A568" s="17"/>
      <c r="B568" s="17"/>
      <c r="C568" s="17"/>
      <c r="E568" s="17"/>
      <c r="F568" s="17"/>
      <c r="H568" s="17"/>
    </row>
    <row r="569" ht="15.75" customHeight="1">
      <c r="A569" s="17"/>
      <c r="B569" s="17"/>
      <c r="C569" s="17"/>
      <c r="E569" s="17"/>
      <c r="F569" s="17"/>
      <c r="H569" s="17"/>
    </row>
    <row r="570" ht="15.75" customHeight="1">
      <c r="A570" s="17"/>
      <c r="B570" s="17"/>
      <c r="C570" s="17"/>
      <c r="E570" s="17"/>
      <c r="F570" s="17"/>
      <c r="H570" s="17"/>
    </row>
    <row r="571" ht="15.75" customHeight="1">
      <c r="A571" s="17"/>
      <c r="B571" s="17"/>
      <c r="C571" s="17"/>
      <c r="E571" s="17"/>
      <c r="F571" s="17"/>
      <c r="H571" s="17"/>
    </row>
    <row r="572" ht="15.75" customHeight="1">
      <c r="A572" s="17"/>
      <c r="B572" s="17"/>
      <c r="C572" s="17"/>
      <c r="E572" s="17"/>
      <c r="F572" s="17"/>
      <c r="H572" s="17"/>
    </row>
    <row r="573" ht="15.75" customHeight="1">
      <c r="A573" s="17"/>
      <c r="B573" s="17"/>
      <c r="C573" s="17"/>
      <c r="E573" s="17"/>
      <c r="F573" s="17"/>
      <c r="H573" s="17"/>
    </row>
    <row r="574" ht="15.75" customHeight="1">
      <c r="A574" s="17"/>
      <c r="B574" s="17"/>
      <c r="C574" s="17"/>
      <c r="E574" s="17"/>
      <c r="F574" s="17"/>
      <c r="H574" s="17"/>
    </row>
    <row r="575" ht="15.75" customHeight="1">
      <c r="A575" s="17"/>
      <c r="B575" s="17"/>
      <c r="C575" s="17"/>
      <c r="E575" s="17"/>
      <c r="F575" s="17"/>
      <c r="H575" s="17"/>
    </row>
    <row r="576" ht="15.75" customHeight="1">
      <c r="A576" s="17"/>
      <c r="B576" s="17"/>
      <c r="C576" s="17"/>
      <c r="E576" s="17"/>
      <c r="F576" s="17"/>
      <c r="H576" s="17"/>
    </row>
    <row r="577" ht="15.75" customHeight="1">
      <c r="A577" s="17"/>
      <c r="B577" s="17"/>
      <c r="C577" s="17"/>
      <c r="E577" s="17"/>
      <c r="F577" s="17"/>
      <c r="H577" s="17"/>
    </row>
    <row r="578" ht="15.75" customHeight="1">
      <c r="A578" s="17"/>
      <c r="B578" s="17"/>
      <c r="C578" s="17"/>
      <c r="E578" s="17"/>
      <c r="F578" s="17"/>
      <c r="H578" s="17"/>
    </row>
    <row r="579" ht="15.75" customHeight="1">
      <c r="A579" s="17"/>
      <c r="B579" s="17"/>
      <c r="C579" s="17"/>
      <c r="E579" s="17"/>
      <c r="F579" s="17"/>
      <c r="H579" s="17"/>
    </row>
    <row r="580" ht="15.75" customHeight="1">
      <c r="A580" s="17"/>
      <c r="B580" s="17"/>
      <c r="C580" s="17"/>
      <c r="E580" s="17"/>
      <c r="F580" s="17"/>
      <c r="H580" s="17"/>
    </row>
    <row r="581" ht="15.75" customHeight="1">
      <c r="A581" s="17"/>
      <c r="B581" s="17"/>
      <c r="C581" s="17"/>
      <c r="E581" s="17"/>
      <c r="F581" s="17"/>
      <c r="H581" s="17"/>
    </row>
    <row r="582" ht="15.75" customHeight="1">
      <c r="A582" s="17"/>
      <c r="B582" s="17"/>
      <c r="C582" s="17"/>
      <c r="E582" s="17"/>
      <c r="F582" s="17"/>
      <c r="H582" s="17"/>
    </row>
    <row r="583" ht="15.75" customHeight="1">
      <c r="A583" s="17"/>
      <c r="B583" s="17"/>
      <c r="C583" s="17"/>
      <c r="E583" s="17"/>
      <c r="F583" s="17"/>
      <c r="H583" s="17"/>
    </row>
    <row r="584" ht="15.75" customHeight="1">
      <c r="A584" s="17"/>
      <c r="B584" s="17"/>
      <c r="C584" s="17"/>
      <c r="E584" s="17"/>
      <c r="F584" s="17"/>
      <c r="H584" s="17"/>
    </row>
    <row r="585" ht="15.75" customHeight="1">
      <c r="A585" s="17"/>
      <c r="B585" s="17"/>
      <c r="C585" s="17"/>
      <c r="E585" s="17"/>
      <c r="F585" s="17"/>
      <c r="H585" s="17"/>
    </row>
    <row r="586" ht="15.75" customHeight="1">
      <c r="A586" s="17"/>
      <c r="B586" s="17"/>
      <c r="C586" s="17"/>
      <c r="E586" s="17"/>
      <c r="F586" s="17"/>
      <c r="H586" s="17"/>
    </row>
    <row r="587" ht="15.75" customHeight="1">
      <c r="A587" s="17"/>
      <c r="B587" s="17"/>
      <c r="C587" s="17"/>
      <c r="E587" s="17"/>
      <c r="F587" s="17"/>
      <c r="H587" s="17"/>
    </row>
    <row r="588" ht="15.75" customHeight="1">
      <c r="A588" s="17"/>
      <c r="B588" s="17"/>
      <c r="C588" s="17"/>
      <c r="E588" s="17"/>
      <c r="F588" s="17"/>
      <c r="H588" s="17"/>
    </row>
    <row r="589" ht="15.75" customHeight="1">
      <c r="A589" s="17"/>
      <c r="B589" s="17"/>
      <c r="C589" s="17"/>
      <c r="E589" s="17"/>
      <c r="F589" s="17"/>
      <c r="H589" s="17"/>
    </row>
    <row r="590" ht="15.75" customHeight="1">
      <c r="A590" s="17"/>
      <c r="B590" s="17"/>
      <c r="C590" s="17"/>
      <c r="E590" s="17"/>
      <c r="F590" s="17"/>
      <c r="H590" s="17"/>
    </row>
    <row r="591" ht="15.75" customHeight="1">
      <c r="A591" s="17"/>
      <c r="B591" s="17"/>
      <c r="C591" s="17"/>
      <c r="E591" s="17"/>
      <c r="F591" s="17"/>
      <c r="H591" s="17"/>
    </row>
    <row r="592" ht="15.75" customHeight="1">
      <c r="A592" s="17"/>
      <c r="B592" s="17"/>
      <c r="C592" s="17"/>
      <c r="E592" s="17"/>
      <c r="F592" s="17"/>
      <c r="H592" s="17"/>
    </row>
    <row r="593" ht="15.75" customHeight="1">
      <c r="A593" s="17"/>
      <c r="B593" s="17"/>
      <c r="C593" s="17"/>
      <c r="E593" s="17"/>
      <c r="F593" s="17"/>
      <c r="H593" s="17"/>
    </row>
    <row r="594" ht="15.75" customHeight="1">
      <c r="A594" s="17"/>
      <c r="B594" s="17"/>
      <c r="C594" s="17"/>
      <c r="E594" s="17"/>
      <c r="F594" s="17"/>
      <c r="H594" s="17"/>
    </row>
    <row r="595" ht="15.75" customHeight="1">
      <c r="A595" s="17"/>
      <c r="B595" s="17"/>
      <c r="C595" s="17"/>
      <c r="E595" s="17"/>
      <c r="F595" s="17"/>
      <c r="H595" s="17"/>
    </row>
    <row r="596" ht="15.75" customHeight="1">
      <c r="A596" s="17"/>
      <c r="B596" s="17"/>
      <c r="C596" s="17"/>
      <c r="E596" s="17"/>
      <c r="F596" s="17"/>
      <c r="H596" s="17"/>
    </row>
    <row r="597" ht="15.75" customHeight="1">
      <c r="A597" s="17"/>
      <c r="B597" s="17"/>
      <c r="C597" s="17"/>
      <c r="E597" s="17"/>
      <c r="F597" s="17"/>
      <c r="H597" s="17"/>
    </row>
    <row r="598" ht="15.75" customHeight="1">
      <c r="A598" s="17"/>
      <c r="B598" s="17"/>
      <c r="C598" s="17"/>
      <c r="E598" s="17"/>
      <c r="F598" s="17"/>
      <c r="H598" s="17"/>
    </row>
    <row r="599" ht="15.75" customHeight="1">
      <c r="A599" s="17"/>
      <c r="B599" s="17"/>
      <c r="C599" s="17"/>
      <c r="E599" s="17"/>
      <c r="F599" s="17"/>
      <c r="H599" s="17"/>
    </row>
    <row r="600" ht="15.75" customHeight="1">
      <c r="A600" s="17"/>
      <c r="B600" s="17"/>
      <c r="C600" s="17"/>
      <c r="E600" s="17"/>
      <c r="F600" s="17"/>
      <c r="H600" s="17"/>
    </row>
    <row r="601" ht="15.75" customHeight="1">
      <c r="A601" s="17"/>
      <c r="B601" s="17"/>
      <c r="C601" s="17"/>
      <c r="E601" s="17"/>
      <c r="F601" s="17"/>
      <c r="H601" s="17"/>
    </row>
    <row r="602" ht="15.75" customHeight="1">
      <c r="A602" s="17"/>
      <c r="B602" s="17"/>
      <c r="C602" s="17"/>
      <c r="E602" s="17"/>
      <c r="F602" s="17"/>
      <c r="H602" s="17"/>
    </row>
    <row r="603" ht="15.75" customHeight="1">
      <c r="A603" s="17"/>
      <c r="B603" s="17"/>
      <c r="C603" s="17"/>
      <c r="E603" s="17"/>
      <c r="F603" s="17"/>
      <c r="H603" s="17"/>
    </row>
    <row r="604" ht="15.75" customHeight="1">
      <c r="A604" s="17"/>
      <c r="B604" s="17"/>
      <c r="C604" s="17"/>
      <c r="E604" s="17"/>
      <c r="F604" s="17"/>
      <c r="H604" s="17"/>
    </row>
    <row r="605" ht="15.75" customHeight="1">
      <c r="A605" s="17"/>
      <c r="B605" s="17"/>
      <c r="C605" s="17"/>
      <c r="E605" s="17"/>
      <c r="F605" s="17"/>
      <c r="H605" s="17"/>
    </row>
    <row r="606" ht="15.75" customHeight="1">
      <c r="A606" s="17"/>
      <c r="B606" s="17"/>
      <c r="C606" s="17"/>
      <c r="E606" s="17"/>
      <c r="F606" s="17"/>
      <c r="H606" s="17"/>
    </row>
    <row r="607" ht="15.75" customHeight="1">
      <c r="A607" s="17"/>
      <c r="B607" s="17"/>
      <c r="C607" s="17"/>
      <c r="E607" s="17"/>
      <c r="F607" s="17"/>
      <c r="H607" s="17"/>
    </row>
    <row r="608" ht="15.75" customHeight="1">
      <c r="A608" s="17"/>
      <c r="B608" s="17"/>
      <c r="C608" s="17"/>
      <c r="E608" s="17"/>
      <c r="F608" s="17"/>
      <c r="H608" s="17"/>
    </row>
    <row r="609" ht="15.75" customHeight="1">
      <c r="A609" s="17"/>
      <c r="B609" s="17"/>
      <c r="C609" s="17"/>
      <c r="E609" s="17"/>
      <c r="F609" s="17"/>
      <c r="H609" s="17"/>
    </row>
    <row r="610" ht="15.75" customHeight="1">
      <c r="A610" s="17"/>
      <c r="B610" s="17"/>
      <c r="C610" s="17"/>
      <c r="E610" s="17"/>
      <c r="F610" s="17"/>
      <c r="H610" s="17"/>
    </row>
    <row r="611" ht="15.75" customHeight="1">
      <c r="A611" s="17"/>
      <c r="B611" s="17"/>
      <c r="C611" s="17"/>
      <c r="E611" s="17"/>
      <c r="F611" s="17"/>
      <c r="H611" s="17"/>
    </row>
    <row r="612" ht="15.75" customHeight="1">
      <c r="A612" s="17"/>
      <c r="B612" s="17"/>
      <c r="C612" s="17"/>
      <c r="E612" s="17"/>
      <c r="F612" s="17"/>
      <c r="H612" s="17"/>
    </row>
    <row r="613" ht="15.75" customHeight="1">
      <c r="A613" s="17"/>
      <c r="B613" s="17"/>
      <c r="C613" s="17"/>
      <c r="E613" s="17"/>
      <c r="F613" s="17"/>
      <c r="H613" s="17"/>
    </row>
    <row r="614" ht="15.75" customHeight="1">
      <c r="A614" s="17"/>
      <c r="B614" s="17"/>
      <c r="C614" s="17"/>
      <c r="E614" s="17"/>
      <c r="F614" s="17"/>
      <c r="H614" s="17"/>
    </row>
    <row r="615" ht="15.75" customHeight="1">
      <c r="A615" s="17"/>
      <c r="B615" s="17"/>
      <c r="C615" s="17"/>
      <c r="E615" s="17"/>
      <c r="F615" s="17"/>
      <c r="H615" s="17"/>
    </row>
    <row r="616" ht="15.75" customHeight="1">
      <c r="A616" s="17"/>
      <c r="B616" s="17"/>
      <c r="C616" s="17"/>
      <c r="E616" s="17"/>
      <c r="F616" s="17"/>
      <c r="H616" s="17"/>
    </row>
    <row r="617" ht="15.75" customHeight="1">
      <c r="A617" s="17"/>
      <c r="B617" s="17"/>
      <c r="C617" s="17"/>
      <c r="E617" s="17"/>
      <c r="F617" s="17"/>
      <c r="H617" s="17"/>
    </row>
    <row r="618" ht="15.75" customHeight="1">
      <c r="A618" s="17"/>
      <c r="B618" s="17"/>
      <c r="C618" s="17"/>
      <c r="E618" s="17"/>
      <c r="F618" s="17"/>
      <c r="H618" s="17"/>
    </row>
    <row r="619" ht="15.75" customHeight="1">
      <c r="A619" s="17"/>
      <c r="B619" s="17"/>
      <c r="C619" s="17"/>
      <c r="E619" s="17"/>
      <c r="F619" s="17"/>
      <c r="H619" s="17"/>
    </row>
    <row r="620" ht="15.75" customHeight="1">
      <c r="A620" s="17"/>
      <c r="B620" s="17"/>
      <c r="C620" s="17"/>
      <c r="E620" s="17"/>
      <c r="F620" s="17"/>
      <c r="H620" s="17"/>
    </row>
    <row r="621" ht="15.75" customHeight="1">
      <c r="A621" s="17"/>
      <c r="B621" s="17"/>
      <c r="C621" s="17"/>
      <c r="E621" s="17"/>
      <c r="F621" s="17"/>
      <c r="H621" s="17"/>
    </row>
    <row r="622" ht="15.75" customHeight="1">
      <c r="A622" s="17"/>
      <c r="B622" s="17"/>
      <c r="C622" s="17"/>
      <c r="E622" s="17"/>
      <c r="F622" s="17"/>
      <c r="H622" s="17"/>
    </row>
    <row r="623" ht="15.75" customHeight="1">
      <c r="A623" s="17"/>
      <c r="B623" s="17"/>
      <c r="C623" s="17"/>
      <c r="E623" s="17"/>
      <c r="F623" s="17"/>
      <c r="H623" s="17"/>
    </row>
    <row r="624" ht="15.75" customHeight="1">
      <c r="A624" s="17"/>
      <c r="B624" s="17"/>
      <c r="C624" s="17"/>
      <c r="E624" s="17"/>
      <c r="F624" s="17"/>
      <c r="H624" s="17"/>
    </row>
    <row r="625" ht="15.75" customHeight="1">
      <c r="A625" s="17"/>
      <c r="B625" s="17"/>
      <c r="C625" s="17"/>
      <c r="E625" s="17"/>
      <c r="F625" s="17"/>
      <c r="H625" s="17"/>
    </row>
    <row r="626" ht="15.75" customHeight="1">
      <c r="A626" s="17"/>
      <c r="B626" s="17"/>
      <c r="C626" s="17"/>
      <c r="E626" s="17"/>
      <c r="F626" s="17"/>
      <c r="H626" s="17"/>
    </row>
    <row r="627" ht="15.75" customHeight="1">
      <c r="A627" s="17"/>
      <c r="B627" s="17"/>
      <c r="C627" s="17"/>
      <c r="E627" s="17"/>
      <c r="F627" s="17"/>
      <c r="H627" s="17"/>
    </row>
    <row r="628" ht="15.75" customHeight="1">
      <c r="A628" s="17"/>
      <c r="B628" s="17"/>
      <c r="C628" s="17"/>
      <c r="E628" s="17"/>
      <c r="F628" s="17"/>
      <c r="H628" s="17"/>
    </row>
    <row r="629" ht="15.75" customHeight="1">
      <c r="A629" s="17"/>
      <c r="B629" s="17"/>
      <c r="C629" s="17"/>
      <c r="E629" s="17"/>
      <c r="F629" s="17"/>
      <c r="H629" s="17"/>
    </row>
    <row r="630" ht="15.75" customHeight="1">
      <c r="A630" s="17"/>
      <c r="B630" s="17"/>
      <c r="C630" s="17"/>
      <c r="E630" s="17"/>
      <c r="F630" s="17"/>
      <c r="H630" s="17"/>
    </row>
    <row r="631" ht="15.75" customHeight="1">
      <c r="A631" s="17"/>
      <c r="B631" s="17"/>
      <c r="C631" s="17"/>
      <c r="E631" s="17"/>
      <c r="F631" s="17"/>
      <c r="H631" s="17"/>
    </row>
    <row r="632" ht="15.75" customHeight="1">
      <c r="A632" s="17"/>
      <c r="B632" s="17"/>
      <c r="C632" s="17"/>
      <c r="E632" s="17"/>
      <c r="F632" s="17"/>
      <c r="H632" s="17"/>
    </row>
    <row r="633" ht="15.75" customHeight="1">
      <c r="A633" s="17"/>
      <c r="B633" s="17"/>
      <c r="C633" s="17"/>
      <c r="E633" s="17"/>
      <c r="F633" s="17"/>
      <c r="H633" s="17"/>
    </row>
    <row r="634" ht="15.75" customHeight="1">
      <c r="A634" s="17"/>
      <c r="B634" s="17"/>
      <c r="C634" s="17"/>
      <c r="E634" s="17"/>
      <c r="F634" s="17"/>
      <c r="H634" s="17"/>
    </row>
    <row r="635" ht="15.75" customHeight="1">
      <c r="A635" s="17"/>
      <c r="B635" s="17"/>
      <c r="C635" s="17"/>
      <c r="E635" s="17"/>
      <c r="F635" s="17"/>
      <c r="H635" s="17"/>
    </row>
    <row r="636" ht="15.75" customHeight="1">
      <c r="A636" s="17"/>
      <c r="B636" s="17"/>
      <c r="C636" s="17"/>
      <c r="E636" s="17"/>
      <c r="F636" s="17"/>
      <c r="H636" s="17"/>
    </row>
    <row r="637" ht="15.75" customHeight="1">
      <c r="A637" s="17"/>
      <c r="B637" s="17"/>
      <c r="C637" s="17"/>
      <c r="E637" s="17"/>
      <c r="F637" s="17"/>
      <c r="H637" s="17"/>
    </row>
    <row r="638" ht="15.75" customHeight="1">
      <c r="A638" s="17"/>
      <c r="B638" s="17"/>
      <c r="C638" s="17"/>
      <c r="E638" s="17"/>
      <c r="F638" s="17"/>
      <c r="H638" s="17"/>
    </row>
    <row r="639" ht="15.75" customHeight="1">
      <c r="A639" s="17"/>
      <c r="B639" s="17"/>
      <c r="C639" s="17"/>
      <c r="E639" s="17"/>
      <c r="F639" s="17"/>
      <c r="H639" s="17"/>
    </row>
    <row r="640" ht="15.75" customHeight="1">
      <c r="A640" s="17"/>
      <c r="B640" s="17"/>
      <c r="C640" s="17"/>
      <c r="E640" s="17"/>
      <c r="F640" s="17"/>
      <c r="H640" s="17"/>
    </row>
    <row r="641" ht="15.75" customHeight="1">
      <c r="A641" s="17"/>
      <c r="B641" s="17"/>
      <c r="C641" s="17"/>
      <c r="E641" s="17"/>
      <c r="F641" s="17"/>
      <c r="H641" s="17"/>
    </row>
    <row r="642" ht="15.75" customHeight="1">
      <c r="A642" s="17"/>
      <c r="B642" s="17"/>
      <c r="C642" s="17"/>
      <c r="E642" s="17"/>
      <c r="F642" s="17"/>
      <c r="H642" s="17"/>
    </row>
    <row r="643" ht="15.75" customHeight="1">
      <c r="A643" s="17"/>
      <c r="B643" s="17"/>
      <c r="C643" s="17"/>
      <c r="E643" s="17"/>
      <c r="F643" s="17"/>
      <c r="H643" s="17"/>
    </row>
    <row r="644" ht="15.75" customHeight="1">
      <c r="A644" s="17"/>
      <c r="B644" s="17"/>
      <c r="C644" s="17"/>
      <c r="E644" s="17"/>
      <c r="F644" s="17"/>
      <c r="H644" s="17"/>
    </row>
    <row r="645" ht="15.75" customHeight="1">
      <c r="A645" s="17"/>
      <c r="B645" s="17"/>
      <c r="C645" s="17"/>
      <c r="E645" s="17"/>
      <c r="F645" s="17"/>
      <c r="H645" s="17"/>
    </row>
    <row r="646" ht="15.75" customHeight="1">
      <c r="A646" s="17"/>
      <c r="B646" s="17"/>
      <c r="C646" s="17"/>
      <c r="E646" s="17"/>
      <c r="F646" s="17"/>
      <c r="H646" s="17"/>
    </row>
    <row r="647" ht="15.75" customHeight="1">
      <c r="A647" s="17"/>
      <c r="B647" s="17"/>
      <c r="C647" s="17"/>
      <c r="E647" s="17"/>
      <c r="F647" s="17"/>
      <c r="H647" s="17"/>
    </row>
    <row r="648" ht="15.75" customHeight="1">
      <c r="A648" s="17"/>
      <c r="B648" s="17"/>
      <c r="C648" s="17"/>
      <c r="E648" s="17"/>
      <c r="F648" s="17"/>
      <c r="H648" s="17"/>
    </row>
    <row r="649" ht="15.75" customHeight="1">
      <c r="A649" s="17"/>
      <c r="B649" s="17"/>
      <c r="C649" s="17"/>
      <c r="E649" s="17"/>
      <c r="F649" s="17"/>
      <c r="H649" s="17"/>
    </row>
    <row r="650" ht="15.75" customHeight="1">
      <c r="A650" s="17"/>
      <c r="B650" s="17"/>
      <c r="C650" s="17"/>
      <c r="E650" s="17"/>
      <c r="F650" s="17"/>
      <c r="H650" s="17"/>
    </row>
    <row r="651" ht="15.75" customHeight="1">
      <c r="A651" s="17"/>
      <c r="B651" s="17"/>
      <c r="C651" s="17"/>
      <c r="E651" s="17"/>
      <c r="F651" s="17"/>
      <c r="H651" s="17"/>
    </row>
    <row r="652" ht="15.75" customHeight="1">
      <c r="A652" s="17"/>
      <c r="B652" s="17"/>
      <c r="C652" s="17"/>
      <c r="E652" s="17"/>
      <c r="F652" s="17"/>
      <c r="H652" s="17"/>
    </row>
    <row r="653" ht="15.75" customHeight="1">
      <c r="A653" s="17"/>
      <c r="B653" s="17"/>
      <c r="C653" s="17"/>
      <c r="E653" s="17"/>
      <c r="F653" s="17"/>
      <c r="H653" s="17"/>
    </row>
    <row r="654" ht="15.75" customHeight="1">
      <c r="A654" s="17"/>
      <c r="B654" s="17"/>
      <c r="C654" s="17"/>
      <c r="E654" s="17"/>
      <c r="F654" s="17"/>
      <c r="H654" s="17"/>
    </row>
    <row r="655" ht="15.75" customHeight="1">
      <c r="A655" s="17"/>
      <c r="B655" s="17"/>
      <c r="C655" s="17"/>
      <c r="E655" s="17"/>
      <c r="F655" s="17"/>
      <c r="H655" s="17"/>
    </row>
    <row r="656" ht="15.75" customHeight="1">
      <c r="A656" s="17"/>
      <c r="B656" s="17"/>
      <c r="C656" s="17"/>
      <c r="E656" s="17"/>
      <c r="F656" s="17"/>
      <c r="H656" s="17"/>
    </row>
    <row r="657" ht="15.75" customHeight="1">
      <c r="A657" s="17"/>
      <c r="B657" s="17"/>
      <c r="C657" s="17"/>
      <c r="E657" s="17"/>
      <c r="F657" s="17"/>
      <c r="H657" s="17"/>
    </row>
    <row r="658" ht="15.75" customHeight="1">
      <c r="A658" s="17"/>
      <c r="B658" s="17"/>
      <c r="C658" s="17"/>
      <c r="E658" s="17"/>
      <c r="F658" s="17"/>
      <c r="H658" s="17"/>
    </row>
    <row r="659" ht="15.75" customHeight="1">
      <c r="A659" s="17"/>
      <c r="B659" s="17"/>
      <c r="C659" s="17"/>
      <c r="E659" s="17"/>
      <c r="F659" s="17"/>
      <c r="H659" s="17"/>
    </row>
    <row r="660" ht="15.75" customHeight="1">
      <c r="A660" s="17"/>
      <c r="B660" s="17"/>
      <c r="C660" s="17"/>
      <c r="E660" s="17"/>
      <c r="F660" s="17"/>
      <c r="H660" s="17"/>
    </row>
    <row r="661" ht="15.75" customHeight="1">
      <c r="A661" s="17"/>
      <c r="B661" s="17"/>
      <c r="C661" s="17"/>
      <c r="E661" s="17"/>
      <c r="F661" s="17"/>
      <c r="H661" s="17"/>
    </row>
    <row r="662" ht="15.75" customHeight="1">
      <c r="A662" s="17"/>
      <c r="B662" s="17"/>
      <c r="C662" s="17"/>
      <c r="E662" s="17"/>
      <c r="F662" s="17"/>
      <c r="H662" s="17"/>
    </row>
    <row r="663" ht="15.75" customHeight="1">
      <c r="A663" s="17"/>
      <c r="B663" s="17"/>
      <c r="C663" s="17"/>
      <c r="E663" s="17"/>
      <c r="F663" s="17"/>
      <c r="H663" s="17"/>
    </row>
    <row r="664" ht="15.75" customHeight="1">
      <c r="A664" s="17"/>
      <c r="B664" s="17"/>
      <c r="C664" s="17"/>
      <c r="E664" s="17"/>
      <c r="F664" s="17"/>
      <c r="H664" s="17"/>
    </row>
    <row r="665" ht="15.75" customHeight="1">
      <c r="A665" s="17"/>
      <c r="B665" s="17"/>
      <c r="C665" s="17"/>
      <c r="E665" s="17"/>
      <c r="F665" s="17"/>
      <c r="H665" s="17"/>
    </row>
    <row r="666" ht="15.75" customHeight="1">
      <c r="A666" s="17"/>
      <c r="B666" s="17"/>
      <c r="C666" s="17"/>
      <c r="E666" s="17"/>
      <c r="F666" s="17"/>
      <c r="H666" s="17"/>
    </row>
    <row r="667" ht="15.75" customHeight="1">
      <c r="A667" s="17"/>
      <c r="B667" s="17"/>
      <c r="C667" s="17"/>
      <c r="E667" s="17"/>
      <c r="F667" s="17"/>
      <c r="H667" s="17"/>
    </row>
    <row r="668" ht="15.75" customHeight="1">
      <c r="A668" s="17"/>
      <c r="B668" s="17"/>
      <c r="C668" s="17"/>
      <c r="E668" s="17"/>
      <c r="F668" s="17"/>
      <c r="H668" s="17"/>
    </row>
    <row r="669" ht="15.75" customHeight="1">
      <c r="A669" s="17"/>
      <c r="B669" s="17"/>
      <c r="C669" s="17"/>
      <c r="E669" s="17"/>
      <c r="F669" s="17"/>
      <c r="H669" s="17"/>
    </row>
    <row r="670" ht="15.75" customHeight="1">
      <c r="A670" s="17"/>
      <c r="B670" s="17"/>
      <c r="C670" s="17"/>
      <c r="E670" s="17"/>
      <c r="F670" s="17"/>
      <c r="H670" s="17"/>
    </row>
    <row r="671" ht="15.75" customHeight="1">
      <c r="A671" s="17"/>
      <c r="B671" s="17"/>
      <c r="C671" s="17"/>
      <c r="E671" s="17"/>
      <c r="F671" s="17"/>
      <c r="H671" s="17"/>
    </row>
    <row r="672" ht="15.75" customHeight="1">
      <c r="A672" s="17"/>
      <c r="B672" s="17"/>
      <c r="C672" s="17"/>
      <c r="E672" s="17"/>
      <c r="F672" s="17"/>
      <c r="H672" s="17"/>
    </row>
    <row r="673" ht="15.75" customHeight="1">
      <c r="A673" s="17"/>
      <c r="B673" s="17"/>
      <c r="C673" s="17"/>
      <c r="E673" s="17"/>
      <c r="F673" s="17"/>
      <c r="H673" s="17"/>
    </row>
    <row r="674" ht="15.75" customHeight="1">
      <c r="A674" s="17"/>
      <c r="B674" s="17"/>
      <c r="C674" s="17"/>
      <c r="E674" s="17"/>
      <c r="F674" s="17"/>
      <c r="H674" s="17"/>
    </row>
    <row r="675" ht="15.75" customHeight="1">
      <c r="A675" s="17"/>
      <c r="B675" s="17"/>
      <c r="C675" s="17"/>
      <c r="E675" s="17"/>
      <c r="F675" s="17"/>
      <c r="H675" s="17"/>
    </row>
    <row r="676" ht="15.75" customHeight="1">
      <c r="A676" s="17"/>
      <c r="B676" s="17"/>
      <c r="C676" s="17"/>
      <c r="E676" s="17"/>
      <c r="F676" s="17"/>
      <c r="H676" s="17"/>
    </row>
    <row r="677" ht="15.75" customHeight="1">
      <c r="A677" s="17"/>
      <c r="B677" s="17"/>
      <c r="C677" s="17"/>
      <c r="E677" s="17"/>
      <c r="F677" s="17"/>
      <c r="H677" s="17"/>
    </row>
    <row r="678" ht="15.75" customHeight="1">
      <c r="A678" s="17"/>
      <c r="B678" s="17"/>
      <c r="C678" s="17"/>
      <c r="E678" s="17"/>
      <c r="F678" s="17"/>
      <c r="H678" s="17"/>
    </row>
    <row r="679" ht="15.75" customHeight="1">
      <c r="A679" s="17"/>
      <c r="B679" s="17"/>
      <c r="C679" s="17"/>
      <c r="E679" s="17"/>
      <c r="F679" s="17"/>
      <c r="H679" s="17"/>
    </row>
    <row r="680" ht="15.75" customHeight="1">
      <c r="A680" s="17"/>
      <c r="B680" s="17"/>
      <c r="C680" s="17"/>
      <c r="E680" s="17"/>
      <c r="F680" s="17"/>
      <c r="H680" s="17"/>
    </row>
    <row r="681" ht="15.75" customHeight="1">
      <c r="A681" s="17"/>
      <c r="B681" s="17"/>
      <c r="C681" s="17"/>
      <c r="E681" s="17"/>
      <c r="F681" s="17"/>
      <c r="H681" s="17"/>
    </row>
    <row r="682" ht="15.75" customHeight="1">
      <c r="A682" s="17"/>
      <c r="B682" s="17"/>
      <c r="C682" s="17"/>
      <c r="E682" s="17"/>
      <c r="F682" s="17"/>
      <c r="H682" s="17"/>
    </row>
    <row r="683" ht="15.75" customHeight="1">
      <c r="A683" s="17"/>
      <c r="B683" s="17"/>
      <c r="C683" s="17"/>
      <c r="E683" s="17"/>
      <c r="F683" s="17"/>
      <c r="H683" s="17"/>
    </row>
    <row r="684" ht="15.75" customHeight="1">
      <c r="A684" s="17"/>
      <c r="B684" s="17"/>
      <c r="C684" s="17"/>
      <c r="E684" s="17"/>
      <c r="F684" s="17"/>
      <c r="H684" s="17"/>
    </row>
    <row r="685" ht="15.75" customHeight="1">
      <c r="A685" s="17"/>
      <c r="B685" s="17"/>
      <c r="C685" s="17"/>
      <c r="E685" s="17"/>
      <c r="F685" s="17"/>
      <c r="H685" s="17"/>
    </row>
    <row r="686" ht="15.75" customHeight="1">
      <c r="A686" s="17"/>
      <c r="B686" s="17"/>
      <c r="C686" s="17"/>
      <c r="E686" s="17"/>
      <c r="F686" s="17"/>
      <c r="H686" s="17"/>
    </row>
    <row r="687" ht="15.75" customHeight="1">
      <c r="A687" s="17"/>
      <c r="B687" s="17"/>
      <c r="C687" s="17"/>
      <c r="E687" s="17"/>
      <c r="F687" s="17"/>
      <c r="H687" s="17"/>
    </row>
    <row r="688" ht="15.75" customHeight="1">
      <c r="A688" s="17"/>
      <c r="B688" s="17"/>
      <c r="C688" s="17"/>
      <c r="E688" s="17"/>
      <c r="F688" s="17"/>
      <c r="H688" s="17"/>
    </row>
    <row r="689" ht="15.75" customHeight="1">
      <c r="A689" s="17"/>
      <c r="B689" s="17"/>
      <c r="C689" s="17"/>
      <c r="E689" s="17"/>
      <c r="F689" s="17"/>
      <c r="H689" s="17"/>
    </row>
    <row r="690" ht="15.75" customHeight="1">
      <c r="A690" s="17"/>
      <c r="B690" s="17"/>
      <c r="C690" s="17"/>
      <c r="E690" s="17"/>
      <c r="F690" s="17"/>
      <c r="H690" s="17"/>
    </row>
    <row r="691" ht="15.75" customHeight="1">
      <c r="A691" s="17"/>
      <c r="B691" s="17"/>
      <c r="C691" s="17"/>
      <c r="E691" s="17"/>
      <c r="F691" s="17"/>
      <c r="H691" s="17"/>
    </row>
    <row r="692" ht="15.75" customHeight="1">
      <c r="A692" s="17"/>
      <c r="B692" s="17"/>
      <c r="C692" s="17"/>
      <c r="E692" s="17"/>
      <c r="F692" s="17"/>
      <c r="H692" s="17"/>
    </row>
    <row r="693" ht="15.75" customHeight="1">
      <c r="A693" s="17"/>
      <c r="B693" s="17"/>
      <c r="C693" s="17"/>
      <c r="E693" s="17"/>
      <c r="F693" s="17"/>
      <c r="H693" s="17"/>
    </row>
    <row r="694" ht="15.75" customHeight="1">
      <c r="A694" s="17"/>
      <c r="B694" s="17"/>
      <c r="C694" s="17"/>
      <c r="E694" s="17"/>
      <c r="F694" s="17"/>
      <c r="H694" s="17"/>
    </row>
    <row r="695" ht="15.75" customHeight="1">
      <c r="A695" s="17"/>
      <c r="B695" s="17"/>
      <c r="C695" s="17"/>
      <c r="E695" s="17"/>
      <c r="F695" s="17"/>
      <c r="H695" s="17"/>
    </row>
    <row r="696" ht="15.75" customHeight="1">
      <c r="A696" s="17"/>
      <c r="B696" s="17"/>
      <c r="C696" s="17"/>
      <c r="E696" s="17"/>
      <c r="F696" s="17"/>
      <c r="H696" s="17"/>
    </row>
    <row r="697" ht="15.75" customHeight="1">
      <c r="A697" s="17"/>
      <c r="B697" s="17"/>
      <c r="C697" s="17"/>
      <c r="E697" s="17"/>
      <c r="F697" s="17"/>
      <c r="H697" s="17"/>
    </row>
    <row r="698" ht="15.75" customHeight="1">
      <c r="A698" s="17"/>
      <c r="B698" s="17"/>
      <c r="C698" s="17"/>
      <c r="E698" s="17"/>
      <c r="F698" s="17"/>
      <c r="H698" s="17"/>
    </row>
    <row r="699" ht="15.75" customHeight="1">
      <c r="A699" s="17"/>
      <c r="B699" s="17"/>
      <c r="C699" s="17"/>
      <c r="E699" s="17"/>
      <c r="F699" s="17"/>
      <c r="H699" s="17"/>
    </row>
    <row r="700" ht="15.75" customHeight="1">
      <c r="A700" s="17"/>
      <c r="B700" s="17"/>
      <c r="C700" s="17"/>
      <c r="E700" s="17"/>
      <c r="F700" s="17"/>
      <c r="H700" s="17"/>
    </row>
    <row r="701" ht="15.75" customHeight="1">
      <c r="A701" s="17"/>
      <c r="B701" s="17"/>
      <c r="C701" s="17"/>
      <c r="E701" s="17"/>
      <c r="F701" s="17"/>
      <c r="H701" s="17"/>
    </row>
    <row r="702" ht="15.75" customHeight="1">
      <c r="A702" s="17"/>
      <c r="B702" s="17"/>
      <c r="C702" s="17"/>
      <c r="E702" s="17"/>
      <c r="F702" s="17"/>
      <c r="H702" s="17"/>
    </row>
    <row r="703" ht="15.75" customHeight="1">
      <c r="A703" s="17"/>
      <c r="B703" s="17"/>
      <c r="C703" s="17"/>
      <c r="E703" s="17"/>
      <c r="F703" s="17"/>
      <c r="H703" s="17"/>
    </row>
    <row r="704" ht="15.75" customHeight="1">
      <c r="A704" s="17"/>
      <c r="B704" s="17"/>
      <c r="C704" s="17"/>
      <c r="E704" s="17"/>
      <c r="F704" s="17"/>
      <c r="H704" s="17"/>
    </row>
    <row r="705" ht="15.75" customHeight="1">
      <c r="A705" s="17"/>
      <c r="B705" s="17"/>
      <c r="C705" s="17"/>
      <c r="E705" s="17"/>
      <c r="F705" s="17"/>
      <c r="H705" s="17"/>
    </row>
    <row r="706" ht="15.75" customHeight="1">
      <c r="A706" s="17"/>
      <c r="B706" s="17"/>
      <c r="C706" s="17"/>
      <c r="E706" s="17"/>
      <c r="F706" s="17"/>
      <c r="H706" s="17"/>
    </row>
    <row r="707" ht="15.75" customHeight="1">
      <c r="A707" s="17"/>
      <c r="B707" s="17"/>
      <c r="C707" s="17"/>
      <c r="E707" s="17"/>
      <c r="F707" s="17"/>
      <c r="H707" s="17"/>
    </row>
    <row r="708" ht="15.75" customHeight="1">
      <c r="A708" s="17"/>
      <c r="B708" s="17"/>
      <c r="C708" s="17"/>
      <c r="E708" s="17"/>
      <c r="F708" s="17"/>
      <c r="H708" s="17"/>
    </row>
    <row r="709" ht="15.75" customHeight="1">
      <c r="A709" s="17"/>
      <c r="B709" s="17"/>
      <c r="C709" s="17"/>
      <c r="E709" s="17"/>
      <c r="F709" s="17"/>
      <c r="H709" s="17"/>
    </row>
    <row r="710" ht="15.75" customHeight="1">
      <c r="A710" s="17"/>
      <c r="B710" s="17"/>
      <c r="C710" s="17"/>
      <c r="E710" s="17"/>
      <c r="F710" s="17"/>
      <c r="H710" s="17"/>
    </row>
    <row r="711" ht="15.75" customHeight="1">
      <c r="A711" s="17"/>
      <c r="B711" s="17"/>
      <c r="C711" s="17"/>
      <c r="E711" s="17"/>
      <c r="F711" s="17"/>
      <c r="H711" s="17"/>
    </row>
    <row r="712" ht="15.75" customHeight="1">
      <c r="A712" s="17"/>
      <c r="B712" s="17"/>
      <c r="C712" s="17"/>
      <c r="E712" s="17"/>
      <c r="F712" s="17"/>
      <c r="H712" s="17"/>
    </row>
    <row r="713" ht="15.75" customHeight="1">
      <c r="A713" s="17"/>
      <c r="B713" s="17"/>
      <c r="C713" s="17"/>
      <c r="E713" s="17"/>
      <c r="F713" s="17"/>
      <c r="H713" s="17"/>
    </row>
    <row r="714" ht="15.75" customHeight="1">
      <c r="A714" s="17"/>
      <c r="B714" s="17"/>
      <c r="C714" s="17"/>
      <c r="E714" s="17"/>
      <c r="F714" s="17"/>
      <c r="H714" s="17"/>
    </row>
    <row r="715" ht="15.75" customHeight="1">
      <c r="A715" s="17"/>
      <c r="B715" s="17"/>
      <c r="C715" s="17"/>
      <c r="E715" s="17"/>
      <c r="F715" s="17"/>
      <c r="H715" s="17"/>
    </row>
    <row r="716" ht="15.75" customHeight="1">
      <c r="A716" s="17"/>
      <c r="B716" s="17"/>
      <c r="C716" s="17"/>
      <c r="E716" s="17"/>
      <c r="F716" s="17"/>
      <c r="H716" s="17"/>
    </row>
    <row r="717" ht="15.75" customHeight="1">
      <c r="A717" s="17"/>
      <c r="B717" s="17"/>
      <c r="C717" s="17"/>
      <c r="E717" s="17"/>
      <c r="F717" s="17"/>
      <c r="H717" s="17"/>
    </row>
    <row r="718" ht="15.75" customHeight="1">
      <c r="A718" s="17"/>
      <c r="B718" s="17"/>
      <c r="C718" s="17"/>
      <c r="E718" s="17"/>
      <c r="F718" s="17"/>
      <c r="H718" s="17"/>
    </row>
    <row r="719" ht="15.75" customHeight="1">
      <c r="A719" s="17"/>
      <c r="B719" s="17"/>
      <c r="C719" s="17"/>
      <c r="E719" s="17"/>
      <c r="F719" s="17"/>
      <c r="H719" s="17"/>
    </row>
    <row r="720" ht="15.75" customHeight="1">
      <c r="A720" s="17"/>
      <c r="B720" s="17"/>
      <c r="C720" s="17"/>
      <c r="E720" s="17"/>
      <c r="F720" s="17"/>
      <c r="H720" s="17"/>
    </row>
    <row r="721" ht="15.75" customHeight="1">
      <c r="A721" s="17"/>
      <c r="B721" s="17"/>
      <c r="C721" s="17"/>
      <c r="E721" s="17"/>
      <c r="F721" s="17"/>
      <c r="H721" s="17"/>
    </row>
    <row r="722" ht="15.75" customHeight="1">
      <c r="A722" s="17"/>
      <c r="B722" s="17"/>
      <c r="C722" s="17"/>
      <c r="E722" s="17"/>
      <c r="F722" s="17"/>
      <c r="H722" s="17"/>
    </row>
    <row r="723" ht="15.75" customHeight="1">
      <c r="A723" s="17"/>
      <c r="B723" s="17"/>
      <c r="C723" s="17"/>
      <c r="E723" s="17"/>
      <c r="F723" s="17"/>
      <c r="H723" s="17"/>
    </row>
    <row r="724" ht="15.75" customHeight="1">
      <c r="A724" s="17"/>
      <c r="B724" s="17"/>
      <c r="C724" s="17"/>
      <c r="E724" s="17"/>
      <c r="F724" s="17"/>
      <c r="H724" s="17"/>
    </row>
    <row r="725" ht="15.75" customHeight="1">
      <c r="A725" s="17"/>
      <c r="B725" s="17"/>
      <c r="C725" s="17"/>
      <c r="E725" s="17"/>
      <c r="F725" s="17"/>
      <c r="H725" s="17"/>
    </row>
    <row r="726" ht="15.75" customHeight="1">
      <c r="A726" s="17"/>
      <c r="B726" s="17"/>
      <c r="C726" s="17"/>
      <c r="E726" s="17"/>
      <c r="F726" s="17"/>
      <c r="H726" s="17"/>
    </row>
    <row r="727" ht="15.75" customHeight="1">
      <c r="A727" s="17"/>
      <c r="B727" s="17"/>
      <c r="C727" s="17"/>
      <c r="E727" s="17"/>
      <c r="F727" s="17"/>
      <c r="H727" s="17"/>
    </row>
    <row r="728" ht="15.75" customHeight="1">
      <c r="A728" s="17"/>
      <c r="B728" s="17"/>
      <c r="C728" s="17"/>
      <c r="E728" s="17"/>
      <c r="F728" s="17"/>
      <c r="H728" s="17"/>
    </row>
    <row r="729" ht="15.75" customHeight="1">
      <c r="A729" s="17"/>
      <c r="B729" s="17"/>
      <c r="C729" s="17"/>
      <c r="E729" s="17"/>
      <c r="F729" s="17"/>
      <c r="H729" s="17"/>
    </row>
    <row r="730" ht="15.75" customHeight="1">
      <c r="A730" s="17"/>
      <c r="B730" s="17"/>
      <c r="C730" s="17"/>
      <c r="E730" s="17"/>
      <c r="F730" s="17"/>
      <c r="H730" s="17"/>
    </row>
    <row r="731" ht="15.75" customHeight="1">
      <c r="A731" s="17"/>
      <c r="B731" s="17"/>
      <c r="C731" s="17"/>
      <c r="E731" s="17"/>
      <c r="F731" s="17"/>
      <c r="H731" s="17"/>
    </row>
    <row r="732" ht="15.75" customHeight="1">
      <c r="A732" s="17"/>
      <c r="B732" s="17"/>
      <c r="C732" s="17"/>
      <c r="E732" s="17"/>
      <c r="F732" s="17"/>
      <c r="H732" s="17"/>
    </row>
    <row r="733" ht="15.75" customHeight="1">
      <c r="A733" s="17"/>
      <c r="B733" s="17"/>
      <c r="C733" s="17"/>
      <c r="E733" s="17"/>
      <c r="F733" s="17"/>
      <c r="H733" s="17"/>
    </row>
    <row r="734" ht="15.75" customHeight="1">
      <c r="A734" s="17"/>
      <c r="B734" s="17"/>
      <c r="C734" s="17"/>
      <c r="E734" s="17"/>
      <c r="F734" s="17"/>
      <c r="H734" s="17"/>
    </row>
    <row r="735" ht="15.75" customHeight="1">
      <c r="A735" s="17"/>
      <c r="B735" s="17"/>
      <c r="C735" s="17"/>
      <c r="E735" s="17"/>
      <c r="F735" s="17"/>
      <c r="H735" s="17"/>
    </row>
    <row r="736" ht="15.75" customHeight="1">
      <c r="A736" s="17"/>
      <c r="B736" s="17"/>
      <c r="C736" s="17"/>
      <c r="E736" s="17"/>
      <c r="F736" s="17"/>
      <c r="H736" s="17"/>
    </row>
    <row r="737" ht="15.75" customHeight="1">
      <c r="A737" s="17"/>
      <c r="B737" s="17"/>
      <c r="C737" s="17"/>
      <c r="E737" s="17"/>
      <c r="F737" s="17"/>
      <c r="H737" s="17"/>
    </row>
    <row r="738" ht="15.75" customHeight="1">
      <c r="A738" s="17"/>
      <c r="B738" s="17"/>
      <c r="C738" s="17"/>
      <c r="E738" s="17"/>
      <c r="F738" s="17"/>
      <c r="H738" s="17"/>
    </row>
    <row r="739" ht="15.75" customHeight="1">
      <c r="A739" s="17"/>
      <c r="B739" s="17"/>
      <c r="C739" s="17"/>
      <c r="E739" s="17"/>
      <c r="F739" s="17"/>
      <c r="H739" s="17"/>
    </row>
    <row r="740" ht="15.75" customHeight="1">
      <c r="A740" s="17"/>
      <c r="B740" s="17"/>
      <c r="C740" s="17"/>
      <c r="E740" s="17"/>
      <c r="F740" s="17"/>
      <c r="H740" s="17"/>
    </row>
    <row r="741" ht="15.75" customHeight="1">
      <c r="A741" s="17"/>
      <c r="B741" s="17"/>
      <c r="C741" s="17"/>
      <c r="E741" s="17"/>
      <c r="F741" s="17"/>
      <c r="H741" s="17"/>
    </row>
    <row r="742" ht="15.75" customHeight="1">
      <c r="A742" s="17"/>
      <c r="B742" s="17"/>
      <c r="C742" s="17"/>
      <c r="E742" s="17"/>
      <c r="F742" s="17"/>
      <c r="H742" s="17"/>
    </row>
    <row r="743" ht="15.75" customHeight="1">
      <c r="A743" s="17"/>
      <c r="B743" s="17"/>
      <c r="C743" s="17"/>
      <c r="E743" s="17"/>
      <c r="F743" s="17"/>
      <c r="H743" s="17"/>
    </row>
    <row r="744" ht="15.75" customHeight="1">
      <c r="A744" s="17"/>
      <c r="B744" s="17"/>
      <c r="C744" s="17"/>
      <c r="E744" s="17"/>
      <c r="F744" s="17"/>
      <c r="H744" s="17"/>
    </row>
    <row r="745" ht="15.75" customHeight="1">
      <c r="A745" s="17"/>
      <c r="B745" s="17"/>
      <c r="C745" s="17"/>
      <c r="E745" s="17"/>
      <c r="F745" s="17"/>
      <c r="H745" s="17"/>
    </row>
    <row r="746" ht="15.75" customHeight="1">
      <c r="A746" s="17"/>
      <c r="B746" s="17"/>
      <c r="C746" s="17"/>
      <c r="E746" s="17"/>
      <c r="F746" s="17"/>
      <c r="H746" s="17"/>
    </row>
    <row r="747" ht="15.75" customHeight="1">
      <c r="A747" s="17"/>
      <c r="B747" s="17"/>
      <c r="C747" s="17"/>
      <c r="E747" s="17"/>
      <c r="F747" s="17"/>
      <c r="H747" s="17"/>
    </row>
    <row r="748" ht="15.75" customHeight="1">
      <c r="A748" s="17"/>
      <c r="B748" s="17"/>
      <c r="C748" s="17"/>
      <c r="E748" s="17"/>
      <c r="F748" s="17"/>
      <c r="H748" s="17"/>
    </row>
    <row r="749" ht="15.75" customHeight="1">
      <c r="A749" s="17"/>
      <c r="B749" s="17"/>
      <c r="C749" s="17"/>
      <c r="E749" s="17"/>
      <c r="F749" s="17"/>
      <c r="H749" s="17"/>
    </row>
    <row r="750" ht="15.75" customHeight="1">
      <c r="A750" s="17"/>
      <c r="B750" s="17"/>
      <c r="C750" s="17"/>
      <c r="E750" s="17"/>
      <c r="F750" s="17"/>
      <c r="H750" s="17"/>
    </row>
    <row r="751" ht="15.75" customHeight="1">
      <c r="A751" s="17"/>
      <c r="B751" s="17"/>
      <c r="C751" s="17"/>
      <c r="E751" s="17"/>
      <c r="F751" s="17"/>
      <c r="H751" s="17"/>
    </row>
    <row r="752" ht="15.75" customHeight="1">
      <c r="A752" s="17"/>
      <c r="B752" s="17"/>
      <c r="C752" s="17"/>
      <c r="E752" s="17"/>
      <c r="F752" s="17"/>
      <c r="H752" s="17"/>
    </row>
    <row r="753" ht="15.75" customHeight="1">
      <c r="A753" s="17"/>
      <c r="B753" s="17"/>
      <c r="C753" s="17"/>
      <c r="E753" s="17"/>
      <c r="F753" s="17"/>
      <c r="H753" s="17"/>
    </row>
    <row r="754" ht="15.75" customHeight="1">
      <c r="A754" s="17"/>
      <c r="B754" s="17"/>
      <c r="C754" s="17"/>
      <c r="E754" s="17"/>
      <c r="F754" s="17"/>
      <c r="H754" s="17"/>
    </row>
    <row r="755" ht="15.75" customHeight="1">
      <c r="A755" s="17"/>
      <c r="B755" s="17"/>
      <c r="C755" s="17"/>
      <c r="E755" s="17"/>
      <c r="F755" s="17"/>
      <c r="H755" s="17"/>
    </row>
    <row r="756" ht="15.75" customHeight="1">
      <c r="A756" s="17"/>
      <c r="B756" s="17"/>
      <c r="C756" s="17"/>
      <c r="E756" s="17"/>
      <c r="F756" s="17"/>
      <c r="H756" s="17"/>
    </row>
    <row r="757" ht="15.75" customHeight="1">
      <c r="A757" s="17"/>
      <c r="B757" s="17"/>
      <c r="C757" s="17"/>
      <c r="E757" s="17"/>
      <c r="F757" s="17"/>
      <c r="H757" s="17"/>
    </row>
    <row r="758" ht="15.75" customHeight="1">
      <c r="A758" s="17"/>
      <c r="B758" s="17"/>
      <c r="C758" s="17"/>
      <c r="E758" s="17"/>
      <c r="F758" s="17"/>
      <c r="H758" s="17"/>
    </row>
    <row r="759" ht="15.75" customHeight="1">
      <c r="A759" s="17"/>
      <c r="B759" s="17"/>
      <c r="C759" s="17"/>
      <c r="E759" s="17"/>
      <c r="F759" s="17"/>
      <c r="H759" s="17"/>
    </row>
    <row r="760" ht="15.75" customHeight="1">
      <c r="A760" s="17"/>
      <c r="B760" s="17"/>
      <c r="C760" s="17"/>
      <c r="E760" s="17"/>
      <c r="F760" s="17"/>
      <c r="H760" s="17"/>
    </row>
    <row r="761" ht="15.75" customHeight="1">
      <c r="A761" s="17"/>
      <c r="B761" s="17"/>
      <c r="C761" s="17"/>
      <c r="E761" s="17"/>
      <c r="F761" s="17"/>
      <c r="H761" s="17"/>
    </row>
    <row r="762" ht="15.75" customHeight="1">
      <c r="A762" s="17"/>
      <c r="B762" s="17"/>
      <c r="C762" s="17"/>
      <c r="E762" s="17"/>
      <c r="F762" s="17"/>
      <c r="H762" s="17"/>
    </row>
    <row r="763" ht="15.75" customHeight="1">
      <c r="A763" s="17"/>
      <c r="B763" s="17"/>
      <c r="C763" s="17"/>
      <c r="E763" s="17"/>
      <c r="F763" s="17"/>
      <c r="H763" s="17"/>
    </row>
    <row r="764" ht="15.75" customHeight="1">
      <c r="A764" s="17"/>
      <c r="B764" s="17"/>
      <c r="C764" s="17"/>
      <c r="E764" s="17"/>
      <c r="F764" s="17"/>
      <c r="H764" s="17"/>
    </row>
    <row r="765" ht="15.75" customHeight="1">
      <c r="A765" s="17"/>
      <c r="B765" s="17"/>
      <c r="C765" s="17"/>
      <c r="E765" s="17"/>
      <c r="F765" s="17"/>
      <c r="H765" s="17"/>
    </row>
    <row r="766" ht="15.75" customHeight="1">
      <c r="A766" s="17"/>
      <c r="B766" s="17"/>
      <c r="C766" s="17"/>
      <c r="E766" s="17"/>
      <c r="F766" s="17"/>
      <c r="H766" s="17"/>
    </row>
    <row r="767" ht="15.75" customHeight="1">
      <c r="A767" s="17"/>
      <c r="B767" s="17"/>
      <c r="C767" s="17"/>
      <c r="E767" s="17"/>
      <c r="F767" s="17"/>
      <c r="H767" s="17"/>
    </row>
    <row r="768" ht="15.75" customHeight="1">
      <c r="A768" s="17"/>
      <c r="B768" s="17"/>
      <c r="C768" s="17"/>
      <c r="E768" s="17"/>
      <c r="F768" s="17"/>
      <c r="H768" s="17"/>
    </row>
    <row r="769" ht="15.75" customHeight="1">
      <c r="A769" s="17"/>
      <c r="B769" s="17"/>
      <c r="C769" s="17"/>
      <c r="E769" s="17"/>
      <c r="F769" s="17"/>
      <c r="H769" s="17"/>
    </row>
    <row r="770" ht="15.75" customHeight="1">
      <c r="A770" s="17"/>
      <c r="B770" s="17"/>
      <c r="C770" s="17"/>
      <c r="E770" s="17"/>
      <c r="F770" s="17"/>
      <c r="H770" s="17"/>
    </row>
    <row r="771" ht="15.75" customHeight="1">
      <c r="A771" s="17"/>
      <c r="B771" s="17"/>
      <c r="C771" s="17"/>
      <c r="E771" s="17"/>
      <c r="F771" s="17"/>
      <c r="H771" s="17"/>
    </row>
    <row r="772" ht="15.75" customHeight="1">
      <c r="A772" s="17"/>
      <c r="B772" s="17"/>
      <c r="C772" s="17"/>
      <c r="E772" s="17"/>
      <c r="F772" s="17"/>
      <c r="H772" s="17"/>
    </row>
    <row r="773" ht="15.75" customHeight="1">
      <c r="A773" s="17"/>
      <c r="B773" s="17"/>
      <c r="C773" s="17"/>
      <c r="E773" s="17"/>
      <c r="F773" s="17"/>
      <c r="H773" s="17"/>
    </row>
    <row r="774" ht="15.75" customHeight="1">
      <c r="A774" s="17"/>
      <c r="B774" s="17"/>
      <c r="C774" s="17"/>
      <c r="E774" s="17"/>
      <c r="F774" s="17"/>
      <c r="H774" s="17"/>
    </row>
    <row r="775" ht="15.75" customHeight="1">
      <c r="A775" s="17"/>
      <c r="B775" s="17"/>
      <c r="C775" s="17"/>
      <c r="E775" s="17"/>
      <c r="F775" s="17"/>
      <c r="H775" s="17"/>
    </row>
    <row r="776" ht="15.75" customHeight="1">
      <c r="A776" s="17"/>
      <c r="B776" s="17"/>
      <c r="C776" s="17"/>
      <c r="E776" s="17"/>
      <c r="F776" s="17"/>
      <c r="H776" s="17"/>
    </row>
    <row r="777" ht="15.75" customHeight="1">
      <c r="A777" s="17"/>
      <c r="B777" s="17"/>
      <c r="C777" s="17"/>
      <c r="E777" s="17"/>
      <c r="F777" s="17"/>
      <c r="H777" s="17"/>
    </row>
    <row r="778" ht="15.75" customHeight="1">
      <c r="A778" s="17"/>
      <c r="B778" s="17"/>
      <c r="C778" s="17"/>
      <c r="E778" s="17"/>
      <c r="F778" s="17"/>
      <c r="H778" s="17"/>
    </row>
    <row r="779" ht="15.75" customHeight="1">
      <c r="A779" s="17"/>
      <c r="B779" s="17"/>
      <c r="C779" s="17"/>
      <c r="E779" s="17"/>
      <c r="F779" s="17"/>
      <c r="H779" s="17"/>
    </row>
    <row r="780" ht="15.75" customHeight="1">
      <c r="A780" s="17"/>
      <c r="B780" s="17"/>
      <c r="C780" s="17"/>
      <c r="E780" s="17"/>
      <c r="F780" s="17"/>
      <c r="H780" s="17"/>
    </row>
    <row r="781" ht="15.75" customHeight="1">
      <c r="A781" s="17"/>
      <c r="B781" s="17"/>
      <c r="C781" s="17"/>
      <c r="E781" s="17"/>
      <c r="F781" s="17"/>
      <c r="H781" s="17"/>
    </row>
    <row r="782" ht="15.75" customHeight="1">
      <c r="A782" s="17"/>
      <c r="B782" s="17"/>
      <c r="C782" s="17"/>
      <c r="E782" s="17"/>
      <c r="F782" s="17"/>
      <c r="H782" s="17"/>
    </row>
    <row r="783" ht="15.75" customHeight="1">
      <c r="A783" s="17"/>
      <c r="B783" s="17"/>
      <c r="C783" s="17"/>
      <c r="E783" s="17"/>
      <c r="F783" s="17"/>
      <c r="H783" s="17"/>
    </row>
    <row r="784" ht="15.75" customHeight="1">
      <c r="A784" s="17"/>
      <c r="B784" s="17"/>
      <c r="C784" s="17"/>
      <c r="E784" s="17"/>
      <c r="F784" s="17"/>
      <c r="H784" s="17"/>
    </row>
    <row r="785" ht="15.75" customHeight="1">
      <c r="A785" s="17"/>
      <c r="B785" s="17"/>
      <c r="C785" s="17"/>
      <c r="E785" s="17"/>
      <c r="F785" s="17"/>
      <c r="H785" s="17"/>
    </row>
    <row r="786" ht="15.75" customHeight="1">
      <c r="A786" s="17"/>
      <c r="B786" s="17"/>
      <c r="C786" s="17"/>
      <c r="E786" s="17"/>
      <c r="F786" s="17"/>
      <c r="H786" s="17"/>
    </row>
    <row r="787" ht="15.75" customHeight="1">
      <c r="A787" s="17"/>
      <c r="B787" s="17"/>
      <c r="C787" s="17"/>
      <c r="E787" s="17"/>
      <c r="F787" s="17"/>
      <c r="H787" s="17"/>
    </row>
    <row r="788" ht="15.75" customHeight="1">
      <c r="A788" s="17"/>
      <c r="B788" s="17"/>
      <c r="C788" s="17"/>
      <c r="E788" s="17"/>
      <c r="F788" s="17"/>
      <c r="H788" s="17"/>
    </row>
    <row r="789" ht="15.75" customHeight="1">
      <c r="A789" s="17"/>
      <c r="B789" s="17"/>
      <c r="C789" s="17"/>
      <c r="E789" s="17"/>
      <c r="F789" s="17"/>
      <c r="H789" s="17"/>
    </row>
    <row r="790" ht="15.75" customHeight="1">
      <c r="A790" s="17"/>
      <c r="B790" s="17"/>
      <c r="C790" s="17"/>
      <c r="E790" s="17"/>
      <c r="F790" s="17"/>
      <c r="H790" s="17"/>
    </row>
    <row r="791" ht="15.75" customHeight="1">
      <c r="A791" s="17"/>
      <c r="B791" s="17"/>
      <c r="C791" s="17"/>
      <c r="E791" s="17"/>
      <c r="F791" s="17"/>
      <c r="H791" s="17"/>
    </row>
    <row r="792" ht="15.75" customHeight="1">
      <c r="A792" s="17"/>
      <c r="B792" s="17"/>
      <c r="C792" s="17"/>
      <c r="E792" s="17"/>
      <c r="F792" s="17"/>
      <c r="H792" s="17"/>
    </row>
    <row r="793" ht="15.75" customHeight="1">
      <c r="A793" s="17"/>
      <c r="B793" s="17"/>
      <c r="C793" s="17"/>
      <c r="E793" s="17"/>
      <c r="F793" s="17"/>
      <c r="H793" s="17"/>
    </row>
    <row r="794" ht="15.75" customHeight="1">
      <c r="A794" s="17"/>
      <c r="B794" s="17"/>
      <c r="C794" s="17"/>
      <c r="E794" s="17"/>
      <c r="F794" s="17"/>
      <c r="H794" s="17"/>
    </row>
    <row r="795" ht="15.75" customHeight="1">
      <c r="A795" s="17"/>
      <c r="B795" s="17"/>
      <c r="C795" s="17"/>
      <c r="E795" s="17"/>
      <c r="F795" s="17"/>
      <c r="H795" s="17"/>
    </row>
    <row r="796" ht="15.75" customHeight="1">
      <c r="A796" s="17"/>
      <c r="B796" s="17"/>
      <c r="C796" s="17"/>
      <c r="E796" s="17"/>
      <c r="F796" s="17"/>
      <c r="H796" s="17"/>
    </row>
    <row r="797" ht="15.75" customHeight="1">
      <c r="A797" s="17"/>
      <c r="B797" s="17"/>
      <c r="C797" s="17"/>
      <c r="E797" s="17"/>
      <c r="F797" s="17"/>
      <c r="H797" s="17"/>
    </row>
    <row r="798" ht="15.75" customHeight="1">
      <c r="A798" s="17"/>
      <c r="B798" s="17"/>
      <c r="C798" s="17"/>
      <c r="E798" s="17"/>
      <c r="F798" s="17"/>
      <c r="H798" s="17"/>
    </row>
    <row r="799" ht="15.75" customHeight="1">
      <c r="A799" s="17"/>
      <c r="B799" s="17"/>
      <c r="C799" s="17"/>
      <c r="E799" s="17"/>
      <c r="F799" s="17"/>
      <c r="H799" s="17"/>
    </row>
    <row r="800" ht="15.75" customHeight="1">
      <c r="A800" s="17"/>
      <c r="B800" s="17"/>
      <c r="C800" s="17"/>
      <c r="E800" s="17"/>
      <c r="F800" s="17"/>
      <c r="H800" s="17"/>
    </row>
    <row r="801" ht="15.75" customHeight="1">
      <c r="A801" s="17"/>
      <c r="B801" s="17"/>
      <c r="C801" s="17"/>
      <c r="E801" s="17"/>
      <c r="F801" s="17"/>
      <c r="H801" s="17"/>
    </row>
    <row r="802" ht="15.75" customHeight="1">
      <c r="A802" s="17"/>
      <c r="B802" s="17"/>
      <c r="C802" s="17"/>
      <c r="E802" s="17"/>
      <c r="F802" s="17"/>
      <c r="H802" s="17"/>
    </row>
    <row r="803" ht="15.75" customHeight="1">
      <c r="A803" s="17"/>
      <c r="B803" s="17"/>
      <c r="C803" s="17"/>
      <c r="E803" s="17"/>
      <c r="F803" s="17"/>
      <c r="H803" s="17"/>
    </row>
    <row r="804" ht="15.75" customHeight="1">
      <c r="A804" s="17"/>
      <c r="B804" s="17"/>
      <c r="C804" s="17"/>
      <c r="E804" s="17"/>
      <c r="F804" s="17"/>
      <c r="H804" s="17"/>
    </row>
    <row r="805" ht="15.75" customHeight="1">
      <c r="A805" s="17"/>
      <c r="B805" s="17"/>
      <c r="C805" s="17"/>
      <c r="E805" s="17"/>
      <c r="F805" s="17"/>
      <c r="H805" s="17"/>
    </row>
    <row r="806" ht="15.75" customHeight="1">
      <c r="A806" s="17"/>
      <c r="B806" s="17"/>
      <c r="C806" s="17"/>
      <c r="E806" s="17"/>
      <c r="F806" s="17"/>
      <c r="H806" s="17"/>
    </row>
    <row r="807" ht="15.75" customHeight="1">
      <c r="A807" s="17"/>
      <c r="B807" s="17"/>
      <c r="C807" s="17"/>
      <c r="E807" s="17"/>
      <c r="F807" s="17"/>
      <c r="H807" s="17"/>
    </row>
    <row r="808" ht="15.75" customHeight="1">
      <c r="A808" s="17"/>
      <c r="B808" s="17"/>
      <c r="C808" s="17"/>
      <c r="E808" s="17"/>
      <c r="F808" s="17"/>
      <c r="H808" s="17"/>
    </row>
    <row r="809" ht="15.75" customHeight="1">
      <c r="A809" s="17"/>
      <c r="B809" s="17"/>
      <c r="C809" s="17"/>
      <c r="E809" s="17"/>
      <c r="F809" s="17"/>
      <c r="H809" s="17"/>
    </row>
    <row r="810" ht="15.75" customHeight="1">
      <c r="A810" s="17"/>
      <c r="B810" s="17"/>
      <c r="C810" s="17"/>
      <c r="E810" s="17"/>
      <c r="F810" s="17"/>
      <c r="H810" s="17"/>
    </row>
    <row r="811" ht="15.75" customHeight="1">
      <c r="A811" s="17"/>
      <c r="B811" s="17"/>
      <c r="C811" s="17"/>
      <c r="E811" s="17"/>
      <c r="F811" s="17"/>
      <c r="H811" s="17"/>
    </row>
    <row r="812" ht="15.75" customHeight="1">
      <c r="A812" s="17"/>
      <c r="B812" s="17"/>
      <c r="C812" s="17"/>
      <c r="E812" s="17"/>
      <c r="F812" s="17"/>
      <c r="H812" s="17"/>
    </row>
    <row r="813" ht="15.75" customHeight="1">
      <c r="A813" s="17"/>
      <c r="B813" s="17"/>
      <c r="C813" s="17"/>
      <c r="E813" s="17"/>
      <c r="F813" s="17"/>
      <c r="H813" s="17"/>
    </row>
    <row r="814" ht="15.75" customHeight="1">
      <c r="A814" s="17"/>
      <c r="B814" s="17"/>
      <c r="C814" s="17"/>
      <c r="E814" s="17"/>
      <c r="F814" s="17"/>
      <c r="H814" s="17"/>
    </row>
    <row r="815" ht="15.75" customHeight="1">
      <c r="A815" s="17"/>
      <c r="B815" s="17"/>
      <c r="C815" s="17"/>
      <c r="E815" s="17"/>
      <c r="F815" s="17"/>
      <c r="H815" s="17"/>
    </row>
    <row r="816" ht="15.75" customHeight="1">
      <c r="A816" s="17"/>
      <c r="B816" s="17"/>
      <c r="C816" s="17"/>
      <c r="E816" s="17"/>
      <c r="F816" s="17"/>
      <c r="H816" s="17"/>
    </row>
    <row r="817" ht="15.75" customHeight="1">
      <c r="A817" s="17"/>
      <c r="B817" s="17"/>
      <c r="C817" s="17"/>
      <c r="E817" s="17"/>
      <c r="F817" s="17"/>
      <c r="H817" s="17"/>
    </row>
    <row r="818" ht="15.75" customHeight="1">
      <c r="A818" s="17"/>
      <c r="B818" s="17"/>
      <c r="C818" s="17"/>
      <c r="E818" s="17"/>
      <c r="F818" s="17"/>
      <c r="H818" s="17"/>
    </row>
    <row r="819" ht="15.75" customHeight="1">
      <c r="A819" s="17"/>
      <c r="B819" s="17"/>
      <c r="C819" s="17"/>
      <c r="E819" s="17"/>
      <c r="F819" s="17"/>
      <c r="H819" s="17"/>
    </row>
    <row r="820" ht="15.75" customHeight="1">
      <c r="A820" s="17"/>
      <c r="B820" s="17"/>
      <c r="C820" s="17"/>
      <c r="E820" s="17"/>
      <c r="F820" s="17"/>
      <c r="H820" s="17"/>
    </row>
    <row r="821" ht="15.75" customHeight="1">
      <c r="A821" s="17"/>
      <c r="B821" s="17"/>
      <c r="C821" s="17"/>
      <c r="E821" s="17"/>
      <c r="F821" s="17"/>
      <c r="H821" s="17"/>
    </row>
    <row r="822" ht="15.75" customHeight="1">
      <c r="A822" s="17"/>
      <c r="B822" s="17"/>
      <c r="C822" s="17"/>
      <c r="E822" s="17"/>
      <c r="F822" s="17"/>
      <c r="H822" s="17"/>
    </row>
    <row r="823" ht="15.75" customHeight="1">
      <c r="A823" s="17"/>
      <c r="B823" s="17"/>
      <c r="C823" s="17"/>
      <c r="E823" s="17"/>
      <c r="F823" s="17"/>
      <c r="H823" s="17"/>
    </row>
    <row r="824" ht="15.75" customHeight="1">
      <c r="A824" s="17"/>
      <c r="B824" s="17"/>
      <c r="C824" s="17"/>
      <c r="E824" s="17"/>
      <c r="F824" s="17"/>
      <c r="H824" s="17"/>
    </row>
    <row r="825" ht="15.75" customHeight="1">
      <c r="A825" s="17"/>
      <c r="B825" s="17"/>
      <c r="C825" s="17"/>
      <c r="E825" s="17"/>
      <c r="F825" s="17"/>
      <c r="H825" s="17"/>
    </row>
    <row r="826" ht="15.75" customHeight="1">
      <c r="A826" s="17"/>
      <c r="B826" s="17"/>
      <c r="C826" s="17"/>
      <c r="E826" s="17"/>
      <c r="F826" s="17"/>
      <c r="H826" s="17"/>
    </row>
    <row r="827" ht="15.75" customHeight="1">
      <c r="A827" s="17"/>
      <c r="B827" s="17"/>
      <c r="C827" s="17"/>
      <c r="E827" s="17"/>
      <c r="F827" s="17"/>
      <c r="H827" s="17"/>
    </row>
    <row r="828" ht="15.75" customHeight="1">
      <c r="A828" s="17"/>
      <c r="B828" s="17"/>
      <c r="C828" s="17"/>
      <c r="E828" s="17"/>
      <c r="F828" s="17"/>
      <c r="H828" s="17"/>
    </row>
    <row r="829" ht="15.75" customHeight="1">
      <c r="A829" s="17"/>
      <c r="B829" s="17"/>
      <c r="C829" s="17"/>
      <c r="E829" s="17"/>
      <c r="F829" s="17"/>
      <c r="H829" s="17"/>
    </row>
    <row r="830" ht="15.75" customHeight="1">
      <c r="A830" s="17"/>
      <c r="B830" s="17"/>
      <c r="C830" s="17"/>
      <c r="E830" s="17"/>
      <c r="F830" s="17"/>
      <c r="H830" s="17"/>
    </row>
    <row r="831" ht="15.75" customHeight="1">
      <c r="A831" s="17"/>
      <c r="B831" s="17"/>
      <c r="C831" s="17"/>
      <c r="E831" s="17"/>
      <c r="F831" s="17"/>
      <c r="H831" s="17"/>
    </row>
    <row r="832" ht="15.75" customHeight="1">
      <c r="A832" s="17"/>
      <c r="B832" s="17"/>
      <c r="C832" s="17"/>
      <c r="E832" s="17"/>
      <c r="F832" s="17"/>
      <c r="H832" s="17"/>
    </row>
    <row r="833" ht="15.75" customHeight="1">
      <c r="A833" s="17"/>
      <c r="B833" s="17"/>
      <c r="C833" s="17"/>
      <c r="E833" s="17"/>
      <c r="F833" s="17"/>
      <c r="H833" s="17"/>
    </row>
    <row r="834" ht="15.75" customHeight="1">
      <c r="A834" s="17"/>
      <c r="B834" s="17"/>
      <c r="C834" s="17"/>
      <c r="E834" s="17"/>
      <c r="F834" s="17"/>
      <c r="H834" s="17"/>
    </row>
    <row r="835" ht="15.75" customHeight="1">
      <c r="A835" s="17"/>
      <c r="B835" s="17"/>
      <c r="C835" s="17"/>
      <c r="E835" s="17"/>
      <c r="F835" s="17"/>
      <c r="H835" s="17"/>
    </row>
    <row r="836" ht="15.75" customHeight="1">
      <c r="A836" s="17"/>
      <c r="B836" s="17"/>
      <c r="C836" s="17"/>
      <c r="E836" s="17"/>
      <c r="F836" s="17"/>
      <c r="H836" s="17"/>
    </row>
    <row r="837" ht="15.75" customHeight="1">
      <c r="A837" s="17"/>
      <c r="B837" s="17"/>
      <c r="C837" s="17"/>
      <c r="E837" s="17"/>
      <c r="F837" s="17"/>
      <c r="H837" s="17"/>
    </row>
    <row r="838" ht="15.75" customHeight="1">
      <c r="A838" s="17"/>
      <c r="B838" s="17"/>
      <c r="C838" s="17"/>
      <c r="E838" s="17"/>
      <c r="F838" s="17"/>
      <c r="H838" s="17"/>
    </row>
    <row r="839" ht="15.75" customHeight="1">
      <c r="A839" s="17"/>
      <c r="B839" s="17"/>
      <c r="C839" s="17"/>
      <c r="E839" s="17"/>
      <c r="F839" s="17"/>
      <c r="H839" s="17"/>
    </row>
    <row r="840" ht="15.75" customHeight="1">
      <c r="A840" s="17"/>
      <c r="B840" s="17"/>
      <c r="C840" s="17"/>
      <c r="E840" s="17"/>
      <c r="F840" s="17"/>
      <c r="H840" s="17"/>
    </row>
    <row r="841" ht="15.75" customHeight="1">
      <c r="A841" s="17"/>
      <c r="B841" s="17"/>
      <c r="C841" s="17"/>
      <c r="E841" s="17"/>
      <c r="F841" s="17"/>
      <c r="H841" s="17"/>
    </row>
    <row r="842" ht="15.75" customHeight="1">
      <c r="A842" s="17"/>
      <c r="B842" s="17"/>
      <c r="C842" s="17"/>
      <c r="E842" s="17"/>
      <c r="F842" s="17"/>
      <c r="H842" s="17"/>
    </row>
    <row r="843" ht="15.75" customHeight="1">
      <c r="A843" s="17"/>
      <c r="B843" s="17"/>
      <c r="C843" s="17"/>
      <c r="E843" s="17"/>
      <c r="F843" s="17"/>
      <c r="H843" s="17"/>
    </row>
    <row r="844" ht="15.75" customHeight="1">
      <c r="A844" s="17"/>
      <c r="B844" s="17"/>
      <c r="C844" s="17"/>
      <c r="E844" s="17"/>
      <c r="F844" s="17"/>
      <c r="H844" s="17"/>
    </row>
    <row r="845" ht="15.75" customHeight="1">
      <c r="A845" s="17"/>
      <c r="B845" s="17"/>
      <c r="C845" s="17"/>
      <c r="E845" s="17"/>
      <c r="F845" s="17"/>
      <c r="H845" s="17"/>
    </row>
    <row r="846" ht="15.75" customHeight="1">
      <c r="A846" s="17"/>
      <c r="B846" s="17"/>
      <c r="C846" s="17"/>
      <c r="E846" s="17"/>
      <c r="F846" s="17"/>
      <c r="H846" s="17"/>
    </row>
    <row r="847" ht="15.75" customHeight="1">
      <c r="A847" s="17"/>
      <c r="B847" s="17"/>
      <c r="C847" s="17"/>
      <c r="E847" s="17"/>
      <c r="F847" s="17"/>
      <c r="H847" s="17"/>
    </row>
    <row r="848" ht="15.75" customHeight="1">
      <c r="A848" s="17"/>
      <c r="B848" s="17"/>
      <c r="C848" s="17"/>
      <c r="E848" s="17"/>
      <c r="F848" s="17"/>
      <c r="H848" s="17"/>
    </row>
    <row r="849" ht="15.75" customHeight="1">
      <c r="A849" s="17"/>
      <c r="B849" s="17"/>
      <c r="C849" s="17"/>
      <c r="E849" s="17"/>
      <c r="F849" s="17"/>
      <c r="H849" s="17"/>
    </row>
    <row r="850" ht="15.75" customHeight="1">
      <c r="A850" s="17"/>
      <c r="B850" s="17"/>
      <c r="C850" s="17"/>
      <c r="E850" s="17"/>
      <c r="F850" s="17"/>
      <c r="H850" s="17"/>
    </row>
    <row r="851" ht="15.75" customHeight="1">
      <c r="A851" s="17"/>
      <c r="B851" s="17"/>
      <c r="C851" s="17"/>
      <c r="E851" s="17"/>
      <c r="F851" s="17"/>
      <c r="H851" s="17"/>
    </row>
    <row r="852" ht="15.75" customHeight="1">
      <c r="A852" s="17"/>
      <c r="B852" s="17"/>
      <c r="C852" s="17"/>
      <c r="E852" s="17"/>
      <c r="F852" s="17"/>
      <c r="H852" s="17"/>
    </row>
    <row r="853" ht="15.75" customHeight="1">
      <c r="A853" s="17"/>
      <c r="B853" s="17"/>
      <c r="C853" s="17"/>
      <c r="E853" s="17"/>
      <c r="F853" s="17"/>
      <c r="H853" s="17"/>
    </row>
    <row r="854" ht="15.75" customHeight="1">
      <c r="A854" s="17"/>
      <c r="B854" s="17"/>
      <c r="C854" s="17"/>
      <c r="E854" s="17"/>
      <c r="F854" s="17"/>
      <c r="H854" s="17"/>
    </row>
    <row r="855" ht="15.75" customHeight="1">
      <c r="A855" s="17"/>
      <c r="B855" s="17"/>
      <c r="C855" s="17"/>
      <c r="E855" s="17"/>
      <c r="F855" s="17"/>
      <c r="H855" s="17"/>
    </row>
    <row r="856" ht="15.75" customHeight="1">
      <c r="A856" s="17"/>
      <c r="B856" s="17"/>
      <c r="C856" s="17"/>
      <c r="E856" s="17"/>
      <c r="F856" s="17"/>
      <c r="H856" s="17"/>
    </row>
    <row r="857" ht="15.75" customHeight="1">
      <c r="A857" s="17"/>
      <c r="B857" s="17"/>
      <c r="C857" s="17"/>
      <c r="E857" s="17"/>
      <c r="F857" s="17"/>
      <c r="H857" s="17"/>
    </row>
    <row r="858" ht="15.75" customHeight="1">
      <c r="A858" s="17"/>
      <c r="B858" s="17"/>
      <c r="C858" s="17"/>
      <c r="E858" s="17"/>
      <c r="F858" s="17"/>
      <c r="H858" s="17"/>
    </row>
    <row r="859" ht="15.75" customHeight="1">
      <c r="A859" s="17"/>
      <c r="B859" s="17"/>
      <c r="C859" s="17"/>
      <c r="E859" s="17"/>
      <c r="F859" s="17"/>
      <c r="H859" s="17"/>
    </row>
    <row r="860" ht="15.75" customHeight="1">
      <c r="A860" s="17"/>
      <c r="B860" s="17"/>
      <c r="C860" s="17"/>
      <c r="E860" s="17"/>
      <c r="F860" s="17"/>
      <c r="H860" s="17"/>
    </row>
    <row r="861" ht="15.75" customHeight="1">
      <c r="A861" s="17"/>
      <c r="B861" s="17"/>
      <c r="C861" s="17"/>
      <c r="E861" s="17"/>
      <c r="F861" s="17"/>
      <c r="H861" s="17"/>
    </row>
    <row r="862" ht="15.75" customHeight="1">
      <c r="A862" s="17"/>
      <c r="B862" s="17"/>
      <c r="C862" s="17"/>
      <c r="E862" s="17"/>
      <c r="F862" s="17"/>
      <c r="H862" s="17"/>
    </row>
    <row r="863" ht="15.75" customHeight="1">
      <c r="A863" s="17"/>
      <c r="B863" s="17"/>
      <c r="C863" s="17"/>
      <c r="E863" s="17"/>
      <c r="F863" s="17"/>
      <c r="H863" s="17"/>
    </row>
    <row r="864" ht="15.75" customHeight="1">
      <c r="A864" s="17"/>
      <c r="B864" s="17"/>
      <c r="C864" s="17"/>
      <c r="E864" s="17"/>
      <c r="F864" s="17"/>
      <c r="H864" s="17"/>
    </row>
    <row r="865" ht="15.75" customHeight="1">
      <c r="A865" s="17"/>
      <c r="B865" s="17"/>
      <c r="C865" s="17"/>
      <c r="E865" s="17"/>
      <c r="F865" s="17"/>
      <c r="H865" s="17"/>
    </row>
    <row r="866" ht="15.75" customHeight="1">
      <c r="A866" s="17"/>
      <c r="B866" s="17"/>
      <c r="C866" s="17"/>
      <c r="E866" s="17"/>
      <c r="F866" s="17"/>
      <c r="H866" s="17"/>
    </row>
    <row r="867" ht="15.75" customHeight="1">
      <c r="A867" s="17"/>
      <c r="B867" s="17"/>
      <c r="C867" s="17"/>
      <c r="E867" s="17"/>
      <c r="F867" s="17"/>
      <c r="H867" s="17"/>
    </row>
    <row r="868" ht="15.75" customHeight="1">
      <c r="A868" s="17"/>
      <c r="B868" s="17"/>
      <c r="C868" s="17"/>
      <c r="E868" s="17"/>
      <c r="F868" s="17"/>
      <c r="H868" s="17"/>
    </row>
    <row r="869" ht="15.75" customHeight="1">
      <c r="A869" s="17"/>
      <c r="B869" s="17"/>
      <c r="C869" s="17"/>
      <c r="E869" s="17"/>
      <c r="F869" s="17"/>
      <c r="H869" s="17"/>
    </row>
    <row r="870" ht="15.75" customHeight="1">
      <c r="A870" s="17"/>
      <c r="B870" s="17"/>
      <c r="C870" s="17"/>
      <c r="E870" s="17"/>
      <c r="F870" s="17"/>
      <c r="H870" s="17"/>
    </row>
    <row r="871" ht="15.75" customHeight="1">
      <c r="A871" s="17"/>
      <c r="B871" s="17"/>
      <c r="C871" s="17"/>
      <c r="E871" s="17"/>
      <c r="F871" s="17"/>
      <c r="H871" s="17"/>
    </row>
    <row r="872" ht="15.75" customHeight="1">
      <c r="A872" s="17"/>
      <c r="B872" s="17"/>
      <c r="C872" s="17"/>
      <c r="E872" s="17"/>
      <c r="F872" s="17"/>
      <c r="H872" s="17"/>
    </row>
    <row r="873" ht="15.75" customHeight="1">
      <c r="A873" s="17"/>
      <c r="B873" s="17"/>
      <c r="C873" s="17"/>
      <c r="E873" s="17"/>
      <c r="F873" s="17"/>
      <c r="H873" s="17"/>
    </row>
    <row r="874" ht="15.75" customHeight="1">
      <c r="A874" s="17"/>
      <c r="B874" s="17"/>
      <c r="C874" s="17"/>
      <c r="E874" s="17"/>
      <c r="F874" s="17"/>
      <c r="H874" s="17"/>
    </row>
    <row r="875" ht="15.75" customHeight="1">
      <c r="A875" s="17"/>
      <c r="B875" s="17"/>
      <c r="C875" s="17"/>
      <c r="E875" s="17"/>
      <c r="F875" s="17"/>
      <c r="H875" s="17"/>
    </row>
    <row r="876" ht="15.75" customHeight="1">
      <c r="A876" s="17"/>
      <c r="B876" s="17"/>
      <c r="C876" s="17"/>
      <c r="E876" s="17"/>
      <c r="F876" s="17"/>
      <c r="H876" s="17"/>
    </row>
    <row r="877" ht="15.75" customHeight="1">
      <c r="A877" s="17"/>
      <c r="B877" s="17"/>
      <c r="C877" s="17"/>
      <c r="E877" s="17"/>
      <c r="F877" s="17"/>
      <c r="H877" s="17"/>
    </row>
    <row r="878" ht="15.75" customHeight="1">
      <c r="A878" s="17"/>
      <c r="B878" s="17"/>
      <c r="C878" s="17"/>
      <c r="E878" s="17"/>
      <c r="F878" s="17"/>
      <c r="H878" s="17"/>
    </row>
    <row r="879" ht="15.75" customHeight="1">
      <c r="A879" s="17"/>
      <c r="B879" s="17"/>
      <c r="C879" s="17"/>
      <c r="E879" s="17"/>
      <c r="F879" s="17"/>
      <c r="H879" s="17"/>
    </row>
    <row r="880" ht="15.75" customHeight="1">
      <c r="A880" s="17"/>
      <c r="B880" s="17"/>
      <c r="C880" s="17"/>
      <c r="E880" s="17"/>
      <c r="F880" s="17"/>
      <c r="H880" s="17"/>
    </row>
    <row r="881" ht="15.75" customHeight="1">
      <c r="A881" s="17"/>
      <c r="B881" s="17"/>
      <c r="C881" s="17"/>
      <c r="E881" s="17"/>
      <c r="F881" s="17"/>
      <c r="H881" s="17"/>
    </row>
    <row r="882" ht="15.75" customHeight="1">
      <c r="A882" s="17"/>
      <c r="B882" s="17"/>
      <c r="C882" s="17"/>
      <c r="E882" s="17"/>
      <c r="F882" s="17"/>
      <c r="H882" s="17"/>
    </row>
    <row r="883" ht="15.75" customHeight="1">
      <c r="A883" s="17"/>
      <c r="B883" s="17"/>
      <c r="C883" s="17"/>
      <c r="E883" s="17"/>
      <c r="F883" s="17"/>
      <c r="H883" s="17"/>
    </row>
    <row r="884" ht="15.75" customHeight="1">
      <c r="A884" s="17"/>
      <c r="B884" s="17"/>
      <c r="C884" s="17"/>
      <c r="E884" s="17"/>
      <c r="F884" s="17"/>
      <c r="H884" s="17"/>
    </row>
    <row r="885" ht="15.75" customHeight="1">
      <c r="A885" s="17"/>
      <c r="B885" s="17"/>
      <c r="C885" s="17"/>
      <c r="E885" s="17"/>
      <c r="F885" s="17"/>
      <c r="H885" s="17"/>
    </row>
    <row r="886" ht="15.75" customHeight="1">
      <c r="A886" s="17"/>
      <c r="B886" s="17"/>
      <c r="C886" s="17"/>
      <c r="E886" s="17"/>
      <c r="F886" s="17"/>
      <c r="H886" s="17"/>
    </row>
    <row r="887" ht="15.75" customHeight="1">
      <c r="A887" s="17"/>
      <c r="B887" s="17"/>
      <c r="C887" s="17"/>
      <c r="E887" s="17"/>
      <c r="F887" s="17"/>
      <c r="H887" s="17"/>
    </row>
    <row r="888" ht="15.75" customHeight="1">
      <c r="A888" s="17"/>
      <c r="B888" s="17"/>
      <c r="C888" s="17"/>
      <c r="E888" s="17"/>
      <c r="F888" s="17"/>
      <c r="H888" s="17"/>
    </row>
    <row r="889" ht="15.75" customHeight="1">
      <c r="A889" s="17"/>
      <c r="B889" s="17"/>
      <c r="C889" s="17"/>
      <c r="E889" s="17"/>
      <c r="F889" s="17"/>
      <c r="H889" s="17"/>
    </row>
    <row r="890" ht="15.75" customHeight="1">
      <c r="A890" s="17"/>
      <c r="B890" s="17"/>
      <c r="C890" s="17"/>
      <c r="E890" s="17"/>
      <c r="F890" s="17"/>
      <c r="H890" s="17"/>
    </row>
    <row r="891" ht="15.75" customHeight="1">
      <c r="A891" s="17"/>
      <c r="B891" s="17"/>
      <c r="C891" s="17"/>
      <c r="E891" s="17"/>
      <c r="F891" s="17"/>
      <c r="H891" s="17"/>
    </row>
    <row r="892" ht="15.75" customHeight="1">
      <c r="A892" s="17"/>
      <c r="B892" s="17"/>
      <c r="C892" s="17"/>
      <c r="E892" s="17"/>
      <c r="F892" s="17"/>
      <c r="H892" s="17"/>
    </row>
    <row r="893" ht="15.75" customHeight="1">
      <c r="A893" s="17"/>
      <c r="B893" s="17"/>
      <c r="C893" s="17"/>
      <c r="E893" s="17"/>
      <c r="F893" s="17"/>
      <c r="H893" s="17"/>
    </row>
    <row r="894" ht="15.75" customHeight="1">
      <c r="A894" s="17"/>
      <c r="B894" s="17"/>
      <c r="C894" s="17"/>
      <c r="E894" s="17"/>
      <c r="F894" s="17"/>
      <c r="H894" s="17"/>
    </row>
    <row r="895" ht="15.75" customHeight="1">
      <c r="A895" s="17"/>
      <c r="B895" s="17"/>
      <c r="C895" s="17"/>
      <c r="E895" s="17"/>
      <c r="F895" s="17"/>
      <c r="H895" s="17"/>
    </row>
    <row r="896" ht="15.75" customHeight="1">
      <c r="A896" s="17"/>
      <c r="B896" s="17"/>
      <c r="C896" s="17"/>
      <c r="E896" s="17"/>
      <c r="F896" s="17"/>
      <c r="H896" s="17"/>
    </row>
    <row r="897" ht="15.75" customHeight="1">
      <c r="A897" s="17"/>
      <c r="B897" s="17"/>
      <c r="C897" s="17"/>
      <c r="E897" s="17"/>
      <c r="F897" s="17"/>
      <c r="H897" s="17"/>
    </row>
    <row r="898" ht="15.75" customHeight="1">
      <c r="A898" s="17"/>
      <c r="B898" s="17"/>
      <c r="C898" s="17"/>
      <c r="E898" s="17"/>
      <c r="F898" s="17"/>
      <c r="H898" s="17"/>
    </row>
    <row r="899" ht="15.75" customHeight="1">
      <c r="A899" s="17"/>
      <c r="B899" s="17"/>
      <c r="C899" s="17"/>
      <c r="E899" s="17"/>
      <c r="F899" s="17"/>
      <c r="H899" s="17"/>
    </row>
    <row r="900" ht="15.75" customHeight="1">
      <c r="A900" s="17"/>
      <c r="B900" s="17"/>
      <c r="C900" s="17"/>
      <c r="E900" s="17"/>
      <c r="F900" s="17"/>
      <c r="H900" s="17"/>
    </row>
    <row r="901" ht="15.75" customHeight="1">
      <c r="A901" s="17"/>
      <c r="B901" s="17"/>
      <c r="C901" s="17"/>
      <c r="E901" s="17"/>
      <c r="F901" s="17"/>
      <c r="H901" s="17"/>
    </row>
    <row r="902" ht="15.75" customHeight="1">
      <c r="A902" s="17"/>
      <c r="B902" s="17"/>
      <c r="C902" s="17"/>
      <c r="E902" s="17"/>
      <c r="F902" s="17"/>
      <c r="H902" s="17"/>
    </row>
    <row r="903" ht="15.75" customHeight="1">
      <c r="A903" s="17"/>
      <c r="B903" s="17"/>
      <c r="C903" s="17"/>
      <c r="E903" s="17"/>
      <c r="F903" s="17"/>
      <c r="H903" s="17"/>
    </row>
    <row r="904" ht="15.75" customHeight="1">
      <c r="A904" s="17"/>
      <c r="B904" s="17"/>
      <c r="C904" s="17"/>
      <c r="E904" s="17"/>
      <c r="F904" s="17"/>
      <c r="H904" s="17"/>
    </row>
    <row r="905" ht="15.75" customHeight="1">
      <c r="A905" s="17"/>
      <c r="B905" s="17"/>
      <c r="C905" s="17"/>
      <c r="E905" s="17"/>
      <c r="F905" s="17"/>
      <c r="H905" s="17"/>
    </row>
    <row r="906" ht="15.75" customHeight="1">
      <c r="A906" s="17"/>
      <c r="B906" s="17"/>
      <c r="C906" s="17"/>
      <c r="E906" s="17"/>
      <c r="F906" s="17"/>
      <c r="H906" s="17"/>
    </row>
    <row r="907" ht="15.75" customHeight="1">
      <c r="A907" s="17"/>
      <c r="B907" s="17"/>
      <c r="C907" s="17"/>
      <c r="E907" s="17"/>
      <c r="F907" s="17"/>
      <c r="H907" s="17"/>
    </row>
    <row r="908" ht="15.75" customHeight="1">
      <c r="A908" s="17"/>
      <c r="B908" s="17"/>
      <c r="C908" s="17"/>
      <c r="E908" s="17"/>
      <c r="F908" s="17"/>
      <c r="H908" s="17"/>
    </row>
    <row r="909" ht="15.75" customHeight="1">
      <c r="A909" s="17"/>
      <c r="B909" s="17"/>
      <c r="C909" s="17"/>
      <c r="E909" s="17"/>
      <c r="F909" s="17"/>
      <c r="H909" s="17"/>
    </row>
    <row r="910" ht="15.75" customHeight="1">
      <c r="A910" s="17"/>
      <c r="B910" s="17"/>
      <c r="C910" s="17"/>
      <c r="E910" s="17"/>
      <c r="F910" s="17"/>
      <c r="H910" s="17"/>
    </row>
    <row r="911" ht="15.75" customHeight="1">
      <c r="A911" s="17"/>
      <c r="B911" s="17"/>
      <c r="C911" s="17"/>
      <c r="E911" s="17"/>
      <c r="F911" s="17"/>
      <c r="H911" s="17"/>
    </row>
    <row r="912" ht="15.75" customHeight="1">
      <c r="A912" s="17"/>
      <c r="B912" s="17"/>
      <c r="C912" s="17"/>
      <c r="E912" s="17"/>
      <c r="F912" s="17"/>
      <c r="H912" s="17"/>
    </row>
    <row r="913" ht="15.75" customHeight="1">
      <c r="A913" s="17"/>
      <c r="B913" s="17"/>
      <c r="C913" s="17"/>
      <c r="E913" s="17"/>
      <c r="F913" s="17"/>
      <c r="H913" s="17"/>
    </row>
    <row r="914" ht="15.75" customHeight="1">
      <c r="A914" s="17"/>
      <c r="B914" s="17"/>
      <c r="C914" s="17"/>
      <c r="E914" s="17"/>
      <c r="F914" s="17"/>
      <c r="H914" s="17"/>
    </row>
    <row r="915" ht="15.75" customHeight="1">
      <c r="A915" s="17"/>
      <c r="B915" s="17"/>
      <c r="C915" s="17"/>
      <c r="E915" s="17"/>
      <c r="F915" s="17"/>
      <c r="H915" s="17"/>
    </row>
    <row r="916" ht="15.75" customHeight="1">
      <c r="A916" s="17"/>
      <c r="B916" s="17"/>
      <c r="C916" s="17"/>
      <c r="E916" s="17"/>
      <c r="F916" s="17"/>
      <c r="H916" s="17"/>
    </row>
    <row r="917" ht="15.75" customHeight="1">
      <c r="A917" s="17"/>
      <c r="B917" s="17"/>
      <c r="C917" s="17"/>
      <c r="E917" s="17"/>
      <c r="F917" s="17"/>
      <c r="H917" s="17"/>
    </row>
    <row r="918" ht="15.75" customHeight="1">
      <c r="A918" s="17"/>
      <c r="B918" s="17"/>
      <c r="C918" s="17"/>
      <c r="E918" s="17"/>
      <c r="F918" s="17"/>
      <c r="H918" s="17"/>
    </row>
    <row r="919" ht="15.75" customHeight="1">
      <c r="A919" s="17"/>
      <c r="B919" s="17"/>
      <c r="C919" s="17"/>
      <c r="E919" s="17"/>
      <c r="F919" s="17"/>
      <c r="H919" s="17"/>
    </row>
    <row r="920" ht="15.75" customHeight="1">
      <c r="A920" s="17"/>
      <c r="B920" s="17"/>
      <c r="C920" s="17"/>
      <c r="E920" s="17"/>
      <c r="F920" s="17"/>
      <c r="H920" s="17"/>
    </row>
    <row r="921" ht="15.75" customHeight="1">
      <c r="A921" s="17"/>
      <c r="B921" s="17"/>
      <c r="C921" s="17"/>
      <c r="E921" s="17"/>
      <c r="F921" s="17"/>
      <c r="H921" s="17"/>
    </row>
    <row r="922" ht="15.75" customHeight="1">
      <c r="A922" s="17"/>
      <c r="B922" s="17"/>
      <c r="C922" s="17"/>
      <c r="E922" s="17"/>
      <c r="F922" s="17"/>
      <c r="H922" s="17"/>
    </row>
    <row r="923" ht="15.75" customHeight="1">
      <c r="A923" s="17"/>
      <c r="B923" s="17"/>
      <c r="C923" s="17"/>
      <c r="E923" s="17"/>
      <c r="F923" s="17"/>
      <c r="H923" s="17"/>
    </row>
    <row r="924" ht="15.75" customHeight="1">
      <c r="A924" s="17"/>
      <c r="B924" s="17"/>
      <c r="C924" s="17"/>
      <c r="E924" s="17"/>
      <c r="F924" s="17"/>
      <c r="H924" s="17"/>
    </row>
    <row r="925" ht="15.75" customHeight="1">
      <c r="A925" s="17"/>
      <c r="B925" s="17"/>
      <c r="C925" s="17"/>
      <c r="E925" s="17"/>
      <c r="F925" s="17"/>
      <c r="H925" s="17"/>
    </row>
    <row r="926" ht="15.75" customHeight="1">
      <c r="A926" s="17"/>
      <c r="B926" s="17"/>
      <c r="C926" s="17"/>
      <c r="E926" s="17"/>
      <c r="F926" s="17"/>
      <c r="H926" s="17"/>
    </row>
    <row r="927" ht="15.75" customHeight="1">
      <c r="A927" s="17"/>
      <c r="B927" s="17"/>
      <c r="C927" s="17"/>
      <c r="E927" s="17"/>
      <c r="F927" s="17"/>
      <c r="H927" s="17"/>
    </row>
    <row r="928" ht="15.75" customHeight="1">
      <c r="A928" s="17"/>
      <c r="B928" s="17"/>
      <c r="C928" s="17"/>
      <c r="E928" s="17"/>
      <c r="F928" s="17"/>
      <c r="H928" s="17"/>
    </row>
    <row r="929" ht="15.75" customHeight="1">
      <c r="A929" s="17"/>
      <c r="B929" s="17"/>
      <c r="C929" s="17"/>
      <c r="E929" s="17"/>
      <c r="F929" s="17"/>
      <c r="H929" s="17"/>
    </row>
    <row r="930" ht="15.75" customHeight="1">
      <c r="A930" s="17"/>
      <c r="B930" s="17"/>
      <c r="C930" s="17"/>
      <c r="E930" s="17"/>
      <c r="F930" s="17"/>
      <c r="H930" s="17"/>
    </row>
    <row r="931" ht="15.75" customHeight="1">
      <c r="A931" s="17"/>
      <c r="B931" s="17"/>
      <c r="C931" s="17"/>
      <c r="E931" s="17"/>
      <c r="F931" s="17"/>
      <c r="H931" s="17"/>
    </row>
    <row r="932" ht="15.75" customHeight="1">
      <c r="A932" s="17"/>
      <c r="B932" s="17"/>
      <c r="C932" s="17"/>
      <c r="E932" s="17"/>
      <c r="F932" s="17"/>
      <c r="H932" s="17"/>
    </row>
    <row r="933" ht="15.75" customHeight="1">
      <c r="A933" s="17"/>
      <c r="B933" s="17"/>
      <c r="C933" s="17"/>
      <c r="E933" s="17"/>
      <c r="F933" s="17"/>
      <c r="H933" s="17"/>
    </row>
    <row r="934" ht="15.75" customHeight="1">
      <c r="A934" s="17"/>
      <c r="B934" s="17"/>
      <c r="C934" s="17"/>
      <c r="E934" s="17"/>
      <c r="F934" s="17"/>
      <c r="H934" s="17"/>
    </row>
    <row r="935" ht="15.75" customHeight="1">
      <c r="A935" s="17"/>
      <c r="B935" s="17"/>
      <c r="C935" s="17"/>
      <c r="E935" s="17"/>
      <c r="F935" s="17"/>
      <c r="H935" s="17"/>
    </row>
    <row r="936" ht="15.75" customHeight="1">
      <c r="A936" s="17"/>
      <c r="B936" s="17"/>
      <c r="C936" s="17"/>
      <c r="E936" s="17"/>
      <c r="F936" s="17"/>
      <c r="H936" s="17"/>
    </row>
    <row r="937" ht="15.75" customHeight="1">
      <c r="A937" s="17"/>
      <c r="B937" s="17"/>
      <c r="C937" s="17"/>
      <c r="E937" s="17"/>
      <c r="F937" s="17"/>
      <c r="H937" s="17"/>
    </row>
    <row r="938" ht="15.75" customHeight="1">
      <c r="A938" s="17"/>
      <c r="B938" s="17"/>
      <c r="C938" s="17"/>
      <c r="E938" s="17"/>
      <c r="F938" s="17"/>
      <c r="H938" s="17"/>
    </row>
    <row r="939" ht="15.75" customHeight="1">
      <c r="A939" s="17"/>
      <c r="B939" s="17"/>
      <c r="C939" s="17"/>
      <c r="E939" s="17"/>
      <c r="F939" s="17"/>
      <c r="H939" s="17"/>
    </row>
    <row r="940" ht="15.75" customHeight="1">
      <c r="A940" s="17"/>
      <c r="B940" s="17"/>
      <c r="C940" s="17"/>
      <c r="E940" s="17"/>
      <c r="F940" s="17"/>
      <c r="H940" s="17"/>
    </row>
    <row r="941" ht="15.75" customHeight="1">
      <c r="A941" s="17"/>
      <c r="B941" s="17"/>
      <c r="C941" s="17"/>
      <c r="E941" s="17"/>
      <c r="F941" s="17"/>
      <c r="H941" s="17"/>
    </row>
    <row r="942" ht="15.75" customHeight="1">
      <c r="A942" s="17"/>
      <c r="B942" s="17"/>
      <c r="C942" s="17"/>
      <c r="E942" s="17"/>
      <c r="F942" s="17"/>
      <c r="H942" s="17"/>
    </row>
    <row r="943" ht="15.75" customHeight="1">
      <c r="A943" s="17"/>
      <c r="B943" s="17"/>
      <c r="C943" s="17"/>
      <c r="E943" s="17"/>
      <c r="F943" s="17"/>
      <c r="H943" s="17"/>
    </row>
    <row r="944" ht="15.75" customHeight="1">
      <c r="A944" s="17"/>
      <c r="B944" s="17"/>
      <c r="C944" s="17"/>
      <c r="E944" s="17"/>
      <c r="F944" s="17"/>
      <c r="H944" s="17"/>
    </row>
    <row r="945" ht="15.75" customHeight="1">
      <c r="A945" s="17"/>
      <c r="B945" s="17"/>
      <c r="C945" s="17"/>
      <c r="E945" s="17"/>
      <c r="F945" s="17"/>
      <c r="H945" s="17"/>
    </row>
    <row r="946" ht="15.75" customHeight="1">
      <c r="A946" s="17"/>
      <c r="B946" s="17"/>
      <c r="C946" s="17"/>
      <c r="E946" s="17"/>
      <c r="F946" s="17"/>
      <c r="H946" s="17"/>
    </row>
    <row r="947" ht="15.75" customHeight="1">
      <c r="A947" s="17"/>
      <c r="B947" s="17"/>
      <c r="C947" s="17"/>
      <c r="E947" s="17"/>
      <c r="F947" s="17"/>
      <c r="H947" s="17"/>
    </row>
    <row r="948" ht="15.75" customHeight="1">
      <c r="A948" s="17"/>
      <c r="B948" s="17"/>
      <c r="C948" s="17"/>
      <c r="E948" s="17"/>
      <c r="F948" s="17"/>
      <c r="H948" s="17"/>
    </row>
    <row r="949" ht="15.75" customHeight="1">
      <c r="A949" s="17"/>
      <c r="B949" s="17"/>
      <c r="C949" s="17"/>
      <c r="E949" s="17"/>
      <c r="F949" s="17"/>
      <c r="H949" s="17"/>
    </row>
    <row r="950" ht="15.75" customHeight="1">
      <c r="A950" s="17"/>
      <c r="B950" s="17"/>
      <c r="C950" s="17"/>
      <c r="E950" s="17"/>
      <c r="F950" s="17"/>
      <c r="H950" s="17"/>
    </row>
    <row r="951" ht="15.75" customHeight="1">
      <c r="A951" s="17"/>
      <c r="B951" s="17"/>
      <c r="C951" s="17"/>
      <c r="E951" s="17"/>
      <c r="F951" s="17"/>
      <c r="H951" s="17"/>
    </row>
    <row r="952" ht="15.75" customHeight="1">
      <c r="A952" s="17"/>
      <c r="B952" s="17"/>
      <c r="C952" s="17"/>
      <c r="E952" s="17"/>
      <c r="F952" s="17"/>
      <c r="H952" s="17"/>
    </row>
    <row r="953" ht="15.75" customHeight="1">
      <c r="A953" s="17"/>
      <c r="B953" s="17"/>
      <c r="C953" s="17"/>
      <c r="E953" s="17"/>
      <c r="F953" s="17"/>
      <c r="H953" s="17"/>
    </row>
    <row r="954" ht="15.75" customHeight="1">
      <c r="A954" s="17"/>
      <c r="B954" s="17"/>
      <c r="C954" s="17"/>
      <c r="E954" s="17"/>
      <c r="F954" s="17"/>
      <c r="H954" s="17"/>
    </row>
    <row r="955" ht="15.75" customHeight="1">
      <c r="A955" s="17"/>
      <c r="B955" s="17"/>
      <c r="C955" s="17"/>
      <c r="E955" s="17"/>
      <c r="F955" s="17"/>
      <c r="H955" s="17"/>
    </row>
    <row r="956" ht="15.75" customHeight="1">
      <c r="A956" s="17"/>
      <c r="B956" s="17"/>
      <c r="C956" s="17"/>
      <c r="E956" s="17"/>
      <c r="F956" s="17"/>
      <c r="H956" s="17"/>
    </row>
    <row r="957" ht="15.75" customHeight="1">
      <c r="A957" s="17"/>
      <c r="B957" s="17"/>
      <c r="C957" s="17"/>
      <c r="E957" s="17"/>
      <c r="F957" s="17"/>
      <c r="H957" s="17"/>
    </row>
    <row r="958" ht="15.75" customHeight="1">
      <c r="A958" s="17"/>
      <c r="B958" s="17"/>
      <c r="C958" s="17"/>
      <c r="E958" s="17"/>
      <c r="F958" s="17"/>
      <c r="H958" s="17"/>
    </row>
    <row r="959" ht="15.75" customHeight="1">
      <c r="A959" s="17"/>
      <c r="B959" s="17"/>
      <c r="C959" s="17"/>
      <c r="E959" s="17"/>
      <c r="F959" s="17"/>
      <c r="H959" s="17"/>
    </row>
    <row r="960" ht="15.75" customHeight="1">
      <c r="A960" s="17"/>
      <c r="B960" s="17"/>
      <c r="C960" s="17"/>
      <c r="E960" s="17"/>
      <c r="F960" s="17"/>
      <c r="H960" s="17"/>
    </row>
    <row r="961" ht="15.75" customHeight="1">
      <c r="A961" s="17"/>
      <c r="B961" s="17"/>
      <c r="C961" s="17"/>
      <c r="E961" s="17"/>
      <c r="F961" s="17"/>
      <c r="H961" s="17"/>
    </row>
    <row r="962" ht="15.75" customHeight="1">
      <c r="A962" s="17"/>
      <c r="B962" s="17"/>
      <c r="C962" s="17"/>
      <c r="E962" s="17"/>
      <c r="F962" s="17"/>
      <c r="H962" s="17"/>
    </row>
    <row r="963" ht="15.75" customHeight="1">
      <c r="A963" s="17"/>
      <c r="B963" s="17"/>
      <c r="C963" s="17"/>
      <c r="E963" s="17"/>
      <c r="F963" s="17"/>
      <c r="H963" s="17"/>
    </row>
    <row r="964" ht="15.75" customHeight="1">
      <c r="A964" s="17"/>
      <c r="B964" s="17"/>
      <c r="C964" s="17"/>
      <c r="E964" s="17"/>
      <c r="F964" s="17"/>
      <c r="H964" s="17"/>
    </row>
    <row r="965" ht="15.75" customHeight="1">
      <c r="A965" s="17"/>
      <c r="B965" s="17"/>
      <c r="C965" s="17"/>
      <c r="E965" s="17"/>
      <c r="F965" s="17"/>
      <c r="H965" s="17"/>
    </row>
    <row r="966" ht="15.75" customHeight="1">
      <c r="A966" s="17"/>
      <c r="B966" s="17"/>
      <c r="C966" s="17"/>
      <c r="E966" s="17"/>
      <c r="F966" s="17"/>
      <c r="H966" s="17"/>
    </row>
    <row r="967" ht="15.75" customHeight="1">
      <c r="A967" s="17"/>
      <c r="B967" s="17"/>
      <c r="C967" s="17"/>
      <c r="E967" s="17"/>
      <c r="F967" s="17"/>
      <c r="H967" s="17"/>
    </row>
    <row r="968" ht="15.75" customHeight="1">
      <c r="A968" s="17"/>
      <c r="B968" s="17"/>
      <c r="C968" s="17"/>
      <c r="E968" s="17"/>
      <c r="F968" s="17"/>
      <c r="H968" s="17"/>
    </row>
    <row r="969" ht="15.75" customHeight="1">
      <c r="A969" s="17"/>
      <c r="B969" s="17"/>
      <c r="C969" s="17"/>
      <c r="E969" s="17"/>
      <c r="F969" s="17"/>
      <c r="H969" s="17"/>
    </row>
    <row r="970" ht="15.75" customHeight="1">
      <c r="A970" s="17"/>
      <c r="B970" s="17"/>
      <c r="C970" s="17"/>
      <c r="E970" s="17"/>
      <c r="F970" s="17"/>
      <c r="H970" s="17"/>
    </row>
    <row r="971" ht="15.75" customHeight="1">
      <c r="A971" s="17"/>
      <c r="B971" s="17"/>
      <c r="C971" s="17"/>
      <c r="E971" s="17"/>
      <c r="F971" s="17"/>
      <c r="H971" s="17"/>
    </row>
    <row r="972" ht="15.75" customHeight="1">
      <c r="A972" s="17"/>
      <c r="B972" s="17"/>
      <c r="C972" s="17"/>
      <c r="E972" s="17"/>
      <c r="F972" s="17"/>
      <c r="H972" s="17"/>
    </row>
    <row r="973" ht="15.75" customHeight="1">
      <c r="A973" s="17"/>
      <c r="B973" s="17"/>
      <c r="C973" s="17"/>
      <c r="E973" s="17"/>
      <c r="F973" s="17"/>
      <c r="H973" s="17"/>
    </row>
    <row r="974" ht="15.75" customHeight="1">
      <c r="A974" s="17"/>
      <c r="B974" s="17"/>
      <c r="C974" s="17"/>
      <c r="E974" s="17"/>
      <c r="F974" s="17"/>
      <c r="H974" s="17"/>
    </row>
    <row r="975" ht="15.75" customHeight="1">
      <c r="A975" s="17"/>
      <c r="B975" s="17"/>
      <c r="C975" s="17"/>
      <c r="E975" s="17"/>
      <c r="F975" s="17"/>
      <c r="H975" s="17"/>
    </row>
    <row r="976" ht="15.75" customHeight="1">
      <c r="A976" s="17"/>
      <c r="B976" s="17"/>
      <c r="C976" s="17"/>
      <c r="E976" s="17"/>
      <c r="F976" s="17"/>
      <c r="H976" s="17"/>
    </row>
    <row r="977" ht="15.75" customHeight="1">
      <c r="A977" s="17"/>
      <c r="B977" s="17"/>
      <c r="C977" s="17"/>
      <c r="E977" s="17"/>
      <c r="F977" s="17"/>
      <c r="H977" s="17"/>
    </row>
    <row r="978" ht="15.75" customHeight="1">
      <c r="A978" s="17"/>
      <c r="B978" s="17"/>
      <c r="C978" s="17"/>
      <c r="E978" s="17"/>
      <c r="F978" s="17"/>
      <c r="H978" s="17"/>
    </row>
    <row r="979" ht="15.75" customHeight="1">
      <c r="A979" s="17"/>
      <c r="B979" s="17"/>
      <c r="C979" s="17"/>
      <c r="E979" s="17"/>
      <c r="F979" s="17"/>
      <c r="H979" s="17"/>
    </row>
    <row r="980" ht="15.75" customHeight="1">
      <c r="A980" s="17"/>
      <c r="B980" s="17"/>
      <c r="C980" s="17"/>
      <c r="E980" s="17"/>
      <c r="F980" s="17"/>
      <c r="H980" s="17"/>
    </row>
    <row r="981" ht="15.75" customHeight="1">
      <c r="A981" s="17"/>
      <c r="B981" s="17"/>
      <c r="C981" s="17"/>
      <c r="E981" s="17"/>
      <c r="F981" s="17"/>
      <c r="H981" s="17"/>
    </row>
    <row r="982" ht="15.75" customHeight="1">
      <c r="A982" s="17"/>
      <c r="B982" s="17"/>
      <c r="C982" s="17"/>
      <c r="E982" s="17"/>
      <c r="F982" s="17"/>
      <c r="H982" s="17"/>
    </row>
    <row r="983" ht="15.75" customHeight="1">
      <c r="A983" s="17"/>
      <c r="B983" s="17"/>
      <c r="C983" s="17"/>
      <c r="E983" s="17"/>
      <c r="F983" s="17"/>
      <c r="H983" s="17"/>
    </row>
    <row r="984" ht="15.75" customHeight="1">
      <c r="A984" s="17"/>
      <c r="B984" s="17"/>
      <c r="C984" s="17"/>
      <c r="E984" s="17"/>
      <c r="F984" s="17"/>
      <c r="H984" s="17"/>
    </row>
    <row r="985" ht="15.75" customHeight="1">
      <c r="A985" s="17"/>
      <c r="B985" s="17"/>
      <c r="C985" s="17"/>
      <c r="E985" s="17"/>
      <c r="F985" s="17"/>
      <c r="H985" s="17"/>
    </row>
    <row r="986" ht="15.75" customHeight="1">
      <c r="A986" s="17"/>
      <c r="B986" s="17"/>
      <c r="C986" s="17"/>
      <c r="E986" s="17"/>
      <c r="F986" s="17"/>
      <c r="H986" s="17"/>
    </row>
    <row r="987" ht="15.75" customHeight="1">
      <c r="A987" s="17"/>
      <c r="B987" s="17"/>
      <c r="C987" s="17"/>
      <c r="E987" s="17"/>
      <c r="F987" s="17"/>
      <c r="H987" s="17"/>
    </row>
    <row r="988" ht="15.75" customHeight="1">
      <c r="A988" s="17"/>
      <c r="B988" s="17"/>
      <c r="C988" s="17"/>
      <c r="E988" s="17"/>
      <c r="F988" s="17"/>
      <c r="H988" s="17"/>
    </row>
    <row r="989" ht="15.75" customHeight="1">
      <c r="A989" s="17"/>
      <c r="B989" s="17"/>
      <c r="C989" s="17"/>
      <c r="E989" s="17"/>
      <c r="F989" s="17"/>
      <c r="H989" s="17"/>
    </row>
    <row r="990" ht="15.75" customHeight="1">
      <c r="A990" s="17"/>
      <c r="B990" s="17"/>
      <c r="C990" s="17"/>
      <c r="E990" s="17"/>
      <c r="F990" s="17"/>
      <c r="H990" s="17"/>
    </row>
    <row r="991" ht="15.75" customHeight="1">
      <c r="A991" s="17"/>
      <c r="B991" s="17"/>
      <c r="C991" s="17"/>
      <c r="E991" s="17"/>
      <c r="F991" s="17"/>
      <c r="H991" s="17"/>
    </row>
    <row r="992" ht="15.75" customHeight="1">
      <c r="A992" s="17"/>
      <c r="B992" s="17"/>
      <c r="C992" s="17"/>
      <c r="E992" s="17"/>
      <c r="F992" s="17"/>
      <c r="H992" s="17"/>
    </row>
    <row r="993" ht="15.75" customHeight="1">
      <c r="A993" s="17"/>
      <c r="B993" s="17"/>
      <c r="C993" s="17"/>
      <c r="E993" s="17"/>
      <c r="F993" s="17"/>
      <c r="H993" s="17"/>
    </row>
    <row r="994" ht="15.75" customHeight="1">
      <c r="A994" s="17"/>
      <c r="B994" s="17"/>
      <c r="C994" s="17"/>
      <c r="E994" s="17"/>
      <c r="F994" s="17"/>
      <c r="H994" s="17"/>
    </row>
    <row r="995" ht="15.75" customHeight="1">
      <c r="A995" s="17"/>
      <c r="B995" s="17"/>
      <c r="C995" s="17"/>
      <c r="E995" s="17"/>
      <c r="F995" s="17"/>
      <c r="H995" s="17"/>
    </row>
    <row r="996" ht="15.75" customHeight="1">
      <c r="A996" s="17"/>
      <c r="B996" s="17"/>
      <c r="C996" s="17"/>
      <c r="E996" s="17"/>
      <c r="F996" s="17"/>
      <c r="H996" s="17"/>
    </row>
    <row r="997" ht="15.75" customHeight="1">
      <c r="A997" s="17"/>
      <c r="B997" s="17"/>
      <c r="C997" s="17"/>
      <c r="E997" s="17"/>
      <c r="F997" s="17"/>
      <c r="H997" s="17"/>
    </row>
    <row r="998" ht="15.75" customHeight="1">
      <c r="A998" s="17"/>
      <c r="B998" s="17"/>
      <c r="C998" s="17"/>
      <c r="E998" s="17"/>
      <c r="F998" s="17"/>
      <c r="H998" s="17"/>
    </row>
    <row r="999" ht="15.75" customHeight="1">
      <c r="A999" s="17"/>
      <c r="B999" s="17"/>
      <c r="C999" s="17"/>
      <c r="E999" s="17"/>
      <c r="F999" s="17"/>
      <c r="H999" s="17"/>
    </row>
    <row r="1000" ht="15.75" customHeight="1">
      <c r="A1000" s="17"/>
      <c r="B1000" s="17"/>
      <c r="C1000" s="17"/>
      <c r="E1000" s="17"/>
      <c r="F1000" s="17"/>
      <c r="H1000" s="17"/>
    </row>
  </sheetData>
  <mergeCells count="14">
    <mergeCell ref="A14:B14"/>
    <mergeCell ref="A16:B16"/>
    <mergeCell ref="E16:F16"/>
    <mergeCell ref="A18:B18"/>
    <mergeCell ref="E20:F20"/>
    <mergeCell ref="E21:F21"/>
    <mergeCell ref="A23:B23"/>
    <mergeCell ref="A1:C1"/>
    <mergeCell ref="E1:F1"/>
    <mergeCell ref="E7:F7"/>
    <mergeCell ref="E8:F8"/>
    <mergeCell ref="A10:B10"/>
    <mergeCell ref="A12:B12"/>
    <mergeCell ref="E12:F12"/>
  </mergeCells>
  <printOptions/>
  <pageMargins bottom="0.75" footer="0.0" header="0.0" left="0.7" right="0.7" top="0.75"/>
  <pageSetup orientation="portrait"/>
  <drawing r:id="rId1"/>
</worksheet>
</file>